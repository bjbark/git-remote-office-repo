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현재_통합_문서" defaultThemeVersion="166925"/>
  <mc:AlternateContent xmlns:mc="http://schemas.openxmlformats.org/markup-compatibility/2006">
    <mc:Choice Requires="x15">
      <x15ac:absPath xmlns:x15ac="http://schemas.microsoft.com/office/spreadsheetml/2010/11/ac" url="https://d.docs.live.net/afc651a0a498845c/엘림컨테이너/시스템 개발 기획/"/>
    </mc:Choice>
  </mc:AlternateContent>
  <xr:revisionPtr revIDLastSave="371" documentId="8_{0F014D63-BEC9-4845-A77F-9BDF66C29D56}" xr6:coauthVersionLast="47" xr6:coauthVersionMax="47" xr10:uidLastSave="{F882E14D-7C5A-4CDD-B525-69BDCE95C76D}"/>
  <bookViews>
    <workbookView xWindow="-110" yWindow="-110" windowWidth="38620" windowHeight="21100" xr2:uid="{00000000-000D-0000-FFFF-FFFF00000000}"/>
  </bookViews>
  <sheets>
    <sheet name="MES System" sheetId="1" r:id="rId1"/>
    <sheet name="프로그램 메모" sheetId="5" r:id="rId2"/>
    <sheet name="포스 시스템" sheetId="2" r:id="rId3"/>
    <sheet name="본죽 메뉴" sheetId="3" r:id="rId4"/>
    <sheet name="인코팩 제안 메뉴" sheetId="6" r:id="rId5"/>
    <sheet name="일양포장" sheetId="7" r:id="rId6"/>
  </sheets>
  <functionGroups builtInGroupCount="19"/>
  <definedNames>
    <definedName name="_xlnm._FilterDatabase" localSheetId="0" hidden="1">'MES System'!$A$1:$BD$680</definedName>
    <definedName name="_xlnm._FilterDatabase" localSheetId="5" hidden="1">일양포장!$A$1:$AY$823</definedName>
    <definedName name="_xlnm._FilterDatabase" localSheetId="2" hidden="1">'포스 시스템'!$B$1:$AY$663</definedName>
    <definedName name="_xlnm._FilterDatabase" localSheetId="1" hidden="1">'프로그램 메모'!$C$1:$K$260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75" i="1" l="1"/>
  <c r="Y375" i="1"/>
  <c r="X375" i="1"/>
  <c r="V375" i="1"/>
  <c r="U375" i="1"/>
  <c r="T375" i="1"/>
  <c r="S375" i="1"/>
  <c r="R375" i="1"/>
  <c r="Q375" i="1"/>
  <c r="P375" i="1"/>
  <c r="M375" i="1"/>
  <c r="L375" i="1"/>
  <c r="K375" i="1"/>
  <c r="C375" i="1"/>
  <c r="AZ375" i="1" s="1"/>
  <c r="B375" i="1"/>
  <c r="AK375" i="1" s="1"/>
  <c r="AL373" i="1"/>
  <c r="Z373" i="1"/>
  <c r="Y373" i="1"/>
  <c r="X373" i="1"/>
  <c r="V373" i="1"/>
  <c r="U373" i="1"/>
  <c r="T373" i="1"/>
  <c r="S373" i="1"/>
  <c r="R373" i="1"/>
  <c r="Q373" i="1"/>
  <c r="P373" i="1"/>
  <c r="M373" i="1"/>
  <c r="L373" i="1"/>
  <c r="K373" i="1"/>
  <c r="C373" i="1"/>
  <c r="AZ373" i="1" s="1"/>
  <c r="B373" i="1"/>
  <c r="AK373" i="1" s="1"/>
  <c r="Z372" i="1"/>
  <c r="Y372" i="1"/>
  <c r="X372" i="1"/>
  <c r="V372" i="1"/>
  <c r="U372" i="1"/>
  <c r="T372" i="1"/>
  <c r="S372" i="1"/>
  <c r="R372" i="1"/>
  <c r="Q372" i="1"/>
  <c r="P372" i="1"/>
  <c r="M372" i="1"/>
  <c r="L372" i="1"/>
  <c r="K372" i="1"/>
  <c r="C372" i="1"/>
  <c r="AL372" i="1" s="1"/>
  <c r="B372" i="1"/>
  <c r="AK372" i="1" s="1"/>
  <c r="AK371" i="1"/>
  <c r="Z371" i="1"/>
  <c r="Y371" i="1"/>
  <c r="X371" i="1"/>
  <c r="V371" i="1"/>
  <c r="U371" i="1"/>
  <c r="T371" i="1"/>
  <c r="S371" i="1"/>
  <c r="R371" i="1"/>
  <c r="Q371" i="1"/>
  <c r="P371" i="1"/>
  <c r="M371" i="1"/>
  <c r="L371" i="1"/>
  <c r="K371" i="1"/>
  <c r="C371" i="1"/>
  <c r="AZ371" i="1" s="1"/>
  <c r="B371" i="1"/>
  <c r="AL370" i="1"/>
  <c r="AK370" i="1"/>
  <c r="Z370" i="1"/>
  <c r="Y370" i="1"/>
  <c r="X370" i="1"/>
  <c r="V370" i="1"/>
  <c r="U370" i="1"/>
  <c r="T370" i="1"/>
  <c r="S370" i="1"/>
  <c r="R370" i="1"/>
  <c r="Q370" i="1"/>
  <c r="P370" i="1"/>
  <c r="M370" i="1"/>
  <c r="L370" i="1"/>
  <c r="K370" i="1"/>
  <c r="C370" i="1"/>
  <c r="AZ370" i="1" s="1"/>
  <c r="B370" i="1"/>
  <c r="Z369" i="1"/>
  <c r="Y369" i="1"/>
  <c r="X369" i="1"/>
  <c r="V369" i="1"/>
  <c r="U369" i="1"/>
  <c r="T369" i="1"/>
  <c r="S369" i="1"/>
  <c r="R369" i="1"/>
  <c r="Q369" i="1"/>
  <c r="P369" i="1"/>
  <c r="M369" i="1"/>
  <c r="L369" i="1"/>
  <c r="K369" i="1"/>
  <c r="C369" i="1"/>
  <c r="AZ369" i="1" s="1"/>
  <c r="B369" i="1"/>
  <c r="AK369" i="1" s="1"/>
  <c r="AL368" i="1"/>
  <c r="AK368" i="1"/>
  <c r="Z368" i="1"/>
  <c r="Y368" i="1"/>
  <c r="X368" i="1"/>
  <c r="V368" i="1"/>
  <c r="U368" i="1"/>
  <c r="T368" i="1"/>
  <c r="S368" i="1"/>
  <c r="R368" i="1"/>
  <c r="Q368" i="1"/>
  <c r="P368" i="1"/>
  <c r="M368" i="1"/>
  <c r="L368" i="1"/>
  <c r="K368" i="1"/>
  <c r="C368" i="1"/>
  <c r="B368" i="1"/>
  <c r="AL367" i="1"/>
  <c r="Z367" i="1"/>
  <c r="Y367" i="1"/>
  <c r="X367" i="1"/>
  <c r="V367" i="1"/>
  <c r="U367" i="1"/>
  <c r="T367" i="1"/>
  <c r="S367" i="1"/>
  <c r="R367" i="1"/>
  <c r="Q367" i="1"/>
  <c r="P367" i="1"/>
  <c r="M367" i="1"/>
  <c r="L367" i="1"/>
  <c r="K367" i="1"/>
  <c r="C367" i="1"/>
  <c r="B367" i="1"/>
  <c r="AK367" i="1" s="1"/>
  <c r="Z366" i="1"/>
  <c r="Y366" i="1"/>
  <c r="X366" i="1"/>
  <c r="V366" i="1"/>
  <c r="U366" i="1"/>
  <c r="T366" i="1"/>
  <c r="S366" i="1"/>
  <c r="R366" i="1"/>
  <c r="Q366" i="1"/>
  <c r="P366" i="1"/>
  <c r="M366" i="1"/>
  <c r="L366" i="1"/>
  <c r="K366" i="1"/>
  <c r="C366" i="1"/>
  <c r="AL366" i="1" s="1"/>
  <c r="B366" i="1"/>
  <c r="AK366" i="1" s="1"/>
  <c r="AK365" i="1"/>
  <c r="Z365" i="1"/>
  <c r="Y365" i="1"/>
  <c r="X365" i="1"/>
  <c r="V365" i="1"/>
  <c r="U365" i="1"/>
  <c r="T365" i="1"/>
  <c r="S365" i="1"/>
  <c r="R365" i="1"/>
  <c r="Q365" i="1"/>
  <c r="P365" i="1"/>
  <c r="M365" i="1"/>
  <c r="L365" i="1"/>
  <c r="K365" i="1"/>
  <c r="C365" i="1"/>
  <c r="AZ365" i="1" s="1"/>
  <c r="B365" i="1"/>
  <c r="Z364" i="1"/>
  <c r="Y364" i="1"/>
  <c r="X364" i="1"/>
  <c r="V364" i="1"/>
  <c r="U364" i="1"/>
  <c r="T364" i="1"/>
  <c r="S364" i="1"/>
  <c r="R364" i="1"/>
  <c r="Q364" i="1"/>
  <c r="P364" i="1"/>
  <c r="M364" i="1"/>
  <c r="L364" i="1"/>
  <c r="K364" i="1"/>
  <c r="C364" i="1"/>
  <c r="AL364" i="1" s="1"/>
  <c r="B364" i="1"/>
  <c r="AK364" i="1" s="1"/>
  <c r="Z360" i="1"/>
  <c r="Y360" i="1"/>
  <c r="X360" i="1"/>
  <c r="V360" i="1"/>
  <c r="U360" i="1"/>
  <c r="T360" i="1"/>
  <c r="S360" i="1"/>
  <c r="R360" i="1"/>
  <c r="Q360" i="1"/>
  <c r="P360" i="1"/>
  <c r="M360" i="1"/>
  <c r="L360" i="1"/>
  <c r="K360" i="1"/>
  <c r="C360" i="1"/>
  <c r="AZ360" i="1" s="1"/>
  <c r="B360" i="1"/>
  <c r="AK360" i="1" s="1"/>
  <c r="AK359" i="1"/>
  <c r="Z359" i="1"/>
  <c r="Y359" i="1"/>
  <c r="X359" i="1"/>
  <c r="V359" i="1"/>
  <c r="U359" i="1"/>
  <c r="T359" i="1"/>
  <c r="S359" i="1"/>
  <c r="R359" i="1"/>
  <c r="Q359" i="1"/>
  <c r="P359" i="1"/>
  <c r="M359" i="1"/>
  <c r="L359" i="1"/>
  <c r="K359" i="1"/>
  <c r="C359" i="1"/>
  <c r="AZ359" i="1" s="1"/>
  <c r="B359" i="1"/>
  <c r="AL356" i="1"/>
  <c r="Z356" i="1"/>
  <c r="Y356" i="1"/>
  <c r="X356" i="1"/>
  <c r="V356" i="1"/>
  <c r="U356" i="1"/>
  <c r="T356" i="1"/>
  <c r="S356" i="1"/>
  <c r="R356" i="1"/>
  <c r="Q356" i="1"/>
  <c r="P356" i="1"/>
  <c r="M356" i="1"/>
  <c r="L356" i="1"/>
  <c r="K356" i="1"/>
  <c r="C356" i="1"/>
  <c r="B356" i="1"/>
  <c r="AK356" i="1" s="1"/>
  <c r="Z358" i="1"/>
  <c r="Y358" i="1"/>
  <c r="X358" i="1"/>
  <c r="V358" i="1"/>
  <c r="U358" i="1"/>
  <c r="T358" i="1"/>
  <c r="S358" i="1"/>
  <c r="R358" i="1"/>
  <c r="Q358" i="1"/>
  <c r="P358" i="1"/>
  <c r="M358" i="1"/>
  <c r="L358" i="1"/>
  <c r="K358" i="1"/>
  <c r="C358" i="1"/>
  <c r="AL358" i="1" s="1"/>
  <c r="B358" i="1"/>
  <c r="AK358" i="1" s="1"/>
  <c r="Z357" i="1"/>
  <c r="Y357" i="1"/>
  <c r="X357" i="1"/>
  <c r="V357" i="1"/>
  <c r="U357" i="1"/>
  <c r="T357" i="1"/>
  <c r="S357" i="1"/>
  <c r="R357" i="1"/>
  <c r="Q357" i="1"/>
  <c r="P357" i="1"/>
  <c r="M357" i="1"/>
  <c r="L357" i="1"/>
  <c r="K357" i="1"/>
  <c r="C357" i="1"/>
  <c r="AZ357" i="1" s="1"/>
  <c r="B357" i="1"/>
  <c r="AK357" i="1" s="1"/>
  <c r="Z363" i="1"/>
  <c r="Y363" i="1"/>
  <c r="X363" i="1"/>
  <c r="V363" i="1"/>
  <c r="U363" i="1"/>
  <c r="T363" i="1"/>
  <c r="S363" i="1"/>
  <c r="R363" i="1"/>
  <c r="Q363" i="1"/>
  <c r="P363" i="1"/>
  <c r="M363" i="1"/>
  <c r="L363" i="1"/>
  <c r="K363" i="1"/>
  <c r="C363" i="1"/>
  <c r="AZ363" i="1" s="1"/>
  <c r="B363" i="1"/>
  <c r="AK363" i="1" s="1"/>
  <c r="Z362" i="1"/>
  <c r="Y362" i="1"/>
  <c r="X362" i="1"/>
  <c r="V362" i="1"/>
  <c r="U362" i="1"/>
  <c r="T362" i="1"/>
  <c r="S362" i="1"/>
  <c r="R362" i="1"/>
  <c r="Q362" i="1"/>
  <c r="P362" i="1"/>
  <c r="M362" i="1"/>
  <c r="L362" i="1"/>
  <c r="K362" i="1"/>
  <c r="C362" i="1"/>
  <c r="AZ362" i="1" s="1"/>
  <c r="B362" i="1"/>
  <c r="AK362" i="1" s="1"/>
  <c r="Z361" i="1"/>
  <c r="Y361" i="1"/>
  <c r="X361" i="1"/>
  <c r="V361" i="1"/>
  <c r="U361" i="1"/>
  <c r="T361" i="1"/>
  <c r="S361" i="1"/>
  <c r="R361" i="1"/>
  <c r="Q361" i="1"/>
  <c r="P361" i="1"/>
  <c r="M361" i="1"/>
  <c r="L361" i="1"/>
  <c r="K361" i="1"/>
  <c r="C361" i="1"/>
  <c r="AZ361" i="1" s="1"/>
  <c r="B361" i="1"/>
  <c r="AK361" i="1" s="1"/>
  <c r="AX355" i="1"/>
  <c r="AW355" i="1"/>
  <c r="AV355" i="1"/>
  <c r="AU355" i="1"/>
  <c r="AT355" i="1"/>
  <c r="AS355" i="1"/>
  <c r="AR355" i="1"/>
  <c r="AQ355" i="1"/>
  <c r="AP355" i="1"/>
  <c r="AO355" i="1"/>
  <c r="AN355" i="1"/>
  <c r="Z355" i="1"/>
  <c r="Y355" i="1"/>
  <c r="X355" i="1"/>
  <c r="V355" i="1"/>
  <c r="U355" i="1"/>
  <c r="T355" i="1"/>
  <c r="S355" i="1"/>
  <c r="R355" i="1"/>
  <c r="Q355" i="1"/>
  <c r="P355" i="1"/>
  <c r="M355" i="1"/>
  <c r="L355" i="1"/>
  <c r="K355" i="1"/>
  <c r="C355" i="1"/>
  <c r="AZ355" i="1" s="1"/>
  <c r="B355" i="1"/>
  <c r="AK355" i="1" s="1"/>
  <c r="Z214" i="1"/>
  <c r="Y214" i="1"/>
  <c r="X214" i="1"/>
  <c r="V214" i="1"/>
  <c r="U214" i="1"/>
  <c r="T214" i="1"/>
  <c r="S214" i="1"/>
  <c r="R214" i="1"/>
  <c r="Q214" i="1"/>
  <c r="P214" i="1"/>
  <c r="M214" i="1"/>
  <c r="L214" i="1"/>
  <c r="K214" i="1"/>
  <c r="C214" i="1"/>
  <c r="BA214" i="1" s="1"/>
  <c r="B214" i="1"/>
  <c r="AK214" i="1" s="1"/>
  <c r="Z213" i="1"/>
  <c r="Y213" i="1"/>
  <c r="X213" i="1"/>
  <c r="V213" i="1"/>
  <c r="U213" i="1"/>
  <c r="T213" i="1"/>
  <c r="S213" i="1"/>
  <c r="R213" i="1"/>
  <c r="Q213" i="1"/>
  <c r="P213" i="1"/>
  <c r="M213" i="1"/>
  <c r="L213" i="1"/>
  <c r="K213" i="1"/>
  <c r="C213" i="1"/>
  <c r="BA213" i="1" s="1"/>
  <c r="B213" i="1"/>
  <c r="AK213" i="1" s="1"/>
  <c r="AK212" i="1"/>
  <c r="Z212" i="1"/>
  <c r="Y212" i="1"/>
  <c r="X212" i="1"/>
  <c r="V212" i="1"/>
  <c r="U212" i="1"/>
  <c r="T212" i="1"/>
  <c r="S212" i="1"/>
  <c r="R212" i="1"/>
  <c r="Q212" i="1"/>
  <c r="P212" i="1"/>
  <c r="M212" i="1"/>
  <c r="L212" i="1"/>
  <c r="K212" i="1"/>
  <c r="C212" i="1"/>
  <c r="BA212" i="1" s="1"/>
  <c r="B212" i="1"/>
  <c r="Z211" i="1"/>
  <c r="Y211" i="1"/>
  <c r="X211" i="1"/>
  <c r="V211" i="1"/>
  <c r="U211" i="1"/>
  <c r="T211" i="1"/>
  <c r="S211" i="1"/>
  <c r="R211" i="1"/>
  <c r="Q211" i="1"/>
  <c r="P211" i="1"/>
  <c r="M211" i="1"/>
  <c r="L211" i="1"/>
  <c r="K211" i="1"/>
  <c r="C211" i="1"/>
  <c r="BA211" i="1" s="1"/>
  <c r="B211" i="1"/>
  <c r="AK211" i="1" s="1"/>
  <c r="Z210" i="1"/>
  <c r="Y210" i="1"/>
  <c r="X210" i="1"/>
  <c r="V210" i="1"/>
  <c r="U210" i="1"/>
  <c r="T210" i="1"/>
  <c r="S210" i="1"/>
  <c r="R210" i="1"/>
  <c r="Q210" i="1"/>
  <c r="P210" i="1"/>
  <c r="M210" i="1"/>
  <c r="L210" i="1"/>
  <c r="K210" i="1"/>
  <c r="C210" i="1"/>
  <c r="BA210" i="1" s="1"/>
  <c r="B210" i="1"/>
  <c r="AK210" i="1" s="1"/>
  <c r="Z209" i="1"/>
  <c r="Y209" i="1"/>
  <c r="X209" i="1"/>
  <c r="V209" i="1"/>
  <c r="U209" i="1"/>
  <c r="T209" i="1"/>
  <c r="S209" i="1"/>
  <c r="R209" i="1"/>
  <c r="Q209" i="1"/>
  <c r="P209" i="1"/>
  <c r="M209" i="1"/>
  <c r="L209" i="1"/>
  <c r="K209" i="1"/>
  <c r="C209" i="1"/>
  <c r="AZ209" i="1" s="1"/>
  <c r="B209" i="1"/>
  <c r="AK209" i="1" s="1"/>
  <c r="Z208" i="1"/>
  <c r="Y208" i="1"/>
  <c r="X208" i="1"/>
  <c r="V208" i="1"/>
  <c r="U208" i="1"/>
  <c r="T208" i="1"/>
  <c r="S208" i="1"/>
  <c r="R208" i="1"/>
  <c r="Q208" i="1"/>
  <c r="P208" i="1"/>
  <c r="M208" i="1"/>
  <c r="L208" i="1"/>
  <c r="K208" i="1"/>
  <c r="C208" i="1"/>
  <c r="AZ208" i="1" s="1"/>
  <c r="B208" i="1"/>
  <c r="AK208" i="1" s="1"/>
  <c r="Z207" i="1"/>
  <c r="Y207" i="1"/>
  <c r="X207" i="1"/>
  <c r="V207" i="1"/>
  <c r="U207" i="1"/>
  <c r="T207" i="1"/>
  <c r="S207" i="1"/>
  <c r="R207" i="1"/>
  <c r="Q207" i="1"/>
  <c r="P207" i="1"/>
  <c r="M207" i="1"/>
  <c r="L207" i="1"/>
  <c r="K207" i="1"/>
  <c r="C207" i="1"/>
  <c r="AZ207" i="1" s="1"/>
  <c r="B207" i="1"/>
  <c r="AK207" i="1" s="1"/>
  <c r="Z206" i="1"/>
  <c r="Y206" i="1"/>
  <c r="X206" i="1"/>
  <c r="V206" i="1"/>
  <c r="U206" i="1"/>
  <c r="T206" i="1"/>
  <c r="S206" i="1"/>
  <c r="R206" i="1"/>
  <c r="Q206" i="1"/>
  <c r="P206" i="1"/>
  <c r="M206" i="1"/>
  <c r="L206" i="1"/>
  <c r="K206" i="1"/>
  <c r="C206" i="1"/>
  <c r="AZ206" i="1" s="1"/>
  <c r="B206" i="1"/>
  <c r="AK206" i="1" s="1"/>
  <c r="Z205" i="1"/>
  <c r="Y205" i="1"/>
  <c r="X205" i="1"/>
  <c r="V205" i="1"/>
  <c r="U205" i="1"/>
  <c r="T205" i="1"/>
  <c r="S205" i="1"/>
  <c r="R205" i="1"/>
  <c r="Q205" i="1"/>
  <c r="P205" i="1"/>
  <c r="M205" i="1"/>
  <c r="L205" i="1"/>
  <c r="K205" i="1"/>
  <c r="C205" i="1"/>
  <c r="AL205" i="1" s="1"/>
  <c r="B205" i="1"/>
  <c r="AK205" i="1" s="1"/>
  <c r="Z204" i="1"/>
  <c r="Y204" i="1"/>
  <c r="X204" i="1"/>
  <c r="V204" i="1"/>
  <c r="U204" i="1"/>
  <c r="T204" i="1"/>
  <c r="S204" i="1"/>
  <c r="R204" i="1"/>
  <c r="Q204" i="1"/>
  <c r="P204" i="1"/>
  <c r="M204" i="1"/>
  <c r="L204" i="1"/>
  <c r="K204" i="1"/>
  <c r="C204" i="1"/>
  <c r="AL204" i="1" s="1"/>
  <c r="B204" i="1"/>
  <c r="AK204" i="1" s="1"/>
  <c r="Z203" i="1"/>
  <c r="Y203" i="1"/>
  <c r="X203" i="1"/>
  <c r="V203" i="1"/>
  <c r="U203" i="1"/>
  <c r="T203" i="1"/>
  <c r="S203" i="1"/>
  <c r="R203" i="1"/>
  <c r="Q203" i="1"/>
  <c r="P203" i="1"/>
  <c r="M203" i="1"/>
  <c r="L203" i="1"/>
  <c r="K203" i="1"/>
  <c r="C203" i="1"/>
  <c r="B203" i="1"/>
  <c r="AK203" i="1" s="1"/>
  <c r="Z202" i="1"/>
  <c r="Y202" i="1"/>
  <c r="X202" i="1"/>
  <c r="V202" i="1"/>
  <c r="U202" i="1"/>
  <c r="T202" i="1"/>
  <c r="S202" i="1"/>
  <c r="R202" i="1"/>
  <c r="Q202" i="1"/>
  <c r="P202" i="1"/>
  <c r="M202" i="1"/>
  <c r="L202" i="1"/>
  <c r="K202" i="1"/>
  <c r="C202" i="1"/>
  <c r="AL202" i="1" s="1"/>
  <c r="B202" i="1"/>
  <c r="AK202" i="1" s="1"/>
  <c r="Z201" i="1"/>
  <c r="Y201" i="1"/>
  <c r="X201" i="1"/>
  <c r="V201" i="1"/>
  <c r="U201" i="1"/>
  <c r="T201" i="1"/>
  <c r="S201" i="1"/>
  <c r="R201" i="1"/>
  <c r="Q201" i="1"/>
  <c r="P201" i="1"/>
  <c r="M201" i="1"/>
  <c r="L201" i="1"/>
  <c r="K201" i="1"/>
  <c r="C201" i="1"/>
  <c r="AL201" i="1" s="1"/>
  <c r="B201" i="1"/>
  <c r="AK201" i="1" s="1"/>
  <c r="Z200" i="1"/>
  <c r="Y200" i="1"/>
  <c r="X200" i="1"/>
  <c r="V200" i="1"/>
  <c r="U200" i="1"/>
  <c r="T200" i="1"/>
  <c r="S200" i="1"/>
  <c r="R200" i="1"/>
  <c r="Q200" i="1"/>
  <c r="P200" i="1"/>
  <c r="M200" i="1"/>
  <c r="L200" i="1"/>
  <c r="K200" i="1"/>
  <c r="C200" i="1"/>
  <c r="AZ200" i="1" s="1"/>
  <c r="B200" i="1"/>
  <c r="AK200" i="1" s="1"/>
  <c r="AX199" i="1"/>
  <c r="AW199" i="1"/>
  <c r="AV199" i="1"/>
  <c r="AU199" i="1"/>
  <c r="AT199" i="1"/>
  <c r="AS199" i="1"/>
  <c r="AR199" i="1"/>
  <c r="AQ199" i="1"/>
  <c r="AP199" i="1"/>
  <c r="AO199" i="1"/>
  <c r="AN199" i="1"/>
  <c r="Z199" i="1"/>
  <c r="Y199" i="1"/>
  <c r="X199" i="1"/>
  <c r="V199" i="1"/>
  <c r="U199" i="1"/>
  <c r="T199" i="1"/>
  <c r="S199" i="1"/>
  <c r="R199" i="1"/>
  <c r="Q199" i="1"/>
  <c r="P199" i="1"/>
  <c r="M199" i="1"/>
  <c r="L199" i="1"/>
  <c r="K199" i="1"/>
  <c r="C199" i="1"/>
  <c r="AL199" i="1" s="1"/>
  <c r="B199" i="1"/>
  <c r="AK199" i="1" s="1"/>
  <c r="Z155" i="1"/>
  <c r="Y155" i="1"/>
  <c r="X155" i="1"/>
  <c r="V155" i="1"/>
  <c r="U155" i="1"/>
  <c r="T155" i="1"/>
  <c r="S155" i="1"/>
  <c r="R155" i="1"/>
  <c r="Q155" i="1"/>
  <c r="P155" i="1"/>
  <c r="M155" i="1"/>
  <c r="L155" i="1"/>
  <c r="K155" i="1"/>
  <c r="C155" i="1"/>
  <c r="AZ155" i="1" s="1"/>
  <c r="B155" i="1"/>
  <c r="AK155" i="1" s="1"/>
  <c r="Z154" i="1"/>
  <c r="Y154" i="1"/>
  <c r="X154" i="1"/>
  <c r="V154" i="1"/>
  <c r="U154" i="1"/>
  <c r="T154" i="1"/>
  <c r="S154" i="1"/>
  <c r="R154" i="1"/>
  <c r="Q154" i="1"/>
  <c r="P154" i="1"/>
  <c r="M154" i="1"/>
  <c r="L154" i="1"/>
  <c r="K154" i="1"/>
  <c r="C154" i="1"/>
  <c r="AZ154" i="1" s="1"/>
  <c r="B154" i="1"/>
  <c r="AK154" i="1" s="1"/>
  <c r="Z153" i="1"/>
  <c r="Y153" i="1"/>
  <c r="X153" i="1"/>
  <c r="V153" i="1"/>
  <c r="U153" i="1"/>
  <c r="T153" i="1"/>
  <c r="S153" i="1"/>
  <c r="R153" i="1"/>
  <c r="Q153" i="1"/>
  <c r="P153" i="1"/>
  <c r="M153" i="1"/>
  <c r="L153" i="1"/>
  <c r="K153" i="1"/>
  <c r="C153" i="1"/>
  <c r="AZ153" i="1" s="1"/>
  <c r="B153" i="1"/>
  <c r="AK153" i="1" s="1"/>
  <c r="Z152" i="1"/>
  <c r="Y152" i="1"/>
  <c r="X152" i="1"/>
  <c r="V152" i="1"/>
  <c r="U152" i="1"/>
  <c r="T152" i="1"/>
  <c r="S152" i="1"/>
  <c r="R152" i="1"/>
  <c r="Q152" i="1"/>
  <c r="P152" i="1"/>
  <c r="M152" i="1"/>
  <c r="L152" i="1"/>
  <c r="K152" i="1"/>
  <c r="C152" i="1"/>
  <c r="AZ152" i="1" s="1"/>
  <c r="B152" i="1"/>
  <c r="AK152" i="1" s="1"/>
  <c r="Z142" i="1"/>
  <c r="Y142" i="1"/>
  <c r="X142" i="1"/>
  <c r="V142" i="1"/>
  <c r="U142" i="1"/>
  <c r="T142" i="1"/>
  <c r="S142" i="1"/>
  <c r="R142" i="1"/>
  <c r="Q142" i="1"/>
  <c r="P142" i="1"/>
  <c r="M142" i="1"/>
  <c r="L142" i="1"/>
  <c r="K142" i="1"/>
  <c r="C142" i="1"/>
  <c r="AZ142" i="1" s="1"/>
  <c r="B142" i="1"/>
  <c r="AK142" i="1" s="1"/>
  <c r="Z151" i="1"/>
  <c r="Y151" i="1"/>
  <c r="X151" i="1"/>
  <c r="V151" i="1"/>
  <c r="U151" i="1"/>
  <c r="T151" i="1"/>
  <c r="S151" i="1"/>
  <c r="R151" i="1"/>
  <c r="Q151" i="1"/>
  <c r="P151" i="1"/>
  <c r="M151" i="1"/>
  <c r="L151" i="1"/>
  <c r="K151" i="1"/>
  <c r="C151" i="1"/>
  <c r="AL151" i="1" s="1"/>
  <c r="B151" i="1"/>
  <c r="AK151" i="1" s="1"/>
  <c r="Z149" i="1"/>
  <c r="Y149" i="1"/>
  <c r="X149" i="1"/>
  <c r="V149" i="1"/>
  <c r="U149" i="1"/>
  <c r="T149" i="1"/>
  <c r="S149" i="1"/>
  <c r="R149" i="1"/>
  <c r="Q149" i="1"/>
  <c r="P149" i="1"/>
  <c r="M149" i="1"/>
  <c r="L149" i="1"/>
  <c r="K149" i="1"/>
  <c r="C149" i="1"/>
  <c r="B149" i="1"/>
  <c r="AK149" i="1" s="1"/>
  <c r="Z150" i="1"/>
  <c r="Y150" i="1"/>
  <c r="X150" i="1"/>
  <c r="V150" i="1"/>
  <c r="U150" i="1"/>
  <c r="T150" i="1"/>
  <c r="S150" i="1"/>
  <c r="R150" i="1"/>
  <c r="Q150" i="1"/>
  <c r="P150" i="1"/>
  <c r="M150" i="1"/>
  <c r="L150" i="1"/>
  <c r="K150" i="1"/>
  <c r="C150" i="1"/>
  <c r="AZ150" i="1" s="1"/>
  <c r="B150" i="1"/>
  <c r="AK150" i="1" s="1"/>
  <c r="Z148" i="1"/>
  <c r="Y148" i="1"/>
  <c r="X148" i="1"/>
  <c r="V148" i="1"/>
  <c r="U148" i="1"/>
  <c r="T148" i="1"/>
  <c r="S148" i="1"/>
  <c r="R148" i="1"/>
  <c r="Q148" i="1"/>
  <c r="P148" i="1"/>
  <c r="M148" i="1"/>
  <c r="L148" i="1"/>
  <c r="K148" i="1"/>
  <c r="C148" i="1"/>
  <c r="AZ148" i="1" s="1"/>
  <c r="B148" i="1"/>
  <c r="AK148" i="1" s="1"/>
  <c r="Z147" i="1"/>
  <c r="Y147" i="1"/>
  <c r="X147" i="1"/>
  <c r="V147" i="1"/>
  <c r="U147" i="1"/>
  <c r="T147" i="1"/>
  <c r="S147" i="1"/>
  <c r="R147" i="1"/>
  <c r="Q147" i="1"/>
  <c r="P147" i="1"/>
  <c r="M147" i="1"/>
  <c r="L147" i="1"/>
  <c r="K147" i="1"/>
  <c r="C147" i="1"/>
  <c r="AZ147" i="1" s="1"/>
  <c r="B147" i="1"/>
  <c r="AK147" i="1" s="1"/>
  <c r="Z146" i="1"/>
  <c r="Y146" i="1"/>
  <c r="X146" i="1"/>
  <c r="V146" i="1"/>
  <c r="U146" i="1"/>
  <c r="T146" i="1"/>
  <c r="S146" i="1"/>
  <c r="R146" i="1"/>
  <c r="Q146" i="1"/>
  <c r="P146" i="1"/>
  <c r="M146" i="1"/>
  <c r="L146" i="1"/>
  <c r="K146" i="1"/>
  <c r="C146" i="1"/>
  <c r="AZ146" i="1" s="1"/>
  <c r="B146" i="1"/>
  <c r="AK146" i="1" s="1"/>
  <c r="Z145" i="1"/>
  <c r="Y145" i="1"/>
  <c r="X145" i="1"/>
  <c r="V145" i="1"/>
  <c r="U145" i="1"/>
  <c r="T145" i="1"/>
  <c r="S145" i="1"/>
  <c r="R145" i="1"/>
  <c r="Q145" i="1"/>
  <c r="P145" i="1"/>
  <c r="M145" i="1"/>
  <c r="L145" i="1"/>
  <c r="K145" i="1"/>
  <c r="C145" i="1"/>
  <c r="AZ145" i="1" s="1"/>
  <c r="B145" i="1"/>
  <c r="AK145" i="1" s="1"/>
  <c r="AX144" i="1"/>
  <c r="AW144" i="1"/>
  <c r="AV144" i="1"/>
  <c r="AU144" i="1"/>
  <c r="AT144" i="1"/>
  <c r="AS144" i="1"/>
  <c r="AR144" i="1"/>
  <c r="AQ144" i="1"/>
  <c r="AP144" i="1"/>
  <c r="AO144" i="1"/>
  <c r="AN144" i="1"/>
  <c r="Z144" i="1"/>
  <c r="Y144" i="1"/>
  <c r="X144" i="1"/>
  <c r="V144" i="1"/>
  <c r="U144" i="1"/>
  <c r="T144" i="1"/>
  <c r="S144" i="1"/>
  <c r="R144" i="1"/>
  <c r="Q144" i="1"/>
  <c r="P144" i="1"/>
  <c r="M144" i="1"/>
  <c r="L144" i="1"/>
  <c r="K144" i="1"/>
  <c r="C144" i="1"/>
  <c r="AL144" i="1" s="1"/>
  <c r="B144" i="1"/>
  <c r="AK144" i="1" s="1"/>
  <c r="Z319" i="1"/>
  <c r="Y319" i="1"/>
  <c r="X319" i="1"/>
  <c r="V319" i="1"/>
  <c r="U319" i="1"/>
  <c r="T319" i="1"/>
  <c r="S319" i="1"/>
  <c r="R319" i="1"/>
  <c r="Q319" i="1"/>
  <c r="P319" i="1"/>
  <c r="M319" i="1"/>
  <c r="L319" i="1"/>
  <c r="K319" i="1"/>
  <c r="C319" i="1"/>
  <c r="BA319" i="1" s="1"/>
  <c r="B319" i="1"/>
  <c r="AK319" i="1" s="1"/>
  <c r="Z318" i="1"/>
  <c r="Y318" i="1"/>
  <c r="X318" i="1"/>
  <c r="V318" i="1"/>
  <c r="U318" i="1"/>
  <c r="T318" i="1"/>
  <c r="S318" i="1"/>
  <c r="R318" i="1"/>
  <c r="Q318" i="1"/>
  <c r="P318" i="1"/>
  <c r="M318" i="1"/>
  <c r="L318" i="1"/>
  <c r="K318" i="1"/>
  <c r="C318" i="1"/>
  <c r="AZ318" i="1" s="1"/>
  <c r="B318" i="1"/>
  <c r="AK318" i="1" s="1"/>
  <c r="Z317" i="1"/>
  <c r="Y317" i="1"/>
  <c r="X317" i="1"/>
  <c r="V317" i="1"/>
  <c r="U317" i="1"/>
  <c r="T317" i="1"/>
  <c r="S317" i="1"/>
  <c r="R317" i="1"/>
  <c r="Q317" i="1"/>
  <c r="P317" i="1"/>
  <c r="M317" i="1"/>
  <c r="L317" i="1"/>
  <c r="K317" i="1"/>
  <c r="C317" i="1"/>
  <c r="AZ317" i="1" s="1"/>
  <c r="B317" i="1"/>
  <c r="AK317" i="1" s="1"/>
  <c r="Z316" i="1"/>
  <c r="Y316" i="1"/>
  <c r="X316" i="1"/>
  <c r="V316" i="1"/>
  <c r="U316" i="1"/>
  <c r="T316" i="1"/>
  <c r="S316" i="1"/>
  <c r="R316" i="1"/>
  <c r="Q316" i="1"/>
  <c r="P316" i="1"/>
  <c r="M316" i="1"/>
  <c r="L316" i="1"/>
  <c r="K316" i="1"/>
  <c r="C316" i="1"/>
  <c r="AZ316" i="1" s="1"/>
  <c r="B316" i="1"/>
  <c r="AK316" i="1" s="1"/>
  <c r="Z315" i="1"/>
  <c r="Y315" i="1"/>
  <c r="X315" i="1"/>
  <c r="V315" i="1"/>
  <c r="U315" i="1"/>
  <c r="T315" i="1"/>
  <c r="S315" i="1"/>
  <c r="R315" i="1"/>
  <c r="Q315" i="1"/>
  <c r="P315" i="1"/>
  <c r="M315" i="1"/>
  <c r="L315" i="1"/>
  <c r="K315" i="1"/>
  <c r="C315" i="1"/>
  <c r="B315" i="1"/>
  <c r="AK315" i="1" s="1"/>
  <c r="AX314" i="1"/>
  <c r="AW314" i="1"/>
  <c r="AV314" i="1"/>
  <c r="AU314" i="1"/>
  <c r="AT314" i="1"/>
  <c r="AS314" i="1"/>
  <c r="AR314" i="1"/>
  <c r="AQ314" i="1"/>
  <c r="AP314" i="1"/>
  <c r="AO314" i="1"/>
  <c r="AN314" i="1"/>
  <c r="Z314" i="1"/>
  <c r="Y314" i="1"/>
  <c r="X314" i="1"/>
  <c r="V314" i="1"/>
  <c r="U314" i="1"/>
  <c r="T314" i="1"/>
  <c r="S314" i="1"/>
  <c r="R314" i="1"/>
  <c r="Q314" i="1"/>
  <c r="P314" i="1"/>
  <c r="M314" i="1"/>
  <c r="L314" i="1"/>
  <c r="K314" i="1"/>
  <c r="C314" i="1"/>
  <c r="B314" i="1"/>
  <c r="AK314" i="1" s="1"/>
  <c r="Z267" i="1"/>
  <c r="Y267" i="1"/>
  <c r="X267" i="1"/>
  <c r="V267" i="1"/>
  <c r="U267" i="1"/>
  <c r="T267" i="1"/>
  <c r="S267" i="1"/>
  <c r="R267" i="1"/>
  <c r="Q267" i="1"/>
  <c r="P267" i="1"/>
  <c r="M267" i="1"/>
  <c r="L267" i="1"/>
  <c r="K267" i="1"/>
  <c r="C267" i="1"/>
  <c r="BA267" i="1" s="1"/>
  <c r="B267" i="1"/>
  <c r="AK267" i="1" s="1"/>
  <c r="Z266" i="1"/>
  <c r="Y266" i="1"/>
  <c r="X266" i="1"/>
  <c r="V266" i="1"/>
  <c r="U266" i="1"/>
  <c r="T266" i="1"/>
  <c r="S266" i="1"/>
  <c r="R266" i="1"/>
  <c r="Q266" i="1"/>
  <c r="P266" i="1"/>
  <c r="M266" i="1"/>
  <c r="L266" i="1"/>
  <c r="K266" i="1"/>
  <c r="C266" i="1"/>
  <c r="AZ266" i="1" s="1"/>
  <c r="B266" i="1"/>
  <c r="AK266" i="1" s="1"/>
  <c r="Z265" i="1"/>
  <c r="Y265" i="1"/>
  <c r="X265" i="1"/>
  <c r="V265" i="1"/>
  <c r="U265" i="1"/>
  <c r="T265" i="1"/>
  <c r="S265" i="1"/>
  <c r="R265" i="1"/>
  <c r="Q265" i="1"/>
  <c r="P265" i="1"/>
  <c r="M265" i="1"/>
  <c r="L265" i="1"/>
  <c r="K265" i="1"/>
  <c r="C265" i="1"/>
  <c r="BA265" i="1" s="1"/>
  <c r="B265" i="1"/>
  <c r="AK265" i="1" s="1"/>
  <c r="Z264" i="1"/>
  <c r="Y264" i="1"/>
  <c r="X264" i="1"/>
  <c r="V264" i="1"/>
  <c r="U264" i="1"/>
  <c r="T264" i="1"/>
  <c r="S264" i="1"/>
  <c r="R264" i="1"/>
  <c r="Q264" i="1"/>
  <c r="P264" i="1"/>
  <c r="M264" i="1"/>
  <c r="L264" i="1"/>
  <c r="K264" i="1"/>
  <c r="C264" i="1"/>
  <c r="BA264" i="1" s="1"/>
  <c r="B264" i="1"/>
  <c r="AK264" i="1" s="1"/>
  <c r="Z263" i="1"/>
  <c r="Y263" i="1"/>
  <c r="X263" i="1"/>
  <c r="V263" i="1"/>
  <c r="U263" i="1"/>
  <c r="T263" i="1"/>
  <c r="S263" i="1"/>
  <c r="R263" i="1"/>
  <c r="Q263" i="1"/>
  <c r="P263" i="1"/>
  <c r="M263" i="1"/>
  <c r="L263" i="1"/>
  <c r="K263" i="1"/>
  <c r="C263" i="1"/>
  <c r="AZ263" i="1" s="1"/>
  <c r="B263" i="1"/>
  <c r="AK263" i="1" s="1"/>
  <c r="Z262" i="1"/>
  <c r="Y262" i="1"/>
  <c r="X262" i="1"/>
  <c r="V262" i="1"/>
  <c r="U262" i="1"/>
  <c r="T262" i="1"/>
  <c r="S262" i="1"/>
  <c r="R262" i="1"/>
  <c r="Q262" i="1"/>
  <c r="P262" i="1"/>
  <c r="M262" i="1"/>
  <c r="L262" i="1"/>
  <c r="K262" i="1"/>
  <c r="C262" i="1"/>
  <c r="AZ262" i="1" s="1"/>
  <c r="B262" i="1"/>
  <c r="AK262" i="1" s="1"/>
  <c r="Z261" i="1"/>
  <c r="Y261" i="1"/>
  <c r="X261" i="1"/>
  <c r="V261" i="1"/>
  <c r="U261" i="1"/>
  <c r="T261" i="1"/>
  <c r="S261" i="1"/>
  <c r="R261" i="1"/>
  <c r="Q261" i="1"/>
  <c r="P261" i="1"/>
  <c r="M261" i="1"/>
  <c r="L261" i="1"/>
  <c r="K261" i="1"/>
  <c r="C261" i="1"/>
  <c r="BA261" i="1" s="1"/>
  <c r="B261" i="1"/>
  <c r="AK261" i="1" s="1"/>
  <c r="Z260" i="1"/>
  <c r="Y260" i="1"/>
  <c r="X260" i="1"/>
  <c r="V260" i="1"/>
  <c r="U260" i="1"/>
  <c r="T260" i="1"/>
  <c r="S260" i="1"/>
  <c r="R260" i="1"/>
  <c r="Q260" i="1"/>
  <c r="P260" i="1"/>
  <c r="M260" i="1"/>
  <c r="L260" i="1"/>
  <c r="K260" i="1"/>
  <c r="C260" i="1"/>
  <c r="BA260" i="1" s="1"/>
  <c r="B260" i="1"/>
  <c r="AK260" i="1" s="1"/>
  <c r="Z259" i="1"/>
  <c r="Y259" i="1"/>
  <c r="X259" i="1"/>
  <c r="V259" i="1"/>
  <c r="U259" i="1"/>
  <c r="T259" i="1"/>
  <c r="S259" i="1"/>
  <c r="R259" i="1"/>
  <c r="Q259" i="1"/>
  <c r="P259" i="1"/>
  <c r="M259" i="1"/>
  <c r="L259" i="1"/>
  <c r="K259" i="1"/>
  <c r="C259" i="1"/>
  <c r="BA259" i="1" s="1"/>
  <c r="B259" i="1"/>
  <c r="AK259" i="1" s="1"/>
  <c r="AX246" i="1"/>
  <c r="AW246" i="1"/>
  <c r="AV246" i="1"/>
  <c r="AU246" i="1"/>
  <c r="AT246" i="1"/>
  <c r="AS246" i="1"/>
  <c r="AR246" i="1"/>
  <c r="AQ246" i="1"/>
  <c r="AP246" i="1"/>
  <c r="AO246" i="1"/>
  <c r="AN246" i="1"/>
  <c r="Z246" i="1"/>
  <c r="Y246" i="1"/>
  <c r="X246" i="1"/>
  <c r="V246" i="1"/>
  <c r="U246" i="1"/>
  <c r="T246" i="1"/>
  <c r="S246" i="1"/>
  <c r="R246" i="1"/>
  <c r="Q246" i="1"/>
  <c r="P246" i="1"/>
  <c r="M246" i="1"/>
  <c r="L246" i="1"/>
  <c r="K246" i="1"/>
  <c r="C246" i="1"/>
  <c r="AL246" i="1" s="1"/>
  <c r="B246" i="1"/>
  <c r="AK246" i="1" s="1"/>
  <c r="Z245" i="1"/>
  <c r="Y245" i="1"/>
  <c r="X245" i="1"/>
  <c r="V245" i="1"/>
  <c r="U245" i="1"/>
  <c r="T245" i="1"/>
  <c r="S245" i="1"/>
  <c r="R245" i="1"/>
  <c r="Q245" i="1"/>
  <c r="P245" i="1"/>
  <c r="M245" i="1"/>
  <c r="L245" i="1"/>
  <c r="K245" i="1"/>
  <c r="C245" i="1"/>
  <c r="BA245" i="1" s="1"/>
  <c r="B245" i="1"/>
  <c r="AK245" i="1" s="1"/>
  <c r="Z244" i="1"/>
  <c r="Y244" i="1"/>
  <c r="X244" i="1"/>
  <c r="V244" i="1"/>
  <c r="U244" i="1"/>
  <c r="T244" i="1"/>
  <c r="S244" i="1"/>
  <c r="R244" i="1"/>
  <c r="Q244" i="1"/>
  <c r="P244" i="1"/>
  <c r="M244" i="1"/>
  <c r="L244" i="1"/>
  <c r="K244" i="1"/>
  <c r="C244" i="1"/>
  <c r="AZ244" i="1" s="1"/>
  <c r="B244" i="1"/>
  <c r="AK244" i="1" s="1"/>
  <c r="Z243" i="1"/>
  <c r="Y243" i="1"/>
  <c r="X243" i="1"/>
  <c r="V243" i="1"/>
  <c r="U243" i="1"/>
  <c r="T243" i="1"/>
  <c r="S243" i="1"/>
  <c r="R243" i="1"/>
  <c r="Q243" i="1"/>
  <c r="P243" i="1"/>
  <c r="M243" i="1"/>
  <c r="L243" i="1"/>
  <c r="K243" i="1"/>
  <c r="C243" i="1"/>
  <c r="BA243" i="1" s="1"/>
  <c r="B243" i="1"/>
  <c r="AK243" i="1" s="1"/>
  <c r="Z242" i="1"/>
  <c r="Y242" i="1"/>
  <c r="X242" i="1"/>
  <c r="V242" i="1"/>
  <c r="U242" i="1"/>
  <c r="T242" i="1"/>
  <c r="S242" i="1"/>
  <c r="R242" i="1"/>
  <c r="Q242" i="1"/>
  <c r="P242" i="1"/>
  <c r="M242" i="1"/>
  <c r="L242" i="1"/>
  <c r="K242" i="1"/>
  <c r="C242" i="1"/>
  <c r="AZ242" i="1" s="1"/>
  <c r="B242" i="1"/>
  <c r="AK242" i="1" s="1"/>
  <c r="Z241" i="1"/>
  <c r="Y241" i="1"/>
  <c r="X241" i="1"/>
  <c r="V241" i="1"/>
  <c r="U241" i="1"/>
  <c r="T241" i="1"/>
  <c r="S241" i="1"/>
  <c r="R241" i="1"/>
  <c r="Q241" i="1"/>
  <c r="P241" i="1"/>
  <c r="M241" i="1"/>
  <c r="L241" i="1"/>
  <c r="K241" i="1"/>
  <c r="C241" i="1"/>
  <c r="BA241" i="1" s="1"/>
  <c r="B241" i="1"/>
  <c r="AK241" i="1" s="1"/>
  <c r="AX239" i="1"/>
  <c r="AW239" i="1"/>
  <c r="AV239" i="1"/>
  <c r="AU239" i="1"/>
  <c r="AT239" i="1"/>
  <c r="AS239" i="1"/>
  <c r="AR239" i="1"/>
  <c r="AQ239" i="1"/>
  <c r="AP239" i="1"/>
  <c r="AO239" i="1"/>
  <c r="AN239" i="1"/>
  <c r="Z239" i="1"/>
  <c r="Y239" i="1"/>
  <c r="X239" i="1"/>
  <c r="V239" i="1"/>
  <c r="U239" i="1"/>
  <c r="T239" i="1"/>
  <c r="S239" i="1"/>
  <c r="R239" i="1"/>
  <c r="Q239" i="1"/>
  <c r="P239" i="1"/>
  <c r="M239" i="1"/>
  <c r="L239" i="1"/>
  <c r="K239" i="1"/>
  <c r="C239" i="1"/>
  <c r="AL239" i="1" s="1"/>
  <c r="B239" i="1"/>
  <c r="AK239" i="1" s="1"/>
  <c r="Z238" i="1"/>
  <c r="Y238" i="1"/>
  <c r="X238" i="1"/>
  <c r="V238" i="1"/>
  <c r="U238" i="1"/>
  <c r="T238" i="1"/>
  <c r="S238" i="1"/>
  <c r="R238" i="1"/>
  <c r="Q238" i="1"/>
  <c r="P238" i="1"/>
  <c r="M238" i="1"/>
  <c r="L238" i="1"/>
  <c r="K238" i="1"/>
  <c r="C238" i="1"/>
  <c r="BA238" i="1" s="1"/>
  <c r="B238" i="1"/>
  <c r="AK238" i="1" s="1"/>
  <c r="Z237" i="1"/>
  <c r="Y237" i="1"/>
  <c r="X237" i="1"/>
  <c r="V237" i="1"/>
  <c r="U237" i="1"/>
  <c r="T237" i="1"/>
  <c r="S237" i="1"/>
  <c r="R237" i="1"/>
  <c r="Q237" i="1"/>
  <c r="P237" i="1"/>
  <c r="M237" i="1"/>
  <c r="L237" i="1"/>
  <c r="K237" i="1"/>
  <c r="C237" i="1"/>
  <c r="AZ237" i="1" s="1"/>
  <c r="B237" i="1"/>
  <c r="AK237" i="1" s="1"/>
  <c r="Z236" i="1"/>
  <c r="Y236" i="1"/>
  <c r="X236" i="1"/>
  <c r="V236" i="1"/>
  <c r="U236" i="1"/>
  <c r="T236" i="1"/>
  <c r="S236" i="1"/>
  <c r="R236" i="1"/>
  <c r="Q236" i="1"/>
  <c r="P236" i="1"/>
  <c r="M236" i="1"/>
  <c r="L236" i="1"/>
  <c r="K236" i="1"/>
  <c r="C236" i="1"/>
  <c r="BA236" i="1" s="1"/>
  <c r="B236" i="1"/>
  <c r="AK236" i="1" s="1"/>
  <c r="Z235" i="1"/>
  <c r="Y235" i="1"/>
  <c r="X235" i="1"/>
  <c r="V235" i="1"/>
  <c r="U235" i="1"/>
  <c r="T235" i="1"/>
  <c r="S235" i="1"/>
  <c r="R235" i="1"/>
  <c r="Q235" i="1"/>
  <c r="P235" i="1"/>
  <c r="M235" i="1"/>
  <c r="L235" i="1"/>
  <c r="K235" i="1"/>
  <c r="C235" i="1"/>
  <c r="BA235" i="1" s="1"/>
  <c r="B235" i="1"/>
  <c r="AK235" i="1" s="1"/>
  <c r="Z234" i="1"/>
  <c r="Y234" i="1"/>
  <c r="X234" i="1"/>
  <c r="V234" i="1"/>
  <c r="U234" i="1"/>
  <c r="T234" i="1"/>
  <c r="S234" i="1"/>
  <c r="R234" i="1"/>
  <c r="Q234" i="1"/>
  <c r="P234" i="1"/>
  <c r="M234" i="1"/>
  <c r="L234" i="1"/>
  <c r="K234" i="1"/>
  <c r="C234" i="1"/>
  <c r="BA234" i="1" s="1"/>
  <c r="B234" i="1"/>
  <c r="AK234" i="1" s="1"/>
  <c r="Z233" i="1"/>
  <c r="Y233" i="1"/>
  <c r="X233" i="1"/>
  <c r="V233" i="1"/>
  <c r="U233" i="1"/>
  <c r="T233" i="1"/>
  <c r="S233" i="1"/>
  <c r="R233" i="1"/>
  <c r="Q233" i="1"/>
  <c r="P233" i="1"/>
  <c r="M233" i="1"/>
  <c r="L233" i="1"/>
  <c r="K233" i="1"/>
  <c r="C233" i="1"/>
  <c r="AZ233" i="1" s="1"/>
  <c r="B233" i="1"/>
  <c r="AK233" i="1" s="1"/>
  <c r="Z232" i="1"/>
  <c r="Y232" i="1"/>
  <c r="X232" i="1"/>
  <c r="V232" i="1"/>
  <c r="U232" i="1"/>
  <c r="T232" i="1"/>
  <c r="S232" i="1"/>
  <c r="R232" i="1"/>
  <c r="Q232" i="1"/>
  <c r="P232" i="1"/>
  <c r="M232" i="1"/>
  <c r="L232" i="1"/>
  <c r="K232" i="1"/>
  <c r="C232" i="1"/>
  <c r="AZ232" i="1" s="1"/>
  <c r="B232" i="1"/>
  <c r="AK232" i="1" s="1"/>
  <c r="Z231" i="1"/>
  <c r="Y231" i="1"/>
  <c r="X231" i="1"/>
  <c r="V231" i="1"/>
  <c r="U231" i="1"/>
  <c r="T231" i="1"/>
  <c r="S231" i="1"/>
  <c r="R231" i="1"/>
  <c r="Q231" i="1"/>
  <c r="P231" i="1"/>
  <c r="M231" i="1"/>
  <c r="L231" i="1"/>
  <c r="K231" i="1"/>
  <c r="C231" i="1"/>
  <c r="AZ231" i="1" s="1"/>
  <c r="B231" i="1"/>
  <c r="AK231" i="1" s="1"/>
  <c r="Z230" i="1"/>
  <c r="Y230" i="1"/>
  <c r="X230" i="1"/>
  <c r="V230" i="1"/>
  <c r="U230" i="1"/>
  <c r="T230" i="1"/>
  <c r="S230" i="1"/>
  <c r="R230" i="1"/>
  <c r="Q230" i="1"/>
  <c r="P230" i="1"/>
  <c r="M230" i="1"/>
  <c r="L230" i="1"/>
  <c r="K230" i="1"/>
  <c r="C230" i="1"/>
  <c r="BA230" i="1" s="1"/>
  <c r="B230" i="1"/>
  <c r="AK230" i="1" s="1"/>
  <c r="AX227" i="1"/>
  <c r="AW227" i="1"/>
  <c r="AV227" i="1"/>
  <c r="AU227" i="1"/>
  <c r="AT227" i="1"/>
  <c r="AS227" i="1"/>
  <c r="AR227" i="1"/>
  <c r="AQ227" i="1"/>
  <c r="AP227" i="1"/>
  <c r="AO227" i="1"/>
  <c r="AN227" i="1"/>
  <c r="Z227" i="1"/>
  <c r="Y227" i="1"/>
  <c r="X227" i="1"/>
  <c r="V227" i="1"/>
  <c r="U227" i="1"/>
  <c r="T227" i="1"/>
  <c r="S227" i="1"/>
  <c r="R227" i="1"/>
  <c r="Q227" i="1"/>
  <c r="P227" i="1"/>
  <c r="M227" i="1"/>
  <c r="L227" i="1"/>
  <c r="K227" i="1"/>
  <c r="C227" i="1"/>
  <c r="AZ227" i="1" s="1"/>
  <c r="B227" i="1"/>
  <c r="AK227" i="1" s="1"/>
  <c r="B253" i="1"/>
  <c r="K140" i="1"/>
  <c r="L140" i="1"/>
  <c r="M140" i="1"/>
  <c r="P140" i="1"/>
  <c r="Q140" i="1"/>
  <c r="R140" i="1"/>
  <c r="S140" i="1"/>
  <c r="T140" i="1"/>
  <c r="U140" i="1"/>
  <c r="V140" i="1"/>
  <c r="X140" i="1"/>
  <c r="Y140" i="1"/>
  <c r="Z140" i="1"/>
  <c r="B140" i="1"/>
  <c r="AK140" i="1" s="1"/>
  <c r="Z251" i="1"/>
  <c r="Y251" i="1"/>
  <c r="X251" i="1"/>
  <c r="V251" i="1"/>
  <c r="U251" i="1"/>
  <c r="T251" i="1"/>
  <c r="S251" i="1"/>
  <c r="R251" i="1"/>
  <c r="Q251" i="1"/>
  <c r="P251" i="1"/>
  <c r="M251" i="1"/>
  <c r="L251" i="1"/>
  <c r="K251" i="1"/>
  <c r="C251" i="1"/>
  <c r="AL251" i="1" s="1"/>
  <c r="B251" i="1"/>
  <c r="AK251" i="1" s="1"/>
  <c r="Z128" i="1"/>
  <c r="Y128" i="1"/>
  <c r="X128" i="1"/>
  <c r="V128" i="1"/>
  <c r="U128" i="1"/>
  <c r="T128" i="1"/>
  <c r="S128" i="1"/>
  <c r="R128" i="1"/>
  <c r="Q128" i="1"/>
  <c r="P128" i="1"/>
  <c r="C128" i="1"/>
  <c r="BA128" i="1" s="1"/>
  <c r="B128" i="1"/>
  <c r="Z127" i="1"/>
  <c r="Y127" i="1"/>
  <c r="X127" i="1"/>
  <c r="V127" i="1"/>
  <c r="U127" i="1"/>
  <c r="T127" i="1"/>
  <c r="S127" i="1"/>
  <c r="R127" i="1"/>
  <c r="Q127" i="1"/>
  <c r="P127" i="1"/>
  <c r="M127" i="1"/>
  <c r="L127" i="1"/>
  <c r="K127" i="1"/>
  <c r="C127" i="1"/>
  <c r="AZ127" i="1" s="1"/>
  <c r="B127" i="1"/>
  <c r="AK127" i="1" s="1"/>
  <c r="Z126" i="1"/>
  <c r="Y126" i="1"/>
  <c r="X126" i="1"/>
  <c r="V126" i="1"/>
  <c r="U126" i="1"/>
  <c r="T126" i="1"/>
  <c r="S126" i="1"/>
  <c r="R126" i="1"/>
  <c r="Q126" i="1"/>
  <c r="P126" i="1"/>
  <c r="C126" i="1"/>
  <c r="BA126" i="1" s="1"/>
  <c r="B126" i="1"/>
  <c r="Z125" i="1"/>
  <c r="Y125" i="1"/>
  <c r="X125" i="1"/>
  <c r="V125" i="1"/>
  <c r="U125" i="1"/>
  <c r="T125" i="1"/>
  <c r="S125" i="1"/>
  <c r="R125" i="1"/>
  <c r="Q125" i="1"/>
  <c r="P125" i="1"/>
  <c r="C125" i="1"/>
  <c r="AZ125" i="1" s="1"/>
  <c r="B125" i="1"/>
  <c r="Z124" i="1"/>
  <c r="Y124" i="1"/>
  <c r="X124" i="1"/>
  <c r="V124" i="1"/>
  <c r="U124" i="1"/>
  <c r="T124" i="1"/>
  <c r="S124" i="1"/>
  <c r="R124" i="1"/>
  <c r="Q124" i="1"/>
  <c r="P124" i="1"/>
  <c r="C124" i="1"/>
  <c r="BA124" i="1" s="1"/>
  <c r="B124" i="1"/>
  <c r="Z123" i="1"/>
  <c r="Y123" i="1"/>
  <c r="X123" i="1"/>
  <c r="V123" i="1"/>
  <c r="U123" i="1"/>
  <c r="T123" i="1"/>
  <c r="S123" i="1"/>
  <c r="R123" i="1"/>
  <c r="Q123" i="1"/>
  <c r="P123" i="1"/>
  <c r="C123" i="1"/>
  <c r="AZ123" i="1" s="1"/>
  <c r="B123" i="1"/>
  <c r="Z122" i="1"/>
  <c r="Y122" i="1"/>
  <c r="X122" i="1"/>
  <c r="V122" i="1"/>
  <c r="U122" i="1"/>
  <c r="T122" i="1"/>
  <c r="S122" i="1"/>
  <c r="R122" i="1"/>
  <c r="Q122" i="1"/>
  <c r="P122" i="1"/>
  <c r="C122" i="1"/>
  <c r="AZ122" i="1" s="1"/>
  <c r="B122" i="1"/>
  <c r="Z121" i="1"/>
  <c r="Y121" i="1"/>
  <c r="X121" i="1"/>
  <c r="V121" i="1"/>
  <c r="U121" i="1"/>
  <c r="T121" i="1"/>
  <c r="S121" i="1"/>
  <c r="R121" i="1"/>
  <c r="Q121" i="1"/>
  <c r="P121" i="1"/>
  <c r="C121" i="1"/>
  <c r="AZ121" i="1" s="1"/>
  <c r="B121" i="1"/>
  <c r="Z120" i="1"/>
  <c r="Y120" i="1"/>
  <c r="X120" i="1"/>
  <c r="V120" i="1"/>
  <c r="U120" i="1"/>
  <c r="T120" i="1"/>
  <c r="S120" i="1"/>
  <c r="R120" i="1"/>
  <c r="Q120" i="1"/>
  <c r="P120" i="1"/>
  <c r="M120" i="1"/>
  <c r="L120" i="1"/>
  <c r="K120" i="1"/>
  <c r="C120" i="1"/>
  <c r="AL120" i="1" s="1"/>
  <c r="B120" i="1"/>
  <c r="AK120" i="1" s="1"/>
  <c r="Z117" i="1"/>
  <c r="Y117" i="1"/>
  <c r="X117" i="1"/>
  <c r="V117" i="1"/>
  <c r="U117" i="1"/>
  <c r="T117" i="1"/>
  <c r="S117" i="1"/>
  <c r="R117" i="1"/>
  <c r="Q117" i="1"/>
  <c r="P117" i="1"/>
  <c r="M117" i="1"/>
  <c r="L117" i="1"/>
  <c r="K117" i="1"/>
  <c r="C117" i="1"/>
  <c r="AZ117" i="1" s="1"/>
  <c r="B117" i="1"/>
  <c r="AK117" i="1" s="1"/>
  <c r="Z116" i="1"/>
  <c r="Y116" i="1"/>
  <c r="X116" i="1"/>
  <c r="V116" i="1"/>
  <c r="U116" i="1"/>
  <c r="T116" i="1"/>
  <c r="S116" i="1"/>
  <c r="R116" i="1"/>
  <c r="Q116" i="1"/>
  <c r="P116" i="1"/>
  <c r="M116" i="1"/>
  <c r="L116" i="1"/>
  <c r="K116" i="1"/>
  <c r="C116" i="1"/>
  <c r="AZ116" i="1" s="1"/>
  <c r="B116" i="1"/>
  <c r="AK116" i="1" s="1"/>
  <c r="Z119" i="1"/>
  <c r="Y119" i="1"/>
  <c r="X119" i="1"/>
  <c r="V119" i="1"/>
  <c r="U119" i="1"/>
  <c r="T119" i="1"/>
  <c r="S119" i="1"/>
  <c r="R119" i="1"/>
  <c r="Q119" i="1"/>
  <c r="P119" i="1"/>
  <c r="M119" i="1"/>
  <c r="L119" i="1"/>
  <c r="K119" i="1"/>
  <c r="C119" i="1"/>
  <c r="AZ119" i="1" s="1"/>
  <c r="B119" i="1"/>
  <c r="AK119" i="1" s="1"/>
  <c r="Z118" i="1"/>
  <c r="Y118" i="1"/>
  <c r="X118" i="1"/>
  <c r="V118" i="1"/>
  <c r="U118" i="1"/>
  <c r="T118" i="1"/>
  <c r="S118" i="1"/>
  <c r="R118" i="1"/>
  <c r="Q118" i="1"/>
  <c r="P118" i="1"/>
  <c r="M118" i="1"/>
  <c r="L118" i="1"/>
  <c r="K118" i="1"/>
  <c r="C118" i="1"/>
  <c r="AL118" i="1" s="1"/>
  <c r="B118" i="1"/>
  <c r="AK118" i="1" s="1"/>
  <c r="Z114" i="1"/>
  <c r="Y114" i="1"/>
  <c r="X114" i="1"/>
  <c r="V114" i="1"/>
  <c r="U114" i="1"/>
  <c r="T114" i="1"/>
  <c r="S114" i="1"/>
  <c r="R114" i="1"/>
  <c r="Q114" i="1"/>
  <c r="P114" i="1"/>
  <c r="M114" i="1"/>
  <c r="L114" i="1"/>
  <c r="K114" i="1"/>
  <c r="C114" i="1"/>
  <c r="B114" i="1"/>
  <c r="AZ76" i="1"/>
  <c r="BA76" i="1"/>
  <c r="P135" i="1"/>
  <c r="Q135" i="1"/>
  <c r="R135" i="1"/>
  <c r="S135" i="1"/>
  <c r="T135" i="1"/>
  <c r="U135" i="1"/>
  <c r="V135" i="1"/>
  <c r="X135" i="1"/>
  <c r="Y135" i="1"/>
  <c r="Z1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54" i="1"/>
  <c r="C277" i="1"/>
  <c r="C276" i="1"/>
  <c r="C275" i="1"/>
  <c r="C352" i="1"/>
  <c r="C351" i="1"/>
  <c r="C350" i="1"/>
  <c r="C349" i="1"/>
  <c r="C348" i="1"/>
  <c r="C347" i="1"/>
  <c r="C346" i="1"/>
  <c r="C336" i="1"/>
  <c r="C345" i="1"/>
  <c r="C344" i="1"/>
  <c r="C343" i="1"/>
  <c r="C342" i="1"/>
  <c r="C341" i="1"/>
  <c r="C340" i="1"/>
  <c r="C339" i="1"/>
  <c r="C338" i="1"/>
  <c r="C337" i="1"/>
  <c r="C335" i="1"/>
  <c r="C334" i="1"/>
  <c r="C333" i="1"/>
  <c r="C332" i="1"/>
  <c r="C331" i="1"/>
  <c r="C330" i="1"/>
  <c r="C329" i="1"/>
  <c r="C328" i="1"/>
  <c r="C327" i="1"/>
  <c r="C326" i="1"/>
  <c r="C325" i="1"/>
  <c r="C324" i="1"/>
  <c r="C323" i="1"/>
  <c r="C322" i="1"/>
  <c r="C321" i="1"/>
  <c r="C320"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54" i="1"/>
  <c r="C252" i="1"/>
  <c r="C240" i="1"/>
  <c r="C250" i="1"/>
  <c r="C256" i="1"/>
  <c r="C255" i="1"/>
  <c r="C274" i="1"/>
  <c r="C247" i="1"/>
  <c r="C273" i="1"/>
  <c r="C253" i="1"/>
  <c r="C258" i="1"/>
  <c r="C221" i="1"/>
  <c r="C229" i="1"/>
  <c r="C257" i="1"/>
  <c r="C272" i="1"/>
  <c r="C271" i="1"/>
  <c r="C249" i="1"/>
  <c r="C248" i="1"/>
  <c r="C228" i="1"/>
  <c r="C270" i="1"/>
  <c r="C269" i="1"/>
  <c r="C268" i="1"/>
  <c r="C215" i="1"/>
  <c r="C198" i="1"/>
  <c r="BA198" i="1" s="1"/>
  <c r="C197" i="1"/>
  <c r="AL197" i="1" s="1"/>
  <c r="C196" i="1"/>
  <c r="AZ196" i="1" s="1"/>
  <c r="C195" i="1"/>
  <c r="AZ195" i="1" s="1"/>
  <c r="C194" i="1"/>
  <c r="C193" i="1"/>
  <c r="BA193" i="1" s="1"/>
  <c r="C192" i="1"/>
  <c r="AZ192" i="1" s="1"/>
  <c r="C189" i="1"/>
  <c r="C188" i="1"/>
  <c r="AL188" i="1" s="1"/>
  <c r="C226" i="1"/>
  <c r="C225" i="1"/>
  <c r="C224" i="1"/>
  <c r="C223" i="1"/>
  <c r="C191" i="1"/>
  <c r="C190" i="1"/>
  <c r="C216" i="1"/>
  <c r="C218" i="1"/>
  <c r="C187" i="1"/>
  <c r="C186" i="1"/>
  <c r="C185" i="1"/>
  <c r="C184" i="1"/>
  <c r="C183" i="1"/>
  <c r="C182" i="1"/>
  <c r="C177" i="1"/>
  <c r="C176" i="1"/>
  <c r="C175" i="1"/>
  <c r="AZ175" i="1" s="1"/>
  <c r="C174" i="1"/>
  <c r="C180" i="1"/>
  <c r="C181" i="1"/>
  <c r="C220" i="1"/>
  <c r="C222" i="1"/>
  <c r="C179" i="1"/>
  <c r="C219" i="1"/>
  <c r="C217" i="1"/>
  <c r="C178" i="1"/>
  <c r="C173" i="1"/>
  <c r="C172" i="1"/>
  <c r="C171" i="1"/>
  <c r="C170" i="1"/>
  <c r="C169" i="1"/>
  <c r="C168" i="1"/>
  <c r="C167" i="1"/>
  <c r="C166" i="1"/>
  <c r="C165" i="1"/>
  <c r="AZ165" i="1" s="1"/>
  <c r="C164" i="1"/>
  <c r="C163" i="1"/>
  <c r="C162" i="1"/>
  <c r="C161" i="1"/>
  <c r="AL161" i="1" s="1"/>
  <c r="C160" i="1"/>
  <c r="AZ160" i="1" s="1"/>
  <c r="C159" i="1"/>
  <c r="AZ159" i="1" s="1"/>
  <c r="C158" i="1"/>
  <c r="AL158" i="1" s="1"/>
  <c r="C157" i="1"/>
  <c r="AL157" i="1" s="1"/>
  <c r="C156" i="1"/>
  <c r="C143" i="1"/>
  <c r="AL143" i="1" s="1"/>
  <c r="C140" i="1"/>
  <c r="AL140" i="1" s="1"/>
  <c r="C135" i="1"/>
  <c r="AL135" i="1" s="1"/>
  <c r="C141" i="1"/>
  <c r="C139" i="1"/>
  <c r="C134" i="1"/>
  <c r="C138" i="1"/>
  <c r="C137" i="1"/>
  <c r="C136" i="1"/>
  <c r="C133" i="1"/>
  <c r="C132" i="1"/>
  <c r="C115"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54" i="1"/>
  <c r="K277" i="1"/>
  <c r="K276" i="1"/>
  <c r="K275" i="1"/>
  <c r="K352" i="1"/>
  <c r="K351" i="1"/>
  <c r="K350" i="1"/>
  <c r="K349" i="1"/>
  <c r="K348" i="1"/>
  <c r="K347" i="1"/>
  <c r="K346" i="1"/>
  <c r="K336" i="1"/>
  <c r="K345" i="1"/>
  <c r="K344" i="1"/>
  <c r="K343" i="1"/>
  <c r="K342" i="1"/>
  <c r="K341" i="1"/>
  <c r="K340" i="1"/>
  <c r="K339" i="1"/>
  <c r="K338" i="1"/>
  <c r="K337" i="1"/>
  <c r="K335" i="1"/>
  <c r="K334" i="1"/>
  <c r="K333" i="1"/>
  <c r="K332" i="1"/>
  <c r="K331" i="1"/>
  <c r="K330" i="1"/>
  <c r="K329" i="1"/>
  <c r="K328" i="1"/>
  <c r="K327" i="1"/>
  <c r="K326" i="1"/>
  <c r="K325" i="1"/>
  <c r="K324" i="1"/>
  <c r="K323" i="1"/>
  <c r="K322" i="1"/>
  <c r="K321" i="1"/>
  <c r="K320"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54" i="1"/>
  <c r="K252" i="1"/>
  <c r="K240" i="1"/>
  <c r="K250" i="1"/>
  <c r="K256" i="1"/>
  <c r="K255" i="1"/>
  <c r="K274" i="1"/>
  <c r="K247" i="1"/>
  <c r="K273" i="1"/>
  <c r="K253" i="1"/>
  <c r="K258" i="1"/>
  <c r="K221" i="1"/>
  <c r="K229" i="1"/>
  <c r="K257" i="1"/>
  <c r="K272" i="1"/>
  <c r="K271" i="1"/>
  <c r="K249" i="1"/>
  <c r="K248" i="1"/>
  <c r="K228" i="1"/>
  <c r="K270" i="1"/>
  <c r="K269" i="1"/>
  <c r="K268" i="1"/>
  <c r="K215" i="1"/>
  <c r="K198" i="1"/>
  <c r="K197" i="1"/>
  <c r="K196" i="1"/>
  <c r="K195" i="1"/>
  <c r="K194" i="1"/>
  <c r="K193" i="1"/>
  <c r="K192" i="1"/>
  <c r="K189" i="1"/>
  <c r="K188" i="1"/>
  <c r="K226" i="1"/>
  <c r="K225" i="1"/>
  <c r="K224" i="1"/>
  <c r="K223" i="1"/>
  <c r="K191" i="1"/>
  <c r="K190" i="1"/>
  <c r="K216" i="1"/>
  <c r="K218" i="1"/>
  <c r="K187" i="1"/>
  <c r="K186" i="1"/>
  <c r="K185" i="1"/>
  <c r="K184" i="1"/>
  <c r="K183" i="1"/>
  <c r="K182" i="1"/>
  <c r="K177" i="1"/>
  <c r="K176" i="1"/>
  <c r="K175" i="1"/>
  <c r="K174" i="1"/>
  <c r="K180" i="1"/>
  <c r="K181" i="1"/>
  <c r="K220" i="1"/>
  <c r="K222" i="1"/>
  <c r="K179" i="1"/>
  <c r="K219" i="1"/>
  <c r="K217" i="1"/>
  <c r="K178" i="1"/>
  <c r="K173" i="1"/>
  <c r="K172" i="1"/>
  <c r="K171" i="1"/>
  <c r="K170" i="1"/>
  <c r="K169" i="1"/>
  <c r="K168" i="1"/>
  <c r="K167" i="1"/>
  <c r="K166" i="1"/>
  <c r="K165" i="1"/>
  <c r="K164" i="1"/>
  <c r="K163" i="1"/>
  <c r="K162" i="1"/>
  <c r="K161" i="1"/>
  <c r="K160" i="1"/>
  <c r="K159" i="1"/>
  <c r="K158" i="1"/>
  <c r="K157" i="1"/>
  <c r="K156" i="1"/>
  <c r="K143" i="1"/>
  <c r="K135" i="1"/>
  <c r="K141" i="1"/>
  <c r="K139" i="1"/>
  <c r="K134" i="1"/>
  <c r="K138" i="1"/>
  <c r="K137" i="1"/>
  <c r="K136" i="1"/>
  <c r="K133" i="1"/>
  <c r="K132" i="1"/>
  <c r="K115"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54" i="1"/>
  <c r="L277" i="1"/>
  <c r="L276" i="1"/>
  <c r="L275" i="1"/>
  <c r="L352" i="1"/>
  <c r="L351" i="1"/>
  <c r="L350" i="1"/>
  <c r="L349" i="1"/>
  <c r="L348" i="1"/>
  <c r="L347" i="1"/>
  <c r="L346" i="1"/>
  <c r="L336" i="1"/>
  <c r="L345" i="1"/>
  <c r="L344" i="1"/>
  <c r="L343" i="1"/>
  <c r="L342" i="1"/>
  <c r="L341" i="1"/>
  <c r="L340" i="1"/>
  <c r="L339" i="1"/>
  <c r="L338" i="1"/>
  <c r="L337" i="1"/>
  <c r="L335" i="1"/>
  <c r="L334" i="1"/>
  <c r="L333" i="1"/>
  <c r="L332" i="1"/>
  <c r="L331" i="1"/>
  <c r="L330" i="1"/>
  <c r="L329" i="1"/>
  <c r="L328" i="1"/>
  <c r="L327" i="1"/>
  <c r="L326" i="1"/>
  <c r="L325" i="1"/>
  <c r="L324" i="1"/>
  <c r="L323" i="1"/>
  <c r="L322" i="1"/>
  <c r="L321" i="1"/>
  <c r="L320"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54" i="1"/>
  <c r="L252" i="1"/>
  <c r="L240" i="1"/>
  <c r="L250" i="1"/>
  <c r="L256" i="1"/>
  <c r="L255" i="1"/>
  <c r="L274" i="1"/>
  <c r="L247" i="1"/>
  <c r="L273" i="1"/>
  <c r="L253" i="1"/>
  <c r="L258" i="1"/>
  <c r="L221" i="1"/>
  <c r="L229" i="1"/>
  <c r="L257" i="1"/>
  <c r="L272" i="1"/>
  <c r="L271" i="1"/>
  <c r="L249" i="1"/>
  <c r="L248" i="1"/>
  <c r="L228" i="1"/>
  <c r="L270" i="1"/>
  <c r="L269" i="1"/>
  <c r="L268" i="1"/>
  <c r="L215" i="1"/>
  <c r="L198" i="1"/>
  <c r="L197" i="1"/>
  <c r="L196" i="1"/>
  <c r="L195" i="1"/>
  <c r="L194" i="1"/>
  <c r="L193" i="1"/>
  <c r="L192" i="1"/>
  <c r="L189" i="1"/>
  <c r="L188" i="1"/>
  <c r="L226" i="1"/>
  <c r="L225" i="1"/>
  <c r="L224" i="1"/>
  <c r="L223" i="1"/>
  <c r="L191" i="1"/>
  <c r="L190" i="1"/>
  <c r="L216" i="1"/>
  <c r="L218" i="1"/>
  <c r="L187" i="1"/>
  <c r="L186" i="1"/>
  <c r="L185" i="1"/>
  <c r="L184" i="1"/>
  <c r="L183" i="1"/>
  <c r="L182" i="1"/>
  <c r="L177" i="1"/>
  <c r="L176" i="1"/>
  <c r="L175" i="1"/>
  <c r="L174" i="1"/>
  <c r="L180" i="1"/>
  <c r="L181" i="1"/>
  <c r="L220" i="1"/>
  <c r="L222" i="1"/>
  <c r="L179" i="1"/>
  <c r="L219" i="1"/>
  <c r="L217" i="1"/>
  <c r="L178" i="1"/>
  <c r="L173" i="1"/>
  <c r="L172" i="1"/>
  <c r="L171" i="1"/>
  <c r="L170" i="1"/>
  <c r="L169" i="1"/>
  <c r="L168" i="1"/>
  <c r="L167" i="1"/>
  <c r="L166" i="1"/>
  <c r="L165" i="1"/>
  <c r="L164" i="1"/>
  <c r="L163" i="1"/>
  <c r="L162" i="1"/>
  <c r="L161" i="1"/>
  <c r="L160" i="1"/>
  <c r="L159" i="1"/>
  <c r="L158" i="1"/>
  <c r="L157" i="1"/>
  <c r="L156" i="1"/>
  <c r="L143" i="1"/>
  <c r="L135" i="1"/>
  <c r="L141" i="1"/>
  <c r="L139" i="1"/>
  <c r="L134" i="1"/>
  <c r="L138" i="1"/>
  <c r="L137" i="1"/>
  <c r="L136" i="1"/>
  <c r="L133" i="1"/>
  <c r="L132" i="1"/>
  <c r="L115"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54" i="1"/>
  <c r="M277" i="1"/>
  <c r="M276" i="1"/>
  <c r="M275" i="1"/>
  <c r="M352" i="1"/>
  <c r="M351" i="1"/>
  <c r="M350" i="1"/>
  <c r="M349" i="1"/>
  <c r="M348" i="1"/>
  <c r="M347" i="1"/>
  <c r="M346" i="1"/>
  <c r="M336" i="1"/>
  <c r="M345" i="1"/>
  <c r="M344" i="1"/>
  <c r="M343" i="1"/>
  <c r="M342" i="1"/>
  <c r="M341" i="1"/>
  <c r="M340" i="1"/>
  <c r="M339" i="1"/>
  <c r="M338" i="1"/>
  <c r="M337" i="1"/>
  <c r="M335" i="1"/>
  <c r="M334" i="1"/>
  <c r="M333" i="1"/>
  <c r="M332" i="1"/>
  <c r="M331" i="1"/>
  <c r="M330" i="1"/>
  <c r="M329" i="1"/>
  <c r="M328" i="1"/>
  <c r="M327" i="1"/>
  <c r="M326" i="1"/>
  <c r="M325" i="1"/>
  <c r="M324" i="1"/>
  <c r="M323" i="1"/>
  <c r="M322" i="1"/>
  <c r="M321" i="1"/>
  <c r="M320"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54" i="1"/>
  <c r="M252" i="1"/>
  <c r="M240" i="1"/>
  <c r="M250" i="1"/>
  <c r="M256" i="1"/>
  <c r="M255" i="1"/>
  <c r="M274" i="1"/>
  <c r="M247" i="1"/>
  <c r="M273" i="1"/>
  <c r="M253" i="1"/>
  <c r="M258" i="1"/>
  <c r="M221" i="1"/>
  <c r="M229" i="1"/>
  <c r="M257" i="1"/>
  <c r="M272" i="1"/>
  <c r="M271" i="1"/>
  <c r="M249" i="1"/>
  <c r="M248" i="1"/>
  <c r="M228" i="1"/>
  <c r="M270" i="1"/>
  <c r="M269" i="1"/>
  <c r="M268" i="1"/>
  <c r="M215" i="1"/>
  <c r="M198" i="1"/>
  <c r="M197" i="1"/>
  <c r="M196" i="1"/>
  <c r="M195" i="1"/>
  <c r="M194" i="1"/>
  <c r="M193" i="1"/>
  <c r="M192" i="1"/>
  <c r="M189" i="1"/>
  <c r="M188" i="1"/>
  <c r="M226" i="1"/>
  <c r="M225" i="1"/>
  <c r="M224" i="1"/>
  <c r="M223" i="1"/>
  <c r="M191" i="1"/>
  <c r="M190" i="1"/>
  <c r="M216" i="1"/>
  <c r="M218" i="1"/>
  <c r="M187" i="1"/>
  <c r="M186" i="1"/>
  <c r="M185" i="1"/>
  <c r="M184" i="1"/>
  <c r="M183" i="1"/>
  <c r="M182" i="1"/>
  <c r="M177" i="1"/>
  <c r="M176" i="1"/>
  <c r="M175" i="1"/>
  <c r="M174" i="1"/>
  <c r="M180" i="1"/>
  <c r="M181" i="1"/>
  <c r="M220" i="1"/>
  <c r="M222" i="1"/>
  <c r="M179" i="1"/>
  <c r="M219" i="1"/>
  <c r="M217" i="1"/>
  <c r="M178" i="1"/>
  <c r="M173" i="1"/>
  <c r="M172" i="1"/>
  <c r="M171" i="1"/>
  <c r="M170" i="1"/>
  <c r="M169" i="1"/>
  <c r="M168" i="1"/>
  <c r="M167" i="1"/>
  <c r="M166" i="1"/>
  <c r="M165" i="1"/>
  <c r="M164" i="1"/>
  <c r="M163" i="1"/>
  <c r="M162" i="1"/>
  <c r="M161" i="1"/>
  <c r="M160" i="1"/>
  <c r="M159" i="1"/>
  <c r="M158" i="1"/>
  <c r="M157" i="1"/>
  <c r="M156" i="1"/>
  <c r="M143" i="1"/>
  <c r="M135" i="1"/>
  <c r="M141" i="1"/>
  <c r="M139" i="1"/>
  <c r="M134" i="1"/>
  <c r="M138" i="1"/>
  <c r="M137" i="1"/>
  <c r="M136" i="1"/>
  <c r="M133" i="1"/>
  <c r="M132" i="1"/>
  <c r="M115"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B159" i="1"/>
  <c r="AK159" i="1" s="1"/>
  <c r="B158" i="1"/>
  <c r="AK158" i="1" s="1"/>
  <c r="B157" i="1"/>
  <c r="AK157" i="1" s="1"/>
  <c r="B156" i="1"/>
  <c r="AK156" i="1" s="1"/>
  <c r="B161" i="1"/>
  <c r="AK161" i="1" s="1"/>
  <c r="B160" i="1"/>
  <c r="AK160" i="1" s="1"/>
  <c r="B135" i="1"/>
  <c r="AK135" i="1" s="1"/>
  <c r="B143" i="1"/>
  <c r="AK143" i="1" s="1"/>
  <c r="B165" i="1"/>
  <c r="AK165" i="1" s="1"/>
  <c r="P165" i="1"/>
  <c r="Q165" i="1"/>
  <c r="R165" i="1"/>
  <c r="S165" i="1"/>
  <c r="T165" i="1"/>
  <c r="U165" i="1"/>
  <c r="V165" i="1"/>
  <c r="X165" i="1"/>
  <c r="Y165" i="1"/>
  <c r="Z165" i="1"/>
  <c r="Z198" i="1"/>
  <c r="Y198" i="1"/>
  <c r="X198" i="1"/>
  <c r="V198" i="1"/>
  <c r="U198" i="1"/>
  <c r="T198" i="1"/>
  <c r="S198" i="1"/>
  <c r="R198" i="1"/>
  <c r="Q198" i="1"/>
  <c r="P198" i="1"/>
  <c r="B198" i="1"/>
  <c r="AK198" i="1" s="1"/>
  <c r="Z197" i="1"/>
  <c r="Y197" i="1"/>
  <c r="X197" i="1"/>
  <c r="V197" i="1"/>
  <c r="U197" i="1"/>
  <c r="T197" i="1"/>
  <c r="S197" i="1"/>
  <c r="R197" i="1"/>
  <c r="Q197" i="1"/>
  <c r="P197" i="1"/>
  <c r="B197" i="1"/>
  <c r="AK197" i="1" s="1"/>
  <c r="Z196" i="1"/>
  <c r="Y196" i="1"/>
  <c r="X196" i="1"/>
  <c r="V196" i="1"/>
  <c r="U196" i="1"/>
  <c r="T196" i="1"/>
  <c r="S196" i="1"/>
  <c r="R196" i="1"/>
  <c r="Q196" i="1"/>
  <c r="P196" i="1"/>
  <c r="B196" i="1"/>
  <c r="AK196" i="1" s="1"/>
  <c r="Z195" i="1"/>
  <c r="Y195" i="1"/>
  <c r="X195" i="1"/>
  <c r="V195" i="1"/>
  <c r="U195" i="1"/>
  <c r="T195" i="1"/>
  <c r="S195" i="1"/>
  <c r="R195" i="1"/>
  <c r="Q195" i="1"/>
  <c r="P195" i="1"/>
  <c r="B195" i="1"/>
  <c r="AK195" i="1" s="1"/>
  <c r="Z194" i="1"/>
  <c r="Y194" i="1"/>
  <c r="X194" i="1"/>
  <c r="V194" i="1"/>
  <c r="U194" i="1"/>
  <c r="T194" i="1"/>
  <c r="S194" i="1"/>
  <c r="R194" i="1"/>
  <c r="Q194" i="1"/>
  <c r="P194" i="1"/>
  <c r="B194" i="1"/>
  <c r="AK194" i="1" s="1"/>
  <c r="Z193" i="1"/>
  <c r="Y193" i="1"/>
  <c r="X193" i="1"/>
  <c r="V193" i="1"/>
  <c r="U193" i="1"/>
  <c r="T193" i="1"/>
  <c r="S193" i="1"/>
  <c r="R193" i="1"/>
  <c r="Q193" i="1"/>
  <c r="P193" i="1"/>
  <c r="B193" i="1"/>
  <c r="AK193" i="1" s="1"/>
  <c r="AU188" i="1"/>
  <c r="Z188" i="1"/>
  <c r="Y188" i="1"/>
  <c r="X188" i="1"/>
  <c r="V188" i="1"/>
  <c r="U188" i="1"/>
  <c r="T188" i="1"/>
  <c r="S188" i="1"/>
  <c r="R188" i="1"/>
  <c r="Q188" i="1"/>
  <c r="P188" i="1"/>
  <c r="B188" i="1"/>
  <c r="AK188" i="1" s="1"/>
  <c r="Z192" i="1"/>
  <c r="Y192" i="1"/>
  <c r="X192" i="1"/>
  <c r="V192" i="1"/>
  <c r="U192" i="1"/>
  <c r="T192" i="1"/>
  <c r="S192" i="1"/>
  <c r="R192" i="1"/>
  <c r="Q192" i="1"/>
  <c r="P192" i="1"/>
  <c r="B192" i="1"/>
  <c r="AK192" i="1" s="1"/>
  <c r="Z189" i="1"/>
  <c r="Y189" i="1"/>
  <c r="X189" i="1"/>
  <c r="V189" i="1"/>
  <c r="U189" i="1"/>
  <c r="T189" i="1"/>
  <c r="S189" i="1"/>
  <c r="R189" i="1"/>
  <c r="Q189" i="1"/>
  <c r="P189" i="1"/>
  <c r="B189" i="1"/>
  <c r="AK189" i="1" s="1"/>
  <c r="AX188" i="1"/>
  <c r="AW188" i="1"/>
  <c r="AV188" i="1"/>
  <c r="AT188" i="1"/>
  <c r="AS188" i="1"/>
  <c r="AR188" i="1"/>
  <c r="AQ188" i="1"/>
  <c r="AP188" i="1"/>
  <c r="AO188" i="1"/>
  <c r="AN188" i="1"/>
  <c r="U455" i="1"/>
  <c r="T455" i="1"/>
  <c r="U454" i="1"/>
  <c r="T454" i="1"/>
  <c r="U453" i="1"/>
  <c r="T453" i="1"/>
  <c r="U452" i="1"/>
  <c r="T452" i="1"/>
  <c r="U451" i="1"/>
  <c r="T451" i="1"/>
  <c r="U450" i="1"/>
  <c r="T450" i="1"/>
  <c r="U449" i="1"/>
  <c r="T449" i="1"/>
  <c r="U448" i="1"/>
  <c r="T448" i="1"/>
  <c r="U447" i="1"/>
  <c r="T447" i="1"/>
  <c r="U446" i="1"/>
  <c r="T446" i="1"/>
  <c r="U445" i="1"/>
  <c r="T445" i="1"/>
  <c r="U444" i="1"/>
  <c r="T444" i="1"/>
  <c r="U443" i="1"/>
  <c r="T443" i="1"/>
  <c r="U442" i="1"/>
  <c r="T442" i="1"/>
  <c r="U441" i="1"/>
  <c r="T441" i="1"/>
  <c r="U440" i="1"/>
  <c r="T440" i="1"/>
  <c r="U439" i="1"/>
  <c r="T439" i="1"/>
  <c r="U438" i="1"/>
  <c r="T438" i="1"/>
  <c r="Z70" i="1"/>
  <c r="Y70" i="1"/>
  <c r="X70" i="1"/>
  <c r="V70" i="1"/>
  <c r="U70" i="1"/>
  <c r="T70" i="1"/>
  <c r="S70" i="1"/>
  <c r="R70" i="1"/>
  <c r="Q70" i="1"/>
  <c r="P70" i="1"/>
  <c r="B70" i="1"/>
  <c r="AK70" i="1" s="1"/>
  <c r="BA367" i="1"/>
  <c r="BA356" i="1"/>
  <c r="BA366" i="1"/>
  <c r="BA358" i="1"/>
  <c r="BA205" i="1"/>
  <c r="BA201" i="1"/>
  <c r="BA199" i="1"/>
  <c r="BA144" i="1"/>
  <c r="BA373" i="1"/>
  <c r="BA372" i="1"/>
  <c r="BA368" i="1"/>
  <c r="BA114" i="1"/>
  <c r="AL211" i="1" l="1"/>
  <c r="AL212" i="1"/>
  <c r="AL361" i="1"/>
  <c r="AL359" i="1"/>
  <c r="AL355" i="1"/>
  <c r="AL200" i="1"/>
  <c r="AL206" i="1"/>
  <c r="AL357" i="1"/>
  <c r="AL360" i="1"/>
  <c r="AL365" i="1"/>
  <c r="AL371" i="1"/>
  <c r="AL362" i="1"/>
  <c r="BA375" i="1"/>
  <c r="AZ366" i="1"/>
  <c r="AZ356" i="1"/>
  <c r="AZ372" i="1"/>
  <c r="AZ367" i="1"/>
  <c r="AZ368" i="1"/>
  <c r="AL363" i="1"/>
  <c r="AL375" i="1"/>
  <c r="AZ364" i="1"/>
  <c r="AL369" i="1"/>
  <c r="AZ358" i="1"/>
  <c r="AL150" i="1"/>
  <c r="AL207" i="1"/>
  <c r="AL208" i="1"/>
  <c r="BA209" i="1"/>
  <c r="AL210" i="1"/>
  <c r="AZ212" i="1"/>
  <c r="AZ211" i="1"/>
  <c r="AL213" i="1"/>
  <c r="AL214" i="1"/>
  <c r="AZ202" i="1"/>
  <c r="AZ201" i="1"/>
  <c r="AZ213" i="1"/>
  <c r="AL203" i="1"/>
  <c r="AZ204" i="1"/>
  <c r="AZ205" i="1"/>
  <c r="AZ203" i="1"/>
  <c r="AZ210" i="1"/>
  <c r="AZ199" i="1"/>
  <c r="AL209" i="1"/>
  <c r="AZ214" i="1"/>
  <c r="AL145" i="1"/>
  <c r="AL142" i="1"/>
  <c r="AL152" i="1"/>
  <c r="AL153" i="1"/>
  <c r="AL154" i="1"/>
  <c r="AZ144" i="1"/>
  <c r="AL146" i="1"/>
  <c r="AL155" i="1"/>
  <c r="AL147" i="1"/>
  <c r="AL148" i="1"/>
  <c r="BA155" i="1"/>
  <c r="AZ151" i="1"/>
  <c r="AL149" i="1"/>
  <c r="AZ149" i="1"/>
  <c r="AL244" i="1"/>
  <c r="AL245" i="1"/>
  <c r="AL316" i="1"/>
  <c r="BA318" i="1"/>
  <c r="AL317" i="1"/>
  <c r="AL266" i="1"/>
  <c r="AL314" i="1"/>
  <c r="BA317" i="1"/>
  <c r="AL318" i="1"/>
  <c r="AL315" i="1"/>
  <c r="AZ315" i="1"/>
  <c r="AZ314" i="1"/>
  <c r="AL319" i="1"/>
  <c r="AZ319" i="1"/>
  <c r="AL259" i="1"/>
  <c r="AL260" i="1"/>
  <c r="AL227" i="1"/>
  <c r="AL242" i="1"/>
  <c r="AL243" i="1"/>
  <c r="BA262" i="1"/>
  <c r="AL263" i="1"/>
  <c r="AL264" i="1"/>
  <c r="BA263" i="1"/>
  <c r="AZ264" i="1"/>
  <c r="BA266" i="1"/>
  <c r="AL267" i="1"/>
  <c r="AZ246" i="1"/>
  <c r="AL231" i="1"/>
  <c r="BA233" i="1"/>
  <c r="AZ259" i="1"/>
  <c r="AL234" i="1"/>
  <c r="AL241" i="1"/>
  <c r="AL265" i="1"/>
  <c r="BA242" i="1"/>
  <c r="AZ260" i="1"/>
  <c r="BA244" i="1"/>
  <c r="AL261" i="1"/>
  <c r="AZ261" i="1"/>
  <c r="AZ265" i="1"/>
  <c r="AL262" i="1"/>
  <c r="AZ267" i="1"/>
  <c r="AZ239" i="1"/>
  <c r="AZ241" i="1"/>
  <c r="AZ245" i="1"/>
  <c r="AZ243" i="1"/>
  <c r="AL230" i="1"/>
  <c r="AL237" i="1"/>
  <c r="AZ234" i="1"/>
  <c r="AL235" i="1"/>
  <c r="AL236" i="1"/>
  <c r="BA237" i="1"/>
  <c r="BA231" i="1"/>
  <c r="AL232" i="1"/>
  <c r="AZ236" i="1"/>
  <c r="BA232" i="1"/>
  <c r="AL238" i="1"/>
  <c r="AZ235" i="1"/>
  <c r="AL233" i="1"/>
  <c r="AZ238" i="1"/>
  <c r="AZ230" i="1"/>
  <c r="BA121" i="1"/>
  <c r="BA123" i="1"/>
  <c r="BA125" i="1"/>
  <c r="AZ140" i="1"/>
  <c r="AL116" i="1"/>
  <c r="AL160" i="1"/>
  <c r="BA122" i="1"/>
  <c r="AZ251" i="1"/>
  <c r="AL119" i="1"/>
  <c r="AL127" i="1"/>
  <c r="AZ120" i="1"/>
  <c r="AL117" i="1"/>
  <c r="AZ118" i="1"/>
  <c r="AZ126" i="1"/>
  <c r="AZ124" i="1"/>
  <c r="AZ128" i="1"/>
  <c r="AZ114" i="1"/>
  <c r="AZ157" i="1"/>
  <c r="BA159" i="1"/>
  <c r="AL159" i="1"/>
  <c r="AZ135" i="1"/>
  <c r="AZ161" i="1"/>
  <c r="AZ143" i="1"/>
  <c r="AL156" i="1"/>
  <c r="AZ156" i="1"/>
  <c r="AZ158" i="1"/>
  <c r="BA160" i="1"/>
  <c r="BA161" i="1"/>
  <c r="BA143" i="1"/>
  <c r="AL165" i="1"/>
  <c r="BA165" i="1"/>
  <c r="BA196" i="1"/>
  <c r="BA197" i="1"/>
  <c r="AL193" i="1"/>
  <c r="AL196" i="1"/>
  <c r="AZ193" i="1"/>
  <c r="AL194" i="1"/>
  <c r="AZ194" i="1"/>
  <c r="AL198" i="1"/>
  <c r="AL195" i="1"/>
  <c r="AZ197" i="1"/>
  <c r="AZ198" i="1"/>
  <c r="AZ188" i="1"/>
  <c r="AL189" i="1"/>
  <c r="AL192" i="1"/>
  <c r="AZ189" i="1"/>
  <c r="AL70" i="1"/>
  <c r="AZ70" i="1"/>
  <c r="AX50" i="1"/>
  <c r="AW50" i="1"/>
  <c r="AV50" i="1"/>
  <c r="AU50" i="1"/>
  <c r="AT50" i="1"/>
  <c r="AS50" i="1"/>
  <c r="AR50" i="1"/>
  <c r="AQ50" i="1"/>
  <c r="AP50" i="1"/>
  <c r="AO50" i="1"/>
  <c r="AN50" i="1"/>
  <c r="AX66" i="1"/>
  <c r="AW66" i="1"/>
  <c r="AV66" i="1"/>
  <c r="AU66" i="1"/>
  <c r="AT66" i="1"/>
  <c r="AS66" i="1"/>
  <c r="AR66" i="1"/>
  <c r="AQ66" i="1"/>
  <c r="AP66" i="1"/>
  <c r="AO66" i="1"/>
  <c r="AN66" i="1"/>
  <c r="AX77" i="1"/>
  <c r="AW77" i="1"/>
  <c r="AV77" i="1"/>
  <c r="AU77" i="1"/>
  <c r="AT77" i="1"/>
  <c r="AS77" i="1"/>
  <c r="AR77" i="1"/>
  <c r="AQ77" i="1"/>
  <c r="AP77" i="1"/>
  <c r="AO77" i="1"/>
  <c r="AN77" i="1"/>
  <c r="AX93" i="1"/>
  <c r="AW93" i="1"/>
  <c r="AV93" i="1"/>
  <c r="AU93" i="1"/>
  <c r="AT93" i="1"/>
  <c r="AS93" i="1"/>
  <c r="AR93" i="1"/>
  <c r="AQ93" i="1"/>
  <c r="AP93" i="1"/>
  <c r="AO93" i="1"/>
  <c r="AN93" i="1"/>
  <c r="AX103" i="1"/>
  <c r="AW103" i="1"/>
  <c r="AV103" i="1"/>
  <c r="AU103" i="1"/>
  <c r="AT103" i="1"/>
  <c r="AS103" i="1"/>
  <c r="AR103" i="1"/>
  <c r="AQ103" i="1"/>
  <c r="AP103" i="1"/>
  <c r="AO103" i="1"/>
  <c r="AN103" i="1"/>
  <c r="AX132" i="1"/>
  <c r="AW132" i="1"/>
  <c r="AV132" i="1"/>
  <c r="AU132" i="1"/>
  <c r="AT132" i="1"/>
  <c r="AS132" i="1"/>
  <c r="AR132" i="1"/>
  <c r="AQ132" i="1"/>
  <c r="AP132" i="1"/>
  <c r="AO132" i="1"/>
  <c r="AN132" i="1"/>
  <c r="AX163" i="1"/>
  <c r="AW163" i="1"/>
  <c r="AV163" i="1"/>
  <c r="AU163" i="1"/>
  <c r="AT163" i="1"/>
  <c r="AS163" i="1"/>
  <c r="AR163" i="1"/>
  <c r="AQ163" i="1"/>
  <c r="AP163" i="1"/>
  <c r="AO163" i="1"/>
  <c r="AN163" i="1"/>
  <c r="AX173" i="1"/>
  <c r="AW173" i="1"/>
  <c r="AV173" i="1"/>
  <c r="AU173" i="1"/>
  <c r="AT173" i="1"/>
  <c r="AS173" i="1"/>
  <c r="AR173" i="1"/>
  <c r="AQ173" i="1"/>
  <c r="AP173" i="1"/>
  <c r="AO173" i="1"/>
  <c r="AN173" i="1"/>
  <c r="AX216" i="1"/>
  <c r="AW216" i="1"/>
  <c r="AV216" i="1"/>
  <c r="AU216" i="1"/>
  <c r="AT216" i="1"/>
  <c r="AS216" i="1"/>
  <c r="AR216" i="1"/>
  <c r="AQ216" i="1"/>
  <c r="AP216" i="1"/>
  <c r="AO216" i="1"/>
  <c r="AN216" i="1"/>
  <c r="AX268" i="1"/>
  <c r="AW268" i="1"/>
  <c r="AV268" i="1"/>
  <c r="AU268" i="1"/>
  <c r="AT268" i="1"/>
  <c r="AS268" i="1"/>
  <c r="AR268" i="1"/>
  <c r="AQ268" i="1"/>
  <c r="AP268" i="1"/>
  <c r="AO268" i="1"/>
  <c r="AN268" i="1"/>
  <c r="AX281" i="1"/>
  <c r="AW281" i="1"/>
  <c r="AV281" i="1"/>
  <c r="AU281" i="1"/>
  <c r="AT281" i="1"/>
  <c r="AS281" i="1"/>
  <c r="AR281" i="1"/>
  <c r="AQ281" i="1"/>
  <c r="AP281" i="1"/>
  <c r="AO281" i="1"/>
  <c r="AN281" i="1"/>
  <c r="AX294" i="1"/>
  <c r="AW294" i="1"/>
  <c r="AV294" i="1"/>
  <c r="AU294" i="1"/>
  <c r="AT294" i="1"/>
  <c r="AS294" i="1"/>
  <c r="AR294" i="1"/>
  <c r="AQ294" i="1"/>
  <c r="AP294" i="1"/>
  <c r="AO294" i="1"/>
  <c r="AN294" i="1"/>
  <c r="AX305" i="1"/>
  <c r="AW305" i="1"/>
  <c r="AV305" i="1"/>
  <c r="AU305" i="1"/>
  <c r="AT305" i="1"/>
  <c r="AS305" i="1"/>
  <c r="AR305" i="1"/>
  <c r="AQ305" i="1"/>
  <c r="AP305" i="1"/>
  <c r="AO305" i="1"/>
  <c r="AN305" i="1"/>
  <c r="AX321" i="1"/>
  <c r="AW321" i="1"/>
  <c r="AV321" i="1"/>
  <c r="AU321" i="1"/>
  <c r="AT321" i="1"/>
  <c r="AS321" i="1"/>
  <c r="AR321" i="1"/>
  <c r="AQ321" i="1"/>
  <c r="AP321" i="1"/>
  <c r="AO321" i="1"/>
  <c r="AN321" i="1"/>
  <c r="AX335" i="1"/>
  <c r="AW335" i="1"/>
  <c r="AV335" i="1"/>
  <c r="AU335" i="1"/>
  <c r="AT335" i="1"/>
  <c r="AS335" i="1"/>
  <c r="AR335" i="1"/>
  <c r="AQ335" i="1"/>
  <c r="AP335" i="1"/>
  <c r="AO335" i="1"/>
  <c r="AN335" i="1"/>
  <c r="AX376" i="1"/>
  <c r="AW376" i="1"/>
  <c r="AV376" i="1"/>
  <c r="AU376" i="1"/>
  <c r="AT376" i="1"/>
  <c r="AS376" i="1"/>
  <c r="AR376" i="1"/>
  <c r="AQ376" i="1"/>
  <c r="AP376" i="1"/>
  <c r="AO376" i="1"/>
  <c r="AN376" i="1"/>
  <c r="AX381" i="1"/>
  <c r="AW381" i="1"/>
  <c r="AV381" i="1"/>
  <c r="AU381" i="1"/>
  <c r="AT381" i="1"/>
  <c r="AS381" i="1"/>
  <c r="AR381" i="1"/>
  <c r="AQ381" i="1"/>
  <c r="AP381" i="1"/>
  <c r="AO381" i="1"/>
  <c r="AN381" i="1"/>
  <c r="AX418" i="1"/>
  <c r="AW418" i="1"/>
  <c r="AV418" i="1"/>
  <c r="AU418" i="1"/>
  <c r="AT418" i="1"/>
  <c r="AS418" i="1"/>
  <c r="AR418" i="1"/>
  <c r="AQ418" i="1"/>
  <c r="AP418" i="1"/>
  <c r="AO418" i="1"/>
  <c r="AN418" i="1"/>
  <c r="BA194" i="1"/>
  <c r="BA195" i="1"/>
  <c r="BA127" i="1"/>
  <c r="BA120" i="1"/>
  <c r="BA246" i="1"/>
  <c r="BA204" i="1"/>
  <c r="BA314" i="1"/>
  <c r="BA135" i="1"/>
  <c r="BA206" i="1"/>
  <c r="BA239" i="1"/>
  <c r="BA227" i="1"/>
  <c r="BA365" i="1"/>
  <c r="BA203" i="1"/>
  <c r="BA140" i="1"/>
  <c r="BA153" i="1"/>
  <c r="BA148" i="1"/>
  <c r="BA202" i="1"/>
  <c r="BA200" i="1"/>
  <c r="BA157" i="1"/>
  <c r="BA363" i="1"/>
  <c r="BA357" i="1"/>
  <c r="BA154" i="1"/>
  <c r="BA117" i="1"/>
  <c r="BA360" i="1"/>
  <c r="BA207" i="1"/>
  <c r="BA371" i="1"/>
  <c r="BA192" i="1"/>
  <c r="BA251" i="1"/>
  <c r="BA152" i="1"/>
  <c r="BA156" i="1"/>
  <c r="BA355" i="1"/>
  <c r="BA146" i="1"/>
  <c r="BA145" i="1"/>
  <c r="BA118" i="1"/>
  <c r="BA361" i="1"/>
  <c r="BA147" i="1"/>
  <c r="BA142" i="1"/>
  <c r="BA119" i="1"/>
  <c r="BA370" i="1"/>
  <c r="BA364" i="1"/>
  <c r="BA116" i="1"/>
  <c r="BA362" i="1"/>
  <c r="BA149" i="1"/>
  <c r="BA188" i="1"/>
  <c r="BA151" i="1"/>
  <c r="BA150" i="1"/>
  <c r="BA316" i="1"/>
  <c r="BA70" i="1"/>
  <c r="BA208" i="1"/>
  <c r="BA315" i="1"/>
  <c r="BA158" i="1"/>
  <c r="BA369" i="1"/>
  <c r="BA359" i="1"/>
  <c r="BA189" i="1"/>
  <c r="AW92" i="1" l="1"/>
  <c r="AW34" i="1" s="1"/>
  <c r="AU215" i="1"/>
  <c r="AQ162" i="1"/>
  <c r="AS92" i="1"/>
  <c r="AS34" i="1" s="1"/>
  <c r="AP215" i="1"/>
  <c r="AN92" i="1"/>
  <c r="AN34" i="1" s="1"/>
  <c r="AV92" i="1"/>
  <c r="AV34" i="1" s="1"/>
  <c r="AR162" i="1"/>
  <c r="AQ215" i="1"/>
  <c r="AS215" i="1"/>
  <c r="AO92" i="1"/>
  <c r="AO34" i="1" s="1"/>
  <c r="AP92" i="1"/>
  <c r="AP34" i="1" s="1"/>
  <c r="AX92" i="1"/>
  <c r="AX34" i="1" s="1"/>
  <c r="AQ92" i="1"/>
  <c r="AQ34" i="1" s="1"/>
  <c r="AN215" i="1"/>
  <c r="AV215" i="1"/>
  <c r="AR92" i="1"/>
  <c r="AR34" i="1" s="1"/>
  <c r="AO215" i="1"/>
  <c r="AX215" i="1"/>
  <c r="AN162" i="1"/>
  <c r="AU162" i="1"/>
  <c r="AT92" i="1"/>
  <c r="AT34" i="1" s="1"/>
  <c r="AO162" i="1"/>
  <c r="AW162" i="1"/>
  <c r="AR215" i="1"/>
  <c r="AP162" i="1"/>
  <c r="AX162" i="1"/>
  <c r="AT162" i="1"/>
  <c r="AT215" i="1"/>
  <c r="AV162" i="1"/>
  <c r="AS162" i="1"/>
  <c r="AU92" i="1"/>
  <c r="AU34" i="1" s="1"/>
  <c r="AW215" i="1"/>
  <c r="Z226" i="1" l="1"/>
  <c r="Y226" i="1"/>
  <c r="X226" i="1"/>
  <c r="V226" i="1"/>
  <c r="U226" i="1"/>
  <c r="T226" i="1"/>
  <c r="S226" i="1"/>
  <c r="R226" i="1"/>
  <c r="Q226" i="1"/>
  <c r="P226" i="1"/>
  <c r="AZ226" i="1"/>
  <c r="B226" i="1"/>
  <c r="AK226" i="1" s="1"/>
  <c r="Z225" i="1"/>
  <c r="Y225" i="1"/>
  <c r="X225" i="1"/>
  <c r="V225" i="1"/>
  <c r="U225" i="1"/>
  <c r="T225" i="1"/>
  <c r="S225" i="1"/>
  <c r="R225" i="1"/>
  <c r="Q225" i="1"/>
  <c r="P225" i="1"/>
  <c r="BA225" i="1"/>
  <c r="B225" i="1"/>
  <c r="AK225" i="1" s="1"/>
  <c r="Z224" i="1"/>
  <c r="Y224" i="1"/>
  <c r="X224" i="1"/>
  <c r="V224" i="1"/>
  <c r="U224" i="1"/>
  <c r="T224" i="1"/>
  <c r="S224" i="1"/>
  <c r="R224" i="1"/>
  <c r="Q224" i="1"/>
  <c r="P224" i="1"/>
  <c r="AL224" i="1"/>
  <c r="B224" i="1"/>
  <c r="AK224" i="1" s="1"/>
  <c r="Z223" i="1"/>
  <c r="Y223" i="1"/>
  <c r="X223" i="1"/>
  <c r="V223" i="1"/>
  <c r="U223" i="1"/>
  <c r="T223" i="1"/>
  <c r="S223" i="1"/>
  <c r="R223" i="1"/>
  <c r="Q223" i="1"/>
  <c r="P223" i="1"/>
  <c r="AL223" i="1"/>
  <c r="B223" i="1"/>
  <c r="AK223" i="1" s="1"/>
  <c r="Z191" i="1"/>
  <c r="Y191" i="1"/>
  <c r="X191" i="1"/>
  <c r="V191" i="1"/>
  <c r="U191" i="1"/>
  <c r="T191" i="1"/>
  <c r="S191" i="1"/>
  <c r="R191" i="1"/>
  <c r="Q191" i="1"/>
  <c r="P191" i="1"/>
  <c r="B191" i="1"/>
  <c r="AK191" i="1" s="1"/>
  <c r="Z190" i="1"/>
  <c r="Y190" i="1"/>
  <c r="X190" i="1"/>
  <c r="V190" i="1"/>
  <c r="U190" i="1"/>
  <c r="T190" i="1"/>
  <c r="S190" i="1"/>
  <c r="R190" i="1"/>
  <c r="Q190" i="1"/>
  <c r="P190" i="1"/>
  <c r="AZ190" i="1"/>
  <c r="B190" i="1"/>
  <c r="AK190" i="1" s="1"/>
  <c r="BA223" i="1" l="1"/>
  <c r="BA224" i="1"/>
  <c r="AL190" i="1"/>
  <c r="BA226" i="1"/>
  <c r="AL191" i="1"/>
  <c r="AZ224" i="1"/>
  <c r="AL225" i="1"/>
  <c r="AZ191" i="1"/>
  <c r="AZ225" i="1"/>
  <c r="AL226" i="1"/>
  <c r="AZ223" i="1"/>
  <c r="Z216" i="1"/>
  <c r="Y216" i="1"/>
  <c r="X216" i="1"/>
  <c r="V216" i="1"/>
  <c r="U216" i="1"/>
  <c r="T216" i="1"/>
  <c r="S216" i="1"/>
  <c r="R216" i="1"/>
  <c r="Q216" i="1"/>
  <c r="P216" i="1"/>
  <c r="B216" i="1"/>
  <c r="AK216" i="1" s="1"/>
  <c r="Z218" i="1"/>
  <c r="Y218" i="1"/>
  <c r="X218" i="1"/>
  <c r="V218" i="1"/>
  <c r="U218" i="1"/>
  <c r="T218" i="1"/>
  <c r="S218" i="1"/>
  <c r="R218" i="1"/>
  <c r="Q218" i="1"/>
  <c r="P218" i="1"/>
  <c r="AZ218" i="1"/>
  <c r="B218" i="1"/>
  <c r="AK218" i="1" s="1"/>
  <c r="Z187" i="1"/>
  <c r="Y187" i="1"/>
  <c r="X187" i="1"/>
  <c r="V187" i="1"/>
  <c r="U187" i="1"/>
  <c r="T187" i="1"/>
  <c r="S187" i="1"/>
  <c r="R187" i="1"/>
  <c r="Q187" i="1"/>
  <c r="P187" i="1"/>
  <c r="AL187" i="1"/>
  <c r="B187" i="1"/>
  <c r="AK187" i="1" s="1"/>
  <c r="Z186" i="1"/>
  <c r="Y186" i="1"/>
  <c r="X186" i="1"/>
  <c r="V186" i="1"/>
  <c r="U186" i="1"/>
  <c r="T186" i="1"/>
  <c r="S186" i="1"/>
  <c r="R186" i="1"/>
  <c r="Q186" i="1"/>
  <c r="P186" i="1"/>
  <c r="BA186" i="1"/>
  <c r="B186" i="1"/>
  <c r="AK186" i="1" s="1"/>
  <c r="Z185" i="1"/>
  <c r="Y185" i="1"/>
  <c r="X185" i="1"/>
  <c r="V185" i="1"/>
  <c r="U185" i="1"/>
  <c r="T185" i="1"/>
  <c r="S185" i="1"/>
  <c r="R185" i="1"/>
  <c r="Q185" i="1"/>
  <c r="P185" i="1"/>
  <c r="BA185" i="1"/>
  <c r="B185" i="1"/>
  <c r="AK185" i="1" s="1"/>
  <c r="Z184" i="1"/>
  <c r="Y184" i="1"/>
  <c r="X184" i="1"/>
  <c r="V184" i="1"/>
  <c r="U184" i="1"/>
  <c r="T184" i="1"/>
  <c r="S184" i="1"/>
  <c r="R184" i="1"/>
  <c r="Q184" i="1"/>
  <c r="P184" i="1"/>
  <c r="AZ184" i="1"/>
  <c r="B184" i="1"/>
  <c r="AK184" i="1" s="1"/>
  <c r="Z183" i="1"/>
  <c r="Y183" i="1"/>
  <c r="X183" i="1"/>
  <c r="V183" i="1"/>
  <c r="U183" i="1"/>
  <c r="T183" i="1"/>
  <c r="S183" i="1"/>
  <c r="R183" i="1"/>
  <c r="Q183" i="1"/>
  <c r="P183" i="1"/>
  <c r="BA183" i="1"/>
  <c r="B183" i="1"/>
  <c r="AK183" i="1" s="1"/>
  <c r="B477" i="1"/>
  <c r="AK477" i="1" s="1"/>
  <c r="B476" i="1"/>
  <c r="AK476" i="1" s="1"/>
  <c r="B475" i="1"/>
  <c r="AK475" i="1" s="1"/>
  <c r="B474" i="1"/>
  <c r="AK474" i="1" s="1"/>
  <c r="B473" i="1"/>
  <c r="AK473" i="1" s="1"/>
  <c r="B472" i="1"/>
  <c r="AK472" i="1" s="1"/>
  <c r="B471" i="1"/>
  <c r="AK471" i="1" s="1"/>
  <c r="B470" i="1"/>
  <c r="AK470" i="1" s="1"/>
  <c r="B469" i="1"/>
  <c r="AK469" i="1" s="1"/>
  <c r="B468" i="1"/>
  <c r="AK468" i="1" s="1"/>
  <c r="B467" i="1"/>
  <c r="AK467" i="1" s="1"/>
  <c r="B466" i="1"/>
  <c r="AK466" i="1" s="1"/>
  <c r="B465" i="1"/>
  <c r="AK465" i="1" s="1"/>
  <c r="B464" i="1"/>
  <c r="AK464" i="1" s="1"/>
  <c r="B463" i="1"/>
  <c r="AK463" i="1" s="1"/>
  <c r="B462" i="1"/>
  <c r="AK462" i="1" s="1"/>
  <c r="B461" i="1"/>
  <c r="AK461" i="1" s="1"/>
  <c r="B460" i="1"/>
  <c r="AK460" i="1" s="1"/>
  <c r="B459" i="1"/>
  <c r="AK459" i="1" s="1"/>
  <c r="B458" i="1"/>
  <c r="AK458" i="1" s="1"/>
  <c r="B457" i="1"/>
  <c r="AK457" i="1" s="1"/>
  <c r="B456" i="1"/>
  <c r="AK456" i="1" s="1"/>
  <c r="B455" i="1"/>
  <c r="AK455" i="1" s="1"/>
  <c r="B454" i="1"/>
  <c r="AK454" i="1" s="1"/>
  <c r="B453" i="1"/>
  <c r="AK453" i="1" s="1"/>
  <c r="B452" i="1"/>
  <c r="AK452" i="1" s="1"/>
  <c r="B451" i="1"/>
  <c r="AK451" i="1" s="1"/>
  <c r="B450" i="1"/>
  <c r="AK450" i="1" s="1"/>
  <c r="B449" i="1"/>
  <c r="AK449" i="1" s="1"/>
  <c r="B448" i="1"/>
  <c r="AK448" i="1" s="1"/>
  <c r="B447" i="1"/>
  <c r="AK447" i="1" s="1"/>
  <c r="B446" i="1"/>
  <c r="AK446" i="1" s="1"/>
  <c r="B445" i="1"/>
  <c r="AK445" i="1" s="1"/>
  <c r="B444" i="1"/>
  <c r="AK444" i="1" s="1"/>
  <c r="B443" i="1"/>
  <c r="AK443" i="1" s="1"/>
  <c r="B442" i="1"/>
  <c r="AK442" i="1" s="1"/>
  <c r="B441" i="1"/>
  <c r="AK441" i="1" s="1"/>
  <c r="B440" i="1"/>
  <c r="AK440" i="1" s="1"/>
  <c r="B439" i="1"/>
  <c r="AK439" i="1" s="1"/>
  <c r="B438" i="1"/>
  <c r="AK438" i="1" s="1"/>
  <c r="B437" i="1"/>
  <c r="AK437" i="1" s="1"/>
  <c r="B436" i="1"/>
  <c r="AK436" i="1" s="1"/>
  <c r="B435" i="1"/>
  <c r="AK435" i="1" s="1"/>
  <c r="B434" i="1"/>
  <c r="AK434" i="1" s="1"/>
  <c r="B433" i="1"/>
  <c r="AK433" i="1" s="1"/>
  <c r="B432" i="1"/>
  <c r="AK432" i="1" s="1"/>
  <c r="B431" i="1"/>
  <c r="AK431" i="1" s="1"/>
  <c r="B430" i="1"/>
  <c r="AK430" i="1" s="1"/>
  <c r="B429" i="1"/>
  <c r="AK429" i="1" s="1"/>
  <c r="B428" i="1"/>
  <c r="AK428" i="1" s="1"/>
  <c r="B427" i="1"/>
  <c r="AK427" i="1" s="1"/>
  <c r="B426" i="1"/>
  <c r="AK426" i="1" s="1"/>
  <c r="B425" i="1"/>
  <c r="AK425" i="1" s="1"/>
  <c r="B424" i="1"/>
  <c r="AK424" i="1" s="1"/>
  <c r="B423" i="1"/>
  <c r="AK423" i="1" s="1"/>
  <c r="B422" i="1"/>
  <c r="AK422" i="1" s="1"/>
  <c r="B421" i="1"/>
  <c r="AK421" i="1" s="1"/>
  <c r="B420" i="1"/>
  <c r="AK420" i="1" s="1"/>
  <c r="B419" i="1"/>
  <c r="AK419" i="1" s="1"/>
  <c r="B418" i="1"/>
  <c r="AK418" i="1" s="1"/>
  <c r="B417" i="1"/>
  <c r="AK417" i="1" s="1"/>
  <c r="B416" i="1"/>
  <c r="AK416" i="1" s="1"/>
  <c r="B415" i="1"/>
  <c r="AK415" i="1" s="1"/>
  <c r="B414" i="1"/>
  <c r="AK414" i="1" s="1"/>
  <c r="B413" i="1"/>
  <c r="AK413" i="1" s="1"/>
  <c r="B412" i="1"/>
  <c r="AK412" i="1" s="1"/>
  <c r="B411" i="1"/>
  <c r="AK411" i="1" s="1"/>
  <c r="B410" i="1"/>
  <c r="AK410" i="1" s="1"/>
  <c r="B409" i="1"/>
  <c r="AK409" i="1" s="1"/>
  <c r="B408" i="1"/>
  <c r="AK408" i="1" s="1"/>
  <c r="B407" i="1"/>
  <c r="AK407" i="1" s="1"/>
  <c r="B406" i="1"/>
  <c r="AK406" i="1" s="1"/>
  <c r="B405" i="1"/>
  <c r="AK405" i="1" s="1"/>
  <c r="B404" i="1"/>
  <c r="AK404" i="1" s="1"/>
  <c r="B403" i="1"/>
  <c r="AK403" i="1" s="1"/>
  <c r="B402" i="1"/>
  <c r="AK402" i="1" s="1"/>
  <c r="B401" i="1"/>
  <c r="AK401" i="1" s="1"/>
  <c r="B400" i="1"/>
  <c r="AK400" i="1" s="1"/>
  <c r="B399" i="1"/>
  <c r="AK399" i="1" s="1"/>
  <c r="B398" i="1"/>
  <c r="AK398" i="1" s="1"/>
  <c r="B397" i="1"/>
  <c r="AK397" i="1" s="1"/>
  <c r="B396" i="1"/>
  <c r="AK396" i="1" s="1"/>
  <c r="B395" i="1"/>
  <c r="AK395" i="1" s="1"/>
  <c r="B394" i="1"/>
  <c r="AK394" i="1" s="1"/>
  <c r="B393" i="1"/>
  <c r="AK393" i="1" s="1"/>
  <c r="B392" i="1"/>
  <c r="AK392" i="1" s="1"/>
  <c r="B391" i="1"/>
  <c r="AK391" i="1" s="1"/>
  <c r="B390" i="1"/>
  <c r="AK390" i="1" s="1"/>
  <c r="B389" i="1"/>
  <c r="AK389" i="1" s="1"/>
  <c r="B388" i="1"/>
  <c r="AK388" i="1" s="1"/>
  <c r="B387" i="1"/>
  <c r="AK387" i="1" s="1"/>
  <c r="B386" i="1"/>
  <c r="AK386" i="1" s="1"/>
  <c r="B385" i="1"/>
  <c r="AK385" i="1" s="1"/>
  <c r="B384" i="1"/>
  <c r="AK384" i="1" s="1"/>
  <c r="B383" i="1"/>
  <c r="AK383" i="1" s="1"/>
  <c r="B382" i="1"/>
  <c r="AK382" i="1" s="1"/>
  <c r="B381" i="1"/>
  <c r="AK381" i="1" s="1"/>
  <c r="B380" i="1"/>
  <c r="AK380" i="1" s="1"/>
  <c r="B379" i="1"/>
  <c r="AK379" i="1" s="1"/>
  <c r="B378" i="1"/>
  <c r="AK378" i="1" s="1"/>
  <c r="B377" i="1"/>
  <c r="AK377" i="1" s="1"/>
  <c r="B376" i="1"/>
  <c r="AK376" i="1" s="1"/>
  <c r="B354" i="1"/>
  <c r="AK354" i="1" s="1"/>
  <c r="B277" i="1"/>
  <c r="AK277" i="1" s="1"/>
  <c r="B276" i="1"/>
  <c r="AK276" i="1" s="1"/>
  <c r="B275" i="1"/>
  <c r="AK275" i="1" s="1"/>
  <c r="B351" i="1"/>
  <c r="AK351" i="1" s="1"/>
  <c r="B348" i="1"/>
  <c r="AK348" i="1" s="1"/>
  <c r="B352" i="1"/>
  <c r="AK352" i="1" s="1"/>
  <c r="B350" i="1"/>
  <c r="AK350" i="1" s="1"/>
  <c r="B347" i="1"/>
  <c r="AK347" i="1" s="1"/>
  <c r="B349" i="1"/>
  <c r="AK349" i="1" s="1"/>
  <c r="B346" i="1"/>
  <c r="AK346" i="1" s="1"/>
  <c r="B336" i="1"/>
  <c r="AK336" i="1" s="1"/>
  <c r="B345" i="1"/>
  <c r="AK345" i="1" s="1"/>
  <c r="B344" i="1"/>
  <c r="AK344" i="1" s="1"/>
  <c r="B343" i="1"/>
  <c r="AK343" i="1" s="1"/>
  <c r="B342" i="1"/>
  <c r="AK342" i="1" s="1"/>
  <c r="B341" i="1"/>
  <c r="AK341" i="1" s="1"/>
  <c r="B340" i="1"/>
  <c r="AK340" i="1" s="1"/>
  <c r="B339" i="1"/>
  <c r="AK339" i="1" s="1"/>
  <c r="B338" i="1"/>
  <c r="AK338" i="1" s="1"/>
  <c r="B337" i="1"/>
  <c r="AK337" i="1" s="1"/>
  <c r="B335" i="1"/>
  <c r="AK335" i="1" s="1"/>
  <c r="B334" i="1"/>
  <c r="AK334" i="1" s="1"/>
  <c r="B333" i="1"/>
  <c r="AK333" i="1" s="1"/>
  <c r="B332" i="1"/>
  <c r="AK332" i="1" s="1"/>
  <c r="B331" i="1"/>
  <c r="AK331" i="1" s="1"/>
  <c r="B330" i="1"/>
  <c r="AK330" i="1" s="1"/>
  <c r="B329" i="1"/>
  <c r="AK329" i="1" s="1"/>
  <c r="B328" i="1"/>
  <c r="AK328" i="1" s="1"/>
  <c r="B327" i="1"/>
  <c r="AK327" i="1" s="1"/>
  <c r="B326" i="1"/>
  <c r="AK326" i="1" s="1"/>
  <c r="B325" i="1"/>
  <c r="AK325" i="1" s="1"/>
  <c r="B324" i="1"/>
  <c r="AK324" i="1" s="1"/>
  <c r="B323" i="1"/>
  <c r="AK323" i="1" s="1"/>
  <c r="B322" i="1"/>
  <c r="AK322" i="1" s="1"/>
  <c r="B321" i="1"/>
  <c r="AK321" i="1" s="1"/>
  <c r="B320" i="1"/>
  <c r="AK320" i="1" s="1"/>
  <c r="B313" i="1"/>
  <c r="AK313" i="1" s="1"/>
  <c r="B312" i="1"/>
  <c r="AK312" i="1" s="1"/>
  <c r="B311" i="1"/>
  <c r="AK311" i="1" s="1"/>
  <c r="B310" i="1"/>
  <c r="AK310" i="1" s="1"/>
  <c r="B309" i="1"/>
  <c r="AK309" i="1" s="1"/>
  <c r="B308" i="1"/>
  <c r="AK308" i="1" s="1"/>
  <c r="B307" i="1"/>
  <c r="AK307" i="1" s="1"/>
  <c r="B306" i="1"/>
  <c r="AK306" i="1" s="1"/>
  <c r="B305" i="1"/>
  <c r="AK305" i="1" s="1"/>
  <c r="B304" i="1"/>
  <c r="AK304" i="1" s="1"/>
  <c r="B303" i="1"/>
  <c r="AK303" i="1" s="1"/>
  <c r="B302" i="1"/>
  <c r="AK302" i="1" s="1"/>
  <c r="B301" i="1"/>
  <c r="AK301" i="1" s="1"/>
  <c r="B300" i="1"/>
  <c r="AK300" i="1" s="1"/>
  <c r="B299" i="1"/>
  <c r="AK299" i="1" s="1"/>
  <c r="B298" i="1"/>
  <c r="AK298" i="1" s="1"/>
  <c r="B297" i="1"/>
  <c r="AK297" i="1" s="1"/>
  <c r="B296" i="1"/>
  <c r="AK296" i="1" s="1"/>
  <c r="B295" i="1"/>
  <c r="AK295" i="1" s="1"/>
  <c r="B294" i="1"/>
  <c r="AK294" i="1" s="1"/>
  <c r="B293" i="1"/>
  <c r="AK293" i="1" s="1"/>
  <c r="B292" i="1"/>
  <c r="AK292" i="1" s="1"/>
  <c r="B291" i="1"/>
  <c r="AK291" i="1" s="1"/>
  <c r="B290" i="1"/>
  <c r="AK290" i="1" s="1"/>
  <c r="B289" i="1"/>
  <c r="AK289" i="1" s="1"/>
  <c r="B288" i="1"/>
  <c r="AK288" i="1" s="1"/>
  <c r="B287" i="1"/>
  <c r="AK287" i="1" s="1"/>
  <c r="B286" i="1"/>
  <c r="AK286" i="1" s="1"/>
  <c r="B285" i="1"/>
  <c r="AK285" i="1" s="1"/>
  <c r="B284" i="1"/>
  <c r="AK284" i="1" s="1"/>
  <c r="B283" i="1"/>
  <c r="AK283" i="1" s="1"/>
  <c r="B282" i="1"/>
  <c r="AK282" i="1" s="1"/>
  <c r="B281" i="1"/>
  <c r="AK281" i="1" s="1"/>
  <c r="B280" i="1"/>
  <c r="AK280" i="1" s="1"/>
  <c r="B279" i="1"/>
  <c r="AK279" i="1" s="1"/>
  <c r="B278" i="1"/>
  <c r="AK278" i="1" s="1"/>
  <c r="B254" i="1"/>
  <c r="AK254" i="1" s="1"/>
  <c r="B252" i="1"/>
  <c r="AK252" i="1" s="1"/>
  <c r="B240" i="1"/>
  <c r="AK240" i="1" s="1"/>
  <c r="B250" i="1"/>
  <c r="AK250" i="1" s="1"/>
  <c r="B256" i="1"/>
  <c r="AK256" i="1" s="1"/>
  <c r="B255" i="1"/>
  <c r="AK255" i="1" s="1"/>
  <c r="B274" i="1"/>
  <c r="AK274" i="1" s="1"/>
  <c r="B247" i="1"/>
  <c r="AK247" i="1" s="1"/>
  <c r="B273" i="1"/>
  <c r="AK273" i="1" s="1"/>
  <c r="AK253" i="1"/>
  <c r="B258" i="1"/>
  <c r="AK258" i="1" s="1"/>
  <c r="B221" i="1"/>
  <c r="AK221" i="1" s="1"/>
  <c r="B229" i="1"/>
  <c r="AK229" i="1" s="1"/>
  <c r="B257" i="1"/>
  <c r="AK257" i="1" s="1"/>
  <c r="B272" i="1"/>
  <c r="AK272" i="1" s="1"/>
  <c r="B271" i="1"/>
  <c r="AK271" i="1" s="1"/>
  <c r="B249" i="1"/>
  <c r="AK249" i="1" s="1"/>
  <c r="B248" i="1"/>
  <c r="AK248" i="1" s="1"/>
  <c r="B228" i="1"/>
  <c r="AK228" i="1" s="1"/>
  <c r="B270" i="1"/>
  <c r="AK270" i="1" s="1"/>
  <c r="B269" i="1"/>
  <c r="AK269" i="1" s="1"/>
  <c r="B268" i="1"/>
  <c r="AK268" i="1" s="1"/>
  <c r="B215" i="1"/>
  <c r="AK215" i="1" s="1"/>
  <c r="B182" i="1"/>
  <c r="AK182" i="1" s="1"/>
  <c r="B177" i="1"/>
  <c r="AK177" i="1" s="1"/>
  <c r="B176" i="1"/>
  <c r="AK176" i="1" s="1"/>
  <c r="B175" i="1"/>
  <c r="AK175" i="1" s="1"/>
  <c r="B174" i="1"/>
  <c r="AK174" i="1" s="1"/>
  <c r="B180" i="1"/>
  <c r="AK180" i="1" s="1"/>
  <c r="B181" i="1"/>
  <c r="AK181" i="1" s="1"/>
  <c r="B220" i="1"/>
  <c r="AK220" i="1" s="1"/>
  <c r="B222" i="1"/>
  <c r="AK222" i="1" s="1"/>
  <c r="B179" i="1"/>
  <c r="AK179" i="1" s="1"/>
  <c r="B219" i="1"/>
  <c r="AK219" i="1" s="1"/>
  <c r="B217" i="1"/>
  <c r="AK217" i="1" s="1"/>
  <c r="B178" i="1"/>
  <c r="AK178" i="1" s="1"/>
  <c r="B173" i="1"/>
  <c r="AK173" i="1" s="1"/>
  <c r="B172" i="1"/>
  <c r="AK172" i="1" s="1"/>
  <c r="B171" i="1"/>
  <c r="AK171" i="1" s="1"/>
  <c r="B170" i="1"/>
  <c r="AK170" i="1" s="1"/>
  <c r="B169" i="1"/>
  <c r="AK169" i="1" s="1"/>
  <c r="B168" i="1"/>
  <c r="AK168" i="1" s="1"/>
  <c r="B167" i="1"/>
  <c r="AK167" i="1" s="1"/>
  <c r="B166" i="1"/>
  <c r="AK166" i="1" s="1"/>
  <c r="B164" i="1"/>
  <c r="AK164" i="1" s="1"/>
  <c r="B163" i="1"/>
  <c r="AK163" i="1" s="1"/>
  <c r="B162" i="1"/>
  <c r="AK162" i="1" s="1"/>
  <c r="B141" i="1"/>
  <c r="AK141" i="1" s="1"/>
  <c r="B139" i="1"/>
  <c r="AK139" i="1" s="1"/>
  <c r="B134" i="1"/>
  <c r="AK134" i="1" s="1"/>
  <c r="B138" i="1"/>
  <c r="AK138" i="1" s="1"/>
  <c r="B137" i="1"/>
  <c r="AK137" i="1" s="1"/>
  <c r="B136" i="1"/>
  <c r="AK136" i="1" s="1"/>
  <c r="B133" i="1"/>
  <c r="AK133" i="1" s="1"/>
  <c r="B132" i="1"/>
  <c r="AK132" i="1" s="1"/>
  <c r="B115" i="1"/>
  <c r="AK115" i="1" s="1"/>
  <c r="B113" i="1"/>
  <c r="AK113" i="1" s="1"/>
  <c r="B112" i="1"/>
  <c r="AK112" i="1" s="1"/>
  <c r="B111" i="1"/>
  <c r="AK111" i="1" s="1"/>
  <c r="B110" i="1"/>
  <c r="AK110" i="1" s="1"/>
  <c r="B109" i="1"/>
  <c r="AK109" i="1" s="1"/>
  <c r="B108" i="1"/>
  <c r="AK108" i="1" s="1"/>
  <c r="B107" i="1"/>
  <c r="AK107" i="1" s="1"/>
  <c r="B106" i="1"/>
  <c r="AK106" i="1" s="1"/>
  <c r="B105" i="1"/>
  <c r="AK105" i="1" s="1"/>
  <c r="B104" i="1"/>
  <c r="AK104" i="1" s="1"/>
  <c r="B103" i="1"/>
  <c r="AK103" i="1" s="1"/>
  <c r="B102" i="1"/>
  <c r="AK102" i="1" s="1"/>
  <c r="B101" i="1"/>
  <c r="AK101" i="1" s="1"/>
  <c r="B100" i="1"/>
  <c r="AK100" i="1" s="1"/>
  <c r="B99" i="1"/>
  <c r="AK99" i="1" s="1"/>
  <c r="B98" i="1"/>
  <c r="AK98" i="1" s="1"/>
  <c r="B97" i="1"/>
  <c r="AK97" i="1" s="1"/>
  <c r="B96" i="1"/>
  <c r="AK96" i="1" s="1"/>
  <c r="B95" i="1"/>
  <c r="AK95" i="1" s="1"/>
  <c r="B94" i="1"/>
  <c r="AK94" i="1" s="1"/>
  <c r="B93" i="1"/>
  <c r="AK93" i="1" s="1"/>
  <c r="B92" i="1"/>
  <c r="AK92" i="1" s="1"/>
  <c r="B91" i="1"/>
  <c r="AK91" i="1" s="1"/>
  <c r="B90" i="1"/>
  <c r="AK90" i="1" s="1"/>
  <c r="B89" i="1"/>
  <c r="AK89" i="1" s="1"/>
  <c r="B88" i="1"/>
  <c r="AK88" i="1" s="1"/>
  <c r="B87" i="1"/>
  <c r="AK87" i="1" s="1"/>
  <c r="B86" i="1"/>
  <c r="AK86" i="1" s="1"/>
  <c r="B85" i="1"/>
  <c r="AK85" i="1" s="1"/>
  <c r="B84" i="1"/>
  <c r="AK84" i="1" s="1"/>
  <c r="B83" i="1"/>
  <c r="AK83" i="1" s="1"/>
  <c r="B82" i="1"/>
  <c r="AK82" i="1" s="1"/>
  <c r="B81" i="1"/>
  <c r="AK81" i="1" s="1"/>
  <c r="B80" i="1"/>
  <c r="AK80" i="1" s="1"/>
  <c r="B79" i="1"/>
  <c r="AK79" i="1" s="1"/>
  <c r="B78" i="1"/>
  <c r="AK78" i="1" s="1"/>
  <c r="B77" i="1"/>
  <c r="AK77" i="1" s="1"/>
  <c r="B75" i="1"/>
  <c r="AK75" i="1" s="1"/>
  <c r="B74" i="1"/>
  <c r="AK74" i="1" s="1"/>
  <c r="B73" i="1"/>
  <c r="AK73" i="1" s="1"/>
  <c r="B72" i="1"/>
  <c r="AK72" i="1" s="1"/>
  <c r="B71" i="1"/>
  <c r="AK71" i="1" s="1"/>
  <c r="B69" i="1"/>
  <c r="AK69" i="1" s="1"/>
  <c r="B68" i="1"/>
  <c r="AK68" i="1" s="1"/>
  <c r="B67" i="1"/>
  <c r="AK67" i="1" s="1"/>
  <c r="B66" i="1"/>
  <c r="AK66" i="1" s="1"/>
  <c r="B65" i="1"/>
  <c r="AK65" i="1" s="1"/>
  <c r="B64" i="1"/>
  <c r="AK64" i="1" s="1"/>
  <c r="B63" i="1"/>
  <c r="AK63" i="1" s="1"/>
  <c r="B62" i="1"/>
  <c r="AK62" i="1" s="1"/>
  <c r="B61" i="1"/>
  <c r="AK61" i="1" s="1"/>
  <c r="B60" i="1"/>
  <c r="AK60" i="1" s="1"/>
  <c r="B59" i="1"/>
  <c r="AK59" i="1" s="1"/>
  <c r="B58" i="1"/>
  <c r="AK58" i="1" s="1"/>
  <c r="B57" i="1"/>
  <c r="AK57" i="1" s="1"/>
  <c r="B56" i="1"/>
  <c r="AK56" i="1" s="1"/>
  <c r="B55" i="1"/>
  <c r="AK55" i="1" s="1"/>
  <c r="B54" i="1"/>
  <c r="AK54" i="1" s="1"/>
  <c r="B53" i="1"/>
  <c r="AK53" i="1" s="1"/>
  <c r="B52" i="1"/>
  <c r="AK52" i="1" s="1"/>
  <c r="B51" i="1"/>
  <c r="AK51" i="1" s="1"/>
  <c r="B50" i="1"/>
  <c r="AK50" i="1" s="1"/>
  <c r="B49" i="1"/>
  <c r="AK49" i="1" s="1"/>
  <c r="B48" i="1"/>
  <c r="AK48" i="1" s="1"/>
  <c r="B47" i="1"/>
  <c r="AK47" i="1" s="1"/>
  <c r="B46" i="1"/>
  <c r="AK46" i="1" s="1"/>
  <c r="B45" i="1"/>
  <c r="AK45" i="1" s="1"/>
  <c r="B44" i="1"/>
  <c r="AK44" i="1" s="1"/>
  <c r="B43" i="1"/>
  <c r="AK43" i="1" s="1"/>
  <c r="B42" i="1"/>
  <c r="AK42" i="1" s="1"/>
  <c r="B41" i="1"/>
  <c r="AK41" i="1" s="1"/>
  <c r="B40" i="1"/>
  <c r="AK40" i="1" s="1"/>
  <c r="B39" i="1"/>
  <c r="AK39" i="1" s="1"/>
  <c r="B38" i="1"/>
  <c r="AK38" i="1" s="1"/>
  <c r="B37" i="1"/>
  <c r="AK37" i="1" s="1"/>
  <c r="B36" i="1"/>
  <c r="AK36" i="1" s="1"/>
  <c r="B35" i="1"/>
  <c r="AK35" i="1" s="1"/>
  <c r="B34" i="1"/>
  <c r="AK34" i="1" s="1"/>
  <c r="B33" i="1"/>
  <c r="AK33" i="1" s="1"/>
  <c r="B32" i="1"/>
  <c r="AK32" i="1" s="1"/>
  <c r="B31" i="1"/>
  <c r="AK31" i="1" s="1"/>
  <c r="B30" i="1"/>
  <c r="AK30" i="1" s="1"/>
  <c r="B29" i="1"/>
  <c r="AK29" i="1" s="1"/>
  <c r="B28" i="1"/>
  <c r="AK28" i="1" s="1"/>
  <c r="B27" i="1"/>
  <c r="AK27" i="1" s="1"/>
  <c r="B26" i="1"/>
  <c r="AK26" i="1" s="1"/>
  <c r="B25" i="1"/>
  <c r="AK25" i="1" s="1"/>
  <c r="B24" i="1"/>
  <c r="AK24" i="1" s="1"/>
  <c r="B23" i="1"/>
  <c r="AK23" i="1" s="1"/>
  <c r="B22" i="1"/>
  <c r="AK22" i="1" s="1"/>
  <c r="B21" i="1"/>
  <c r="AK21" i="1" s="1"/>
  <c r="B20" i="1"/>
  <c r="AK20" i="1" s="1"/>
  <c r="B19" i="1"/>
  <c r="AK19" i="1" s="1"/>
  <c r="B18" i="1"/>
  <c r="AK18" i="1" s="1"/>
  <c r="B17" i="1"/>
  <c r="AK17" i="1" s="1"/>
  <c r="B16" i="1"/>
  <c r="AK16" i="1" s="1"/>
  <c r="B15" i="1"/>
  <c r="AK15" i="1" s="1"/>
  <c r="B14" i="1"/>
  <c r="AK14" i="1" s="1"/>
  <c r="B13" i="1"/>
  <c r="AK13" i="1" s="1"/>
  <c r="B12" i="1"/>
  <c r="AK12" i="1" s="1"/>
  <c r="B11" i="1"/>
  <c r="AK11" i="1" s="1"/>
  <c r="B10" i="1"/>
  <c r="AK10" i="1" s="1"/>
  <c r="B9" i="1"/>
  <c r="AK9" i="1" s="1"/>
  <c r="B8" i="1"/>
  <c r="AK8" i="1" s="1"/>
  <c r="B7" i="1"/>
  <c r="AK7" i="1" s="1"/>
  <c r="B6" i="1"/>
  <c r="AK6" i="1" s="1"/>
  <c r="B5" i="1"/>
  <c r="AK5" i="1" s="1"/>
  <c r="Z279" i="1"/>
  <c r="Y279" i="1"/>
  <c r="X279" i="1"/>
  <c r="V279" i="1"/>
  <c r="U279" i="1"/>
  <c r="T279" i="1"/>
  <c r="S279" i="1"/>
  <c r="R279" i="1"/>
  <c r="Q279" i="1"/>
  <c r="P279" i="1"/>
  <c r="BA279" i="1"/>
  <c r="Z278" i="1"/>
  <c r="Y278" i="1"/>
  <c r="X278" i="1"/>
  <c r="V278" i="1"/>
  <c r="U278" i="1"/>
  <c r="T278" i="1"/>
  <c r="S278" i="1"/>
  <c r="R278" i="1"/>
  <c r="Q278" i="1"/>
  <c r="P278" i="1"/>
  <c r="AZ278" i="1"/>
  <c r="Z254" i="1"/>
  <c r="Y254" i="1"/>
  <c r="X254" i="1"/>
  <c r="V254" i="1"/>
  <c r="U254" i="1"/>
  <c r="T254" i="1"/>
  <c r="S254" i="1"/>
  <c r="R254" i="1"/>
  <c r="Q254" i="1"/>
  <c r="P254" i="1"/>
  <c r="AL254" i="1"/>
  <c r="Z252" i="1"/>
  <c r="Y252" i="1"/>
  <c r="X252" i="1"/>
  <c r="V252" i="1"/>
  <c r="U252" i="1"/>
  <c r="T252" i="1"/>
  <c r="S252" i="1"/>
  <c r="R252" i="1"/>
  <c r="Q252" i="1"/>
  <c r="P252" i="1"/>
  <c r="AZ252" i="1"/>
  <c r="Z240" i="1"/>
  <c r="Y240" i="1"/>
  <c r="X240" i="1"/>
  <c r="V240" i="1"/>
  <c r="U240" i="1"/>
  <c r="T240" i="1"/>
  <c r="S240" i="1"/>
  <c r="R240" i="1"/>
  <c r="Q240" i="1"/>
  <c r="P240" i="1"/>
  <c r="AL240" i="1"/>
  <c r="Z250" i="1"/>
  <c r="Y250" i="1"/>
  <c r="X250" i="1"/>
  <c r="V250" i="1"/>
  <c r="U250" i="1"/>
  <c r="T250" i="1"/>
  <c r="S250" i="1"/>
  <c r="R250" i="1"/>
  <c r="Q250" i="1"/>
  <c r="P250" i="1"/>
  <c r="BA191" i="1"/>
  <c r="BA190" i="1"/>
  <c r="AZ216" i="1" l="1"/>
  <c r="AL216" i="1"/>
  <c r="AL218" i="1"/>
  <c r="AL183" i="1"/>
  <c r="BA187" i="1"/>
  <c r="BA184" i="1"/>
  <c r="AL185" i="1"/>
  <c r="AZ187" i="1"/>
  <c r="AZ185" i="1"/>
  <c r="AL186" i="1"/>
  <c r="AZ183" i="1"/>
  <c r="AL184" i="1"/>
  <c r="AZ186" i="1"/>
  <c r="AZ254" i="1"/>
  <c r="AZ240" i="1"/>
  <c r="AL278" i="1"/>
  <c r="AL250" i="1"/>
  <c r="BA278" i="1"/>
  <c r="AL279" i="1"/>
  <c r="AL252" i="1"/>
  <c r="AZ250" i="1"/>
  <c r="AZ279" i="1"/>
  <c r="BA218" i="1"/>
  <c r="BA216" i="1"/>
  <c r="BA250" i="1"/>
  <c r="BA240" i="1"/>
  <c r="BA254" i="1"/>
  <c r="BA252" i="1"/>
  <c r="Z143" i="1" l="1"/>
  <c r="Y143" i="1"/>
  <c r="X143" i="1"/>
  <c r="V143" i="1"/>
  <c r="U143" i="1"/>
  <c r="T143" i="1"/>
  <c r="S143" i="1"/>
  <c r="R143" i="1"/>
  <c r="Q143" i="1"/>
  <c r="P143" i="1"/>
  <c r="Z141" i="1"/>
  <c r="Y141" i="1"/>
  <c r="X141" i="1"/>
  <c r="V141" i="1"/>
  <c r="U141" i="1"/>
  <c r="T141" i="1"/>
  <c r="S141" i="1"/>
  <c r="R141" i="1"/>
  <c r="Q141" i="1"/>
  <c r="P141" i="1"/>
  <c r="AZ141" i="1"/>
  <c r="Z139" i="1"/>
  <c r="Y139" i="1"/>
  <c r="X139" i="1"/>
  <c r="V139" i="1"/>
  <c r="U139" i="1"/>
  <c r="T139" i="1"/>
  <c r="S139" i="1"/>
  <c r="R139" i="1"/>
  <c r="Q139" i="1"/>
  <c r="P139" i="1"/>
  <c r="AL139" i="1"/>
  <c r="Z134" i="1"/>
  <c r="Y134" i="1"/>
  <c r="X134" i="1"/>
  <c r="V134" i="1"/>
  <c r="U134" i="1"/>
  <c r="T134" i="1"/>
  <c r="S134" i="1"/>
  <c r="R134" i="1"/>
  <c r="Q134" i="1"/>
  <c r="P134" i="1"/>
  <c r="AZ134" i="1"/>
  <c r="Z138" i="1"/>
  <c r="Y138" i="1"/>
  <c r="X138" i="1"/>
  <c r="V138" i="1"/>
  <c r="U138" i="1"/>
  <c r="T138" i="1"/>
  <c r="S138" i="1"/>
  <c r="R138" i="1"/>
  <c r="Q138" i="1"/>
  <c r="P138" i="1"/>
  <c r="AZ138" i="1"/>
  <c r="Z137" i="1"/>
  <c r="Y137" i="1"/>
  <c r="X137" i="1"/>
  <c r="V137" i="1"/>
  <c r="U137" i="1"/>
  <c r="T137" i="1"/>
  <c r="S137" i="1"/>
  <c r="R137" i="1"/>
  <c r="Q137" i="1"/>
  <c r="P137" i="1"/>
  <c r="AL137" i="1"/>
  <c r="Z136" i="1"/>
  <c r="Y136" i="1"/>
  <c r="X136" i="1"/>
  <c r="V136" i="1"/>
  <c r="U136" i="1"/>
  <c r="T136" i="1"/>
  <c r="S136" i="1"/>
  <c r="R136" i="1"/>
  <c r="Q136" i="1"/>
  <c r="P136" i="1"/>
  <c r="AZ136" i="1"/>
  <c r="Z133" i="1"/>
  <c r="Y133" i="1"/>
  <c r="X133" i="1"/>
  <c r="V133" i="1"/>
  <c r="U133" i="1"/>
  <c r="T133" i="1"/>
  <c r="S133" i="1"/>
  <c r="R133" i="1"/>
  <c r="Q133" i="1"/>
  <c r="P133" i="1"/>
  <c r="AL133" i="1"/>
  <c r="Z132" i="1"/>
  <c r="Y132" i="1"/>
  <c r="X132" i="1"/>
  <c r="V132" i="1"/>
  <c r="U132" i="1"/>
  <c r="T132" i="1"/>
  <c r="S132" i="1"/>
  <c r="R132" i="1"/>
  <c r="Q132" i="1"/>
  <c r="P132" i="1"/>
  <c r="AZ132" i="1"/>
  <c r="AZ137" i="1" l="1"/>
  <c r="AL138" i="1"/>
  <c r="AL134" i="1"/>
  <c r="AL132" i="1"/>
  <c r="AZ133" i="1"/>
  <c r="AZ139" i="1"/>
  <c r="AL136" i="1"/>
  <c r="AL141" i="1"/>
  <c r="BA139" i="1"/>
  <c r="BA141" i="1"/>
  <c r="BA133" i="1"/>
  <c r="BA132" i="1"/>
  <c r="BA138" i="1"/>
  <c r="BA137" i="1"/>
  <c r="BA136" i="1"/>
  <c r="BA134" i="1"/>
  <c r="AK3" i="1" l="1"/>
  <c r="B76" i="7" l="1"/>
  <c r="C76" i="7"/>
  <c r="AX76" i="7" s="1"/>
  <c r="K76" i="7"/>
  <c r="M76" i="7"/>
  <c r="P76" i="7"/>
  <c r="Q76" i="7"/>
  <c r="R76" i="7"/>
  <c r="S76" i="7"/>
  <c r="T76" i="7"/>
  <c r="U76" i="7"/>
  <c r="V76" i="7"/>
  <c r="X76" i="7"/>
  <c r="Y76" i="7"/>
  <c r="Z76" i="7"/>
  <c r="AU76" i="7"/>
  <c r="B77" i="7"/>
  <c r="AK76" i="7" s="1"/>
  <c r="C77" i="7"/>
  <c r="AL77" i="7" s="1"/>
  <c r="K77" i="7"/>
  <c r="M77" i="7"/>
  <c r="P77" i="7"/>
  <c r="Q77" i="7"/>
  <c r="R77" i="7"/>
  <c r="S77" i="7"/>
  <c r="T77" i="7"/>
  <c r="U77" i="7"/>
  <c r="V77" i="7"/>
  <c r="X77" i="7"/>
  <c r="Y77" i="7"/>
  <c r="Z77" i="7"/>
  <c r="AU77" i="7"/>
  <c r="B78" i="7"/>
  <c r="AK77" i="7" s="1"/>
  <c r="C78" i="7"/>
  <c r="AL78" i="7" s="1"/>
  <c r="K78" i="7"/>
  <c r="M78" i="7"/>
  <c r="P78" i="7"/>
  <c r="Q78" i="7"/>
  <c r="R78" i="7"/>
  <c r="S78" i="7"/>
  <c r="T78" i="7"/>
  <c r="U78" i="7"/>
  <c r="V78" i="7"/>
  <c r="X78" i="7"/>
  <c r="Y78" i="7"/>
  <c r="Z78" i="7"/>
  <c r="AU78" i="7"/>
  <c r="B79" i="7"/>
  <c r="AK78" i="7" s="1"/>
  <c r="C79" i="7"/>
  <c r="AL79" i="7" s="1"/>
  <c r="K79" i="7"/>
  <c r="M79" i="7"/>
  <c r="P79" i="7"/>
  <c r="Q79" i="7"/>
  <c r="R79" i="7"/>
  <c r="S79" i="7"/>
  <c r="T79" i="7"/>
  <c r="U79" i="7"/>
  <c r="V79" i="7"/>
  <c r="X79" i="7"/>
  <c r="Y79" i="7"/>
  <c r="Z79" i="7"/>
  <c r="AU79" i="7"/>
  <c r="AL76" i="7" l="1"/>
  <c r="AX78" i="7"/>
  <c r="AX77" i="7"/>
  <c r="AX79" i="7"/>
  <c r="AK715" i="7"/>
  <c r="AK714" i="7"/>
  <c r="AK713" i="7"/>
  <c r="AK712" i="7"/>
  <c r="AK711" i="7"/>
  <c r="AK710" i="7"/>
  <c r="AK709" i="7"/>
  <c r="AK708" i="7"/>
  <c r="AK707" i="7"/>
  <c r="AK706" i="7"/>
  <c r="AK705" i="7"/>
  <c r="AK704" i="7"/>
  <c r="AK703" i="7"/>
  <c r="AK702" i="7"/>
  <c r="AK701" i="7"/>
  <c r="AK700" i="7"/>
  <c r="AK699" i="7"/>
  <c r="AK698" i="7"/>
  <c r="AK697" i="7"/>
  <c r="AK696" i="7"/>
  <c r="AK695" i="7"/>
  <c r="AK694" i="7"/>
  <c r="AK693" i="7"/>
  <c r="AK692" i="7"/>
  <c r="AK691" i="7"/>
  <c r="AK690" i="7"/>
  <c r="AK689" i="7"/>
  <c r="AK688" i="7"/>
  <c r="AK687" i="7"/>
  <c r="AK686" i="7"/>
  <c r="AK685" i="7"/>
  <c r="AK684" i="7"/>
  <c r="AK683" i="7"/>
  <c r="AK682" i="7"/>
  <c r="AK681" i="7"/>
  <c r="AK680" i="7"/>
  <c r="AK679" i="7"/>
  <c r="AK678" i="7"/>
  <c r="AK677" i="7"/>
  <c r="AK676" i="7"/>
  <c r="AK675" i="7"/>
  <c r="AK674" i="7"/>
  <c r="AK673" i="7"/>
  <c r="AK672" i="7"/>
  <c r="AK671" i="7"/>
  <c r="AK670" i="7"/>
  <c r="AK669" i="7"/>
  <c r="AK668" i="7"/>
  <c r="AK667" i="7"/>
  <c r="AK666" i="7"/>
  <c r="AK665" i="7"/>
  <c r="AK664" i="7"/>
  <c r="AK663" i="7"/>
  <c r="AK662" i="7"/>
  <c r="AK661" i="7"/>
  <c r="AK660" i="7"/>
  <c r="AK659" i="7"/>
  <c r="AK658" i="7"/>
  <c r="AK657" i="7"/>
  <c r="AK656" i="7"/>
  <c r="AK655" i="7"/>
  <c r="AK654" i="7"/>
  <c r="AK653" i="7"/>
  <c r="AK652" i="7"/>
  <c r="AK651" i="7"/>
  <c r="AK650" i="7"/>
  <c r="AK649" i="7"/>
  <c r="AK648" i="7"/>
  <c r="AK647" i="7"/>
  <c r="AK646" i="7"/>
  <c r="AK645" i="7"/>
  <c r="AK644" i="7"/>
  <c r="AK643" i="7"/>
  <c r="AK642" i="7"/>
  <c r="AK641" i="7"/>
  <c r="AK640" i="7"/>
  <c r="AK639" i="7"/>
  <c r="AK638" i="7"/>
  <c r="AK637" i="7"/>
  <c r="AK636" i="7"/>
  <c r="AK635" i="7"/>
  <c r="AV634" i="7"/>
  <c r="AU634" i="7"/>
  <c r="AK634" i="7"/>
  <c r="AV633" i="7"/>
  <c r="AU633" i="7"/>
  <c r="AK633" i="7"/>
  <c r="AV632" i="7"/>
  <c r="AU632" i="7"/>
  <c r="AK632" i="7"/>
  <c r="AV631" i="7"/>
  <c r="AU631" i="7"/>
  <c r="AK631" i="7"/>
  <c r="AV630" i="7"/>
  <c r="AU630" i="7"/>
  <c r="AK630" i="7"/>
  <c r="AV629" i="7"/>
  <c r="AU629" i="7"/>
  <c r="AK629" i="7"/>
  <c r="AV628" i="7"/>
  <c r="AU628" i="7"/>
  <c r="AK628" i="7"/>
  <c r="AV627" i="7"/>
  <c r="AU627" i="7"/>
  <c r="AK627" i="7"/>
  <c r="AV626" i="7"/>
  <c r="AU626" i="7"/>
  <c r="AK626" i="7"/>
  <c r="AV625" i="7"/>
  <c r="AU625" i="7"/>
  <c r="AK625" i="7"/>
  <c r="C625" i="7"/>
  <c r="AV624" i="7"/>
  <c r="AU624" i="7"/>
  <c r="AK624" i="7"/>
  <c r="C624" i="7"/>
  <c r="AV623" i="7"/>
  <c r="AU623" i="7"/>
  <c r="AK623" i="7"/>
  <c r="C623" i="7"/>
  <c r="AV622" i="7"/>
  <c r="AU622" i="7"/>
  <c r="AK622" i="7"/>
  <c r="C622" i="7"/>
  <c r="AV621" i="7"/>
  <c r="AU621" i="7"/>
  <c r="AK621" i="7"/>
  <c r="C621" i="7"/>
  <c r="AV620" i="7"/>
  <c r="AU620" i="7"/>
  <c r="AK620" i="7"/>
  <c r="C620" i="7"/>
  <c r="AX620" i="7" s="1"/>
  <c r="B620" i="7"/>
  <c r="AK619" i="7" s="1"/>
  <c r="AV619" i="7"/>
  <c r="AU619" i="7"/>
  <c r="C619" i="7"/>
  <c r="AX619" i="7" s="1"/>
  <c r="B619" i="7"/>
  <c r="AK618" i="7" s="1"/>
  <c r="AV618" i="7"/>
  <c r="AU618" i="7"/>
  <c r="C618" i="7"/>
  <c r="AX618" i="7" s="1"/>
  <c r="B618" i="7"/>
  <c r="AK617" i="7" s="1"/>
  <c r="AV617" i="7"/>
  <c r="AU617" i="7"/>
  <c r="C617" i="7"/>
  <c r="AX617" i="7" s="1"/>
  <c r="B617" i="7"/>
  <c r="AK616" i="7" s="1"/>
  <c r="AV616" i="7"/>
  <c r="AU616" i="7"/>
  <c r="C616" i="7"/>
  <c r="AX616" i="7" s="1"/>
  <c r="B616" i="7"/>
  <c r="AK615" i="7" s="1"/>
  <c r="AV615" i="7"/>
  <c r="AU615" i="7"/>
  <c r="C615" i="7"/>
  <c r="AX615" i="7" s="1"/>
  <c r="B615" i="7"/>
  <c r="AK614" i="7" s="1"/>
  <c r="AV614" i="7"/>
  <c r="AU614" i="7"/>
  <c r="C614" i="7"/>
  <c r="AX614" i="7" s="1"/>
  <c r="B614" i="7"/>
  <c r="AK613" i="7" s="1"/>
  <c r="AV613" i="7"/>
  <c r="AU613" i="7"/>
  <c r="C613" i="7"/>
  <c r="AX613" i="7" s="1"/>
  <c r="B613" i="7"/>
  <c r="AK612" i="7" s="1"/>
  <c r="AV612" i="7"/>
  <c r="AU612" i="7"/>
  <c r="C612" i="7"/>
  <c r="AX612" i="7" s="1"/>
  <c r="B612" i="7"/>
  <c r="AK611" i="7" s="1"/>
  <c r="AV611" i="7"/>
  <c r="AU611" i="7"/>
  <c r="C611" i="7"/>
  <c r="AX611" i="7" s="1"/>
  <c r="B611" i="7"/>
  <c r="AK610" i="7" s="1"/>
  <c r="AV610" i="7"/>
  <c r="AU610" i="7"/>
  <c r="C610" i="7"/>
  <c r="AX610" i="7" s="1"/>
  <c r="B610" i="7"/>
  <c r="AK609" i="7" s="1"/>
  <c r="AV609" i="7"/>
  <c r="AU609" i="7"/>
  <c r="C609" i="7"/>
  <c r="AX609" i="7" s="1"/>
  <c r="B609" i="7"/>
  <c r="AK608" i="7" s="1"/>
  <c r="AV608" i="7"/>
  <c r="AU608" i="7"/>
  <c r="C608" i="7"/>
  <c r="AX608" i="7" s="1"/>
  <c r="B608" i="7"/>
  <c r="AK607" i="7" s="1"/>
  <c r="AV607" i="7"/>
  <c r="AU607" i="7"/>
  <c r="C607" i="7"/>
  <c r="AX607" i="7" s="1"/>
  <c r="B607" i="7"/>
  <c r="AK606" i="7" s="1"/>
  <c r="AV606" i="7"/>
  <c r="AU606" i="7"/>
  <c r="C606" i="7"/>
  <c r="AX606" i="7" s="1"/>
  <c r="B606" i="7"/>
  <c r="AK605" i="7" s="1"/>
  <c r="AV605" i="7"/>
  <c r="AU605" i="7"/>
  <c r="C605" i="7"/>
  <c r="AX605" i="7" s="1"/>
  <c r="B605" i="7"/>
  <c r="AK604" i="7" s="1"/>
  <c r="AV604" i="7"/>
  <c r="AU604" i="7"/>
  <c r="C604" i="7"/>
  <c r="AX604" i="7" s="1"/>
  <c r="B604" i="7"/>
  <c r="AK603" i="7" s="1"/>
  <c r="AV603" i="7"/>
  <c r="AU603" i="7"/>
  <c r="C603" i="7"/>
  <c r="AX603" i="7" s="1"/>
  <c r="B603" i="7"/>
  <c r="AK602" i="7" s="1"/>
  <c r="AV602" i="7"/>
  <c r="AU602" i="7"/>
  <c r="C602" i="7"/>
  <c r="AX602" i="7" s="1"/>
  <c r="B602" i="7"/>
  <c r="AK601" i="7" s="1"/>
  <c r="AV601" i="7"/>
  <c r="AU601" i="7"/>
  <c r="C601" i="7"/>
  <c r="AX601" i="7" s="1"/>
  <c r="B601" i="7"/>
  <c r="AK600" i="7" s="1"/>
  <c r="AV600" i="7"/>
  <c r="AU600" i="7"/>
  <c r="C600" i="7"/>
  <c r="AX600" i="7" s="1"/>
  <c r="B600" i="7"/>
  <c r="AK599" i="7" s="1"/>
  <c r="AV599" i="7"/>
  <c r="AU599" i="7"/>
  <c r="C599" i="7"/>
  <c r="AX599" i="7" s="1"/>
  <c r="B599" i="7"/>
  <c r="AK598" i="7" s="1"/>
  <c r="AV598" i="7"/>
  <c r="AU598" i="7"/>
  <c r="C598" i="7"/>
  <c r="AX598" i="7" s="1"/>
  <c r="B598" i="7"/>
  <c r="AK597" i="7" s="1"/>
  <c r="AV597" i="7"/>
  <c r="AU597" i="7"/>
  <c r="C597" i="7"/>
  <c r="AX597" i="7" s="1"/>
  <c r="B597" i="7"/>
  <c r="AK596" i="7" s="1"/>
  <c r="AV596" i="7"/>
  <c r="AU596" i="7"/>
  <c r="C596" i="7"/>
  <c r="AX596" i="7" s="1"/>
  <c r="B596" i="7"/>
  <c r="AK595" i="7" s="1"/>
  <c r="AV595" i="7"/>
  <c r="AU595" i="7"/>
  <c r="C595" i="7"/>
  <c r="AX595" i="7" s="1"/>
  <c r="B595" i="7"/>
  <c r="AK594" i="7" s="1"/>
  <c r="AV594" i="7"/>
  <c r="AU594" i="7"/>
  <c r="C594" i="7"/>
  <c r="AX594" i="7" s="1"/>
  <c r="B594" i="7"/>
  <c r="AK593" i="7" s="1"/>
  <c r="AV593" i="7"/>
  <c r="AU593" i="7"/>
  <c r="C593" i="7"/>
  <c r="AX593" i="7" s="1"/>
  <c r="B593" i="7"/>
  <c r="AK592" i="7" s="1"/>
  <c r="AV592" i="7"/>
  <c r="AU592" i="7"/>
  <c r="C592" i="7"/>
  <c r="AX592" i="7" s="1"/>
  <c r="B592" i="7"/>
  <c r="AK591" i="7" s="1"/>
  <c r="AV591" i="7"/>
  <c r="AU591" i="7"/>
  <c r="C591" i="7"/>
  <c r="AX591" i="7" s="1"/>
  <c r="B591" i="7"/>
  <c r="AK590" i="7" s="1"/>
  <c r="AV590" i="7"/>
  <c r="AU590" i="7"/>
  <c r="C590" i="7"/>
  <c r="AX590" i="7" s="1"/>
  <c r="B590" i="7"/>
  <c r="AK589" i="7" s="1"/>
  <c r="AV589" i="7"/>
  <c r="AU589" i="7"/>
  <c r="C589" i="7"/>
  <c r="AX589" i="7" s="1"/>
  <c r="B589" i="7"/>
  <c r="AK588" i="7" s="1"/>
  <c r="AV588" i="7"/>
  <c r="AU588" i="7"/>
  <c r="C588" i="7"/>
  <c r="AX588" i="7" s="1"/>
  <c r="B588" i="7"/>
  <c r="AK587" i="7" s="1"/>
  <c r="AV587" i="7"/>
  <c r="AU587" i="7"/>
  <c r="C587" i="7"/>
  <c r="AX587" i="7" s="1"/>
  <c r="B587" i="7"/>
  <c r="AK586" i="7" s="1"/>
  <c r="AU586" i="7"/>
  <c r="Z586" i="7"/>
  <c r="Y586" i="7"/>
  <c r="X586" i="7"/>
  <c r="V586" i="7"/>
  <c r="U586" i="7"/>
  <c r="T586" i="7"/>
  <c r="S586" i="7"/>
  <c r="R586" i="7"/>
  <c r="Q586" i="7"/>
  <c r="P586" i="7"/>
  <c r="C586" i="7"/>
  <c r="AX586" i="7" s="1"/>
  <c r="B586" i="7"/>
  <c r="AK585" i="7" s="1"/>
  <c r="AU585" i="7"/>
  <c r="Z585" i="7"/>
  <c r="Y585" i="7"/>
  <c r="X585" i="7"/>
  <c r="V585" i="7"/>
  <c r="U585" i="7"/>
  <c r="T585" i="7"/>
  <c r="S585" i="7"/>
  <c r="R585" i="7"/>
  <c r="Q585" i="7"/>
  <c r="P585" i="7"/>
  <c r="C585" i="7"/>
  <c r="AX585" i="7" s="1"/>
  <c r="B585" i="7"/>
  <c r="AK584" i="7" s="1"/>
  <c r="AU584" i="7"/>
  <c r="Z584" i="7"/>
  <c r="Y584" i="7"/>
  <c r="X584" i="7"/>
  <c r="V584" i="7"/>
  <c r="U584" i="7"/>
  <c r="T584" i="7"/>
  <c r="S584" i="7"/>
  <c r="R584" i="7"/>
  <c r="Q584" i="7"/>
  <c r="P584" i="7"/>
  <c r="C584" i="7"/>
  <c r="AX584" i="7" s="1"/>
  <c r="B584" i="7"/>
  <c r="AK583" i="7" s="1"/>
  <c r="AU583" i="7"/>
  <c r="Z583" i="7"/>
  <c r="Y583" i="7"/>
  <c r="X583" i="7"/>
  <c r="V583" i="7"/>
  <c r="U583" i="7"/>
  <c r="T583" i="7"/>
  <c r="S583" i="7"/>
  <c r="R583" i="7"/>
  <c r="Q583" i="7"/>
  <c r="P583" i="7"/>
  <c r="C583" i="7"/>
  <c r="AX583" i="7" s="1"/>
  <c r="B583" i="7"/>
  <c r="AK582" i="7" s="1"/>
  <c r="AU582" i="7"/>
  <c r="Z582" i="7"/>
  <c r="Y582" i="7"/>
  <c r="X582" i="7"/>
  <c r="V582" i="7"/>
  <c r="U582" i="7"/>
  <c r="T582" i="7"/>
  <c r="S582" i="7"/>
  <c r="R582" i="7"/>
  <c r="Q582" i="7"/>
  <c r="P582" i="7"/>
  <c r="C582" i="7"/>
  <c r="AX582" i="7" s="1"/>
  <c r="B582" i="7"/>
  <c r="AK581" i="7" s="1"/>
  <c r="AU581" i="7"/>
  <c r="Z581" i="7"/>
  <c r="Y581" i="7"/>
  <c r="X581" i="7"/>
  <c r="V581" i="7"/>
  <c r="U581" i="7"/>
  <c r="T581" i="7"/>
  <c r="S581" i="7"/>
  <c r="R581" i="7"/>
  <c r="Q581" i="7"/>
  <c r="P581" i="7"/>
  <c r="C581" i="7"/>
  <c r="AX581" i="7" s="1"/>
  <c r="B581" i="7"/>
  <c r="AK580" i="7" s="1"/>
  <c r="AU580" i="7"/>
  <c r="Z580" i="7"/>
  <c r="Y580" i="7"/>
  <c r="X580" i="7"/>
  <c r="V580" i="7"/>
  <c r="U580" i="7"/>
  <c r="T580" i="7"/>
  <c r="S580" i="7"/>
  <c r="R580" i="7"/>
  <c r="Q580" i="7"/>
  <c r="P580" i="7"/>
  <c r="C580" i="7"/>
  <c r="AX580" i="7" s="1"/>
  <c r="B580" i="7"/>
  <c r="AK579" i="7" s="1"/>
  <c r="AU579" i="7"/>
  <c r="Z579" i="7"/>
  <c r="Y579" i="7"/>
  <c r="X579" i="7"/>
  <c r="V579" i="7"/>
  <c r="U579" i="7"/>
  <c r="T579" i="7"/>
  <c r="S579" i="7"/>
  <c r="R579" i="7"/>
  <c r="Q579" i="7"/>
  <c r="P579" i="7"/>
  <c r="C579" i="7"/>
  <c r="AX579" i="7" s="1"/>
  <c r="B579" i="7"/>
  <c r="AK578" i="7" s="1"/>
  <c r="AU578" i="7"/>
  <c r="Z578" i="7"/>
  <c r="Y578" i="7"/>
  <c r="X578" i="7"/>
  <c r="V578" i="7"/>
  <c r="U578" i="7"/>
  <c r="T578" i="7"/>
  <c r="S578" i="7"/>
  <c r="R578" i="7"/>
  <c r="Q578" i="7"/>
  <c r="P578" i="7"/>
  <c r="C578" i="7"/>
  <c r="AX578" i="7" s="1"/>
  <c r="B578" i="7"/>
  <c r="AK577" i="7" s="1"/>
  <c r="AU577" i="7"/>
  <c r="Z577" i="7"/>
  <c r="Y577" i="7"/>
  <c r="X577" i="7"/>
  <c r="V577" i="7"/>
  <c r="U577" i="7"/>
  <c r="T577" i="7"/>
  <c r="S577" i="7"/>
  <c r="R577" i="7"/>
  <c r="Q577" i="7"/>
  <c r="P577" i="7"/>
  <c r="C577" i="7"/>
  <c r="AX577" i="7" s="1"/>
  <c r="B577" i="7"/>
  <c r="AK576" i="7" s="1"/>
  <c r="AU576" i="7"/>
  <c r="Z576" i="7"/>
  <c r="Y576" i="7"/>
  <c r="X576" i="7"/>
  <c r="V576" i="7"/>
  <c r="U576" i="7"/>
  <c r="T576" i="7"/>
  <c r="S576" i="7"/>
  <c r="R576" i="7"/>
  <c r="Q576" i="7"/>
  <c r="P576" i="7"/>
  <c r="C576" i="7"/>
  <c r="AX576" i="7" s="1"/>
  <c r="B576" i="7"/>
  <c r="AK575" i="7" s="1"/>
  <c r="AU575" i="7"/>
  <c r="Z575" i="7"/>
  <c r="Y575" i="7"/>
  <c r="X575" i="7"/>
  <c r="V575" i="7"/>
  <c r="U575" i="7"/>
  <c r="T575" i="7"/>
  <c r="S575" i="7"/>
  <c r="R575" i="7"/>
  <c r="Q575" i="7"/>
  <c r="P575" i="7"/>
  <c r="C575" i="7"/>
  <c r="AX575" i="7" s="1"/>
  <c r="B575" i="7"/>
  <c r="AK574" i="7" s="1"/>
  <c r="AU574" i="7"/>
  <c r="Z574" i="7"/>
  <c r="Y574" i="7"/>
  <c r="X574" i="7"/>
  <c r="V574" i="7"/>
  <c r="U574" i="7"/>
  <c r="T574" i="7"/>
  <c r="S574" i="7"/>
  <c r="R574" i="7"/>
  <c r="Q574" i="7"/>
  <c r="P574" i="7"/>
  <c r="C574" i="7"/>
  <c r="AX574" i="7" s="1"/>
  <c r="B574" i="7"/>
  <c r="AK573" i="7" s="1"/>
  <c r="AU573" i="7"/>
  <c r="Z573" i="7"/>
  <c r="Y573" i="7"/>
  <c r="X573" i="7"/>
  <c r="V573" i="7"/>
  <c r="U573" i="7"/>
  <c r="T573" i="7"/>
  <c r="S573" i="7"/>
  <c r="R573" i="7"/>
  <c r="Q573" i="7"/>
  <c r="P573" i="7"/>
  <c r="AV573" i="7" s="1"/>
  <c r="C573" i="7"/>
  <c r="AX573" i="7" s="1"/>
  <c r="B573" i="7"/>
  <c r="AK572" i="7" s="1"/>
  <c r="AU572" i="7"/>
  <c r="Z572" i="7"/>
  <c r="Y572" i="7"/>
  <c r="X572" i="7"/>
  <c r="V572" i="7"/>
  <c r="U572" i="7"/>
  <c r="T572" i="7"/>
  <c r="S572" i="7"/>
  <c r="R572" i="7"/>
  <c r="Q572" i="7"/>
  <c r="P572" i="7"/>
  <c r="C572" i="7"/>
  <c r="AY572" i="7" s="1"/>
  <c r="B572" i="7"/>
  <c r="AK571" i="7" s="1"/>
  <c r="AU571" i="7"/>
  <c r="Z571" i="7"/>
  <c r="Y571" i="7"/>
  <c r="X571" i="7"/>
  <c r="V571" i="7"/>
  <c r="U571" i="7"/>
  <c r="T571" i="7"/>
  <c r="S571" i="7"/>
  <c r="R571" i="7"/>
  <c r="Q571" i="7"/>
  <c r="P571" i="7"/>
  <c r="C571" i="7"/>
  <c r="AX571" i="7" s="1"/>
  <c r="B571" i="7"/>
  <c r="AK570" i="7" s="1"/>
  <c r="AU570" i="7"/>
  <c r="Z570" i="7"/>
  <c r="Y570" i="7"/>
  <c r="X570" i="7"/>
  <c r="V570" i="7"/>
  <c r="U570" i="7"/>
  <c r="T570" i="7"/>
  <c r="S570" i="7"/>
  <c r="R570" i="7"/>
  <c r="Q570" i="7"/>
  <c r="P570" i="7"/>
  <c r="C570" i="7"/>
  <c r="AX570" i="7" s="1"/>
  <c r="B570" i="7"/>
  <c r="AK569" i="7" s="1"/>
  <c r="AU569" i="7"/>
  <c r="Z569" i="7"/>
  <c r="Y569" i="7"/>
  <c r="X569" i="7"/>
  <c r="V569" i="7"/>
  <c r="U569" i="7"/>
  <c r="T569" i="7"/>
  <c r="S569" i="7"/>
  <c r="R569" i="7"/>
  <c r="Q569" i="7"/>
  <c r="P569" i="7"/>
  <c r="C569" i="7"/>
  <c r="AY569" i="7" s="1"/>
  <c r="B569" i="7"/>
  <c r="AK568" i="7" s="1"/>
  <c r="AU568" i="7"/>
  <c r="Z568" i="7"/>
  <c r="Y568" i="7"/>
  <c r="X568" i="7"/>
  <c r="V568" i="7"/>
  <c r="U568" i="7"/>
  <c r="T568" i="7"/>
  <c r="S568" i="7"/>
  <c r="R568" i="7"/>
  <c r="Q568" i="7"/>
  <c r="P568" i="7"/>
  <c r="C568" i="7"/>
  <c r="AX568" i="7" s="1"/>
  <c r="B568" i="7"/>
  <c r="AK567" i="7" s="1"/>
  <c r="AU567" i="7"/>
  <c r="Z567" i="7"/>
  <c r="Y567" i="7"/>
  <c r="X567" i="7"/>
  <c r="V567" i="7"/>
  <c r="U567" i="7"/>
  <c r="T567" i="7"/>
  <c r="S567" i="7"/>
  <c r="R567" i="7"/>
  <c r="Q567" i="7"/>
  <c r="P567" i="7"/>
  <c r="C567" i="7"/>
  <c r="AY567" i="7" s="1"/>
  <c r="B567" i="7"/>
  <c r="AK566" i="7" s="1"/>
  <c r="AU566" i="7"/>
  <c r="Z566" i="7"/>
  <c r="Y566" i="7"/>
  <c r="X566" i="7"/>
  <c r="V566" i="7"/>
  <c r="U566" i="7"/>
  <c r="T566" i="7"/>
  <c r="S566" i="7"/>
  <c r="R566" i="7"/>
  <c r="Q566" i="7"/>
  <c r="P566" i="7"/>
  <c r="C566" i="7"/>
  <c r="AY566" i="7" s="1"/>
  <c r="B566" i="7"/>
  <c r="AK565" i="7" s="1"/>
  <c r="AU565" i="7"/>
  <c r="Z565" i="7"/>
  <c r="Y565" i="7"/>
  <c r="X565" i="7"/>
  <c r="V565" i="7"/>
  <c r="U565" i="7"/>
  <c r="T565" i="7"/>
  <c r="S565" i="7"/>
  <c r="R565" i="7"/>
  <c r="Q565" i="7"/>
  <c r="P565" i="7"/>
  <c r="C565" i="7"/>
  <c r="AY565" i="7" s="1"/>
  <c r="B565" i="7"/>
  <c r="AK564" i="7" s="1"/>
  <c r="AU564" i="7"/>
  <c r="Z564" i="7"/>
  <c r="Y564" i="7"/>
  <c r="X564" i="7"/>
  <c r="V564" i="7"/>
  <c r="U564" i="7"/>
  <c r="T564" i="7"/>
  <c r="S564" i="7"/>
  <c r="R564" i="7"/>
  <c r="Q564" i="7"/>
  <c r="P564" i="7"/>
  <c r="C564" i="7"/>
  <c r="AX564" i="7" s="1"/>
  <c r="B564" i="7"/>
  <c r="AK563" i="7" s="1"/>
  <c r="AU563" i="7"/>
  <c r="Z563" i="7"/>
  <c r="Y563" i="7"/>
  <c r="X563" i="7"/>
  <c r="V563" i="7"/>
  <c r="U563" i="7"/>
  <c r="T563" i="7"/>
  <c r="S563" i="7"/>
  <c r="R563" i="7"/>
  <c r="Q563" i="7"/>
  <c r="P563" i="7"/>
  <c r="C563" i="7"/>
  <c r="AX563" i="7" s="1"/>
  <c r="B563" i="7"/>
  <c r="AK562" i="7" s="1"/>
  <c r="AU562" i="7"/>
  <c r="Z562" i="7"/>
  <c r="Y562" i="7"/>
  <c r="X562" i="7"/>
  <c r="V562" i="7"/>
  <c r="U562" i="7"/>
  <c r="T562" i="7"/>
  <c r="S562" i="7"/>
  <c r="R562" i="7"/>
  <c r="Q562" i="7"/>
  <c r="P562" i="7"/>
  <c r="C562" i="7"/>
  <c r="AX562" i="7" s="1"/>
  <c r="B562" i="7"/>
  <c r="AK561" i="7" s="1"/>
  <c r="AU561" i="7"/>
  <c r="Z561" i="7"/>
  <c r="Y561" i="7"/>
  <c r="X561" i="7"/>
  <c r="V561" i="7"/>
  <c r="U561" i="7"/>
  <c r="T561" i="7"/>
  <c r="S561" i="7"/>
  <c r="R561" i="7"/>
  <c r="Q561" i="7"/>
  <c r="P561" i="7"/>
  <c r="C561" i="7"/>
  <c r="AX561" i="7" s="1"/>
  <c r="B561" i="7"/>
  <c r="AK560" i="7" s="1"/>
  <c r="AU560" i="7"/>
  <c r="Z560" i="7"/>
  <c r="Y560" i="7"/>
  <c r="X560" i="7"/>
  <c r="V560" i="7"/>
  <c r="U560" i="7"/>
  <c r="T560" i="7"/>
  <c r="S560" i="7"/>
  <c r="R560" i="7"/>
  <c r="Q560" i="7"/>
  <c r="P560" i="7"/>
  <c r="C560" i="7"/>
  <c r="AX560" i="7" s="1"/>
  <c r="B560" i="7"/>
  <c r="AK559" i="7" s="1"/>
  <c r="AU559" i="7"/>
  <c r="Z559" i="7"/>
  <c r="Y559" i="7"/>
  <c r="X559" i="7"/>
  <c r="V559" i="7"/>
  <c r="U559" i="7"/>
  <c r="T559" i="7"/>
  <c r="S559" i="7"/>
  <c r="R559" i="7"/>
  <c r="Q559" i="7"/>
  <c r="P559" i="7"/>
  <c r="C559" i="7"/>
  <c r="AX559" i="7" s="1"/>
  <c r="B559" i="7"/>
  <c r="AK558" i="7" s="1"/>
  <c r="AU558" i="7"/>
  <c r="Z558" i="7"/>
  <c r="Y558" i="7"/>
  <c r="X558" i="7"/>
  <c r="V558" i="7"/>
  <c r="U558" i="7"/>
  <c r="T558" i="7"/>
  <c r="S558" i="7"/>
  <c r="R558" i="7"/>
  <c r="Q558" i="7"/>
  <c r="P558" i="7"/>
  <c r="C558" i="7"/>
  <c r="AX558" i="7" s="1"/>
  <c r="B558" i="7"/>
  <c r="AK557" i="7" s="1"/>
  <c r="AU557" i="7"/>
  <c r="Z557" i="7"/>
  <c r="Y557" i="7"/>
  <c r="X557" i="7"/>
  <c r="V557" i="7"/>
  <c r="U557" i="7"/>
  <c r="T557" i="7"/>
  <c r="S557" i="7"/>
  <c r="R557" i="7"/>
  <c r="Q557" i="7"/>
  <c r="P557" i="7"/>
  <c r="C557" i="7"/>
  <c r="AX557" i="7" s="1"/>
  <c r="B557" i="7"/>
  <c r="AK556" i="7" s="1"/>
  <c r="AU556" i="7"/>
  <c r="Z556" i="7"/>
  <c r="Y556" i="7"/>
  <c r="X556" i="7"/>
  <c r="V556" i="7"/>
  <c r="U556" i="7"/>
  <c r="T556" i="7"/>
  <c r="S556" i="7"/>
  <c r="R556" i="7"/>
  <c r="Q556" i="7"/>
  <c r="P556" i="7"/>
  <c r="C556" i="7"/>
  <c r="AX556" i="7" s="1"/>
  <c r="B556" i="7"/>
  <c r="AK555" i="7" s="1"/>
  <c r="AU555" i="7"/>
  <c r="Z555" i="7"/>
  <c r="Y555" i="7"/>
  <c r="X555" i="7"/>
  <c r="V555" i="7"/>
  <c r="U555" i="7"/>
  <c r="T555" i="7"/>
  <c r="S555" i="7"/>
  <c r="R555" i="7"/>
  <c r="Q555" i="7"/>
  <c r="P555" i="7"/>
  <c r="C555" i="7"/>
  <c r="AX555" i="7" s="1"/>
  <c r="B555" i="7"/>
  <c r="AK554" i="7" s="1"/>
  <c r="AU554" i="7"/>
  <c r="Z554" i="7"/>
  <c r="Y554" i="7"/>
  <c r="X554" i="7"/>
  <c r="V554" i="7"/>
  <c r="U554" i="7"/>
  <c r="T554" i="7"/>
  <c r="S554" i="7"/>
  <c r="R554" i="7"/>
  <c r="Q554" i="7"/>
  <c r="P554" i="7"/>
  <c r="C554" i="7"/>
  <c r="AX554" i="7" s="1"/>
  <c r="B554" i="7"/>
  <c r="AK553" i="7" s="1"/>
  <c r="AU553" i="7"/>
  <c r="Z553" i="7"/>
  <c r="Y553" i="7"/>
  <c r="X553" i="7"/>
  <c r="V553" i="7"/>
  <c r="U553" i="7"/>
  <c r="T553" i="7"/>
  <c r="S553" i="7"/>
  <c r="R553" i="7"/>
  <c r="Q553" i="7"/>
  <c r="P553" i="7"/>
  <c r="C553" i="7"/>
  <c r="AX553" i="7" s="1"/>
  <c r="B553" i="7"/>
  <c r="AK552" i="7" s="1"/>
  <c r="AU552" i="7"/>
  <c r="Z552" i="7"/>
  <c r="Y552" i="7"/>
  <c r="X552" i="7"/>
  <c r="V552" i="7"/>
  <c r="U552" i="7"/>
  <c r="T552" i="7"/>
  <c r="S552" i="7"/>
  <c r="R552" i="7"/>
  <c r="Q552" i="7"/>
  <c r="P552" i="7"/>
  <c r="C552" i="7"/>
  <c r="AX552" i="7" s="1"/>
  <c r="B552" i="7"/>
  <c r="AK551" i="7" s="1"/>
  <c r="AU551" i="7"/>
  <c r="Z551" i="7"/>
  <c r="Y551" i="7"/>
  <c r="X551" i="7"/>
  <c r="V551" i="7"/>
  <c r="U551" i="7"/>
  <c r="T551" i="7"/>
  <c r="S551" i="7"/>
  <c r="R551" i="7"/>
  <c r="Q551" i="7"/>
  <c r="P551" i="7"/>
  <c r="C551" i="7"/>
  <c r="AX551" i="7" s="1"/>
  <c r="B551" i="7"/>
  <c r="AK550" i="7" s="1"/>
  <c r="AU550" i="7"/>
  <c r="Z550" i="7"/>
  <c r="Y550" i="7"/>
  <c r="X550" i="7"/>
  <c r="V550" i="7"/>
  <c r="U550" i="7"/>
  <c r="T550" i="7"/>
  <c r="S550" i="7"/>
  <c r="R550" i="7"/>
  <c r="Q550" i="7"/>
  <c r="P550" i="7"/>
  <c r="C550" i="7"/>
  <c r="AX550" i="7" s="1"/>
  <c r="B550" i="7"/>
  <c r="AK549" i="7" s="1"/>
  <c r="AU549" i="7"/>
  <c r="Z549" i="7"/>
  <c r="Y549" i="7"/>
  <c r="X549" i="7"/>
  <c r="V549" i="7"/>
  <c r="U549" i="7"/>
  <c r="T549" i="7"/>
  <c r="S549" i="7"/>
  <c r="R549" i="7"/>
  <c r="Q549" i="7"/>
  <c r="P549" i="7"/>
  <c r="C549" i="7"/>
  <c r="AX549" i="7" s="1"/>
  <c r="B549" i="7"/>
  <c r="AK548" i="7" s="1"/>
  <c r="AU548" i="7"/>
  <c r="Z548" i="7"/>
  <c r="Y548" i="7"/>
  <c r="X548" i="7"/>
  <c r="V548" i="7"/>
  <c r="U548" i="7"/>
  <c r="T548" i="7"/>
  <c r="S548" i="7"/>
  <c r="R548" i="7"/>
  <c r="Q548" i="7"/>
  <c r="P548" i="7"/>
  <c r="C548" i="7"/>
  <c r="AX548" i="7" s="1"/>
  <c r="B548" i="7"/>
  <c r="AK547" i="7" s="1"/>
  <c r="AU547" i="7"/>
  <c r="Z547" i="7"/>
  <c r="Y547" i="7"/>
  <c r="X547" i="7"/>
  <c r="V547" i="7"/>
  <c r="U547" i="7"/>
  <c r="T547" i="7"/>
  <c r="S547" i="7"/>
  <c r="R547" i="7"/>
  <c r="Q547" i="7"/>
  <c r="P547" i="7"/>
  <c r="C547" i="7"/>
  <c r="AX547" i="7" s="1"/>
  <c r="B547" i="7"/>
  <c r="AK546" i="7" s="1"/>
  <c r="AU546" i="7"/>
  <c r="Z546" i="7"/>
  <c r="Y546" i="7"/>
  <c r="X546" i="7"/>
  <c r="V546" i="7"/>
  <c r="U546" i="7"/>
  <c r="T546" i="7"/>
  <c r="S546" i="7"/>
  <c r="R546" i="7"/>
  <c r="Q546" i="7"/>
  <c r="P546" i="7"/>
  <c r="C546" i="7"/>
  <c r="AX546" i="7" s="1"/>
  <c r="B546" i="7"/>
  <c r="AK545" i="7" s="1"/>
  <c r="AU545" i="7"/>
  <c r="Z545" i="7"/>
  <c r="Y545" i="7"/>
  <c r="X545" i="7"/>
  <c r="V545" i="7"/>
  <c r="U545" i="7"/>
  <c r="T545" i="7"/>
  <c r="S545" i="7"/>
  <c r="R545" i="7"/>
  <c r="Q545" i="7"/>
  <c r="P545" i="7"/>
  <c r="C545" i="7"/>
  <c r="AL545" i="7" s="1"/>
  <c r="B545" i="7"/>
  <c r="AU544" i="7"/>
  <c r="AK544" i="7"/>
  <c r="Z544" i="7"/>
  <c r="Y544" i="7"/>
  <c r="X544" i="7"/>
  <c r="V544" i="7"/>
  <c r="U544" i="7"/>
  <c r="T544" i="7"/>
  <c r="S544" i="7"/>
  <c r="R544" i="7"/>
  <c r="Q544" i="7"/>
  <c r="P544" i="7"/>
  <c r="C544" i="7"/>
  <c r="AY544" i="7" s="1"/>
  <c r="B544" i="7"/>
  <c r="AK543" i="7" s="1"/>
  <c r="AU543" i="7"/>
  <c r="Z543" i="7"/>
  <c r="Y543" i="7"/>
  <c r="X543" i="7"/>
  <c r="V543" i="7"/>
  <c r="U543" i="7"/>
  <c r="T543" i="7"/>
  <c r="S543" i="7"/>
  <c r="R543" i="7"/>
  <c r="Q543" i="7"/>
  <c r="P543" i="7"/>
  <c r="C543" i="7"/>
  <c r="AY543" i="7" s="1"/>
  <c r="B543" i="7"/>
  <c r="AK542" i="7" s="1"/>
  <c r="AU542" i="7"/>
  <c r="Z542" i="7"/>
  <c r="Y542" i="7"/>
  <c r="X542" i="7"/>
  <c r="V542" i="7"/>
  <c r="U542" i="7"/>
  <c r="T542" i="7"/>
  <c r="S542" i="7"/>
  <c r="R542" i="7"/>
  <c r="Q542" i="7"/>
  <c r="P542" i="7"/>
  <c r="C542" i="7"/>
  <c r="AY542" i="7" s="1"/>
  <c r="B542" i="7"/>
  <c r="AK541" i="7" s="1"/>
  <c r="AU541" i="7"/>
  <c r="Z541" i="7"/>
  <c r="Y541" i="7"/>
  <c r="X541" i="7"/>
  <c r="V541" i="7"/>
  <c r="U541" i="7"/>
  <c r="T541" i="7"/>
  <c r="S541" i="7"/>
  <c r="R541" i="7"/>
  <c r="Q541" i="7"/>
  <c r="P541" i="7"/>
  <c r="C541" i="7"/>
  <c r="AY541" i="7" s="1"/>
  <c r="B541" i="7"/>
  <c r="AK540" i="7" s="1"/>
  <c r="AU540" i="7"/>
  <c r="Z540" i="7"/>
  <c r="Y540" i="7"/>
  <c r="X540" i="7"/>
  <c r="V540" i="7"/>
  <c r="U540" i="7"/>
  <c r="T540" i="7"/>
  <c r="S540" i="7"/>
  <c r="R540" i="7"/>
  <c r="Q540" i="7"/>
  <c r="P540" i="7"/>
  <c r="C540" i="7"/>
  <c r="AY540" i="7" s="1"/>
  <c r="B540" i="7"/>
  <c r="AK539" i="7" s="1"/>
  <c r="AU539" i="7"/>
  <c r="Z539" i="7"/>
  <c r="Y539" i="7"/>
  <c r="X539" i="7"/>
  <c r="V539" i="7"/>
  <c r="U539" i="7"/>
  <c r="T539" i="7"/>
  <c r="S539" i="7"/>
  <c r="R539" i="7"/>
  <c r="Q539" i="7"/>
  <c r="P539" i="7"/>
  <c r="C539" i="7"/>
  <c r="AL539" i="7" s="1"/>
  <c r="B539" i="7"/>
  <c r="AK538" i="7" s="1"/>
  <c r="AU538" i="7"/>
  <c r="Z538" i="7"/>
  <c r="Y538" i="7"/>
  <c r="X538" i="7"/>
  <c r="V538" i="7"/>
  <c r="U538" i="7"/>
  <c r="T538" i="7"/>
  <c r="S538" i="7"/>
  <c r="R538" i="7"/>
  <c r="Q538" i="7"/>
  <c r="P538" i="7"/>
  <c r="C538" i="7"/>
  <c r="AL538" i="7" s="1"/>
  <c r="B538" i="7"/>
  <c r="AK537" i="7" s="1"/>
  <c r="AU537" i="7"/>
  <c r="Z537" i="7"/>
  <c r="Y537" i="7"/>
  <c r="X537" i="7"/>
  <c r="V537" i="7"/>
  <c r="U537" i="7"/>
  <c r="T537" i="7"/>
  <c r="S537" i="7"/>
  <c r="R537" i="7"/>
  <c r="Q537" i="7"/>
  <c r="P537" i="7"/>
  <c r="C537" i="7"/>
  <c r="AL537" i="7" s="1"/>
  <c r="B537" i="7"/>
  <c r="AK536" i="7" s="1"/>
  <c r="AU536" i="7"/>
  <c r="Z536" i="7"/>
  <c r="Y536" i="7"/>
  <c r="X536" i="7"/>
  <c r="V536" i="7"/>
  <c r="U536" i="7"/>
  <c r="T536" i="7"/>
  <c r="S536" i="7"/>
  <c r="R536" i="7"/>
  <c r="Q536" i="7"/>
  <c r="P536" i="7"/>
  <c r="C536" i="7"/>
  <c r="AX536" i="7" s="1"/>
  <c r="B536" i="7"/>
  <c r="AK535" i="7" s="1"/>
  <c r="AU535" i="7"/>
  <c r="Z535" i="7"/>
  <c r="Y535" i="7"/>
  <c r="X535" i="7"/>
  <c r="V535" i="7"/>
  <c r="U535" i="7"/>
  <c r="T535" i="7"/>
  <c r="S535" i="7"/>
  <c r="R535" i="7"/>
  <c r="Q535" i="7"/>
  <c r="P535" i="7"/>
  <c r="C535" i="7"/>
  <c r="AL535" i="7" s="1"/>
  <c r="B535" i="7"/>
  <c r="AK534" i="7" s="1"/>
  <c r="AU534" i="7"/>
  <c r="Z534" i="7"/>
  <c r="Y534" i="7"/>
  <c r="X534" i="7"/>
  <c r="V534" i="7"/>
  <c r="U534" i="7"/>
  <c r="T534" i="7"/>
  <c r="S534" i="7"/>
  <c r="R534" i="7"/>
  <c r="Q534" i="7"/>
  <c r="P534" i="7"/>
  <c r="M534" i="7"/>
  <c r="K534" i="7"/>
  <c r="C534" i="7"/>
  <c r="AX534" i="7" s="1"/>
  <c r="B534" i="7"/>
  <c r="AK533" i="7" s="1"/>
  <c r="AU533" i="7"/>
  <c r="Z533" i="7"/>
  <c r="Y533" i="7"/>
  <c r="X533" i="7"/>
  <c r="V533" i="7"/>
  <c r="U533" i="7"/>
  <c r="T533" i="7"/>
  <c r="S533" i="7"/>
  <c r="R533" i="7"/>
  <c r="Q533" i="7"/>
  <c r="P533" i="7"/>
  <c r="M533" i="7"/>
  <c r="K533" i="7"/>
  <c r="C533" i="7"/>
  <c r="AY533" i="7" s="1"/>
  <c r="B533" i="7"/>
  <c r="AK532" i="7" s="1"/>
  <c r="AU532" i="7"/>
  <c r="Z532" i="7"/>
  <c r="Y532" i="7"/>
  <c r="X532" i="7"/>
  <c r="V532" i="7"/>
  <c r="U532" i="7"/>
  <c r="T532" i="7"/>
  <c r="S532" i="7"/>
  <c r="R532" i="7"/>
  <c r="Q532" i="7"/>
  <c r="P532" i="7"/>
  <c r="M532" i="7"/>
  <c r="K532" i="7"/>
  <c r="C532" i="7"/>
  <c r="AX532" i="7" s="1"/>
  <c r="B532" i="7"/>
  <c r="AK531" i="7" s="1"/>
  <c r="AU531" i="7"/>
  <c r="Z531" i="7"/>
  <c r="Y531" i="7"/>
  <c r="X531" i="7"/>
  <c r="V531" i="7"/>
  <c r="U531" i="7"/>
  <c r="T531" i="7"/>
  <c r="S531" i="7"/>
  <c r="R531" i="7"/>
  <c r="Q531" i="7"/>
  <c r="P531" i="7"/>
  <c r="M531" i="7"/>
  <c r="K531" i="7"/>
  <c r="C531" i="7"/>
  <c r="AX531" i="7" s="1"/>
  <c r="B531" i="7"/>
  <c r="AK530" i="7" s="1"/>
  <c r="AU530" i="7"/>
  <c r="Z530" i="7"/>
  <c r="Y530" i="7"/>
  <c r="X530" i="7"/>
  <c r="V530" i="7"/>
  <c r="U530" i="7"/>
  <c r="T530" i="7"/>
  <c r="S530" i="7"/>
  <c r="R530" i="7"/>
  <c r="Q530" i="7"/>
  <c r="P530" i="7"/>
  <c r="M530" i="7"/>
  <c r="K530" i="7"/>
  <c r="C530" i="7"/>
  <c r="AL530" i="7" s="1"/>
  <c r="B530" i="7"/>
  <c r="AK529" i="7" s="1"/>
  <c r="AU529" i="7"/>
  <c r="Z529" i="7"/>
  <c r="Y529" i="7"/>
  <c r="X529" i="7"/>
  <c r="V529" i="7"/>
  <c r="U529" i="7"/>
  <c r="T529" i="7"/>
  <c r="S529" i="7"/>
  <c r="R529" i="7"/>
  <c r="Q529" i="7"/>
  <c r="P529" i="7"/>
  <c r="M529" i="7"/>
  <c r="K529" i="7"/>
  <c r="C529" i="7"/>
  <c r="AY529" i="7" s="1"/>
  <c r="B529" i="7"/>
  <c r="AK528" i="7" s="1"/>
  <c r="AU528" i="7"/>
  <c r="Z528" i="7"/>
  <c r="Y528" i="7"/>
  <c r="X528" i="7"/>
  <c r="V528" i="7"/>
  <c r="U528" i="7"/>
  <c r="T528" i="7"/>
  <c r="S528" i="7"/>
  <c r="R528" i="7"/>
  <c r="Q528" i="7"/>
  <c r="P528" i="7"/>
  <c r="M528" i="7"/>
  <c r="K528" i="7"/>
  <c r="C528" i="7"/>
  <c r="AY528" i="7" s="1"/>
  <c r="B528" i="7"/>
  <c r="AK527" i="7" s="1"/>
  <c r="AU527" i="7"/>
  <c r="Z527" i="7"/>
  <c r="Y527" i="7"/>
  <c r="X527" i="7"/>
  <c r="V527" i="7"/>
  <c r="U527" i="7"/>
  <c r="T527" i="7"/>
  <c r="S527" i="7"/>
  <c r="R527" i="7"/>
  <c r="Q527" i="7"/>
  <c r="P527" i="7"/>
  <c r="M527" i="7"/>
  <c r="K527" i="7"/>
  <c r="C527" i="7"/>
  <c r="AX527" i="7" s="1"/>
  <c r="B527" i="7"/>
  <c r="AK526" i="7" s="1"/>
  <c r="AU526" i="7"/>
  <c r="Z526" i="7"/>
  <c r="Y526" i="7"/>
  <c r="X526" i="7"/>
  <c r="V526" i="7"/>
  <c r="U526" i="7"/>
  <c r="T526" i="7"/>
  <c r="S526" i="7"/>
  <c r="R526" i="7"/>
  <c r="Q526" i="7"/>
  <c r="P526" i="7"/>
  <c r="M526" i="7"/>
  <c r="K526" i="7"/>
  <c r="C526" i="7"/>
  <c r="AX526" i="7" s="1"/>
  <c r="B526" i="7"/>
  <c r="AK525" i="7" s="1"/>
  <c r="AU525" i="7"/>
  <c r="Z525" i="7"/>
  <c r="Y525" i="7"/>
  <c r="X525" i="7"/>
  <c r="V525" i="7"/>
  <c r="U525" i="7"/>
  <c r="T525" i="7"/>
  <c r="S525" i="7"/>
  <c r="R525" i="7"/>
  <c r="Q525" i="7"/>
  <c r="P525" i="7"/>
  <c r="M525" i="7"/>
  <c r="K525" i="7"/>
  <c r="C525" i="7"/>
  <c r="AY525" i="7" s="1"/>
  <c r="B525" i="7"/>
  <c r="AK524" i="7" s="1"/>
  <c r="AU524" i="7"/>
  <c r="Z524" i="7"/>
  <c r="Y524" i="7"/>
  <c r="X524" i="7"/>
  <c r="V524" i="7"/>
  <c r="U524" i="7"/>
  <c r="T524" i="7"/>
  <c r="S524" i="7"/>
  <c r="R524" i="7"/>
  <c r="Q524" i="7"/>
  <c r="P524" i="7"/>
  <c r="M524" i="7"/>
  <c r="K524" i="7"/>
  <c r="C524" i="7"/>
  <c r="AX524" i="7" s="1"/>
  <c r="B524" i="7"/>
  <c r="AK523" i="7" s="1"/>
  <c r="AU523" i="7"/>
  <c r="Z523" i="7"/>
  <c r="Y523" i="7"/>
  <c r="X523" i="7"/>
  <c r="V523" i="7"/>
  <c r="U523" i="7"/>
  <c r="T523" i="7"/>
  <c r="S523" i="7"/>
  <c r="R523" i="7"/>
  <c r="Q523" i="7"/>
  <c r="P523" i="7"/>
  <c r="M523" i="7"/>
  <c r="K523" i="7"/>
  <c r="C523" i="7"/>
  <c r="AX523" i="7" s="1"/>
  <c r="B523" i="7"/>
  <c r="AK522" i="7" s="1"/>
  <c r="AU522" i="7"/>
  <c r="Z522" i="7"/>
  <c r="Y522" i="7"/>
  <c r="X522" i="7"/>
  <c r="V522" i="7"/>
  <c r="U522" i="7"/>
  <c r="T522" i="7"/>
  <c r="S522" i="7"/>
  <c r="R522" i="7"/>
  <c r="Q522" i="7"/>
  <c r="P522" i="7"/>
  <c r="M522" i="7"/>
  <c r="K522" i="7"/>
  <c r="C522" i="7"/>
  <c r="AL522" i="7" s="1"/>
  <c r="B522" i="7"/>
  <c r="AK521" i="7" s="1"/>
  <c r="AU521" i="7"/>
  <c r="Z521" i="7"/>
  <c r="Y521" i="7"/>
  <c r="X521" i="7"/>
  <c r="V521" i="7"/>
  <c r="U521" i="7"/>
  <c r="T521" i="7"/>
  <c r="S521" i="7"/>
  <c r="R521" i="7"/>
  <c r="Q521" i="7"/>
  <c r="P521" i="7"/>
  <c r="M521" i="7"/>
  <c r="K521" i="7"/>
  <c r="C521" i="7"/>
  <c r="AY521" i="7" s="1"/>
  <c r="B521" i="7"/>
  <c r="AK520" i="7" s="1"/>
  <c r="AU520" i="7"/>
  <c r="Z520" i="7"/>
  <c r="Y520" i="7"/>
  <c r="X520" i="7"/>
  <c r="V520" i="7"/>
  <c r="U520" i="7"/>
  <c r="T520" i="7"/>
  <c r="S520" i="7"/>
  <c r="R520" i="7"/>
  <c r="Q520" i="7"/>
  <c r="P520" i="7"/>
  <c r="C520" i="7"/>
  <c r="AY520" i="7" s="1"/>
  <c r="B520" i="7"/>
  <c r="AK519" i="7" s="1"/>
  <c r="AU519" i="7"/>
  <c r="Z519" i="7"/>
  <c r="Y519" i="7"/>
  <c r="X519" i="7"/>
  <c r="V519" i="7"/>
  <c r="U519" i="7"/>
  <c r="T519" i="7"/>
  <c r="S519" i="7"/>
  <c r="R519" i="7"/>
  <c r="Q519" i="7"/>
  <c r="P519" i="7"/>
  <c r="C519" i="7"/>
  <c r="AY519" i="7" s="1"/>
  <c r="B519" i="7"/>
  <c r="AK518" i="7" s="1"/>
  <c r="AU518" i="7"/>
  <c r="Z518" i="7"/>
  <c r="Y518" i="7"/>
  <c r="X518" i="7"/>
  <c r="V518" i="7"/>
  <c r="U518" i="7"/>
  <c r="T518" i="7"/>
  <c r="S518" i="7"/>
  <c r="R518" i="7"/>
  <c r="Q518" i="7"/>
  <c r="P518" i="7"/>
  <c r="C518" i="7"/>
  <c r="AL518" i="7" s="1"/>
  <c r="B518" i="7"/>
  <c r="AK517" i="7" s="1"/>
  <c r="AU517" i="7"/>
  <c r="Z517" i="7"/>
  <c r="Y517" i="7"/>
  <c r="X517" i="7"/>
  <c r="V517" i="7"/>
  <c r="U517" i="7"/>
  <c r="T517" i="7"/>
  <c r="S517" i="7"/>
  <c r="R517" i="7"/>
  <c r="Q517" i="7"/>
  <c r="P517" i="7"/>
  <c r="C517" i="7"/>
  <c r="AL517" i="7" s="1"/>
  <c r="B517" i="7"/>
  <c r="AK516" i="7" s="1"/>
  <c r="AU516" i="7"/>
  <c r="Z516" i="7"/>
  <c r="Y516" i="7"/>
  <c r="X516" i="7"/>
  <c r="V516" i="7"/>
  <c r="U516" i="7"/>
  <c r="T516" i="7"/>
  <c r="S516" i="7"/>
  <c r="R516" i="7"/>
  <c r="Q516" i="7"/>
  <c r="P516" i="7"/>
  <c r="C516" i="7"/>
  <c r="AX516" i="7" s="1"/>
  <c r="B516" i="7"/>
  <c r="AK515" i="7" s="1"/>
  <c r="AU515" i="7"/>
  <c r="Z515" i="7"/>
  <c r="Y515" i="7"/>
  <c r="X515" i="7"/>
  <c r="V515" i="7"/>
  <c r="U515" i="7"/>
  <c r="T515" i="7"/>
  <c r="S515" i="7"/>
  <c r="R515" i="7"/>
  <c r="Q515" i="7"/>
  <c r="P515" i="7"/>
  <c r="C515" i="7"/>
  <c r="AL515" i="7" s="1"/>
  <c r="B515" i="7"/>
  <c r="AK514" i="7" s="1"/>
  <c r="AU514" i="7"/>
  <c r="Z514" i="7"/>
  <c r="Y514" i="7"/>
  <c r="X514" i="7"/>
  <c r="V514" i="7"/>
  <c r="U514" i="7"/>
  <c r="T514" i="7"/>
  <c r="S514" i="7"/>
  <c r="R514" i="7"/>
  <c r="Q514" i="7"/>
  <c r="P514" i="7"/>
  <c r="M514" i="7"/>
  <c r="K514" i="7"/>
  <c r="C514" i="7"/>
  <c r="AX514" i="7" s="1"/>
  <c r="B514" i="7"/>
  <c r="AK513" i="7" s="1"/>
  <c r="AU513" i="7"/>
  <c r="Z513" i="7"/>
  <c r="Y513" i="7"/>
  <c r="X513" i="7"/>
  <c r="V513" i="7"/>
  <c r="U513" i="7"/>
  <c r="T513" i="7"/>
  <c r="S513" i="7"/>
  <c r="R513" i="7"/>
  <c r="Q513" i="7"/>
  <c r="P513" i="7"/>
  <c r="M513" i="7"/>
  <c r="K513" i="7"/>
  <c r="C513" i="7"/>
  <c r="B513" i="7"/>
  <c r="AK512" i="7" s="1"/>
  <c r="AU512" i="7"/>
  <c r="Z512" i="7"/>
  <c r="Y512" i="7"/>
  <c r="X512" i="7"/>
  <c r="V512" i="7"/>
  <c r="U512" i="7"/>
  <c r="T512" i="7"/>
  <c r="S512" i="7"/>
  <c r="R512" i="7"/>
  <c r="Q512" i="7"/>
  <c r="P512" i="7"/>
  <c r="M512" i="7"/>
  <c r="K512" i="7"/>
  <c r="C512" i="7"/>
  <c r="AX512" i="7" s="1"/>
  <c r="B512" i="7"/>
  <c r="AK511" i="7" s="1"/>
  <c r="AU511" i="7"/>
  <c r="Z511" i="7"/>
  <c r="Y511" i="7"/>
  <c r="X511" i="7"/>
  <c r="V511" i="7"/>
  <c r="U511" i="7"/>
  <c r="T511" i="7"/>
  <c r="S511" i="7"/>
  <c r="R511" i="7"/>
  <c r="Q511" i="7"/>
  <c r="P511" i="7"/>
  <c r="M511" i="7"/>
  <c r="K511" i="7"/>
  <c r="C511" i="7"/>
  <c r="AX511" i="7" s="1"/>
  <c r="B511" i="7"/>
  <c r="AK510" i="7" s="1"/>
  <c r="AU510" i="7"/>
  <c r="Z510" i="7"/>
  <c r="Y510" i="7"/>
  <c r="X510" i="7"/>
  <c r="V510" i="7"/>
  <c r="U510" i="7"/>
  <c r="T510" i="7"/>
  <c r="S510" i="7"/>
  <c r="R510" i="7"/>
  <c r="Q510" i="7"/>
  <c r="P510" i="7"/>
  <c r="M510" i="7"/>
  <c r="K510" i="7"/>
  <c r="C510" i="7"/>
  <c r="AX510" i="7" s="1"/>
  <c r="B510" i="7"/>
  <c r="AK509" i="7" s="1"/>
  <c r="AU509" i="7"/>
  <c r="Z509" i="7"/>
  <c r="Y509" i="7"/>
  <c r="X509" i="7"/>
  <c r="V509" i="7"/>
  <c r="U509" i="7"/>
  <c r="T509" i="7"/>
  <c r="S509" i="7"/>
  <c r="R509" i="7"/>
  <c r="Q509" i="7"/>
  <c r="P509" i="7"/>
  <c r="M509" i="7"/>
  <c r="K509" i="7"/>
  <c r="C509" i="7"/>
  <c r="AY509" i="7" s="1"/>
  <c r="B509" i="7"/>
  <c r="AK508" i="7" s="1"/>
  <c r="AU508" i="7"/>
  <c r="Z508" i="7"/>
  <c r="Y508" i="7"/>
  <c r="X508" i="7"/>
  <c r="V508" i="7"/>
  <c r="U508" i="7"/>
  <c r="T508" i="7"/>
  <c r="S508" i="7"/>
  <c r="R508" i="7"/>
  <c r="Q508" i="7"/>
  <c r="P508" i="7"/>
  <c r="M508" i="7"/>
  <c r="K508" i="7"/>
  <c r="C508" i="7"/>
  <c r="AL508" i="7" s="1"/>
  <c r="B508" i="7"/>
  <c r="AK507" i="7" s="1"/>
  <c r="AU507" i="7"/>
  <c r="Z507" i="7"/>
  <c r="Y507" i="7"/>
  <c r="X507" i="7"/>
  <c r="V507" i="7"/>
  <c r="U507" i="7"/>
  <c r="T507" i="7"/>
  <c r="S507" i="7"/>
  <c r="R507" i="7"/>
  <c r="Q507" i="7"/>
  <c r="P507" i="7"/>
  <c r="M507" i="7"/>
  <c r="K507" i="7"/>
  <c r="C507" i="7"/>
  <c r="AX507" i="7" s="1"/>
  <c r="B507" i="7"/>
  <c r="AK506" i="7" s="1"/>
  <c r="AU506" i="7"/>
  <c r="Z506" i="7"/>
  <c r="Y506" i="7"/>
  <c r="X506" i="7"/>
  <c r="V506" i="7"/>
  <c r="U506" i="7"/>
  <c r="T506" i="7"/>
  <c r="S506" i="7"/>
  <c r="R506" i="7"/>
  <c r="Q506" i="7"/>
  <c r="P506" i="7"/>
  <c r="M506" i="7"/>
  <c r="K506" i="7"/>
  <c r="C506" i="7"/>
  <c r="AX506" i="7" s="1"/>
  <c r="B506" i="7"/>
  <c r="AK505" i="7" s="1"/>
  <c r="AU505" i="7"/>
  <c r="Z505" i="7"/>
  <c r="Y505" i="7"/>
  <c r="X505" i="7"/>
  <c r="V505" i="7"/>
  <c r="U505" i="7"/>
  <c r="T505" i="7"/>
  <c r="S505" i="7"/>
  <c r="R505" i="7"/>
  <c r="Q505" i="7"/>
  <c r="P505" i="7"/>
  <c r="M505" i="7"/>
  <c r="K505" i="7"/>
  <c r="C505" i="7"/>
  <c r="AY505" i="7" s="1"/>
  <c r="B505" i="7"/>
  <c r="AK504" i="7" s="1"/>
  <c r="AU504" i="7"/>
  <c r="Z504" i="7"/>
  <c r="Y504" i="7"/>
  <c r="X504" i="7"/>
  <c r="V504" i="7"/>
  <c r="U504" i="7"/>
  <c r="T504" i="7"/>
  <c r="S504" i="7"/>
  <c r="R504" i="7"/>
  <c r="Q504" i="7"/>
  <c r="P504" i="7"/>
  <c r="M504" i="7"/>
  <c r="K504" i="7"/>
  <c r="C504" i="7"/>
  <c r="AX504" i="7" s="1"/>
  <c r="B504" i="7"/>
  <c r="AK491" i="7" s="1"/>
  <c r="AU503" i="7"/>
  <c r="Z503" i="7"/>
  <c r="Y503" i="7"/>
  <c r="X503" i="7"/>
  <c r="V503" i="7"/>
  <c r="U503" i="7"/>
  <c r="T503" i="7"/>
  <c r="S503" i="7"/>
  <c r="R503" i="7"/>
  <c r="Q503" i="7"/>
  <c r="P503" i="7"/>
  <c r="M503" i="7"/>
  <c r="K503" i="7"/>
  <c r="C503" i="7"/>
  <c r="AX503" i="7" s="1"/>
  <c r="B503" i="7"/>
  <c r="AK502" i="7" s="1"/>
  <c r="AU502" i="7"/>
  <c r="Z502" i="7"/>
  <c r="Y502" i="7"/>
  <c r="X502" i="7"/>
  <c r="V502" i="7"/>
  <c r="U502" i="7"/>
  <c r="T502" i="7"/>
  <c r="S502" i="7"/>
  <c r="R502" i="7"/>
  <c r="Q502" i="7"/>
  <c r="P502" i="7"/>
  <c r="M502" i="7"/>
  <c r="K502" i="7"/>
  <c r="C502" i="7"/>
  <c r="AX502" i="7" s="1"/>
  <c r="B502" i="7"/>
  <c r="AK501" i="7" s="1"/>
  <c r="AU501" i="7"/>
  <c r="Z501" i="7"/>
  <c r="Y501" i="7"/>
  <c r="X501" i="7"/>
  <c r="V501" i="7"/>
  <c r="U501" i="7"/>
  <c r="T501" i="7"/>
  <c r="S501" i="7"/>
  <c r="R501" i="7"/>
  <c r="Q501" i="7"/>
  <c r="P501" i="7"/>
  <c r="M501" i="7"/>
  <c r="K501" i="7"/>
  <c r="C501" i="7"/>
  <c r="AY501" i="7" s="1"/>
  <c r="B501" i="7"/>
  <c r="AK500" i="7" s="1"/>
  <c r="AU500" i="7"/>
  <c r="Z500" i="7"/>
  <c r="Y500" i="7"/>
  <c r="X500" i="7"/>
  <c r="V500" i="7"/>
  <c r="U500" i="7"/>
  <c r="T500" i="7"/>
  <c r="S500" i="7"/>
  <c r="R500" i="7"/>
  <c r="Q500" i="7"/>
  <c r="P500" i="7"/>
  <c r="M500" i="7"/>
  <c r="K500" i="7"/>
  <c r="C500" i="7"/>
  <c r="AY500" i="7" s="1"/>
  <c r="B500" i="7"/>
  <c r="AK499" i="7" s="1"/>
  <c r="AU499" i="7"/>
  <c r="Z499" i="7"/>
  <c r="Y499" i="7"/>
  <c r="X499" i="7"/>
  <c r="V499" i="7"/>
  <c r="U499" i="7"/>
  <c r="T499" i="7"/>
  <c r="S499" i="7"/>
  <c r="R499" i="7"/>
  <c r="Q499" i="7"/>
  <c r="P499" i="7"/>
  <c r="M499" i="7"/>
  <c r="K499" i="7"/>
  <c r="C499" i="7"/>
  <c r="AX499" i="7" s="1"/>
  <c r="B499" i="7"/>
  <c r="AK498" i="7" s="1"/>
  <c r="AU498" i="7"/>
  <c r="Z498" i="7"/>
  <c r="Y498" i="7"/>
  <c r="X498" i="7"/>
  <c r="V498" i="7"/>
  <c r="U498" i="7"/>
  <c r="T498" i="7"/>
  <c r="S498" i="7"/>
  <c r="R498" i="7"/>
  <c r="Q498" i="7"/>
  <c r="P498" i="7"/>
  <c r="M498" i="7"/>
  <c r="K498" i="7"/>
  <c r="C498" i="7"/>
  <c r="AX498" i="7" s="1"/>
  <c r="B498" i="7"/>
  <c r="AK497" i="7" s="1"/>
  <c r="AU497" i="7"/>
  <c r="Z497" i="7"/>
  <c r="Y497" i="7"/>
  <c r="X497" i="7"/>
  <c r="V497" i="7"/>
  <c r="U497" i="7"/>
  <c r="T497" i="7"/>
  <c r="S497" i="7"/>
  <c r="R497" i="7"/>
  <c r="Q497" i="7"/>
  <c r="P497" i="7"/>
  <c r="M497" i="7"/>
  <c r="K497" i="7"/>
  <c r="C497" i="7"/>
  <c r="AX497" i="7" s="1"/>
  <c r="B497" i="7"/>
  <c r="AK496" i="7" s="1"/>
  <c r="AU496" i="7"/>
  <c r="Z496" i="7"/>
  <c r="Y496" i="7"/>
  <c r="X496" i="7"/>
  <c r="V496" i="7"/>
  <c r="U496" i="7"/>
  <c r="T496" i="7"/>
  <c r="S496" i="7"/>
  <c r="R496" i="7"/>
  <c r="Q496" i="7"/>
  <c r="P496" i="7"/>
  <c r="M496" i="7"/>
  <c r="K496" i="7"/>
  <c r="C496" i="7"/>
  <c r="AX496" i="7" s="1"/>
  <c r="B496" i="7"/>
  <c r="AK495" i="7" s="1"/>
  <c r="AU495" i="7"/>
  <c r="Z495" i="7"/>
  <c r="Y495" i="7"/>
  <c r="X495" i="7"/>
  <c r="V495" i="7"/>
  <c r="U495" i="7"/>
  <c r="T495" i="7"/>
  <c r="S495" i="7"/>
  <c r="R495" i="7"/>
  <c r="Q495" i="7"/>
  <c r="P495" i="7"/>
  <c r="M495" i="7"/>
  <c r="K495" i="7"/>
  <c r="C495" i="7"/>
  <c r="AX495" i="7" s="1"/>
  <c r="B495" i="7"/>
  <c r="AK494" i="7" s="1"/>
  <c r="AU494" i="7"/>
  <c r="Z494" i="7"/>
  <c r="Y494" i="7"/>
  <c r="X494" i="7"/>
  <c r="V494" i="7"/>
  <c r="U494" i="7"/>
  <c r="T494" i="7"/>
  <c r="S494" i="7"/>
  <c r="R494" i="7"/>
  <c r="Q494" i="7"/>
  <c r="P494" i="7"/>
  <c r="M494" i="7"/>
  <c r="K494" i="7"/>
  <c r="C494" i="7"/>
  <c r="AL494" i="7" s="1"/>
  <c r="B494" i="7"/>
  <c r="AK493" i="7" s="1"/>
  <c r="AU493" i="7"/>
  <c r="Z493" i="7"/>
  <c r="Y493" i="7"/>
  <c r="X493" i="7"/>
  <c r="V493" i="7"/>
  <c r="U493" i="7"/>
  <c r="T493" i="7"/>
  <c r="S493" i="7"/>
  <c r="R493" i="7"/>
  <c r="Q493" i="7"/>
  <c r="P493" i="7"/>
  <c r="M493" i="7"/>
  <c r="K493" i="7"/>
  <c r="C493" i="7"/>
  <c r="AY493" i="7" s="1"/>
  <c r="B493" i="7"/>
  <c r="AK492" i="7" s="1"/>
  <c r="AU492" i="7"/>
  <c r="Z492" i="7"/>
  <c r="Y492" i="7"/>
  <c r="X492" i="7"/>
  <c r="V492" i="7"/>
  <c r="U492" i="7"/>
  <c r="T492" i="7"/>
  <c r="S492" i="7"/>
  <c r="R492" i="7"/>
  <c r="Q492" i="7"/>
  <c r="P492" i="7"/>
  <c r="M492" i="7"/>
  <c r="K492" i="7"/>
  <c r="C492" i="7"/>
  <c r="AY492" i="7" s="1"/>
  <c r="B492" i="7"/>
  <c r="AU491" i="7"/>
  <c r="Z491" i="7"/>
  <c r="Y491" i="7"/>
  <c r="X491" i="7"/>
  <c r="V491" i="7"/>
  <c r="U491" i="7"/>
  <c r="T491" i="7"/>
  <c r="S491" i="7"/>
  <c r="R491" i="7"/>
  <c r="Q491" i="7"/>
  <c r="P491" i="7"/>
  <c r="M491" i="7"/>
  <c r="K491" i="7"/>
  <c r="C491" i="7"/>
  <c r="AX491" i="7" s="1"/>
  <c r="B491" i="7"/>
  <c r="AK490" i="7" s="1"/>
  <c r="AU490" i="7"/>
  <c r="Z490" i="7"/>
  <c r="Y490" i="7"/>
  <c r="X490" i="7"/>
  <c r="V490" i="7"/>
  <c r="U490" i="7"/>
  <c r="T490" i="7"/>
  <c r="S490" i="7"/>
  <c r="R490" i="7"/>
  <c r="Q490" i="7"/>
  <c r="P490" i="7"/>
  <c r="M490" i="7"/>
  <c r="K490" i="7"/>
  <c r="C490" i="7"/>
  <c r="AX490" i="7" s="1"/>
  <c r="B490" i="7"/>
  <c r="AK489" i="7" s="1"/>
  <c r="AU489" i="7"/>
  <c r="Z489" i="7"/>
  <c r="Y489" i="7"/>
  <c r="X489" i="7"/>
  <c r="V489" i="7"/>
  <c r="U489" i="7"/>
  <c r="T489" i="7"/>
  <c r="S489" i="7"/>
  <c r="R489" i="7"/>
  <c r="Q489" i="7"/>
  <c r="P489" i="7"/>
  <c r="M489" i="7"/>
  <c r="K489" i="7"/>
  <c r="C489" i="7"/>
  <c r="AX489" i="7" s="1"/>
  <c r="B489" i="7"/>
  <c r="AK488" i="7" s="1"/>
  <c r="AU488" i="7"/>
  <c r="Z488" i="7"/>
  <c r="Y488" i="7"/>
  <c r="X488" i="7"/>
  <c r="V488" i="7"/>
  <c r="U488" i="7"/>
  <c r="T488" i="7"/>
  <c r="S488" i="7"/>
  <c r="R488" i="7"/>
  <c r="Q488" i="7"/>
  <c r="P488" i="7"/>
  <c r="M488" i="7"/>
  <c r="K488" i="7"/>
  <c r="C488" i="7"/>
  <c r="AX488" i="7" s="1"/>
  <c r="B488" i="7"/>
  <c r="AK487" i="7" s="1"/>
  <c r="AU487" i="7"/>
  <c r="Z487" i="7"/>
  <c r="Y487" i="7"/>
  <c r="X487" i="7"/>
  <c r="V487" i="7"/>
  <c r="U487" i="7"/>
  <c r="T487" i="7"/>
  <c r="S487" i="7"/>
  <c r="R487" i="7"/>
  <c r="Q487" i="7"/>
  <c r="P487" i="7"/>
  <c r="M487" i="7"/>
  <c r="K487" i="7"/>
  <c r="C487" i="7"/>
  <c r="AX487" i="7" s="1"/>
  <c r="B487" i="7"/>
  <c r="AK486" i="7" s="1"/>
  <c r="AU486" i="7"/>
  <c r="Z486" i="7"/>
  <c r="Y486" i="7"/>
  <c r="X486" i="7"/>
  <c r="V486" i="7"/>
  <c r="U486" i="7"/>
  <c r="T486" i="7"/>
  <c r="S486" i="7"/>
  <c r="R486" i="7"/>
  <c r="Q486" i="7"/>
  <c r="P486" i="7"/>
  <c r="M486" i="7"/>
  <c r="K486" i="7"/>
  <c r="C486" i="7"/>
  <c r="AL486" i="7" s="1"/>
  <c r="B486" i="7"/>
  <c r="AK485" i="7" s="1"/>
  <c r="AU485" i="7"/>
  <c r="Z485" i="7"/>
  <c r="Y485" i="7"/>
  <c r="X485" i="7"/>
  <c r="V485" i="7"/>
  <c r="U485" i="7"/>
  <c r="T485" i="7"/>
  <c r="S485" i="7"/>
  <c r="R485" i="7"/>
  <c r="Q485" i="7"/>
  <c r="P485" i="7"/>
  <c r="M485" i="7"/>
  <c r="K485" i="7"/>
  <c r="C485" i="7"/>
  <c r="AX485" i="7" s="1"/>
  <c r="B485" i="7"/>
  <c r="AK484" i="7" s="1"/>
  <c r="AU484" i="7"/>
  <c r="Z484" i="7"/>
  <c r="Y484" i="7"/>
  <c r="X484" i="7"/>
  <c r="V484" i="7"/>
  <c r="U484" i="7"/>
  <c r="T484" i="7"/>
  <c r="S484" i="7"/>
  <c r="R484" i="7"/>
  <c r="Q484" i="7"/>
  <c r="P484" i="7"/>
  <c r="M484" i="7"/>
  <c r="K484" i="7"/>
  <c r="C484" i="7"/>
  <c r="AY484" i="7" s="1"/>
  <c r="B484" i="7"/>
  <c r="AK483" i="7" s="1"/>
  <c r="AU483" i="7"/>
  <c r="Z483" i="7"/>
  <c r="Y483" i="7"/>
  <c r="X483" i="7"/>
  <c r="V483" i="7"/>
  <c r="U483" i="7"/>
  <c r="T483" i="7"/>
  <c r="S483" i="7"/>
  <c r="R483" i="7"/>
  <c r="Q483" i="7"/>
  <c r="P483" i="7"/>
  <c r="M483" i="7"/>
  <c r="K483" i="7"/>
  <c r="C483" i="7"/>
  <c r="AX483" i="7" s="1"/>
  <c r="B483" i="7"/>
  <c r="AK482" i="7" s="1"/>
  <c r="AU482" i="7"/>
  <c r="Z482" i="7"/>
  <c r="Y482" i="7"/>
  <c r="X482" i="7"/>
  <c r="V482" i="7"/>
  <c r="U482" i="7"/>
  <c r="T482" i="7"/>
  <c r="S482" i="7"/>
  <c r="R482" i="7"/>
  <c r="Q482" i="7"/>
  <c r="P482" i="7"/>
  <c r="M482" i="7"/>
  <c r="K482" i="7"/>
  <c r="C482" i="7"/>
  <c r="AX482" i="7" s="1"/>
  <c r="B482" i="7"/>
  <c r="AK481" i="7" s="1"/>
  <c r="AU481" i="7"/>
  <c r="Z481" i="7"/>
  <c r="Y481" i="7"/>
  <c r="X481" i="7"/>
  <c r="V481" i="7"/>
  <c r="U481" i="7"/>
  <c r="T481" i="7"/>
  <c r="S481" i="7"/>
  <c r="R481" i="7"/>
  <c r="Q481" i="7"/>
  <c r="P481" i="7"/>
  <c r="M481" i="7"/>
  <c r="K481" i="7"/>
  <c r="C481" i="7"/>
  <c r="AX481" i="7" s="1"/>
  <c r="B481" i="7"/>
  <c r="AK480" i="7" s="1"/>
  <c r="AU480" i="7"/>
  <c r="Z480" i="7"/>
  <c r="Y480" i="7"/>
  <c r="X480" i="7"/>
  <c r="V480" i="7"/>
  <c r="U480" i="7"/>
  <c r="T480" i="7"/>
  <c r="S480" i="7"/>
  <c r="R480" i="7"/>
  <c r="Q480" i="7"/>
  <c r="P480" i="7"/>
  <c r="M480" i="7"/>
  <c r="K480" i="7"/>
  <c r="C480" i="7"/>
  <c r="AX480" i="7" s="1"/>
  <c r="B480" i="7"/>
  <c r="AK479" i="7" s="1"/>
  <c r="AU479" i="7"/>
  <c r="Z479" i="7"/>
  <c r="Y479" i="7"/>
  <c r="X479" i="7"/>
  <c r="V479" i="7"/>
  <c r="U479" i="7"/>
  <c r="T479" i="7"/>
  <c r="S479" i="7"/>
  <c r="R479" i="7"/>
  <c r="Q479" i="7"/>
  <c r="P479" i="7"/>
  <c r="M479" i="7"/>
  <c r="K479" i="7"/>
  <c r="C479" i="7"/>
  <c r="AX479" i="7" s="1"/>
  <c r="B479" i="7"/>
  <c r="AK478" i="7" s="1"/>
  <c r="AU478" i="7"/>
  <c r="Z478" i="7"/>
  <c r="Y478" i="7"/>
  <c r="X478" i="7"/>
  <c r="V478" i="7"/>
  <c r="U478" i="7"/>
  <c r="T478" i="7"/>
  <c r="S478" i="7"/>
  <c r="R478" i="7"/>
  <c r="Q478" i="7"/>
  <c r="P478" i="7"/>
  <c r="M478" i="7"/>
  <c r="K478" i="7"/>
  <c r="C478" i="7"/>
  <c r="AL478" i="7" s="1"/>
  <c r="B478" i="7"/>
  <c r="AK477" i="7" s="1"/>
  <c r="AU477" i="7"/>
  <c r="Z477" i="7"/>
  <c r="Y477" i="7"/>
  <c r="X477" i="7"/>
  <c r="V477" i="7"/>
  <c r="U477" i="7"/>
  <c r="T477" i="7"/>
  <c r="S477" i="7"/>
  <c r="R477" i="7"/>
  <c r="Q477" i="7"/>
  <c r="P477" i="7"/>
  <c r="M477" i="7"/>
  <c r="K477" i="7"/>
  <c r="C477" i="7"/>
  <c r="AX477" i="7" s="1"/>
  <c r="B477" i="7"/>
  <c r="AK476" i="7" s="1"/>
  <c r="AU476" i="7"/>
  <c r="Z476" i="7"/>
  <c r="Y476" i="7"/>
  <c r="X476" i="7"/>
  <c r="V476" i="7"/>
  <c r="U476" i="7"/>
  <c r="T476" i="7"/>
  <c r="S476" i="7"/>
  <c r="R476" i="7"/>
  <c r="Q476" i="7"/>
  <c r="P476" i="7"/>
  <c r="M476" i="7"/>
  <c r="K476" i="7"/>
  <c r="C476" i="7"/>
  <c r="AL476" i="7" s="1"/>
  <c r="B476" i="7"/>
  <c r="AK475" i="7" s="1"/>
  <c r="AU475" i="7"/>
  <c r="Z475" i="7"/>
  <c r="Y475" i="7"/>
  <c r="X475" i="7"/>
  <c r="V475" i="7"/>
  <c r="U475" i="7"/>
  <c r="T475" i="7"/>
  <c r="S475" i="7"/>
  <c r="R475" i="7"/>
  <c r="Q475" i="7"/>
  <c r="P475" i="7"/>
  <c r="M475" i="7"/>
  <c r="K475" i="7"/>
  <c r="C475" i="7"/>
  <c r="AX475" i="7" s="1"/>
  <c r="B475" i="7"/>
  <c r="AK474" i="7" s="1"/>
  <c r="AU474" i="7"/>
  <c r="Z474" i="7"/>
  <c r="Y474" i="7"/>
  <c r="X474" i="7"/>
  <c r="V474" i="7"/>
  <c r="U474" i="7"/>
  <c r="T474" i="7"/>
  <c r="S474" i="7"/>
  <c r="R474" i="7"/>
  <c r="Q474" i="7"/>
  <c r="P474" i="7"/>
  <c r="M474" i="7"/>
  <c r="K474" i="7"/>
  <c r="C474" i="7"/>
  <c r="AL474" i="7" s="1"/>
  <c r="B474" i="7"/>
  <c r="AK473" i="7" s="1"/>
  <c r="AU473" i="7"/>
  <c r="Z473" i="7"/>
  <c r="Y473" i="7"/>
  <c r="X473" i="7"/>
  <c r="V473" i="7"/>
  <c r="U473" i="7"/>
  <c r="T473" i="7"/>
  <c r="S473" i="7"/>
  <c r="R473" i="7"/>
  <c r="Q473" i="7"/>
  <c r="P473" i="7"/>
  <c r="M473" i="7"/>
  <c r="K473" i="7"/>
  <c r="C473" i="7"/>
  <c r="AL473" i="7" s="1"/>
  <c r="B473" i="7"/>
  <c r="AK472" i="7" s="1"/>
  <c r="AU472" i="7"/>
  <c r="Z472" i="7"/>
  <c r="Y472" i="7"/>
  <c r="X472" i="7"/>
  <c r="V472" i="7"/>
  <c r="U472" i="7"/>
  <c r="T472" i="7"/>
  <c r="S472" i="7"/>
  <c r="R472" i="7"/>
  <c r="Q472" i="7"/>
  <c r="P472" i="7"/>
  <c r="M472" i="7"/>
  <c r="K472" i="7"/>
  <c r="C472" i="7"/>
  <c r="AX472" i="7" s="1"/>
  <c r="B472" i="7"/>
  <c r="AK471" i="7" s="1"/>
  <c r="AU471" i="7"/>
  <c r="Z471" i="7"/>
  <c r="Y471" i="7"/>
  <c r="X471" i="7"/>
  <c r="V471" i="7"/>
  <c r="U471" i="7"/>
  <c r="T471" i="7"/>
  <c r="S471" i="7"/>
  <c r="R471" i="7"/>
  <c r="Q471" i="7"/>
  <c r="P471" i="7"/>
  <c r="M471" i="7"/>
  <c r="K471" i="7"/>
  <c r="C471" i="7"/>
  <c r="AX471" i="7" s="1"/>
  <c r="B471" i="7"/>
  <c r="AK470" i="7" s="1"/>
  <c r="AU470" i="7"/>
  <c r="Z470" i="7"/>
  <c r="Y470" i="7"/>
  <c r="X470" i="7"/>
  <c r="V470" i="7"/>
  <c r="U470" i="7"/>
  <c r="T470" i="7"/>
  <c r="S470" i="7"/>
  <c r="R470" i="7"/>
  <c r="Q470" i="7"/>
  <c r="P470" i="7"/>
  <c r="M470" i="7"/>
  <c r="K470" i="7"/>
  <c r="C470" i="7"/>
  <c r="AL470" i="7" s="1"/>
  <c r="B470" i="7"/>
  <c r="AK469" i="7" s="1"/>
  <c r="AU469" i="7"/>
  <c r="Z469" i="7"/>
  <c r="Y469" i="7"/>
  <c r="X469" i="7"/>
  <c r="V469" i="7"/>
  <c r="U469" i="7"/>
  <c r="T469" i="7"/>
  <c r="S469" i="7"/>
  <c r="R469" i="7"/>
  <c r="Q469" i="7"/>
  <c r="P469" i="7"/>
  <c r="M469" i="7"/>
  <c r="K469" i="7"/>
  <c r="C469" i="7"/>
  <c r="AX469" i="7" s="1"/>
  <c r="B469" i="7"/>
  <c r="AK468" i="7" s="1"/>
  <c r="AU468" i="7"/>
  <c r="Z468" i="7"/>
  <c r="Y468" i="7"/>
  <c r="X468" i="7"/>
  <c r="V468" i="7"/>
  <c r="U468" i="7"/>
  <c r="T468" i="7"/>
  <c r="S468" i="7"/>
  <c r="R468" i="7"/>
  <c r="Q468" i="7"/>
  <c r="P468" i="7"/>
  <c r="M468" i="7"/>
  <c r="K468" i="7"/>
  <c r="C468" i="7"/>
  <c r="AX468" i="7" s="1"/>
  <c r="B468" i="7"/>
  <c r="AK467" i="7" s="1"/>
  <c r="AU467" i="7"/>
  <c r="Z467" i="7"/>
  <c r="Y467" i="7"/>
  <c r="X467" i="7"/>
  <c r="V467" i="7"/>
  <c r="U467" i="7"/>
  <c r="T467" i="7"/>
  <c r="S467" i="7"/>
  <c r="R467" i="7"/>
  <c r="Q467" i="7"/>
  <c r="P467" i="7"/>
  <c r="M467" i="7"/>
  <c r="K467" i="7"/>
  <c r="C467" i="7"/>
  <c r="AX467" i="7" s="1"/>
  <c r="B467" i="7"/>
  <c r="AK465" i="7" s="1"/>
  <c r="AU466" i="7"/>
  <c r="Z466" i="7"/>
  <c r="Y466" i="7"/>
  <c r="X466" i="7"/>
  <c r="V466" i="7"/>
  <c r="U466" i="7"/>
  <c r="T466" i="7"/>
  <c r="S466" i="7"/>
  <c r="R466" i="7"/>
  <c r="Q466" i="7"/>
  <c r="P466" i="7"/>
  <c r="M466" i="7"/>
  <c r="K466" i="7"/>
  <c r="C466" i="7"/>
  <c r="AX466" i="7" s="1"/>
  <c r="B466" i="7"/>
  <c r="AK464" i="7" s="1"/>
  <c r="AU465" i="7"/>
  <c r="Z465" i="7"/>
  <c r="Y465" i="7"/>
  <c r="X465" i="7"/>
  <c r="V465" i="7"/>
  <c r="U465" i="7"/>
  <c r="T465" i="7"/>
  <c r="S465" i="7"/>
  <c r="R465" i="7"/>
  <c r="Q465" i="7"/>
  <c r="P465" i="7"/>
  <c r="M465" i="7"/>
  <c r="K465" i="7"/>
  <c r="C465" i="7"/>
  <c r="AL465" i="7" s="1"/>
  <c r="B465" i="7"/>
  <c r="AU464" i="7"/>
  <c r="Z464" i="7"/>
  <c r="Y464" i="7"/>
  <c r="X464" i="7"/>
  <c r="V464" i="7"/>
  <c r="U464" i="7"/>
  <c r="T464" i="7"/>
  <c r="S464" i="7"/>
  <c r="R464" i="7"/>
  <c r="Q464" i="7"/>
  <c r="P464" i="7"/>
  <c r="M464" i="7"/>
  <c r="K464" i="7"/>
  <c r="C464" i="7"/>
  <c r="AL464" i="7" s="1"/>
  <c r="B464" i="7"/>
  <c r="AK463" i="7" s="1"/>
  <c r="AU463" i="7"/>
  <c r="Z463" i="7"/>
  <c r="Y463" i="7"/>
  <c r="X463" i="7"/>
  <c r="V463" i="7"/>
  <c r="U463" i="7"/>
  <c r="T463" i="7"/>
  <c r="S463" i="7"/>
  <c r="R463" i="7"/>
  <c r="Q463" i="7"/>
  <c r="P463" i="7"/>
  <c r="M463" i="7"/>
  <c r="K463" i="7"/>
  <c r="C463" i="7"/>
  <c r="AX463" i="7" s="1"/>
  <c r="B463" i="7"/>
  <c r="AK462" i="7" s="1"/>
  <c r="AU462" i="7"/>
  <c r="Z462" i="7"/>
  <c r="Y462" i="7"/>
  <c r="X462" i="7"/>
  <c r="V462" i="7"/>
  <c r="U462" i="7"/>
  <c r="T462" i="7"/>
  <c r="S462" i="7"/>
  <c r="R462" i="7"/>
  <c r="Q462" i="7"/>
  <c r="P462" i="7"/>
  <c r="M462" i="7"/>
  <c r="K462" i="7"/>
  <c r="C462" i="7"/>
  <c r="AX462" i="7" s="1"/>
  <c r="B462" i="7"/>
  <c r="AK461" i="7" s="1"/>
  <c r="AU461" i="7"/>
  <c r="Z461" i="7"/>
  <c r="Y461" i="7"/>
  <c r="X461" i="7"/>
  <c r="V461" i="7"/>
  <c r="U461" i="7"/>
  <c r="T461" i="7"/>
  <c r="S461" i="7"/>
  <c r="R461" i="7"/>
  <c r="Q461" i="7"/>
  <c r="P461" i="7"/>
  <c r="M461" i="7"/>
  <c r="K461" i="7"/>
  <c r="C461" i="7"/>
  <c r="AL461" i="7" s="1"/>
  <c r="B461" i="7"/>
  <c r="AK460" i="7" s="1"/>
  <c r="AU460" i="7"/>
  <c r="Z460" i="7"/>
  <c r="Y460" i="7"/>
  <c r="X460" i="7"/>
  <c r="V460" i="7"/>
  <c r="U460" i="7"/>
  <c r="T460" i="7"/>
  <c r="S460" i="7"/>
  <c r="R460" i="7"/>
  <c r="Q460" i="7"/>
  <c r="P460" i="7"/>
  <c r="M460" i="7"/>
  <c r="K460" i="7"/>
  <c r="C460" i="7"/>
  <c r="AX460" i="7" s="1"/>
  <c r="B460" i="7"/>
  <c r="AK459" i="7" s="1"/>
  <c r="AU459" i="7"/>
  <c r="Z459" i="7"/>
  <c r="Y459" i="7"/>
  <c r="X459" i="7"/>
  <c r="V459" i="7"/>
  <c r="U459" i="7"/>
  <c r="T459" i="7"/>
  <c r="S459" i="7"/>
  <c r="R459" i="7"/>
  <c r="Q459" i="7"/>
  <c r="P459" i="7"/>
  <c r="M459" i="7"/>
  <c r="K459" i="7"/>
  <c r="C459" i="7"/>
  <c r="AX459" i="7" s="1"/>
  <c r="B459" i="7"/>
  <c r="AK458" i="7" s="1"/>
  <c r="AU458" i="7"/>
  <c r="Z458" i="7"/>
  <c r="Y458" i="7"/>
  <c r="X458" i="7"/>
  <c r="V458" i="7"/>
  <c r="U458" i="7"/>
  <c r="T458" i="7"/>
  <c r="S458" i="7"/>
  <c r="R458" i="7"/>
  <c r="Q458" i="7"/>
  <c r="P458" i="7"/>
  <c r="M458" i="7"/>
  <c r="K458" i="7"/>
  <c r="C458" i="7"/>
  <c r="AX458" i="7" s="1"/>
  <c r="B458" i="7"/>
  <c r="AK457" i="7" s="1"/>
  <c r="AU457" i="7"/>
  <c r="Z457" i="7"/>
  <c r="Y457" i="7"/>
  <c r="X457" i="7"/>
  <c r="V457" i="7"/>
  <c r="U457" i="7"/>
  <c r="T457" i="7"/>
  <c r="S457" i="7"/>
  <c r="R457" i="7"/>
  <c r="Q457" i="7"/>
  <c r="P457" i="7"/>
  <c r="M457" i="7"/>
  <c r="K457" i="7"/>
  <c r="C457" i="7"/>
  <c r="AL457" i="7" s="1"/>
  <c r="B457" i="7"/>
  <c r="AK456" i="7" s="1"/>
  <c r="AU456" i="7"/>
  <c r="Z456" i="7"/>
  <c r="Y456" i="7"/>
  <c r="X456" i="7"/>
  <c r="V456" i="7"/>
  <c r="U456" i="7"/>
  <c r="T456" i="7"/>
  <c r="S456" i="7"/>
  <c r="R456" i="7"/>
  <c r="Q456" i="7"/>
  <c r="P456" i="7"/>
  <c r="M456" i="7"/>
  <c r="K456" i="7"/>
  <c r="C456" i="7"/>
  <c r="B456" i="7"/>
  <c r="AK455" i="7" s="1"/>
  <c r="AU455" i="7"/>
  <c r="Z455" i="7"/>
  <c r="Y455" i="7"/>
  <c r="X455" i="7"/>
  <c r="V455" i="7"/>
  <c r="U455" i="7"/>
  <c r="T455" i="7"/>
  <c r="S455" i="7"/>
  <c r="R455" i="7"/>
  <c r="Q455" i="7"/>
  <c r="P455" i="7"/>
  <c r="M455" i="7"/>
  <c r="K455" i="7"/>
  <c r="C455" i="7"/>
  <c r="AX455" i="7" s="1"/>
  <c r="B455" i="7"/>
  <c r="AK454" i="7" s="1"/>
  <c r="AU454" i="7"/>
  <c r="Z454" i="7"/>
  <c r="Y454" i="7"/>
  <c r="X454" i="7"/>
  <c r="V454" i="7"/>
  <c r="U454" i="7"/>
  <c r="T454" i="7"/>
  <c r="S454" i="7"/>
  <c r="R454" i="7"/>
  <c r="Q454" i="7"/>
  <c r="P454" i="7"/>
  <c r="M454" i="7"/>
  <c r="K454" i="7"/>
  <c r="C454" i="7"/>
  <c r="AX454" i="7" s="1"/>
  <c r="B454" i="7"/>
  <c r="AK453" i="7" s="1"/>
  <c r="AU453" i="7"/>
  <c r="Z453" i="7"/>
  <c r="Y453" i="7"/>
  <c r="X453" i="7"/>
  <c r="V453" i="7"/>
  <c r="U453" i="7"/>
  <c r="T453" i="7"/>
  <c r="S453" i="7"/>
  <c r="R453" i="7"/>
  <c r="Q453" i="7"/>
  <c r="P453" i="7"/>
  <c r="M453" i="7"/>
  <c r="K453" i="7"/>
  <c r="C453" i="7"/>
  <c r="B453" i="7"/>
  <c r="AK452" i="7" s="1"/>
  <c r="AU452" i="7"/>
  <c r="Z452" i="7"/>
  <c r="Y452" i="7"/>
  <c r="X452" i="7"/>
  <c r="V452" i="7"/>
  <c r="U452" i="7"/>
  <c r="T452" i="7"/>
  <c r="S452" i="7"/>
  <c r="R452" i="7"/>
  <c r="Q452" i="7"/>
  <c r="P452" i="7"/>
  <c r="M452" i="7"/>
  <c r="K452" i="7"/>
  <c r="C452" i="7"/>
  <c r="AX452" i="7" s="1"/>
  <c r="B452" i="7"/>
  <c r="AK451" i="7" s="1"/>
  <c r="AU451" i="7"/>
  <c r="Z451" i="7"/>
  <c r="Y451" i="7"/>
  <c r="X451" i="7"/>
  <c r="V451" i="7"/>
  <c r="U451" i="7"/>
  <c r="T451" i="7"/>
  <c r="S451" i="7"/>
  <c r="R451" i="7"/>
  <c r="Q451" i="7"/>
  <c r="P451" i="7"/>
  <c r="M451" i="7"/>
  <c r="K451" i="7"/>
  <c r="C451" i="7"/>
  <c r="AL451" i="7" s="1"/>
  <c r="B451" i="7"/>
  <c r="AK450" i="7" s="1"/>
  <c r="AU450" i="7"/>
  <c r="Z450" i="7"/>
  <c r="Y450" i="7"/>
  <c r="X450" i="7"/>
  <c r="V450" i="7"/>
  <c r="U450" i="7"/>
  <c r="T450" i="7"/>
  <c r="S450" i="7"/>
  <c r="R450" i="7"/>
  <c r="Q450" i="7"/>
  <c r="P450" i="7"/>
  <c r="M450" i="7"/>
  <c r="K450" i="7"/>
  <c r="C450" i="7"/>
  <c r="AX450" i="7" s="1"/>
  <c r="B450" i="7"/>
  <c r="AK449" i="7" s="1"/>
  <c r="AU449" i="7"/>
  <c r="Z449" i="7"/>
  <c r="Y449" i="7"/>
  <c r="X449" i="7"/>
  <c r="V449" i="7"/>
  <c r="U449" i="7"/>
  <c r="T449" i="7"/>
  <c r="S449" i="7"/>
  <c r="R449" i="7"/>
  <c r="Q449" i="7"/>
  <c r="P449" i="7"/>
  <c r="M449" i="7"/>
  <c r="K449" i="7"/>
  <c r="C449" i="7"/>
  <c r="AL449" i="7" s="1"/>
  <c r="B449" i="7"/>
  <c r="AK448" i="7" s="1"/>
  <c r="AU448" i="7"/>
  <c r="Z448" i="7"/>
  <c r="Y448" i="7"/>
  <c r="X448" i="7"/>
  <c r="V448" i="7"/>
  <c r="U448" i="7"/>
  <c r="T448" i="7"/>
  <c r="S448" i="7"/>
  <c r="R448" i="7"/>
  <c r="Q448" i="7"/>
  <c r="P448" i="7"/>
  <c r="M448" i="7"/>
  <c r="K448" i="7"/>
  <c r="C448" i="7"/>
  <c r="AX448" i="7" s="1"/>
  <c r="B448" i="7"/>
  <c r="AK447" i="7" s="1"/>
  <c r="AU447" i="7"/>
  <c r="Z447" i="7"/>
  <c r="Y447" i="7"/>
  <c r="X447" i="7"/>
  <c r="V447" i="7"/>
  <c r="U447" i="7"/>
  <c r="T447" i="7"/>
  <c r="S447" i="7"/>
  <c r="R447" i="7"/>
  <c r="Q447" i="7"/>
  <c r="P447" i="7"/>
  <c r="M447" i="7"/>
  <c r="K447" i="7"/>
  <c r="C447" i="7"/>
  <c r="AX447" i="7" s="1"/>
  <c r="B447" i="7"/>
  <c r="AK446" i="7" s="1"/>
  <c r="AU446" i="7"/>
  <c r="Z446" i="7"/>
  <c r="Y446" i="7"/>
  <c r="X446" i="7"/>
  <c r="V446" i="7"/>
  <c r="U446" i="7"/>
  <c r="T446" i="7"/>
  <c r="S446" i="7"/>
  <c r="R446" i="7"/>
  <c r="Q446" i="7"/>
  <c r="P446" i="7"/>
  <c r="M446" i="7"/>
  <c r="K446" i="7"/>
  <c r="C446" i="7"/>
  <c r="AX446" i="7" s="1"/>
  <c r="B446" i="7"/>
  <c r="AK445" i="7" s="1"/>
  <c r="AU445" i="7"/>
  <c r="Z445" i="7"/>
  <c r="Y445" i="7"/>
  <c r="X445" i="7"/>
  <c r="V445" i="7"/>
  <c r="U445" i="7"/>
  <c r="T445" i="7"/>
  <c r="S445" i="7"/>
  <c r="R445" i="7"/>
  <c r="Q445" i="7"/>
  <c r="P445" i="7"/>
  <c r="M445" i="7"/>
  <c r="K445" i="7"/>
  <c r="C445" i="7"/>
  <c r="B445" i="7"/>
  <c r="AK444" i="7" s="1"/>
  <c r="AU444" i="7"/>
  <c r="Z444" i="7"/>
  <c r="Y444" i="7"/>
  <c r="X444" i="7"/>
  <c r="V444" i="7"/>
  <c r="U444" i="7"/>
  <c r="T444" i="7"/>
  <c r="S444" i="7"/>
  <c r="R444" i="7"/>
  <c r="Q444" i="7"/>
  <c r="P444" i="7"/>
  <c r="M444" i="7"/>
  <c r="K444" i="7"/>
  <c r="C444" i="7"/>
  <c r="AX444" i="7" s="1"/>
  <c r="B444" i="7"/>
  <c r="AK443" i="7" s="1"/>
  <c r="AU443" i="7"/>
  <c r="Z443" i="7"/>
  <c r="Y443" i="7"/>
  <c r="X443" i="7"/>
  <c r="V443" i="7"/>
  <c r="U443" i="7"/>
  <c r="T443" i="7"/>
  <c r="S443" i="7"/>
  <c r="R443" i="7"/>
  <c r="Q443" i="7"/>
  <c r="P443" i="7"/>
  <c r="M443" i="7"/>
  <c r="K443" i="7"/>
  <c r="C443" i="7"/>
  <c r="AY443" i="7" s="1"/>
  <c r="B443" i="7"/>
  <c r="AK434" i="7" s="1"/>
  <c r="AU442" i="7"/>
  <c r="Z442" i="7"/>
  <c r="Y442" i="7"/>
  <c r="X442" i="7"/>
  <c r="V442" i="7"/>
  <c r="U442" i="7"/>
  <c r="T442" i="7"/>
  <c r="S442" i="7"/>
  <c r="R442" i="7"/>
  <c r="Q442" i="7"/>
  <c r="P442" i="7"/>
  <c r="M442" i="7"/>
  <c r="K442" i="7"/>
  <c r="C442" i="7"/>
  <c r="AX442" i="7" s="1"/>
  <c r="B442" i="7"/>
  <c r="AK441" i="7" s="1"/>
  <c r="AU441" i="7"/>
  <c r="Z441" i="7"/>
  <c r="Y441" i="7"/>
  <c r="X441" i="7"/>
  <c r="V441" i="7"/>
  <c r="U441" i="7"/>
  <c r="T441" i="7"/>
  <c r="S441" i="7"/>
  <c r="R441" i="7"/>
  <c r="Q441" i="7"/>
  <c r="P441" i="7"/>
  <c r="M441" i="7"/>
  <c r="K441" i="7"/>
  <c r="C441" i="7"/>
  <c r="AY441" i="7" s="1"/>
  <c r="B441" i="7"/>
  <c r="AK440" i="7" s="1"/>
  <c r="AU440" i="7"/>
  <c r="Z440" i="7"/>
  <c r="Y440" i="7"/>
  <c r="X440" i="7"/>
  <c r="V440" i="7"/>
  <c r="U440" i="7"/>
  <c r="T440" i="7"/>
  <c r="S440" i="7"/>
  <c r="R440" i="7"/>
  <c r="Q440" i="7"/>
  <c r="P440" i="7"/>
  <c r="M440" i="7"/>
  <c r="K440" i="7"/>
  <c r="C440" i="7"/>
  <c r="AX440" i="7" s="1"/>
  <c r="B440" i="7"/>
  <c r="AK439" i="7" s="1"/>
  <c r="AU439" i="7"/>
  <c r="Z439" i="7"/>
  <c r="Y439" i="7"/>
  <c r="X439" i="7"/>
  <c r="V439" i="7"/>
  <c r="U439" i="7"/>
  <c r="T439" i="7"/>
  <c r="S439" i="7"/>
  <c r="R439" i="7"/>
  <c r="Q439" i="7"/>
  <c r="P439" i="7"/>
  <c r="M439" i="7"/>
  <c r="K439" i="7"/>
  <c r="C439" i="7"/>
  <c r="AX439" i="7" s="1"/>
  <c r="B439" i="7"/>
  <c r="AK438" i="7" s="1"/>
  <c r="AU438" i="7"/>
  <c r="Z438" i="7"/>
  <c r="Y438" i="7"/>
  <c r="X438" i="7"/>
  <c r="V438" i="7"/>
  <c r="U438" i="7"/>
  <c r="T438" i="7"/>
  <c r="S438" i="7"/>
  <c r="R438" i="7"/>
  <c r="Q438" i="7"/>
  <c r="P438" i="7"/>
  <c r="M438" i="7"/>
  <c r="K438" i="7"/>
  <c r="C438" i="7"/>
  <c r="AX438" i="7" s="1"/>
  <c r="B438" i="7"/>
  <c r="AK437" i="7" s="1"/>
  <c r="AU437" i="7"/>
  <c r="Z437" i="7"/>
  <c r="Y437" i="7"/>
  <c r="X437" i="7"/>
  <c r="V437" i="7"/>
  <c r="U437" i="7"/>
  <c r="T437" i="7"/>
  <c r="S437" i="7"/>
  <c r="R437" i="7"/>
  <c r="Q437" i="7"/>
  <c r="P437" i="7"/>
  <c r="M437" i="7"/>
  <c r="K437" i="7"/>
  <c r="C437" i="7"/>
  <c r="AY437" i="7" s="1"/>
  <c r="B437" i="7"/>
  <c r="AK436" i="7" s="1"/>
  <c r="AU436" i="7"/>
  <c r="Z436" i="7"/>
  <c r="Y436" i="7"/>
  <c r="X436" i="7"/>
  <c r="V436" i="7"/>
  <c r="U436" i="7"/>
  <c r="T436" i="7"/>
  <c r="S436" i="7"/>
  <c r="R436" i="7"/>
  <c r="Q436" i="7"/>
  <c r="P436" i="7"/>
  <c r="M436" i="7"/>
  <c r="K436" i="7"/>
  <c r="C436" i="7"/>
  <c r="AX436" i="7" s="1"/>
  <c r="B436" i="7"/>
  <c r="AK435" i="7" s="1"/>
  <c r="AU435" i="7"/>
  <c r="Z435" i="7"/>
  <c r="Y435" i="7"/>
  <c r="X435" i="7"/>
  <c r="V435" i="7"/>
  <c r="U435" i="7"/>
  <c r="T435" i="7"/>
  <c r="S435" i="7"/>
  <c r="R435" i="7"/>
  <c r="Q435" i="7"/>
  <c r="P435" i="7"/>
  <c r="M435" i="7"/>
  <c r="K435" i="7"/>
  <c r="C435" i="7"/>
  <c r="AY435" i="7" s="1"/>
  <c r="B435" i="7"/>
  <c r="AU434" i="7"/>
  <c r="Z434" i="7"/>
  <c r="Y434" i="7"/>
  <c r="X434" i="7"/>
  <c r="V434" i="7"/>
  <c r="U434" i="7"/>
  <c r="T434" i="7"/>
  <c r="S434" i="7"/>
  <c r="R434" i="7"/>
  <c r="Q434" i="7"/>
  <c r="P434" i="7"/>
  <c r="M434" i="7"/>
  <c r="K434" i="7"/>
  <c r="C434" i="7"/>
  <c r="AX434" i="7" s="1"/>
  <c r="B434" i="7"/>
  <c r="AK433" i="7" s="1"/>
  <c r="AU433" i="7"/>
  <c r="Z433" i="7"/>
  <c r="Y433" i="7"/>
  <c r="X433" i="7"/>
  <c r="V433" i="7"/>
  <c r="U433" i="7"/>
  <c r="T433" i="7"/>
  <c r="S433" i="7"/>
  <c r="R433" i="7"/>
  <c r="Q433" i="7"/>
  <c r="P433" i="7"/>
  <c r="M433" i="7"/>
  <c r="K433" i="7"/>
  <c r="C433" i="7"/>
  <c r="AY433" i="7" s="1"/>
  <c r="B433" i="7"/>
  <c r="AK432" i="7" s="1"/>
  <c r="AU432" i="7"/>
  <c r="Z432" i="7"/>
  <c r="Y432" i="7"/>
  <c r="X432" i="7"/>
  <c r="V432" i="7"/>
  <c r="U432" i="7"/>
  <c r="T432" i="7"/>
  <c r="S432" i="7"/>
  <c r="R432" i="7"/>
  <c r="Q432" i="7"/>
  <c r="P432" i="7"/>
  <c r="M432" i="7"/>
  <c r="K432" i="7"/>
  <c r="C432" i="7"/>
  <c r="AX432" i="7" s="1"/>
  <c r="B432" i="7"/>
  <c r="AK431" i="7" s="1"/>
  <c r="AU431" i="7"/>
  <c r="Z431" i="7"/>
  <c r="Y431" i="7"/>
  <c r="X431" i="7"/>
  <c r="V431" i="7"/>
  <c r="U431" i="7"/>
  <c r="T431" i="7"/>
  <c r="S431" i="7"/>
  <c r="R431" i="7"/>
  <c r="Q431" i="7"/>
  <c r="P431" i="7"/>
  <c r="M431" i="7"/>
  <c r="K431" i="7"/>
  <c r="C431" i="7"/>
  <c r="AX431" i="7" s="1"/>
  <c r="B431" i="7"/>
  <c r="AK430" i="7" s="1"/>
  <c r="AU430" i="7"/>
  <c r="Z430" i="7"/>
  <c r="Y430" i="7"/>
  <c r="X430" i="7"/>
  <c r="V430" i="7"/>
  <c r="U430" i="7"/>
  <c r="T430" i="7"/>
  <c r="S430" i="7"/>
  <c r="R430" i="7"/>
  <c r="Q430" i="7"/>
  <c r="P430" i="7"/>
  <c r="M430" i="7"/>
  <c r="K430" i="7"/>
  <c r="C430" i="7"/>
  <c r="AX430" i="7" s="1"/>
  <c r="B430" i="7"/>
  <c r="AK429" i="7" s="1"/>
  <c r="AU429" i="7"/>
  <c r="Z429" i="7"/>
  <c r="Y429" i="7"/>
  <c r="X429" i="7"/>
  <c r="V429" i="7"/>
  <c r="U429" i="7"/>
  <c r="T429" i="7"/>
  <c r="S429" i="7"/>
  <c r="R429" i="7"/>
  <c r="Q429" i="7"/>
  <c r="P429" i="7"/>
  <c r="M429" i="7"/>
  <c r="K429" i="7"/>
  <c r="C429" i="7"/>
  <c r="AY429" i="7" s="1"/>
  <c r="B429" i="7"/>
  <c r="AK428" i="7" s="1"/>
  <c r="AU428" i="7"/>
  <c r="Z428" i="7"/>
  <c r="Y428" i="7"/>
  <c r="X428" i="7"/>
  <c r="V428" i="7"/>
  <c r="U428" i="7"/>
  <c r="T428" i="7"/>
  <c r="S428" i="7"/>
  <c r="R428" i="7"/>
  <c r="Q428" i="7"/>
  <c r="P428" i="7"/>
  <c r="M428" i="7"/>
  <c r="K428" i="7"/>
  <c r="C428" i="7"/>
  <c r="AX428" i="7" s="1"/>
  <c r="B428" i="7"/>
  <c r="AK427" i="7" s="1"/>
  <c r="AU427" i="7"/>
  <c r="Z427" i="7"/>
  <c r="Y427" i="7"/>
  <c r="X427" i="7"/>
  <c r="V427" i="7"/>
  <c r="U427" i="7"/>
  <c r="T427" i="7"/>
  <c r="S427" i="7"/>
  <c r="R427" i="7"/>
  <c r="Q427" i="7"/>
  <c r="P427" i="7"/>
  <c r="M427" i="7"/>
  <c r="K427" i="7"/>
  <c r="C427" i="7"/>
  <c r="AY427" i="7" s="1"/>
  <c r="B427" i="7"/>
  <c r="AK426" i="7" s="1"/>
  <c r="AU426" i="7"/>
  <c r="Z426" i="7"/>
  <c r="Y426" i="7"/>
  <c r="X426" i="7"/>
  <c r="V426" i="7"/>
  <c r="U426" i="7"/>
  <c r="T426" i="7"/>
  <c r="S426" i="7"/>
  <c r="R426" i="7"/>
  <c r="Q426" i="7"/>
  <c r="P426" i="7"/>
  <c r="M426" i="7"/>
  <c r="K426" i="7"/>
  <c r="C426" i="7"/>
  <c r="AX426" i="7" s="1"/>
  <c r="B426" i="7"/>
  <c r="AK425" i="7" s="1"/>
  <c r="AU425" i="7"/>
  <c r="Z425" i="7"/>
  <c r="Y425" i="7"/>
  <c r="X425" i="7"/>
  <c r="V425" i="7"/>
  <c r="U425" i="7"/>
  <c r="T425" i="7"/>
  <c r="S425" i="7"/>
  <c r="R425" i="7"/>
  <c r="Q425" i="7"/>
  <c r="P425" i="7"/>
  <c r="M425" i="7"/>
  <c r="K425" i="7"/>
  <c r="C425" i="7"/>
  <c r="AL425" i="7" s="1"/>
  <c r="B425" i="7"/>
  <c r="AK424" i="7" s="1"/>
  <c r="AU424" i="7"/>
  <c r="Z424" i="7"/>
  <c r="Y424" i="7"/>
  <c r="X424" i="7"/>
  <c r="V424" i="7"/>
  <c r="U424" i="7"/>
  <c r="T424" i="7"/>
  <c r="S424" i="7"/>
  <c r="R424" i="7"/>
  <c r="Q424" i="7"/>
  <c r="P424" i="7"/>
  <c r="M424" i="7"/>
  <c r="K424" i="7"/>
  <c r="C424" i="7"/>
  <c r="AX424" i="7" s="1"/>
  <c r="B424" i="7"/>
  <c r="AK423" i="7" s="1"/>
  <c r="AU423" i="7"/>
  <c r="Z423" i="7"/>
  <c r="Y423" i="7"/>
  <c r="X423" i="7"/>
  <c r="V423" i="7"/>
  <c r="U423" i="7"/>
  <c r="T423" i="7"/>
  <c r="S423" i="7"/>
  <c r="R423" i="7"/>
  <c r="Q423" i="7"/>
  <c r="P423" i="7"/>
  <c r="M423" i="7"/>
  <c r="K423" i="7"/>
  <c r="C423" i="7"/>
  <c r="AX423" i="7" s="1"/>
  <c r="B423" i="7"/>
  <c r="AK422" i="7" s="1"/>
  <c r="AU422" i="7"/>
  <c r="Z422" i="7"/>
  <c r="Y422" i="7"/>
  <c r="X422" i="7"/>
  <c r="V422" i="7"/>
  <c r="U422" i="7"/>
  <c r="T422" i="7"/>
  <c r="S422" i="7"/>
  <c r="R422" i="7"/>
  <c r="Q422" i="7"/>
  <c r="P422" i="7"/>
  <c r="M422" i="7"/>
  <c r="K422" i="7"/>
  <c r="C422" i="7"/>
  <c r="AX422" i="7" s="1"/>
  <c r="B422" i="7"/>
  <c r="AK421" i="7" s="1"/>
  <c r="AU421" i="7"/>
  <c r="Z421" i="7"/>
  <c r="Y421" i="7"/>
  <c r="X421" i="7"/>
  <c r="V421" i="7"/>
  <c r="U421" i="7"/>
  <c r="T421" i="7"/>
  <c r="S421" i="7"/>
  <c r="R421" i="7"/>
  <c r="Q421" i="7"/>
  <c r="P421" i="7"/>
  <c r="M421" i="7"/>
  <c r="K421" i="7"/>
  <c r="C421" i="7"/>
  <c r="B421" i="7"/>
  <c r="AK420" i="7" s="1"/>
  <c r="AU420" i="7"/>
  <c r="Z420" i="7"/>
  <c r="Y420" i="7"/>
  <c r="X420" i="7"/>
  <c r="V420" i="7"/>
  <c r="U420" i="7"/>
  <c r="T420" i="7"/>
  <c r="S420" i="7"/>
  <c r="R420" i="7"/>
  <c r="Q420" i="7"/>
  <c r="P420" i="7"/>
  <c r="M420" i="7"/>
  <c r="K420" i="7"/>
  <c r="C420" i="7"/>
  <c r="AX420" i="7" s="1"/>
  <c r="B420" i="7"/>
  <c r="AK419" i="7" s="1"/>
  <c r="AU419" i="7"/>
  <c r="Z419" i="7"/>
  <c r="Y419" i="7"/>
  <c r="X419" i="7"/>
  <c r="V419" i="7"/>
  <c r="U419" i="7"/>
  <c r="T419" i="7"/>
  <c r="S419" i="7"/>
  <c r="R419" i="7"/>
  <c r="Q419" i="7"/>
  <c r="P419" i="7"/>
  <c r="M419" i="7"/>
  <c r="K419" i="7"/>
  <c r="C419" i="7"/>
  <c r="B419" i="7"/>
  <c r="AK418" i="7" s="1"/>
  <c r="AU418" i="7"/>
  <c r="Z418" i="7"/>
  <c r="Y418" i="7"/>
  <c r="X418" i="7"/>
  <c r="V418" i="7"/>
  <c r="U418" i="7"/>
  <c r="T418" i="7"/>
  <c r="S418" i="7"/>
  <c r="R418" i="7"/>
  <c r="Q418" i="7"/>
  <c r="P418" i="7"/>
  <c r="M418" i="7"/>
  <c r="K418" i="7"/>
  <c r="C418" i="7"/>
  <c r="AX418" i="7" s="1"/>
  <c r="B418" i="7"/>
  <c r="AK413" i="7" s="1"/>
  <c r="AU417" i="7"/>
  <c r="Z417" i="7"/>
  <c r="Y417" i="7"/>
  <c r="X417" i="7"/>
  <c r="V417" i="7"/>
  <c r="U417" i="7"/>
  <c r="T417" i="7"/>
  <c r="S417" i="7"/>
  <c r="R417" i="7"/>
  <c r="Q417" i="7"/>
  <c r="P417" i="7"/>
  <c r="M417" i="7"/>
  <c r="K417" i="7"/>
  <c r="C417" i="7"/>
  <c r="AL417" i="7" s="1"/>
  <c r="B417" i="7"/>
  <c r="AK416" i="7" s="1"/>
  <c r="AU416" i="7"/>
  <c r="Z416" i="7"/>
  <c r="Y416" i="7"/>
  <c r="X416" i="7"/>
  <c r="V416" i="7"/>
  <c r="U416" i="7"/>
  <c r="T416" i="7"/>
  <c r="S416" i="7"/>
  <c r="R416" i="7"/>
  <c r="Q416" i="7"/>
  <c r="P416" i="7"/>
  <c r="M416" i="7"/>
  <c r="K416" i="7"/>
  <c r="C416" i="7"/>
  <c r="AX416" i="7" s="1"/>
  <c r="B416" i="7"/>
  <c r="AK415" i="7" s="1"/>
  <c r="AU415" i="7"/>
  <c r="Z415" i="7"/>
  <c r="Y415" i="7"/>
  <c r="X415" i="7"/>
  <c r="V415" i="7"/>
  <c r="U415" i="7"/>
  <c r="T415" i="7"/>
  <c r="S415" i="7"/>
  <c r="R415" i="7"/>
  <c r="Q415" i="7"/>
  <c r="P415" i="7"/>
  <c r="M415" i="7"/>
  <c r="K415" i="7"/>
  <c r="C415" i="7"/>
  <c r="AX415" i="7" s="1"/>
  <c r="B415" i="7"/>
  <c r="AK414" i="7" s="1"/>
  <c r="AU414" i="7"/>
  <c r="Z414" i="7"/>
  <c r="Y414" i="7"/>
  <c r="X414" i="7"/>
  <c r="V414" i="7"/>
  <c r="U414" i="7"/>
  <c r="T414" i="7"/>
  <c r="S414" i="7"/>
  <c r="R414" i="7"/>
  <c r="Q414" i="7"/>
  <c r="P414" i="7"/>
  <c r="M414" i="7"/>
  <c r="K414" i="7"/>
  <c r="C414" i="7"/>
  <c r="AX414" i="7" s="1"/>
  <c r="B414" i="7"/>
  <c r="AK409" i="7" s="1"/>
  <c r="AU413" i="7"/>
  <c r="Z413" i="7"/>
  <c r="Y413" i="7"/>
  <c r="X413" i="7"/>
  <c r="V413" i="7"/>
  <c r="U413" i="7"/>
  <c r="T413" i="7"/>
  <c r="S413" i="7"/>
  <c r="R413" i="7"/>
  <c r="Q413" i="7"/>
  <c r="P413" i="7"/>
  <c r="M413" i="7"/>
  <c r="K413" i="7"/>
  <c r="C413" i="7"/>
  <c r="AY413" i="7" s="1"/>
  <c r="B413" i="7"/>
  <c r="AK412" i="7" s="1"/>
  <c r="AU412" i="7"/>
  <c r="Z412" i="7"/>
  <c r="Y412" i="7"/>
  <c r="X412" i="7"/>
  <c r="V412" i="7"/>
  <c r="U412" i="7"/>
  <c r="T412" i="7"/>
  <c r="S412" i="7"/>
  <c r="R412" i="7"/>
  <c r="Q412" i="7"/>
  <c r="P412" i="7"/>
  <c r="M412" i="7"/>
  <c r="K412" i="7"/>
  <c r="C412" i="7"/>
  <c r="AX412" i="7" s="1"/>
  <c r="B412" i="7"/>
  <c r="AK411" i="7" s="1"/>
  <c r="AU411" i="7"/>
  <c r="Z411" i="7"/>
  <c r="Y411" i="7"/>
  <c r="X411" i="7"/>
  <c r="V411" i="7"/>
  <c r="U411" i="7"/>
  <c r="T411" i="7"/>
  <c r="S411" i="7"/>
  <c r="R411" i="7"/>
  <c r="Q411" i="7"/>
  <c r="P411" i="7"/>
  <c r="M411" i="7"/>
  <c r="K411" i="7"/>
  <c r="C411" i="7"/>
  <c r="AY411" i="7" s="1"/>
  <c r="B411" i="7"/>
  <c r="AK410" i="7" s="1"/>
  <c r="AU410" i="7"/>
  <c r="Z410" i="7"/>
  <c r="Y410" i="7"/>
  <c r="X410" i="7"/>
  <c r="V410" i="7"/>
  <c r="U410" i="7"/>
  <c r="T410" i="7"/>
  <c r="S410" i="7"/>
  <c r="R410" i="7"/>
  <c r="Q410" i="7"/>
  <c r="P410" i="7"/>
  <c r="M410" i="7"/>
  <c r="K410" i="7"/>
  <c r="C410" i="7"/>
  <c r="AX410" i="7" s="1"/>
  <c r="B410" i="7"/>
  <c r="AU409" i="7"/>
  <c r="Z409" i="7"/>
  <c r="Y409" i="7"/>
  <c r="X409" i="7"/>
  <c r="V409" i="7"/>
  <c r="U409" i="7"/>
  <c r="T409" i="7"/>
  <c r="S409" i="7"/>
  <c r="R409" i="7"/>
  <c r="Q409" i="7"/>
  <c r="P409" i="7"/>
  <c r="M409" i="7"/>
  <c r="K409" i="7"/>
  <c r="C409" i="7"/>
  <c r="AY409" i="7" s="1"/>
  <c r="B409" i="7"/>
  <c r="AK408" i="7" s="1"/>
  <c r="AU408" i="7"/>
  <c r="Z408" i="7"/>
  <c r="Y408" i="7"/>
  <c r="X408" i="7"/>
  <c r="V408" i="7"/>
  <c r="U408" i="7"/>
  <c r="T408" i="7"/>
  <c r="S408" i="7"/>
  <c r="R408" i="7"/>
  <c r="Q408" i="7"/>
  <c r="P408" i="7"/>
  <c r="M408" i="7"/>
  <c r="K408" i="7"/>
  <c r="C408" i="7"/>
  <c r="AX408" i="7" s="1"/>
  <c r="B408" i="7"/>
  <c r="AK407" i="7" s="1"/>
  <c r="AU407" i="7"/>
  <c r="Z407" i="7"/>
  <c r="Y407" i="7"/>
  <c r="X407" i="7"/>
  <c r="V407" i="7"/>
  <c r="U407" i="7"/>
  <c r="T407" i="7"/>
  <c r="S407" i="7"/>
  <c r="R407" i="7"/>
  <c r="Q407" i="7"/>
  <c r="P407" i="7"/>
  <c r="M407" i="7"/>
  <c r="K407" i="7"/>
  <c r="C407" i="7"/>
  <c r="AX407" i="7" s="1"/>
  <c r="B407" i="7"/>
  <c r="AK406" i="7" s="1"/>
  <c r="AU406" i="7"/>
  <c r="Z406" i="7"/>
  <c r="Y406" i="7"/>
  <c r="X406" i="7"/>
  <c r="V406" i="7"/>
  <c r="U406" i="7"/>
  <c r="T406" i="7"/>
  <c r="S406" i="7"/>
  <c r="R406" i="7"/>
  <c r="Q406" i="7"/>
  <c r="P406" i="7"/>
  <c r="M406" i="7"/>
  <c r="K406" i="7"/>
  <c r="C406" i="7"/>
  <c r="AX406" i="7" s="1"/>
  <c r="B406" i="7"/>
  <c r="AK405" i="7" s="1"/>
  <c r="AU405" i="7"/>
  <c r="Z405" i="7"/>
  <c r="Y405" i="7"/>
  <c r="X405" i="7"/>
  <c r="V405" i="7"/>
  <c r="U405" i="7"/>
  <c r="T405" i="7"/>
  <c r="S405" i="7"/>
  <c r="R405" i="7"/>
  <c r="Q405" i="7"/>
  <c r="P405" i="7"/>
  <c r="M405" i="7"/>
  <c r="K405" i="7"/>
  <c r="C405" i="7"/>
  <c r="B405" i="7"/>
  <c r="AK404" i="7" s="1"/>
  <c r="AU404" i="7"/>
  <c r="Z404" i="7"/>
  <c r="Y404" i="7"/>
  <c r="X404" i="7"/>
  <c r="V404" i="7"/>
  <c r="U404" i="7"/>
  <c r="T404" i="7"/>
  <c r="S404" i="7"/>
  <c r="R404" i="7"/>
  <c r="Q404" i="7"/>
  <c r="P404" i="7"/>
  <c r="M404" i="7"/>
  <c r="K404" i="7"/>
  <c r="C404" i="7"/>
  <c r="AX404" i="7" s="1"/>
  <c r="B404" i="7"/>
  <c r="AK403" i="7" s="1"/>
  <c r="AU403" i="7"/>
  <c r="Z403" i="7"/>
  <c r="Y403" i="7"/>
  <c r="X403" i="7"/>
  <c r="V403" i="7"/>
  <c r="U403" i="7"/>
  <c r="T403" i="7"/>
  <c r="S403" i="7"/>
  <c r="R403" i="7"/>
  <c r="Q403" i="7"/>
  <c r="P403" i="7"/>
  <c r="M403" i="7"/>
  <c r="K403" i="7"/>
  <c r="C403" i="7"/>
  <c r="B403" i="7"/>
  <c r="AK402" i="7" s="1"/>
  <c r="AU402" i="7"/>
  <c r="Z402" i="7"/>
  <c r="Y402" i="7"/>
  <c r="X402" i="7"/>
  <c r="V402" i="7"/>
  <c r="U402" i="7"/>
  <c r="T402" i="7"/>
  <c r="S402" i="7"/>
  <c r="R402" i="7"/>
  <c r="Q402" i="7"/>
  <c r="P402" i="7"/>
  <c r="M402" i="7"/>
  <c r="K402" i="7"/>
  <c r="C402" i="7"/>
  <c r="AX402" i="7" s="1"/>
  <c r="B402" i="7"/>
  <c r="AK401" i="7" s="1"/>
  <c r="AU401" i="7"/>
  <c r="Z401" i="7"/>
  <c r="Y401" i="7"/>
  <c r="X401" i="7"/>
  <c r="V401" i="7"/>
  <c r="U401" i="7"/>
  <c r="T401" i="7"/>
  <c r="S401" i="7"/>
  <c r="R401" i="7"/>
  <c r="Q401" i="7"/>
  <c r="P401" i="7"/>
  <c r="M401" i="7"/>
  <c r="K401" i="7"/>
  <c r="C401" i="7"/>
  <c r="AL401" i="7" s="1"/>
  <c r="B401" i="7"/>
  <c r="AK400" i="7" s="1"/>
  <c r="AU400" i="7"/>
  <c r="Z400" i="7"/>
  <c r="Y400" i="7"/>
  <c r="X400" i="7"/>
  <c r="V400" i="7"/>
  <c r="U400" i="7"/>
  <c r="T400" i="7"/>
  <c r="S400" i="7"/>
  <c r="R400" i="7"/>
  <c r="Q400" i="7"/>
  <c r="P400" i="7"/>
  <c r="M400" i="7"/>
  <c r="K400" i="7"/>
  <c r="C400" i="7"/>
  <c r="AX400" i="7" s="1"/>
  <c r="B400" i="7"/>
  <c r="AK399" i="7" s="1"/>
  <c r="AU399" i="7"/>
  <c r="Z399" i="7"/>
  <c r="Y399" i="7"/>
  <c r="X399" i="7"/>
  <c r="V399" i="7"/>
  <c r="U399" i="7"/>
  <c r="T399" i="7"/>
  <c r="S399" i="7"/>
  <c r="R399" i="7"/>
  <c r="Q399" i="7"/>
  <c r="P399" i="7"/>
  <c r="M399" i="7"/>
  <c r="K399" i="7"/>
  <c r="C399" i="7"/>
  <c r="AX399" i="7" s="1"/>
  <c r="B399" i="7"/>
  <c r="AK398" i="7" s="1"/>
  <c r="AU398" i="7"/>
  <c r="Z398" i="7"/>
  <c r="Y398" i="7"/>
  <c r="X398" i="7"/>
  <c r="V398" i="7"/>
  <c r="U398" i="7"/>
  <c r="T398" i="7"/>
  <c r="S398" i="7"/>
  <c r="R398" i="7"/>
  <c r="Q398" i="7"/>
  <c r="P398" i="7"/>
  <c r="M398" i="7"/>
  <c r="K398" i="7"/>
  <c r="C398" i="7"/>
  <c r="AY398" i="7" s="1"/>
  <c r="B398" i="7"/>
  <c r="AK397" i="7" s="1"/>
  <c r="AU397" i="7"/>
  <c r="Z397" i="7"/>
  <c r="Y397" i="7"/>
  <c r="X397" i="7"/>
  <c r="V397" i="7"/>
  <c r="U397" i="7"/>
  <c r="T397" i="7"/>
  <c r="S397" i="7"/>
  <c r="R397" i="7"/>
  <c r="Q397" i="7"/>
  <c r="P397" i="7"/>
  <c r="M397" i="7"/>
  <c r="K397" i="7"/>
  <c r="C397" i="7"/>
  <c r="AX397" i="7" s="1"/>
  <c r="B397" i="7"/>
  <c r="AK396" i="7" s="1"/>
  <c r="AU396" i="7"/>
  <c r="Z396" i="7"/>
  <c r="Y396" i="7"/>
  <c r="X396" i="7"/>
  <c r="V396" i="7"/>
  <c r="U396" i="7"/>
  <c r="T396" i="7"/>
  <c r="S396" i="7"/>
  <c r="R396" i="7"/>
  <c r="Q396" i="7"/>
  <c r="P396" i="7"/>
  <c r="M396" i="7"/>
  <c r="K396" i="7"/>
  <c r="C396" i="7"/>
  <c r="AY396" i="7" s="1"/>
  <c r="B396" i="7"/>
  <c r="AK395" i="7" s="1"/>
  <c r="AU395" i="7"/>
  <c r="Z395" i="7"/>
  <c r="Y395" i="7"/>
  <c r="X395" i="7"/>
  <c r="V395" i="7"/>
  <c r="U395" i="7"/>
  <c r="T395" i="7"/>
  <c r="S395" i="7"/>
  <c r="R395" i="7"/>
  <c r="Q395" i="7"/>
  <c r="P395" i="7"/>
  <c r="M395" i="7"/>
  <c r="K395" i="7"/>
  <c r="C395" i="7"/>
  <c r="AX395" i="7" s="1"/>
  <c r="B395" i="7"/>
  <c r="AK394" i="7" s="1"/>
  <c r="AU394" i="7"/>
  <c r="Z394" i="7"/>
  <c r="Y394" i="7"/>
  <c r="X394" i="7"/>
  <c r="V394" i="7"/>
  <c r="U394" i="7"/>
  <c r="T394" i="7"/>
  <c r="S394" i="7"/>
  <c r="R394" i="7"/>
  <c r="Q394" i="7"/>
  <c r="P394" i="7"/>
  <c r="M394" i="7"/>
  <c r="K394" i="7"/>
  <c r="C394" i="7"/>
  <c r="AX394" i="7" s="1"/>
  <c r="B394" i="7"/>
  <c r="AK393" i="7" s="1"/>
  <c r="AU393" i="7"/>
  <c r="Z393" i="7"/>
  <c r="Y393" i="7"/>
  <c r="X393" i="7"/>
  <c r="V393" i="7"/>
  <c r="U393" i="7"/>
  <c r="T393" i="7"/>
  <c r="S393" i="7"/>
  <c r="R393" i="7"/>
  <c r="Q393" i="7"/>
  <c r="P393" i="7"/>
  <c r="M393" i="7"/>
  <c r="K393" i="7"/>
  <c r="C393" i="7"/>
  <c r="B393" i="7"/>
  <c r="AK392" i="7" s="1"/>
  <c r="AU392" i="7"/>
  <c r="Z392" i="7"/>
  <c r="Y392" i="7"/>
  <c r="X392" i="7"/>
  <c r="V392" i="7"/>
  <c r="U392" i="7"/>
  <c r="T392" i="7"/>
  <c r="S392" i="7"/>
  <c r="R392" i="7"/>
  <c r="Q392" i="7"/>
  <c r="P392" i="7"/>
  <c r="M392" i="7"/>
  <c r="K392" i="7"/>
  <c r="C392" i="7"/>
  <c r="AY392" i="7" s="1"/>
  <c r="B392" i="7"/>
  <c r="AK391" i="7" s="1"/>
  <c r="AU391" i="7"/>
  <c r="Z391" i="7"/>
  <c r="Y391" i="7"/>
  <c r="X391" i="7"/>
  <c r="V391" i="7"/>
  <c r="U391" i="7"/>
  <c r="T391" i="7"/>
  <c r="S391" i="7"/>
  <c r="R391" i="7"/>
  <c r="Q391" i="7"/>
  <c r="P391" i="7"/>
  <c r="M391" i="7"/>
  <c r="K391" i="7"/>
  <c r="C391" i="7"/>
  <c r="AX391" i="7" s="1"/>
  <c r="B391" i="7"/>
  <c r="AK390" i="7" s="1"/>
  <c r="AU390" i="7"/>
  <c r="Z390" i="7"/>
  <c r="Y390" i="7"/>
  <c r="X390" i="7"/>
  <c r="V390" i="7"/>
  <c r="U390" i="7"/>
  <c r="T390" i="7"/>
  <c r="S390" i="7"/>
  <c r="R390" i="7"/>
  <c r="Q390" i="7"/>
  <c r="P390" i="7"/>
  <c r="M390" i="7"/>
  <c r="K390" i="7"/>
  <c r="C390" i="7"/>
  <c r="AY390" i="7" s="1"/>
  <c r="B390" i="7"/>
  <c r="AK389" i="7" s="1"/>
  <c r="AU389" i="7"/>
  <c r="Z389" i="7"/>
  <c r="Y389" i="7"/>
  <c r="X389" i="7"/>
  <c r="V389" i="7"/>
  <c r="U389" i="7"/>
  <c r="T389" i="7"/>
  <c r="S389" i="7"/>
  <c r="R389" i="7"/>
  <c r="Q389" i="7"/>
  <c r="P389" i="7"/>
  <c r="M389" i="7"/>
  <c r="K389" i="7"/>
  <c r="C389" i="7"/>
  <c r="AX389" i="7" s="1"/>
  <c r="B389" i="7"/>
  <c r="AK388" i="7" s="1"/>
  <c r="AU388" i="7"/>
  <c r="Z388" i="7"/>
  <c r="Y388" i="7"/>
  <c r="X388" i="7"/>
  <c r="V388" i="7"/>
  <c r="U388" i="7"/>
  <c r="T388" i="7"/>
  <c r="S388" i="7"/>
  <c r="R388" i="7"/>
  <c r="Q388" i="7"/>
  <c r="P388" i="7"/>
  <c r="M388" i="7"/>
  <c r="K388" i="7"/>
  <c r="C388" i="7"/>
  <c r="AY388" i="7" s="1"/>
  <c r="B388" i="7"/>
  <c r="AK387" i="7" s="1"/>
  <c r="AU387" i="7"/>
  <c r="Z387" i="7"/>
  <c r="Y387" i="7"/>
  <c r="X387" i="7"/>
  <c r="V387" i="7"/>
  <c r="U387" i="7"/>
  <c r="T387" i="7"/>
  <c r="S387" i="7"/>
  <c r="R387" i="7"/>
  <c r="Q387" i="7"/>
  <c r="P387" i="7"/>
  <c r="M387" i="7"/>
  <c r="K387" i="7"/>
  <c r="C387" i="7"/>
  <c r="AX387" i="7" s="1"/>
  <c r="B387" i="7"/>
  <c r="AK386" i="7" s="1"/>
  <c r="AU386" i="7"/>
  <c r="Z386" i="7"/>
  <c r="Y386" i="7"/>
  <c r="X386" i="7"/>
  <c r="V386" i="7"/>
  <c r="U386" i="7"/>
  <c r="T386" i="7"/>
  <c r="S386" i="7"/>
  <c r="R386" i="7"/>
  <c r="Q386" i="7"/>
  <c r="P386" i="7"/>
  <c r="M386" i="7"/>
  <c r="K386" i="7"/>
  <c r="C386" i="7"/>
  <c r="AX386" i="7" s="1"/>
  <c r="B386" i="7"/>
  <c r="AK385" i="7" s="1"/>
  <c r="AU385" i="7"/>
  <c r="Z385" i="7"/>
  <c r="Y385" i="7"/>
  <c r="X385" i="7"/>
  <c r="V385" i="7"/>
  <c r="U385" i="7"/>
  <c r="T385" i="7"/>
  <c r="S385" i="7"/>
  <c r="R385" i="7"/>
  <c r="Q385" i="7"/>
  <c r="P385" i="7"/>
  <c r="M385" i="7"/>
  <c r="K385" i="7"/>
  <c r="C385" i="7"/>
  <c r="AX385" i="7" s="1"/>
  <c r="B385" i="7"/>
  <c r="AK384" i="7" s="1"/>
  <c r="AU384" i="7"/>
  <c r="Z384" i="7"/>
  <c r="Y384" i="7"/>
  <c r="X384" i="7"/>
  <c r="V384" i="7"/>
  <c r="U384" i="7"/>
  <c r="T384" i="7"/>
  <c r="S384" i="7"/>
  <c r="R384" i="7"/>
  <c r="Q384" i="7"/>
  <c r="P384" i="7"/>
  <c r="M384" i="7"/>
  <c r="K384" i="7"/>
  <c r="C384" i="7"/>
  <c r="AY384" i="7" s="1"/>
  <c r="B384" i="7"/>
  <c r="AK383" i="7" s="1"/>
  <c r="AU383" i="7"/>
  <c r="Z383" i="7"/>
  <c r="Y383" i="7"/>
  <c r="X383" i="7"/>
  <c r="V383" i="7"/>
  <c r="U383" i="7"/>
  <c r="T383" i="7"/>
  <c r="S383" i="7"/>
  <c r="R383" i="7"/>
  <c r="Q383" i="7"/>
  <c r="P383" i="7"/>
  <c r="M383" i="7"/>
  <c r="K383" i="7"/>
  <c r="C383" i="7"/>
  <c r="AX383" i="7" s="1"/>
  <c r="B383" i="7"/>
  <c r="AK382" i="7" s="1"/>
  <c r="AU382" i="7"/>
  <c r="Z382" i="7"/>
  <c r="Y382" i="7"/>
  <c r="X382" i="7"/>
  <c r="V382" i="7"/>
  <c r="U382" i="7"/>
  <c r="T382" i="7"/>
  <c r="S382" i="7"/>
  <c r="R382" i="7"/>
  <c r="Q382" i="7"/>
  <c r="P382" i="7"/>
  <c r="M382" i="7"/>
  <c r="K382" i="7"/>
  <c r="C382" i="7"/>
  <c r="B382" i="7"/>
  <c r="AK381" i="7" s="1"/>
  <c r="AU381" i="7"/>
  <c r="Z381" i="7"/>
  <c r="Y381" i="7"/>
  <c r="X381" i="7"/>
  <c r="V381" i="7"/>
  <c r="U381" i="7"/>
  <c r="T381" i="7"/>
  <c r="S381" i="7"/>
  <c r="R381" i="7"/>
  <c r="Q381" i="7"/>
  <c r="P381" i="7"/>
  <c r="M381" i="7"/>
  <c r="K381" i="7"/>
  <c r="C381" i="7"/>
  <c r="AX381" i="7" s="1"/>
  <c r="B381" i="7"/>
  <c r="AK380" i="7" s="1"/>
  <c r="AU380" i="7"/>
  <c r="Z380" i="7"/>
  <c r="Y380" i="7"/>
  <c r="X380" i="7"/>
  <c r="V380" i="7"/>
  <c r="U380" i="7"/>
  <c r="T380" i="7"/>
  <c r="S380" i="7"/>
  <c r="R380" i="7"/>
  <c r="Q380" i="7"/>
  <c r="P380" i="7"/>
  <c r="M380" i="7"/>
  <c r="K380" i="7"/>
  <c r="C380" i="7"/>
  <c r="AL380" i="7" s="1"/>
  <c r="B380" i="7"/>
  <c r="AK379" i="7" s="1"/>
  <c r="AU379" i="7"/>
  <c r="Z379" i="7"/>
  <c r="Y379" i="7"/>
  <c r="X379" i="7"/>
  <c r="V379" i="7"/>
  <c r="U379" i="7"/>
  <c r="T379" i="7"/>
  <c r="S379" i="7"/>
  <c r="R379" i="7"/>
  <c r="Q379" i="7"/>
  <c r="P379" i="7"/>
  <c r="M379" i="7"/>
  <c r="K379" i="7"/>
  <c r="C379" i="7"/>
  <c r="AX379" i="7" s="1"/>
  <c r="B379" i="7"/>
  <c r="AK378" i="7" s="1"/>
  <c r="AU378" i="7"/>
  <c r="Z378" i="7"/>
  <c r="Y378" i="7"/>
  <c r="X378" i="7"/>
  <c r="V378" i="7"/>
  <c r="U378" i="7"/>
  <c r="T378" i="7"/>
  <c r="S378" i="7"/>
  <c r="R378" i="7"/>
  <c r="Q378" i="7"/>
  <c r="P378" i="7"/>
  <c r="M378" i="7"/>
  <c r="K378" i="7"/>
  <c r="C378" i="7"/>
  <c r="AX378" i="7" s="1"/>
  <c r="B378" i="7"/>
  <c r="AK377" i="7" s="1"/>
  <c r="AU377" i="7"/>
  <c r="Z377" i="7"/>
  <c r="Y377" i="7"/>
  <c r="X377" i="7"/>
  <c r="V377" i="7"/>
  <c r="U377" i="7"/>
  <c r="T377" i="7"/>
  <c r="S377" i="7"/>
  <c r="R377" i="7"/>
  <c r="Q377" i="7"/>
  <c r="P377" i="7"/>
  <c r="M377" i="7"/>
  <c r="K377" i="7"/>
  <c r="C377" i="7"/>
  <c r="AX377" i="7" s="1"/>
  <c r="B377" i="7"/>
  <c r="AK376" i="7" s="1"/>
  <c r="AU376" i="7"/>
  <c r="Z376" i="7"/>
  <c r="Y376" i="7"/>
  <c r="X376" i="7"/>
  <c r="V376" i="7"/>
  <c r="U376" i="7"/>
  <c r="T376" i="7"/>
  <c r="S376" i="7"/>
  <c r="R376" i="7"/>
  <c r="Q376" i="7"/>
  <c r="P376" i="7"/>
  <c r="M376" i="7"/>
  <c r="K376" i="7"/>
  <c r="C376" i="7"/>
  <c r="B376" i="7"/>
  <c r="AK375" i="7" s="1"/>
  <c r="AU375" i="7"/>
  <c r="Z375" i="7"/>
  <c r="Y375" i="7"/>
  <c r="X375" i="7"/>
  <c r="V375" i="7"/>
  <c r="U375" i="7"/>
  <c r="T375" i="7"/>
  <c r="S375" i="7"/>
  <c r="R375" i="7"/>
  <c r="Q375" i="7"/>
  <c r="P375" i="7"/>
  <c r="M375" i="7"/>
  <c r="K375" i="7"/>
  <c r="C375" i="7"/>
  <c r="AX375" i="7" s="1"/>
  <c r="B375" i="7"/>
  <c r="AK374" i="7" s="1"/>
  <c r="AU374" i="7"/>
  <c r="Z374" i="7"/>
  <c r="Y374" i="7"/>
  <c r="X374" i="7"/>
  <c r="V374" i="7"/>
  <c r="U374" i="7"/>
  <c r="T374" i="7"/>
  <c r="S374" i="7"/>
  <c r="R374" i="7"/>
  <c r="Q374" i="7"/>
  <c r="P374" i="7"/>
  <c r="M374" i="7"/>
  <c r="K374" i="7"/>
  <c r="C374" i="7"/>
  <c r="B374" i="7"/>
  <c r="AK373" i="7" s="1"/>
  <c r="AU373" i="7"/>
  <c r="Z373" i="7"/>
  <c r="Y373" i="7"/>
  <c r="X373" i="7"/>
  <c r="V373" i="7"/>
  <c r="U373" i="7"/>
  <c r="T373" i="7"/>
  <c r="S373" i="7"/>
  <c r="R373" i="7"/>
  <c r="Q373" i="7"/>
  <c r="P373" i="7"/>
  <c r="M373" i="7"/>
  <c r="K373" i="7"/>
  <c r="C373" i="7"/>
  <c r="AX373" i="7" s="1"/>
  <c r="B373" i="7"/>
  <c r="AK372" i="7" s="1"/>
  <c r="AU372" i="7"/>
  <c r="Z372" i="7"/>
  <c r="Y372" i="7"/>
  <c r="X372" i="7"/>
  <c r="V372" i="7"/>
  <c r="U372" i="7"/>
  <c r="T372" i="7"/>
  <c r="S372" i="7"/>
  <c r="R372" i="7"/>
  <c r="Q372" i="7"/>
  <c r="P372" i="7"/>
  <c r="M372" i="7"/>
  <c r="K372" i="7"/>
  <c r="C372" i="7"/>
  <c r="AL372" i="7" s="1"/>
  <c r="B372" i="7"/>
  <c r="AK371" i="7" s="1"/>
  <c r="AU371" i="7"/>
  <c r="Z371" i="7"/>
  <c r="Y371" i="7"/>
  <c r="X371" i="7"/>
  <c r="V371" i="7"/>
  <c r="U371" i="7"/>
  <c r="T371" i="7"/>
  <c r="S371" i="7"/>
  <c r="R371" i="7"/>
  <c r="Q371" i="7"/>
  <c r="P371" i="7"/>
  <c r="M371" i="7"/>
  <c r="K371" i="7"/>
  <c r="C371" i="7"/>
  <c r="AX371" i="7" s="1"/>
  <c r="B371" i="7"/>
  <c r="AK370" i="7" s="1"/>
  <c r="AU370" i="7"/>
  <c r="Z370" i="7"/>
  <c r="Y370" i="7"/>
  <c r="X370" i="7"/>
  <c r="V370" i="7"/>
  <c r="U370" i="7"/>
  <c r="T370" i="7"/>
  <c r="S370" i="7"/>
  <c r="R370" i="7"/>
  <c r="Q370" i="7"/>
  <c r="P370" i="7"/>
  <c r="M370" i="7"/>
  <c r="K370" i="7"/>
  <c r="C370" i="7"/>
  <c r="AX370" i="7" s="1"/>
  <c r="B370" i="7"/>
  <c r="AK369" i="7" s="1"/>
  <c r="AU369" i="7"/>
  <c r="Z369" i="7"/>
  <c r="Y369" i="7"/>
  <c r="X369" i="7"/>
  <c r="V369" i="7"/>
  <c r="U369" i="7"/>
  <c r="T369" i="7"/>
  <c r="S369" i="7"/>
  <c r="R369" i="7"/>
  <c r="Q369" i="7"/>
  <c r="P369" i="7"/>
  <c r="M369" i="7"/>
  <c r="K369" i="7"/>
  <c r="C369" i="7"/>
  <c r="AX369" i="7" s="1"/>
  <c r="B369" i="7"/>
  <c r="AK368" i="7" s="1"/>
  <c r="AU368" i="7"/>
  <c r="Z368" i="7"/>
  <c r="Y368" i="7"/>
  <c r="X368" i="7"/>
  <c r="V368" i="7"/>
  <c r="U368" i="7"/>
  <c r="T368" i="7"/>
  <c r="S368" i="7"/>
  <c r="R368" i="7"/>
  <c r="Q368" i="7"/>
  <c r="P368" i="7"/>
  <c r="M368" i="7"/>
  <c r="K368" i="7"/>
  <c r="C368" i="7"/>
  <c r="B368" i="7"/>
  <c r="AK367" i="7" s="1"/>
  <c r="AU367" i="7"/>
  <c r="Z367" i="7"/>
  <c r="Y367" i="7"/>
  <c r="X367" i="7"/>
  <c r="V367" i="7"/>
  <c r="U367" i="7"/>
  <c r="T367" i="7"/>
  <c r="S367" i="7"/>
  <c r="R367" i="7"/>
  <c r="Q367" i="7"/>
  <c r="P367" i="7"/>
  <c r="M367" i="7"/>
  <c r="K367" i="7"/>
  <c r="C367" i="7"/>
  <c r="AX367" i="7" s="1"/>
  <c r="B367" i="7"/>
  <c r="AK366" i="7" s="1"/>
  <c r="AU366" i="7"/>
  <c r="Z366" i="7"/>
  <c r="Y366" i="7"/>
  <c r="X366" i="7"/>
  <c r="V366" i="7"/>
  <c r="U366" i="7"/>
  <c r="T366" i="7"/>
  <c r="S366" i="7"/>
  <c r="R366" i="7"/>
  <c r="Q366" i="7"/>
  <c r="P366" i="7"/>
  <c r="M366" i="7"/>
  <c r="K366" i="7"/>
  <c r="C366" i="7"/>
  <c r="B366" i="7"/>
  <c r="AK365" i="7" s="1"/>
  <c r="AU365" i="7"/>
  <c r="Z365" i="7"/>
  <c r="Y365" i="7"/>
  <c r="X365" i="7"/>
  <c r="V365" i="7"/>
  <c r="U365" i="7"/>
  <c r="T365" i="7"/>
  <c r="S365" i="7"/>
  <c r="R365" i="7"/>
  <c r="Q365" i="7"/>
  <c r="P365" i="7"/>
  <c r="M365" i="7"/>
  <c r="K365" i="7"/>
  <c r="C365" i="7"/>
  <c r="AX365" i="7" s="1"/>
  <c r="B365" i="7"/>
  <c r="AK364" i="7" s="1"/>
  <c r="AU364" i="7"/>
  <c r="Z364" i="7"/>
  <c r="Y364" i="7"/>
  <c r="X364" i="7"/>
  <c r="V364" i="7"/>
  <c r="U364" i="7"/>
  <c r="T364" i="7"/>
  <c r="S364" i="7"/>
  <c r="R364" i="7"/>
  <c r="Q364" i="7"/>
  <c r="P364" i="7"/>
  <c r="M364" i="7"/>
  <c r="K364" i="7"/>
  <c r="C364" i="7"/>
  <c r="AL364" i="7" s="1"/>
  <c r="B364" i="7"/>
  <c r="AK363" i="7" s="1"/>
  <c r="AU363" i="7"/>
  <c r="Z363" i="7"/>
  <c r="Y363" i="7"/>
  <c r="X363" i="7"/>
  <c r="V363" i="7"/>
  <c r="U363" i="7"/>
  <c r="T363" i="7"/>
  <c r="S363" i="7"/>
  <c r="R363" i="7"/>
  <c r="Q363" i="7"/>
  <c r="P363" i="7"/>
  <c r="M363" i="7"/>
  <c r="K363" i="7"/>
  <c r="C363" i="7"/>
  <c r="AX363" i="7" s="1"/>
  <c r="B363" i="7"/>
  <c r="AK362" i="7" s="1"/>
  <c r="AU362" i="7"/>
  <c r="Z362" i="7"/>
  <c r="Y362" i="7"/>
  <c r="X362" i="7"/>
  <c r="V362" i="7"/>
  <c r="U362" i="7"/>
  <c r="T362" i="7"/>
  <c r="S362" i="7"/>
  <c r="R362" i="7"/>
  <c r="Q362" i="7"/>
  <c r="P362" i="7"/>
  <c r="M362" i="7"/>
  <c r="K362" i="7"/>
  <c r="C362" i="7"/>
  <c r="AX362" i="7" s="1"/>
  <c r="B362" i="7"/>
  <c r="AK361" i="7" s="1"/>
  <c r="AU361" i="7"/>
  <c r="Z361" i="7"/>
  <c r="Y361" i="7"/>
  <c r="X361" i="7"/>
  <c r="V361" i="7"/>
  <c r="U361" i="7"/>
  <c r="T361" i="7"/>
  <c r="S361" i="7"/>
  <c r="R361" i="7"/>
  <c r="Q361" i="7"/>
  <c r="P361" i="7"/>
  <c r="M361" i="7"/>
  <c r="K361" i="7"/>
  <c r="C361" i="7"/>
  <c r="AX361" i="7" s="1"/>
  <c r="B361" i="7"/>
  <c r="AK360" i="7" s="1"/>
  <c r="AU360" i="7"/>
  <c r="Z360" i="7"/>
  <c r="Y360" i="7"/>
  <c r="X360" i="7"/>
  <c r="V360" i="7"/>
  <c r="U360" i="7"/>
  <c r="T360" i="7"/>
  <c r="S360" i="7"/>
  <c r="R360" i="7"/>
  <c r="Q360" i="7"/>
  <c r="P360" i="7"/>
  <c r="M360" i="7"/>
  <c r="K360" i="7"/>
  <c r="C360" i="7"/>
  <c r="B360" i="7"/>
  <c r="AK359" i="7" s="1"/>
  <c r="AU359" i="7"/>
  <c r="Z359" i="7"/>
  <c r="Y359" i="7"/>
  <c r="X359" i="7"/>
  <c r="V359" i="7"/>
  <c r="U359" i="7"/>
  <c r="T359" i="7"/>
  <c r="S359" i="7"/>
  <c r="R359" i="7"/>
  <c r="Q359" i="7"/>
  <c r="P359" i="7"/>
  <c r="M359" i="7"/>
  <c r="K359" i="7"/>
  <c r="C359" i="7"/>
  <c r="AX359" i="7" s="1"/>
  <c r="B359" i="7"/>
  <c r="AK358" i="7" s="1"/>
  <c r="AU358" i="7"/>
  <c r="Z358" i="7"/>
  <c r="Y358" i="7"/>
  <c r="X358" i="7"/>
  <c r="V358" i="7"/>
  <c r="U358" i="7"/>
  <c r="T358" i="7"/>
  <c r="S358" i="7"/>
  <c r="R358" i="7"/>
  <c r="Q358" i="7"/>
  <c r="P358" i="7"/>
  <c r="M358" i="7"/>
  <c r="K358" i="7"/>
  <c r="C358" i="7"/>
  <c r="B358" i="7"/>
  <c r="AK357" i="7" s="1"/>
  <c r="AU357" i="7"/>
  <c r="Z357" i="7"/>
  <c r="Y357" i="7"/>
  <c r="X357" i="7"/>
  <c r="V357" i="7"/>
  <c r="U357" i="7"/>
  <c r="T357" i="7"/>
  <c r="S357" i="7"/>
  <c r="R357" i="7"/>
  <c r="Q357" i="7"/>
  <c r="P357" i="7"/>
  <c r="M357" i="7"/>
  <c r="K357" i="7"/>
  <c r="C357" i="7"/>
  <c r="AX357" i="7" s="1"/>
  <c r="B357" i="7"/>
  <c r="AK356" i="7" s="1"/>
  <c r="AU356" i="7"/>
  <c r="Z356" i="7"/>
  <c r="Y356" i="7"/>
  <c r="X356" i="7"/>
  <c r="V356" i="7"/>
  <c r="U356" i="7"/>
  <c r="T356" i="7"/>
  <c r="S356" i="7"/>
  <c r="R356" i="7"/>
  <c r="Q356" i="7"/>
  <c r="P356" i="7"/>
  <c r="M356" i="7"/>
  <c r="K356" i="7"/>
  <c r="C356" i="7"/>
  <c r="AL356" i="7" s="1"/>
  <c r="B356" i="7"/>
  <c r="AK355" i="7" s="1"/>
  <c r="AU355" i="7"/>
  <c r="Z355" i="7"/>
  <c r="Y355" i="7"/>
  <c r="X355" i="7"/>
  <c r="V355" i="7"/>
  <c r="U355" i="7"/>
  <c r="T355" i="7"/>
  <c r="S355" i="7"/>
  <c r="R355" i="7"/>
  <c r="Q355" i="7"/>
  <c r="P355" i="7"/>
  <c r="M355" i="7"/>
  <c r="K355" i="7"/>
  <c r="C355" i="7"/>
  <c r="AX355" i="7" s="1"/>
  <c r="B355" i="7"/>
  <c r="AK354" i="7" s="1"/>
  <c r="AU354" i="7"/>
  <c r="Z354" i="7"/>
  <c r="Y354" i="7"/>
  <c r="X354" i="7"/>
  <c r="V354" i="7"/>
  <c r="U354" i="7"/>
  <c r="T354" i="7"/>
  <c r="S354" i="7"/>
  <c r="R354" i="7"/>
  <c r="Q354" i="7"/>
  <c r="P354" i="7"/>
  <c r="M354" i="7"/>
  <c r="K354" i="7"/>
  <c r="C354" i="7"/>
  <c r="AX354" i="7" s="1"/>
  <c r="B354" i="7"/>
  <c r="AK353" i="7" s="1"/>
  <c r="AU353" i="7"/>
  <c r="Z353" i="7"/>
  <c r="Y353" i="7"/>
  <c r="X353" i="7"/>
  <c r="V353" i="7"/>
  <c r="U353" i="7"/>
  <c r="T353" i="7"/>
  <c r="S353" i="7"/>
  <c r="R353" i="7"/>
  <c r="Q353" i="7"/>
  <c r="P353" i="7"/>
  <c r="M353" i="7"/>
  <c r="K353" i="7"/>
  <c r="C353" i="7"/>
  <c r="B353" i="7"/>
  <c r="AK352" i="7" s="1"/>
  <c r="AU352" i="7"/>
  <c r="Z352" i="7"/>
  <c r="Y352" i="7"/>
  <c r="X352" i="7"/>
  <c r="V352" i="7"/>
  <c r="U352" i="7"/>
  <c r="T352" i="7"/>
  <c r="S352" i="7"/>
  <c r="R352" i="7"/>
  <c r="Q352" i="7"/>
  <c r="P352" i="7"/>
  <c r="M352" i="7"/>
  <c r="K352" i="7"/>
  <c r="C352" i="7"/>
  <c r="B352" i="7"/>
  <c r="AK351" i="7" s="1"/>
  <c r="AU351" i="7"/>
  <c r="Z351" i="7"/>
  <c r="Y351" i="7"/>
  <c r="X351" i="7"/>
  <c r="V351" i="7"/>
  <c r="U351" i="7"/>
  <c r="T351" i="7"/>
  <c r="S351" i="7"/>
  <c r="R351" i="7"/>
  <c r="Q351" i="7"/>
  <c r="P351" i="7"/>
  <c r="M351" i="7"/>
  <c r="K351" i="7"/>
  <c r="C351" i="7"/>
  <c r="AX351" i="7" s="1"/>
  <c r="B351" i="7"/>
  <c r="AK345" i="7" s="1"/>
  <c r="AU350" i="7"/>
  <c r="Z350" i="7"/>
  <c r="Y350" i="7"/>
  <c r="X350" i="7"/>
  <c r="V350" i="7"/>
  <c r="U350" i="7"/>
  <c r="T350" i="7"/>
  <c r="S350" i="7"/>
  <c r="R350" i="7"/>
  <c r="Q350" i="7"/>
  <c r="P350" i="7"/>
  <c r="M350" i="7"/>
  <c r="K350" i="7"/>
  <c r="C350" i="7"/>
  <c r="AX350" i="7" s="1"/>
  <c r="B350" i="7"/>
  <c r="AK349" i="7" s="1"/>
  <c r="AU349" i="7"/>
  <c r="Z349" i="7"/>
  <c r="Y349" i="7"/>
  <c r="X349" i="7"/>
  <c r="V349" i="7"/>
  <c r="U349" i="7"/>
  <c r="T349" i="7"/>
  <c r="S349" i="7"/>
  <c r="R349" i="7"/>
  <c r="Q349" i="7"/>
  <c r="P349" i="7"/>
  <c r="M349" i="7"/>
  <c r="K349" i="7"/>
  <c r="C349" i="7"/>
  <c r="AX349" i="7" s="1"/>
  <c r="B349" i="7"/>
  <c r="AK348" i="7" s="1"/>
  <c r="AU348" i="7"/>
  <c r="Z348" i="7"/>
  <c r="Y348" i="7"/>
  <c r="X348" i="7"/>
  <c r="V348" i="7"/>
  <c r="U348" i="7"/>
  <c r="T348" i="7"/>
  <c r="S348" i="7"/>
  <c r="R348" i="7"/>
  <c r="Q348" i="7"/>
  <c r="P348" i="7"/>
  <c r="M348" i="7"/>
  <c r="K348" i="7"/>
  <c r="C348" i="7"/>
  <c r="AY348" i="7" s="1"/>
  <c r="B348" i="7"/>
  <c r="AK347" i="7" s="1"/>
  <c r="AU347" i="7"/>
  <c r="Z347" i="7"/>
  <c r="Y347" i="7"/>
  <c r="X347" i="7"/>
  <c r="V347" i="7"/>
  <c r="U347" i="7"/>
  <c r="T347" i="7"/>
  <c r="S347" i="7"/>
  <c r="R347" i="7"/>
  <c r="Q347" i="7"/>
  <c r="P347" i="7"/>
  <c r="M347" i="7"/>
  <c r="K347" i="7"/>
  <c r="C347" i="7"/>
  <c r="AY347" i="7" s="1"/>
  <c r="B347" i="7"/>
  <c r="AK346" i="7" s="1"/>
  <c r="AU346" i="7"/>
  <c r="Z346" i="7"/>
  <c r="Y346" i="7"/>
  <c r="X346" i="7"/>
  <c r="V346" i="7"/>
  <c r="U346" i="7"/>
  <c r="T346" i="7"/>
  <c r="S346" i="7"/>
  <c r="R346" i="7"/>
  <c r="Q346" i="7"/>
  <c r="P346" i="7"/>
  <c r="M346" i="7"/>
  <c r="K346" i="7"/>
  <c r="C346" i="7"/>
  <c r="AX346" i="7" s="1"/>
  <c r="B346" i="7"/>
  <c r="AU345" i="7"/>
  <c r="Z345" i="7"/>
  <c r="Y345" i="7"/>
  <c r="X345" i="7"/>
  <c r="V345" i="7"/>
  <c r="U345" i="7"/>
  <c r="T345" i="7"/>
  <c r="S345" i="7"/>
  <c r="R345" i="7"/>
  <c r="Q345" i="7"/>
  <c r="P345" i="7"/>
  <c r="M345" i="7"/>
  <c r="K345" i="7"/>
  <c r="C345" i="7"/>
  <c r="AL345" i="7" s="1"/>
  <c r="B345" i="7"/>
  <c r="AK344" i="7" s="1"/>
  <c r="AU344" i="7"/>
  <c r="Z344" i="7"/>
  <c r="Y344" i="7"/>
  <c r="X344" i="7"/>
  <c r="V344" i="7"/>
  <c r="U344" i="7"/>
  <c r="T344" i="7"/>
  <c r="S344" i="7"/>
  <c r="R344" i="7"/>
  <c r="Q344" i="7"/>
  <c r="P344" i="7"/>
  <c r="M344" i="7"/>
  <c r="K344" i="7"/>
  <c r="C344" i="7"/>
  <c r="AL344" i="7" s="1"/>
  <c r="B344" i="7"/>
  <c r="AK343" i="7" s="1"/>
  <c r="AU343" i="7"/>
  <c r="Z343" i="7"/>
  <c r="Y343" i="7"/>
  <c r="X343" i="7"/>
  <c r="V343" i="7"/>
  <c r="U343" i="7"/>
  <c r="T343" i="7"/>
  <c r="S343" i="7"/>
  <c r="R343" i="7"/>
  <c r="Q343" i="7"/>
  <c r="P343" i="7"/>
  <c r="M343" i="7"/>
  <c r="K343" i="7"/>
  <c r="C343" i="7"/>
  <c r="AX343" i="7" s="1"/>
  <c r="B343" i="7"/>
  <c r="AK342" i="7" s="1"/>
  <c r="AU342" i="7"/>
  <c r="Z342" i="7"/>
  <c r="Y342" i="7"/>
  <c r="X342" i="7"/>
  <c r="V342" i="7"/>
  <c r="U342" i="7"/>
  <c r="T342" i="7"/>
  <c r="S342" i="7"/>
  <c r="R342" i="7"/>
  <c r="Q342" i="7"/>
  <c r="P342" i="7"/>
  <c r="M342" i="7"/>
  <c r="K342" i="7"/>
  <c r="C342" i="7"/>
  <c r="AX342" i="7" s="1"/>
  <c r="B342" i="7"/>
  <c r="AK341" i="7" s="1"/>
  <c r="AU341" i="7"/>
  <c r="Z341" i="7"/>
  <c r="Y341" i="7"/>
  <c r="X341" i="7"/>
  <c r="V341" i="7"/>
  <c r="U341" i="7"/>
  <c r="T341" i="7"/>
  <c r="S341" i="7"/>
  <c r="R341" i="7"/>
  <c r="Q341" i="7"/>
  <c r="P341" i="7"/>
  <c r="M341" i="7"/>
  <c r="K341" i="7"/>
  <c r="C341" i="7"/>
  <c r="AL341" i="7" s="1"/>
  <c r="B341" i="7"/>
  <c r="AK340" i="7" s="1"/>
  <c r="AU340" i="7"/>
  <c r="Z340" i="7"/>
  <c r="Y340" i="7"/>
  <c r="X340" i="7"/>
  <c r="V340" i="7"/>
  <c r="U340" i="7"/>
  <c r="T340" i="7"/>
  <c r="S340" i="7"/>
  <c r="R340" i="7"/>
  <c r="Q340" i="7"/>
  <c r="P340" i="7"/>
  <c r="M340" i="7"/>
  <c r="K340" i="7"/>
  <c r="C340" i="7"/>
  <c r="AY340" i="7" s="1"/>
  <c r="B340" i="7"/>
  <c r="AK339" i="7" s="1"/>
  <c r="AU339" i="7"/>
  <c r="Z339" i="7"/>
  <c r="Y339" i="7"/>
  <c r="X339" i="7"/>
  <c r="V339" i="7"/>
  <c r="U339" i="7"/>
  <c r="T339" i="7"/>
  <c r="S339" i="7"/>
  <c r="R339" i="7"/>
  <c r="Q339" i="7"/>
  <c r="P339" i="7"/>
  <c r="M339" i="7"/>
  <c r="K339" i="7"/>
  <c r="C339" i="7"/>
  <c r="AY339" i="7" s="1"/>
  <c r="B339" i="7"/>
  <c r="AK338" i="7" s="1"/>
  <c r="AU338" i="7"/>
  <c r="Z338" i="7"/>
  <c r="Y338" i="7"/>
  <c r="X338" i="7"/>
  <c r="V338" i="7"/>
  <c r="U338" i="7"/>
  <c r="T338" i="7"/>
  <c r="S338" i="7"/>
  <c r="R338" i="7"/>
  <c r="Q338" i="7"/>
  <c r="P338" i="7"/>
  <c r="M338" i="7"/>
  <c r="K338" i="7"/>
  <c r="C338" i="7"/>
  <c r="AL338" i="7" s="1"/>
  <c r="B338" i="7"/>
  <c r="AK337" i="7" s="1"/>
  <c r="AU337" i="7"/>
  <c r="Z337" i="7"/>
  <c r="Y337" i="7"/>
  <c r="X337" i="7"/>
  <c r="V337" i="7"/>
  <c r="U337" i="7"/>
  <c r="T337" i="7"/>
  <c r="S337" i="7"/>
  <c r="R337" i="7"/>
  <c r="Q337" i="7"/>
  <c r="P337" i="7"/>
  <c r="M337" i="7"/>
  <c r="K337" i="7"/>
  <c r="C337" i="7"/>
  <c r="AY337" i="7" s="1"/>
  <c r="B337" i="7"/>
  <c r="AK336" i="7" s="1"/>
  <c r="AU336" i="7"/>
  <c r="Z336" i="7"/>
  <c r="Y336" i="7"/>
  <c r="X336" i="7"/>
  <c r="V336" i="7"/>
  <c r="U336" i="7"/>
  <c r="T336" i="7"/>
  <c r="S336" i="7"/>
  <c r="R336" i="7"/>
  <c r="Q336" i="7"/>
  <c r="P336" i="7"/>
  <c r="M336" i="7"/>
  <c r="K336" i="7"/>
  <c r="C336" i="7"/>
  <c r="AY336" i="7" s="1"/>
  <c r="B336" i="7"/>
  <c r="AK335" i="7" s="1"/>
  <c r="AU335" i="7"/>
  <c r="Z335" i="7"/>
  <c r="Y335" i="7"/>
  <c r="X335" i="7"/>
  <c r="V335" i="7"/>
  <c r="U335" i="7"/>
  <c r="T335" i="7"/>
  <c r="S335" i="7"/>
  <c r="R335" i="7"/>
  <c r="Q335" i="7"/>
  <c r="P335" i="7"/>
  <c r="M335" i="7"/>
  <c r="K335" i="7"/>
  <c r="C335" i="7"/>
  <c r="AX335" i="7" s="1"/>
  <c r="B335" i="7"/>
  <c r="AK334" i="7" s="1"/>
  <c r="AU334" i="7"/>
  <c r="Z334" i="7"/>
  <c r="Y334" i="7"/>
  <c r="X334" i="7"/>
  <c r="V334" i="7"/>
  <c r="U334" i="7"/>
  <c r="T334" i="7"/>
  <c r="S334" i="7"/>
  <c r="R334" i="7"/>
  <c r="Q334" i="7"/>
  <c r="P334" i="7"/>
  <c r="M334" i="7"/>
  <c r="K334" i="7"/>
  <c r="C334" i="7"/>
  <c r="AX334" i="7" s="1"/>
  <c r="B334" i="7"/>
  <c r="AK333" i="7" s="1"/>
  <c r="AU333" i="7"/>
  <c r="Z333" i="7"/>
  <c r="Y333" i="7"/>
  <c r="X333" i="7"/>
  <c r="V333" i="7"/>
  <c r="U333" i="7"/>
  <c r="T333" i="7"/>
  <c r="S333" i="7"/>
  <c r="R333" i="7"/>
  <c r="Q333" i="7"/>
  <c r="P333" i="7"/>
  <c r="M333" i="7"/>
  <c r="K333" i="7"/>
  <c r="C333" i="7"/>
  <c r="AL333" i="7" s="1"/>
  <c r="B333" i="7"/>
  <c r="AK332" i="7" s="1"/>
  <c r="AU332" i="7"/>
  <c r="Z332" i="7"/>
  <c r="Y332" i="7"/>
  <c r="X332" i="7"/>
  <c r="V332" i="7"/>
  <c r="U332" i="7"/>
  <c r="T332" i="7"/>
  <c r="S332" i="7"/>
  <c r="R332" i="7"/>
  <c r="Q332" i="7"/>
  <c r="P332" i="7"/>
  <c r="M332" i="7"/>
  <c r="K332" i="7"/>
  <c r="C332" i="7"/>
  <c r="AL332" i="7" s="1"/>
  <c r="B332" i="7"/>
  <c r="AK331" i="7" s="1"/>
  <c r="AU331" i="7"/>
  <c r="Z331" i="7"/>
  <c r="Y331" i="7"/>
  <c r="X331" i="7"/>
  <c r="V331" i="7"/>
  <c r="U331" i="7"/>
  <c r="T331" i="7"/>
  <c r="S331" i="7"/>
  <c r="R331" i="7"/>
  <c r="Q331" i="7"/>
  <c r="P331" i="7"/>
  <c r="M331" i="7"/>
  <c r="K331" i="7"/>
  <c r="C331" i="7"/>
  <c r="AL331" i="7" s="1"/>
  <c r="B331" i="7"/>
  <c r="AK330" i="7" s="1"/>
  <c r="AU330" i="7"/>
  <c r="Z330" i="7"/>
  <c r="Y330" i="7"/>
  <c r="X330" i="7"/>
  <c r="V330" i="7"/>
  <c r="U330" i="7"/>
  <c r="T330" i="7"/>
  <c r="S330" i="7"/>
  <c r="R330" i="7"/>
  <c r="Q330" i="7"/>
  <c r="P330" i="7"/>
  <c r="M330" i="7"/>
  <c r="K330" i="7"/>
  <c r="C330" i="7"/>
  <c r="AL330" i="7" s="1"/>
  <c r="B330" i="7"/>
  <c r="AK329" i="7" s="1"/>
  <c r="AU329" i="7"/>
  <c r="Z329" i="7"/>
  <c r="Y329" i="7"/>
  <c r="X329" i="7"/>
  <c r="V329" i="7"/>
  <c r="U329" i="7"/>
  <c r="T329" i="7"/>
  <c r="S329" i="7"/>
  <c r="R329" i="7"/>
  <c r="Q329" i="7"/>
  <c r="P329" i="7"/>
  <c r="M329" i="7"/>
  <c r="K329" i="7"/>
  <c r="C329" i="7"/>
  <c r="AL329" i="7" s="1"/>
  <c r="B329" i="7"/>
  <c r="AU328" i="7"/>
  <c r="Z328" i="7"/>
  <c r="Y328" i="7"/>
  <c r="X328" i="7"/>
  <c r="V328" i="7"/>
  <c r="U328" i="7"/>
  <c r="T328" i="7"/>
  <c r="S328" i="7"/>
  <c r="R328" i="7"/>
  <c r="Q328" i="7"/>
  <c r="P328" i="7"/>
  <c r="M328" i="7"/>
  <c r="K328" i="7"/>
  <c r="C328" i="7"/>
  <c r="B328" i="7"/>
  <c r="AK327" i="7" s="1"/>
  <c r="AU327" i="7"/>
  <c r="Z327" i="7"/>
  <c r="Y327" i="7"/>
  <c r="X327" i="7"/>
  <c r="V327" i="7"/>
  <c r="U327" i="7"/>
  <c r="T327" i="7"/>
  <c r="S327" i="7"/>
  <c r="R327" i="7"/>
  <c r="Q327" i="7"/>
  <c r="P327" i="7"/>
  <c r="M327" i="7"/>
  <c r="K327" i="7"/>
  <c r="C327" i="7"/>
  <c r="B327" i="7"/>
  <c r="AK326" i="7" s="1"/>
  <c r="AU326" i="7"/>
  <c r="Z326" i="7"/>
  <c r="Y326" i="7"/>
  <c r="X326" i="7"/>
  <c r="V326" i="7"/>
  <c r="U326" i="7"/>
  <c r="T326" i="7"/>
  <c r="S326" i="7"/>
  <c r="R326" i="7"/>
  <c r="Q326" i="7"/>
  <c r="P326" i="7"/>
  <c r="M326" i="7"/>
  <c r="K326" i="7"/>
  <c r="C326" i="7"/>
  <c r="AX326" i="7" s="1"/>
  <c r="B326" i="7"/>
  <c r="AK322" i="7" s="1"/>
  <c r="AU325" i="7"/>
  <c r="Z325" i="7"/>
  <c r="Y325" i="7"/>
  <c r="X325" i="7"/>
  <c r="V325" i="7"/>
  <c r="U325" i="7"/>
  <c r="T325" i="7"/>
  <c r="S325" i="7"/>
  <c r="R325" i="7"/>
  <c r="Q325" i="7"/>
  <c r="P325" i="7"/>
  <c r="M325" i="7"/>
  <c r="K325" i="7"/>
  <c r="C325" i="7"/>
  <c r="AL325" i="7" s="1"/>
  <c r="B325" i="7"/>
  <c r="AK324" i="7" s="1"/>
  <c r="AU324" i="7"/>
  <c r="Z324" i="7"/>
  <c r="Y324" i="7"/>
  <c r="X324" i="7"/>
  <c r="V324" i="7"/>
  <c r="U324" i="7"/>
  <c r="T324" i="7"/>
  <c r="S324" i="7"/>
  <c r="R324" i="7"/>
  <c r="Q324" i="7"/>
  <c r="P324" i="7"/>
  <c r="M324" i="7"/>
  <c r="K324" i="7"/>
  <c r="C324" i="7"/>
  <c r="AY324" i="7" s="1"/>
  <c r="B324" i="7"/>
  <c r="AK323" i="7" s="1"/>
  <c r="AU323" i="7"/>
  <c r="Z323" i="7"/>
  <c r="Y323" i="7"/>
  <c r="X323" i="7"/>
  <c r="V323" i="7"/>
  <c r="U323" i="7"/>
  <c r="T323" i="7"/>
  <c r="S323" i="7"/>
  <c r="R323" i="7"/>
  <c r="Q323" i="7"/>
  <c r="P323" i="7"/>
  <c r="M323" i="7"/>
  <c r="K323" i="7"/>
  <c r="C323" i="7"/>
  <c r="AY323" i="7" s="1"/>
  <c r="B323" i="7"/>
  <c r="AU322" i="7"/>
  <c r="Z322" i="7"/>
  <c r="Y322" i="7"/>
  <c r="X322" i="7"/>
  <c r="V322" i="7"/>
  <c r="U322" i="7"/>
  <c r="T322" i="7"/>
  <c r="S322" i="7"/>
  <c r="R322" i="7"/>
  <c r="Q322" i="7"/>
  <c r="P322" i="7"/>
  <c r="M322" i="7"/>
  <c r="K322" i="7"/>
  <c r="C322" i="7"/>
  <c r="AL322" i="7" s="1"/>
  <c r="B322" i="7"/>
  <c r="AK321" i="7" s="1"/>
  <c r="AU321" i="7"/>
  <c r="Z321" i="7"/>
  <c r="Y321" i="7"/>
  <c r="X321" i="7"/>
  <c r="V321" i="7"/>
  <c r="U321" i="7"/>
  <c r="T321" i="7"/>
  <c r="S321" i="7"/>
  <c r="R321" i="7"/>
  <c r="Q321" i="7"/>
  <c r="P321" i="7"/>
  <c r="M321" i="7"/>
  <c r="K321" i="7"/>
  <c r="C321" i="7"/>
  <c r="AY321" i="7" s="1"/>
  <c r="B321" i="7"/>
  <c r="AK320" i="7" s="1"/>
  <c r="AU320" i="7"/>
  <c r="Z320" i="7"/>
  <c r="Y320" i="7"/>
  <c r="X320" i="7"/>
  <c r="V320" i="7"/>
  <c r="U320" i="7"/>
  <c r="T320" i="7"/>
  <c r="S320" i="7"/>
  <c r="R320" i="7"/>
  <c r="Q320" i="7"/>
  <c r="P320" i="7"/>
  <c r="M320" i="7"/>
  <c r="K320" i="7"/>
  <c r="C320" i="7"/>
  <c r="AY320" i="7" s="1"/>
  <c r="B320" i="7"/>
  <c r="AK319" i="7" s="1"/>
  <c r="AU319" i="7"/>
  <c r="Z319" i="7"/>
  <c r="Y319" i="7"/>
  <c r="X319" i="7"/>
  <c r="V319" i="7"/>
  <c r="U319" i="7"/>
  <c r="T319" i="7"/>
  <c r="S319" i="7"/>
  <c r="R319" i="7"/>
  <c r="Q319" i="7"/>
  <c r="P319" i="7"/>
  <c r="M319" i="7"/>
  <c r="K319" i="7"/>
  <c r="C319" i="7"/>
  <c r="AX319" i="7" s="1"/>
  <c r="B319" i="7"/>
  <c r="AK318" i="7" s="1"/>
  <c r="AU318" i="7"/>
  <c r="Z318" i="7"/>
  <c r="Y318" i="7"/>
  <c r="X318" i="7"/>
  <c r="V318" i="7"/>
  <c r="U318" i="7"/>
  <c r="T318" i="7"/>
  <c r="S318" i="7"/>
  <c r="R318" i="7"/>
  <c r="Q318" i="7"/>
  <c r="P318" i="7"/>
  <c r="M318" i="7"/>
  <c r="K318" i="7"/>
  <c r="C318" i="7"/>
  <c r="AX318" i="7" s="1"/>
  <c r="B318" i="7"/>
  <c r="AK317" i="7" s="1"/>
  <c r="AU317" i="7"/>
  <c r="Z317" i="7"/>
  <c r="Y317" i="7"/>
  <c r="X317" i="7"/>
  <c r="V317" i="7"/>
  <c r="U317" i="7"/>
  <c r="T317" i="7"/>
  <c r="S317" i="7"/>
  <c r="R317" i="7"/>
  <c r="Q317" i="7"/>
  <c r="P317" i="7"/>
  <c r="M317" i="7"/>
  <c r="K317" i="7"/>
  <c r="C317" i="7"/>
  <c r="AL317" i="7" s="1"/>
  <c r="B317" i="7"/>
  <c r="AK316" i="7" s="1"/>
  <c r="AU316" i="7"/>
  <c r="Z316" i="7"/>
  <c r="Y316" i="7"/>
  <c r="X316" i="7"/>
  <c r="V316" i="7"/>
  <c r="U316" i="7"/>
  <c r="T316" i="7"/>
  <c r="S316" i="7"/>
  <c r="R316" i="7"/>
  <c r="Q316" i="7"/>
  <c r="P316" i="7"/>
  <c r="M316" i="7"/>
  <c r="K316" i="7"/>
  <c r="C316" i="7"/>
  <c r="AL316" i="7" s="1"/>
  <c r="B316" i="7"/>
  <c r="AK315" i="7" s="1"/>
  <c r="AU315" i="7"/>
  <c r="Z315" i="7"/>
  <c r="Y315" i="7"/>
  <c r="X315" i="7"/>
  <c r="V315" i="7"/>
  <c r="U315" i="7"/>
  <c r="T315" i="7"/>
  <c r="S315" i="7"/>
  <c r="R315" i="7"/>
  <c r="Q315" i="7"/>
  <c r="P315" i="7"/>
  <c r="M315" i="7"/>
  <c r="K315" i="7"/>
  <c r="C315" i="7"/>
  <c r="B315" i="7"/>
  <c r="AK314" i="7" s="1"/>
  <c r="AU314" i="7"/>
  <c r="Z314" i="7"/>
  <c r="Y314" i="7"/>
  <c r="X314" i="7"/>
  <c r="V314" i="7"/>
  <c r="U314" i="7"/>
  <c r="T314" i="7"/>
  <c r="S314" i="7"/>
  <c r="R314" i="7"/>
  <c r="Q314" i="7"/>
  <c r="P314" i="7"/>
  <c r="M314" i="7"/>
  <c r="K314" i="7"/>
  <c r="C314" i="7"/>
  <c r="AL314" i="7" s="1"/>
  <c r="B314" i="7"/>
  <c r="AK313" i="7" s="1"/>
  <c r="AU313" i="7"/>
  <c r="Z313" i="7"/>
  <c r="Y313" i="7"/>
  <c r="X313" i="7"/>
  <c r="V313" i="7"/>
  <c r="U313" i="7"/>
  <c r="T313" i="7"/>
  <c r="S313" i="7"/>
  <c r="R313" i="7"/>
  <c r="Q313" i="7"/>
  <c r="P313" i="7"/>
  <c r="M313" i="7"/>
  <c r="K313" i="7"/>
  <c r="C313" i="7"/>
  <c r="B313" i="7"/>
  <c r="AK312" i="7" s="1"/>
  <c r="AU312" i="7"/>
  <c r="Z312" i="7"/>
  <c r="Y312" i="7"/>
  <c r="X312" i="7"/>
  <c r="V312" i="7"/>
  <c r="U312" i="7"/>
  <c r="T312" i="7"/>
  <c r="S312" i="7"/>
  <c r="R312" i="7"/>
  <c r="Q312" i="7"/>
  <c r="P312" i="7"/>
  <c r="M312" i="7"/>
  <c r="K312" i="7"/>
  <c r="C312" i="7"/>
  <c r="B312" i="7"/>
  <c r="AK311" i="7" s="1"/>
  <c r="AU311" i="7"/>
  <c r="Z311" i="7"/>
  <c r="Y311" i="7"/>
  <c r="X311" i="7"/>
  <c r="V311" i="7"/>
  <c r="U311" i="7"/>
  <c r="T311" i="7"/>
  <c r="S311" i="7"/>
  <c r="R311" i="7"/>
  <c r="Q311" i="7"/>
  <c r="P311" i="7"/>
  <c r="M311" i="7"/>
  <c r="K311" i="7"/>
  <c r="C311" i="7"/>
  <c r="AX311" i="7" s="1"/>
  <c r="B311" i="7"/>
  <c r="AK310" i="7" s="1"/>
  <c r="AU310" i="7"/>
  <c r="Z310" i="7"/>
  <c r="Y310" i="7"/>
  <c r="X310" i="7"/>
  <c r="V310" i="7"/>
  <c r="U310" i="7"/>
  <c r="T310" i="7"/>
  <c r="S310" i="7"/>
  <c r="R310" i="7"/>
  <c r="Q310" i="7"/>
  <c r="P310" i="7"/>
  <c r="M310" i="7"/>
  <c r="K310" i="7"/>
  <c r="C310" i="7"/>
  <c r="AX310" i="7" s="1"/>
  <c r="B310" i="7"/>
  <c r="AK309" i="7" s="1"/>
  <c r="AU309" i="7"/>
  <c r="Z309" i="7"/>
  <c r="Y309" i="7"/>
  <c r="X309" i="7"/>
  <c r="V309" i="7"/>
  <c r="U309" i="7"/>
  <c r="T309" i="7"/>
  <c r="S309" i="7"/>
  <c r="R309" i="7"/>
  <c r="Q309" i="7"/>
  <c r="P309" i="7"/>
  <c r="M309" i="7"/>
  <c r="K309" i="7"/>
  <c r="C309" i="7"/>
  <c r="AL309" i="7" s="1"/>
  <c r="B309" i="7"/>
  <c r="AK308" i="7" s="1"/>
  <c r="AU308" i="7"/>
  <c r="Z308" i="7"/>
  <c r="Y308" i="7"/>
  <c r="X308" i="7"/>
  <c r="V308" i="7"/>
  <c r="U308" i="7"/>
  <c r="T308" i="7"/>
  <c r="S308" i="7"/>
  <c r="R308" i="7"/>
  <c r="Q308" i="7"/>
  <c r="P308" i="7"/>
  <c r="M308" i="7"/>
  <c r="K308" i="7"/>
  <c r="C308" i="7"/>
  <c r="AL308" i="7" s="1"/>
  <c r="B308" i="7"/>
  <c r="AK307" i="7" s="1"/>
  <c r="AU307" i="7"/>
  <c r="Z307" i="7"/>
  <c r="Y307" i="7"/>
  <c r="X307" i="7"/>
  <c r="V307" i="7"/>
  <c r="U307" i="7"/>
  <c r="T307" i="7"/>
  <c r="S307" i="7"/>
  <c r="R307" i="7"/>
  <c r="Q307" i="7"/>
  <c r="P307" i="7"/>
  <c r="M307" i="7"/>
  <c r="K307" i="7"/>
  <c r="C307" i="7"/>
  <c r="AL307" i="7" s="1"/>
  <c r="B307" i="7"/>
  <c r="AK306" i="7" s="1"/>
  <c r="AU306" i="7"/>
  <c r="Z306" i="7"/>
  <c r="Y306" i="7"/>
  <c r="X306" i="7"/>
  <c r="V306" i="7"/>
  <c r="U306" i="7"/>
  <c r="T306" i="7"/>
  <c r="S306" i="7"/>
  <c r="R306" i="7"/>
  <c r="Q306" i="7"/>
  <c r="P306" i="7"/>
  <c r="M306" i="7"/>
  <c r="K306" i="7"/>
  <c r="C306" i="7"/>
  <c r="AL306" i="7" s="1"/>
  <c r="B306" i="7"/>
  <c r="AK305" i="7" s="1"/>
  <c r="AU305" i="7"/>
  <c r="Z305" i="7"/>
  <c r="Y305" i="7"/>
  <c r="X305" i="7"/>
  <c r="V305" i="7"/>
  <c r="U305" i="7"/>
  <c r="T305" i="7"/>
  <c r="S305" i="7"/>
  <c r="R305" i="7"/>
  <c r="Q305" i="7"/>
  <c r="P305" i="7"/>
  <c r="M305" i="7"/>
  <c r="K305" i="7"/>
  <c r="C305" i="7"/>
  <c r="AL305" i="7" s="1"/>
  <c r="B305" i="7"/>
  <c r="AK304" i="7" s="1"/>
  <c r="AU304" i="7"/>
  <c r="Z304" i="7"/>
  <c r="Y304" i="7"/>
  <c r="X304" i="7"/>
  <c r="V304" i="7"/>
  <c r="U304" i="7"/>
  <c r="T304" i="7"/>
  <c r="S304" i="7"/>
  <c r="R304" i="7"/>
  <c r="Q304" i="7"/>
  <c r="P304" i="7"/>
  <c r="M304" i="7"/>
  <c r="K304" i="7"/>
  <c r="C304" i="7"/>
  <c r="AX304" i="7" s="1"/>
  <c r="B304" i="7"/>
  <c r="AK303" i="7" s="1"/>
  <c r="AU303" i="7"/>
  <c r="Z303" i="7"/>
  <c r="Y303" i="7"/>
  <c r="X303" i="7"/>
  <c r="V303" i="7"/>
  <c r="U303" i="7"/>
  <c r="T303" i="7"/>
  <c r="S303" i="7"/>
  <c r="R303" i="7"/>
  <c r="Q303" i="7"/>
  <c r="P303" i="7"/>
  <c r="M303" i="7"/>
  <c r="K303" i="7"/>
  <c r="C303" i="7"/>
  <c r="AX303" i="7" s="1"/>
  <c r="B303" i="7"/>
  <c r="AK302" i="7" s="1"/>
  <c r="AU302" i="7"/>
  <c r="Z302" i="7"/>
  <c r="Y302" i="7"/>
  <c r="X302" i="7"/>
  <c r="V302" i="7"/>
  <c r="U302" i="7"/>
  <c r="T302" i="7"/>
  <c r="S302" i="7"/>
  <c r="R302" i="7"/>
  <c r="Q302" i="7"/>
  <c r="P302" i="7"/>
  <c r="M302" i="7"/>
  <c r="K302" i="7"/>
  <c r="C302" i="7"/>
  <c r="AX302" i="7" s="1"/>
  <c r="B302" i="7"/>
  <c r="AK301" i="7" s="1"/>
  <c r="AU301" i="7"/>
  <c r="Z301" i="7"/>
  <c r="Y301" i="7"/>
  <c r="X301" i="7"/>
  <c r="V301" i="7"/>
  <c r="U301" i="7"/>
  <c r="T301" i="7"/>
  <c r="S301" i="7"/>
  <c r="R301" i="7"/>
  <c r="Q301" i="7"/>
  <c r="P301" i="7"/>
  <c r="M301" i="7"/>
  <c r="K301" i="7"/>
  <c r="C301" i="7"/>
  <c r="B301" i="7"/>
  <c r="AK300" i="7" s="1"/>
  <c r="AU300" i="7"/>
  <c r="Z300" i="7"/>
  <c r="Y300" i="7"/>
  <c r="X300" i="7"/>
  <c r="V300" i="7"/>
  <c r="U300" i="7"/>
  <c r="T300" i="7"/>
  <c r="S300" i="7"/>
  <c r="R300" i="7"/>
  <c r="Q300" i="7"/>
  <c r="P300" i="7"/>
  <c r="M300" i="7"/>
  <c r="K300" i="7"/>
  <c r="C300" i="7"/>
  <c r="AY300" i="7" s="1"/>
  <c r="B300" i="7"/>
  <c r="AK299" i="7" s="1"/>
  <c r="AU299" i="7"/>
  <c r="Z299" i="7"/>
  <c r="Y299" i="7"/>
  <c r="X299" i="7"/>
  <c r="V299" i="7"/>
  <c r="U299" i="7"/>
  <c r="T299" i="7"/>
  <c r="S299" i="7"/>
  <c r="R299" i="7"/>
  <c r="Q299" i="7"/>
  <c r="P299" i="7"/>
  <c r="M299" i="7"/>
  <c r="K299" i="7"/>
  <c r="C299" i="7"/>
  <c r="AX299" i="7" s="1"/>
  <c r="B299" i="7"/>
  <c r="AK298" i="7" s="1"/>
  <c r="AU298" i="7"/>
  <c r="Z298" i="7"/>
  <c r="Y298" i="7"/>
  <c r="X298" i="7"/>
  <c r="V298" i="7"/>
  <c r="U298" i="7"/>
  <c r="T298" i="7"/>
  <c r="S298" i="7"/>
  <c r="R298" i="7"/>
  <c r="Q298" i="7"/>
  <c r="P298" i="7"/>
  <c r="M298" i="7"/>
  <c r="K298" i="7"/>
  <c r="C298" i="7"/>
  <c r="AX298" i="7" s="1"/>
  <c r="B298" i="7"/>
  <c r="AK297" i="7" s="1"/>
  <c r="AU297" i="7"/>
  <c r="Z297" i="7"/>
  <c r="Y297" i="7"/>
  <c r="X297" i="7"/>
  <c r="V297" i="7"/>
  <c r="U297" i="7"/>
  <c r="T297" i="7"/>
  <c r="S297" i="7"/>
  <c r="R297" i="7"/>
  <c r="Q297" i="7"/>
  <c r="P297" i="7"/>
  <c r="M297" i="7"/>
  <c r="K297" i="7"/>
  <c r="C297" i="7"/>
  <c r="AY297" i="7" s="1"/>
  <c r="B297" i="7"/>
  <c r="AK296" i="7" s="1"/>
  <c r="AU296" i="7"/>
  <c r="Z296" i="7"/>
  <c r="Y296" i="7"/>
  <c r="X296" i="7"/>
  <c r="V296" i="7"/>
  <c r="U296" i="7"/>
  <c r="T296" i="7"/>
  <c r="S296" i="7"/>
  <c r="R296" i="7"/>
  <c r="Q296" i="7"/>
  <c r="P296" i="7"/>
  <c r="M296" i="7"/>
  <c r="K296" i="7"/>
  <c r="C296" i="7"/>
  <c r="AX296" i="7" s="1"/>
  <c r="B296" i="7"/>
  <c r="AK295" i="7" s="1"/>
  <c r="AU295" i="7"/>
  <c r="Z295" i="7"/>
  <c r="Y295" i="7"/>
  <c r="X295" i="7"/>
  <c r="V295" i="7"/>
  <c r="U295" i="7"/>
  <c r="T295" i="7"/>
  <c r="S295" i="7"/>
  <c r="R295" i="7"/>
  <c r="Q295" i="7"/>
  <c r="P295" i="7"/>
  <c r="M295" i="7"/>
  <c r="K295" i="7"/>
  <c r="C295" i="7"/>
  <c r="AL295" i="7" s="1"/>
  <c r="B295" i="7"/>
  <c r="AK294" i="7" s="1"/>
  <c r="AU294" i="7"/>
  <c r="Z294" i="7"/>
  <c r="Y294" i="7"/>
  <c r="X294" i="7"/>
  <c r="V294" i="7"/>
  <c r="U294" i="7"/>
  <c r="T294" i="7"/>
  <c r="S294" i="7"/>
  <c r="R294" i="7"/>
  <c r="Q294" i="7"/>
  <c r="P294" i="7"/>
  <c r="M294" i="7"/>
  <c r="K294" i="7"/>
  <c r="C294" i="7"/>
  <c r="B294" i="7"/>
  <c r="AK293" i="7" s="1"/>
  <c r="AU293" i="7"/>
  <c r="Z293" i="7"/>
  <c r="Y293" i="7"/>
  <c r="X293" i="7"/>
  <c r="V293" i="7"/>
  <c r="U293" i="7"/>
  <c r="T293" i="7"/>
  <c r="S293" i="7"/>
  <c r="R293" i="7"/>
  <c r="Q293" i="7"/>
  <c r="P293" i="7"/>
  <c r="M293" i="7"/>
  <c r="K293" i="7"/>
  <c r="C293" i="7"/>
  <c r="B293" i="7"/>
  <c r="AK292" i="7" s="1"/>
  <c r="AU292" i="7"/>
  <c r="Z292" i="7"/>
  <c r="Y292" i="7"/>
  <c r="X292" i="7"/>
  <c r="V292" i="7"/>
  <c r="U292" i="7"/>
  <c r="T292" i="7"/>
  <c r="S292" i="7"/>
  <c r="R292" i="7"/>
  <c r="Q292" i="7"/>
  <c r="P292" i="7"/>
  <c r="M292" i="7"/>
  <c r="K292" i="7"/>
  <c r="C292" i="7"/>
  <c r="AX292" i="7" s="1"/>
  <c r="B292" i="7"/>
  <c r="AK291" i="7" s="1"/>
  <c r="AU291" i="7"/>
  <c r="Z291" i="7"/>
  <c r="Y291" i="7"/>
  <c r="X291" i="7"/>
  <c r="V291" i="7"/>
  <c r="U291" i="7"/>
  <c r="T291" i="7"/>
  <c r="S291" i="7"/>
  <c r="R291" i="7"/>
  <c r="Q291" i="7"/>
  <c r="P291" i="7"/>
  <c r="M291" i="7"/>
  <c r="K291" i="7"/>
  <c r="C291" i="7"/>
  <c r="AL291" i="7" s="1"/>
  <c r="B291" i="7"/>
  <c r="AK290" i="7" s="1"/>
  <c r="AU290" i="7"/>
  <c r="Z290" i="7"/>
  <c r="Y290" i="7"/>
  <c r="X290" i="7"/>
  <c r="V290" i="7"/>
  <c r="U290" i="7"/>
  <c r="T290" i="7"/>
  <c r="S290" i="7"/>
  <c r="R290" i="7"/>
  <c r="Q290" i="7"/>
  <c r="P290" i="7"/>
  <c r="M290" i="7"/>
  <c r="K290" i="7"/>
  <c r="C290" i="7"/>
  <c r="AX290" i="7" s="1"/>
  <c r="B290" i="7"/>
  <c r="AK289" i="7" s="1"/>
  <c r="AU289" i="7"/>
  <c r="Z289" i="7"/>
  <c r="Y289" i="7"/>
  <c r="X289" i="7"/>
  <c r="V289" i="7"/>
  <c r="U289" i="7"/>
  <c r="T289" i="7"/>
  <c r="S289" i="7"/>
  <c r="R289" i="7"/>
  <c r="Q289" i="7"/>
  <c r="P289" i="7"/>
  <c r="M289" i="7"/>
  <c r="K289" i="7"/>
  <c r="C289" i="7"/>
  <c r="AL289" i="7" s="1"/>
  <c r="B289" i="7"/>
  <c r="AK288" i="7" s="1"/>
  <c r="AU288" i="7"/>
  <c r="Z288" i="7"/>
  <c r="Y288" i="7"/>
  <c r="X288" i="7"/>
  <c r="V288" i="7"/>
  <c r="U288" i="7"/>
  <c r="T288" i="7"/>
  <c r="S288" i="7"/>
  <c r="R288" i="7"/>
  <c r="Q288" i="7"/>
  <c r="P288" i="7"/>
  <c r="M288" i="7"/>
  <c r="K288" i="7"/>
  <c r="C288" i="7"/>
  <c r="AX288" i="7" s="1"/>
  <c r="B288" i="7"/>
  <c r="AK287" i="7" s="1"/>
  <c r="AU287" i="7"/>
  <c r="Z287" i="7"/>
  <c r="Y287" i="7"/>
  <c r="X287" i="7"/>
  <c r="V287" i="7"/>
  <c r="U287" i="7"/>
  <c r="T287" i="7"/>
  <c r="S287" i="7"/>
  <c r="R287" i="7"/>
  <c r="Q287" i="7"/>
  <c r="P287" i="7"/>
  <c r="M287" i="7"/>
  <c r="K287" i="7"/>
  <c r="C287" i="7"/>
  <c r="AY287" i="7" s="1"/>
  <c r="B287" i="7"/>
  <c r="AK286" i="7" s="1"/>
  <c r="AU286" i="7"/>
  <c r="Z286" i="7"/>
  <c r="Y286" i="7"/>
  <c r="X286" i="7"/>
  <c r="V286" i="7"/>
  <c r="U286" i="7"/>
  <c r="T286" i="7"/>
  <c r="S286" i="7"/>
  <c r="R286" i="7"/>
  <c r="Q286" i="7"/>
  <c r="P286" i="7"/>
  <c r="M286" i="7"/>
  <c r="K286" i="7"/>
  <c r="C286" i="7"/>
  <c r="AY286" i="7" s="1"/>
  <c r="B286" i="7"/>
  <c r="AK285" i="7" s="1"/>
  <c r="AU285" i="7"/>
  <c r="Z285" i="7"/>
  <c r="Y285" i="7"/>
  <c r="X285" i="7"/>
  <c r="V285" i="7"/>
  <c r="U285" i="7"/>
  <c r="T285" i="7"/>
  <c r="S285" i="7"/>
  <c r="R285" i="7"/>
  <c r="Q285" i="7"/>
  <c r="P285" i="7"/>
  <c r="M285" i="7"/>
  <c r="K285" i="7"/>
  <c r="C285" i="7"/>
  <c r="AY285" i="7" s="1"/>
  <c r="B285" i="7"/>
  <c r="AK284" i="7" s="1"/>
  <c r="AU284" i="7"/>
  <c r="Z284" i="7"/>
  <c r="Y284" i="7"/>
  <c r="X284" i="7"/>
  <c r="V284" i="7"/>
  <c r="U284" i="7"/>
  <c r="T284" i="7"/>
  <c r="S284" i="7"/>
  <c r="R284" i="7"/>
  <c r="Q284" i="7"/>
  <c r="P284" i="7"/>
  <c r="M284" i="7"/>
  <c r="K284" i="7"/>
  <c r="C284" i="7"/>
  <c r="AX284" i="7" s="1"/>
  <c r="B284" i="7"/>
  <c r="AK283" i="7" s="1"/>
  <c r="AU283" i="7"/>
  <c r="Z283" i="7"/>
  <c r="Y283" i="7"/>
  <c r="X283" i="7"/>
  <c r="V283" i="7"/>
  <c r="U283" i="7"/>
  <c r="T283" i="7"/>
  <c r="S283" i="7"/>
  <c r="R283" i="7"/>
  <c r="Q283" i="7"/>
  <c r="P283" i="7"/>
  <c r="M283" i="7"/>
  <c r="K283" i="7"/>
  <c r="C283" i="7"/>
  <c r="AX283" i="7" s="1"/>
  <c r="B283" i="7"/>
  <c r="AK282" i="7" s="1"/>
  <c r="AU282" i="7"/>
  <c r="Z282" i="7"/>
  <c r="Y282" i="7"/>
  <c r="X282" i="7"/>
  <c r="V282" i="7"/>
  <c r="U282" i="7"/>
  <c r="T282" i="7"/>
  <c r="S282" i="7"/>
  <c r="R282" i="7"/>
  <c r="Q282" i="7"/>
  <c r="P282" i="7"/>
  <c r="M282" i="7"/>
  <c r="K282" i="7"/>
  <c r="C282" i="7"/>
  <c r="AY282" i="7" s="1"/>
  <c r="B282" i="7"/>
  <c r="AK281" i="7" s="1"/>
  <c r="AU281" i="7"/>
  <c r="Z281" i="7"/>
  <c r="Y281" i="7"/>
  <c r="X281" i="7"/>
  <c r="V281" i="7"/>
  <c r="U281" i="7"/>
  <c r="T281" i="7"/>
  <c r="S281" i="7"/>
  <c r="R281" i="7"/>
  <c r="Q281" i="7"/>
  <c r="P281" i="7"/>
  <c r="M281" i="7"/>
  <c r="K281" i="7"/>
  <c r="C281" i="7"/>
  <c r="AY281" i="7" s="1"/>
  <c r="B281" i="7"/>
  <c r="AK280" i="7" s="1"/>
  <c r="AU280" i="7"/>
  <c r="Z280" i="7"/>
  <c r="Y280" i="7"/>
  <c r="X280" i="7"/>
  <c r="V280" i="7"/>
  <c r="U280" i="7"/>
  <c r="T280" i="7"/>
  <c r="S280" i="7"/>
  <c r="R280" i="7"/>
  <c r="Q280" i="7"/>
  <c r="P280" i="7"/>
  <c r="M280" i="7"/>
  <c r="K280" i="7"/>
  <c r="C280" i="7"/>
  <c r="AX280" i="7" s="1"/>
  <c r="B280" i="7"/>
  <c r="AK279" i="7" s="1"/>
  <c r="AU279" i="7"/>
  <c r="Z279" i="7"/>
  <c r="Y279" i="7"/>
  <c r="X279" i="7"/>
  <c r="V279" i="7"/>
  <c r="U279" i="7"/>
  <c r="T279" i="7"/>
  <c r="S279" i="7"/>
  <c r="R279" i="7"/>
  <c r="Q279" i="7"/>
  <c r="P279" i="7"/>
  <c r="M279" i="7"/>
  <c r="K279" i="7"/>
  <c r="C279" i="7"/>
  <c r="AL279" i="7" s="1"/>
  <c r="B279" i="7"/>
  <c r="AK278" i="7" s="1"/>
  <c r="AU278" i="7"/>
  <c r="Z278" i="7"/>
  <c r="Y278" i="7"/>
  <c r="X278" i="7"/>
  <c r="V278" i="7"/>
  <c r="U278" i="7"/>
  <c r="T278" i="7"/>
  <c r="S278" i="7"/>
  <c r="R278" i="7"/>
  <c r="Q278" i="7"/>
  <c r="P278" i="7"/>
  <c r="M278" i="7"/>
  <c r="K278" i="7"/>
  <c r="C278" i="7"/>
  <c r="B278" i="7"/>
  <c r="AK277" i="7" s="1"/>
  <c r="AU277" i="7"/>
  <c r="Z277" i="7"/>
  <c r="Y277" i="7"/>
  <c r="X277" i="7"/>
  <c r="V277" i="7"/>
  <c r="U277" i="7"/>
  <c r="T277" i="7"/>
  <c r="S277" i="7"/>
  <c r="R277" i="7"/>
  <c r="Q277" i="7"/>
  <c r="P277" i="7"/>
  <c r="M277" i="7"/>
  <c r="K277" i="7"/>
  <c r="C277" i="7"/>
  <c r="B277" i="7"/>
  <c r="AK276" i="7" s="1"/>
  <c r="AU276" i="7"/>
  <c r="Z276" i="7"/>
  <c r="Y276" i="7"/>
  <c r="X276" i="7"/>
  <c r="V276" i="7"/>
  <c r="U276" i="7"/>
  <c r="T276" i="7"/>
  <c r="S276" i="7"/>
  <c r="R276" i="7"/>
  <c r="Q276" i="7"/>
  <c r="P276" i="7"/>
  <c r="M276" i="7"/>
  <c r="K276" i="7"/>
  <c r="C276" i="7"/>
  <c r="B276" i="7"/>
  <c r="AK275" i="7" s="1"/>
  <c r="AU275" i="7"/>
  <c r="Z275" i="7"/>
  <c r="Y275" i="7"/>
  <c r="X275" i="7"/>
  <c r="V275" i="7"/>
  <c r="U275" i="7"/>
  <c r="T275" i="7"/>
  <c r="S275" i="7"/>
  <c r="R275" i="7"/>
  <c r="Q275" i="7"/>
  <c r="P275" i="7"/>
  <c r="M275" i="7"/>
  <c r="K275" i="7"/>
  <c r="C275" i="7"/>
  <c r="B275" i="7"/>
  <c r="AK274" i="7" s="1"/>
  <c r="AU274" i="7"/>
  <c r="Z274" i="7"/>
  <c r="Y274" i="7"/>
  <c r="X274" i="7"/>
  <c r="V274" i="7"/>
  <c r="U274" i="7"/>
  <c r="T274" i="7"/>
  <c r="S274" i="7"/>
  <c r="R274" i="7"/>
  <c r="Q274" i="7"/>
  <c r="P274" i="7"/>
  <c r="M274" i="7"/>
  <c r="K274" i="7"/>
  <c r="C274" i="7"/>
  <c r="AX274" i="7" s="1"/>
  <c r="B274" i="7"/>
  <c r="AK273" i="7" s="1"/>
  <c r="AU273" i="7"/>
  <c r="Z273" i="7"/>
  <c r="Y273" i="7"/>
  <c r="X273" i="7"/>
  <c r="V273" i="7"/>
  <c r="U273" i="7"/>
  <c r="T273" i="7"/>
  <c r="S273" i="7"/>
  <c r="R273" i="7"/>
  <c r="Q273" i="7"/>
  <c r="P273" i="7"/>
  <c r="M273" i="7"/>
  <c r="K273" i="7"/>
  <c r="C273" i="7"/>
  <c r="AL273" i="7" s="1"/>
  <c r="B273" i="7"/>
  <c r="AK272" i="7" s="1"/>
  <c r="AU272" i="7"/>
  <c r="Z272" i="7"/>
  <c r="Y272" i="7"/>
  <c r="X272" i="7"/>
  <c r="V272" i="7"/>
  <c r="U272" i="7"/>
  <c r="T272" i="7"/>
  <c r="S272" i="7"/>
  <c r="R272" i="7"/>
  <c r="Q272" i="7"/>
  <c r="P272" i="7"/>
  <c r="M272" i="7"/>
  <c r="K272" i="7"/>
  <c r="C272" i="7"/>
  <c r="AX272" i="7" s="1"/>
  <c r="B272" i="7"/>
  <c r="AK265" i="7" s="1"/>
  <c r="AU271" i="7"/>
  <c r="Z271" i="7"/>
  <c r="Y271" i="7"/>
  <c r="X271" i="7"/>
  <c r="V271" i="7"/>
  <c r="U271" i="7"/>
  <c r="T271" i="7"/>
  <c r="S271" i="7"/>
  <c r="R271" i="7"/>
  <c r="Q271" i="7"/>
  <c r="P271" i="7"/>
  <c r="C271" i="7"/>
  <c r="AL271" i="7" s="1"/>
  <c r="B271" i="7"/>
  <c r="AK270" i="7" s="1"/>
  <c r="AU270" i="7"/>
  <c r="Z270" i="7"/>
  <c r="Y270" i="7"/>
  <c r="X270" i="7"/>
  <c r="V270" i="7"/>
  <c r="U270" i="7"/>
  <c r="T270" i="7"/>
  <c r="S270" i="7"/>
  <c r="R270" i="7"/>
  <c r="Q270" i="7"/>
  <c r="P270" i="7"/>
  <c r="C270" i="7"/>
  <c r="AL270" i="7" s="1"/>
  <c r="B270" i="7"/>
  <c r="AU269" i="7"/>
  <c r="Z269" i="7"/>
  <c r="Y269" i="7"/>
  <c r="X269" i="7"/>
  <c r="V269" i="7"/>
  <c r="U269" i="7"/>
  <c r="T269" i="7"/>
  <c r="S269" i="7"/>
  <c r="R269" i="7"/>
  <c r="Q269" i="7"/>
  <c r="P269" i="7"/>
  <c r="C269" i="7"/>
  <c r="AL269" i="7" s="1"/>
  <c r="B269" i="7"/>
  <c r="AK268" i="7" s="1"/>
  <c r="AU268" i="7"/>
  <c r="Z268" i="7"/>
  <c r="Y268" i="7"/>
  <c r="X268" i="7"/>
  <c r="V268" i="7"/>
  <c r="U268" i="7"/>
  <c r="T268" i="7"/>
  <c r="S268" i="7"/>
  <c r="R268" i="7"/>
  <c r="Q268" i="7"/>
  <c r="P268" i="7"/>
  <c r="C268" i="7"/>
  <c r="AL268" i="7" s="1"/>
  <c r="B268" i="7"/>
  <c r="AU267" i="7"/>
  <c r="Z267" i="7"/>
  <c r="Y267" i="7"/>
  <c r="X267" i="7"/>
  <c r="V267" i="7"/>
  <c r="U267" i="7"/>
  <c r="T267" i="7"/>
  <c r="S267" i="7"/>
  <c r="R267" i="7"/>
  <c r="Q267" i="7"/>
  <c r="P267" i="7"/>
  <c r="C267" i="7"/>
  <c r="AL267" i="7" s="1"/>
  <c r="B267" i="7"/>
  <c r="AK266" i="7" s="1"/>
  <c r="AU266" i="7"/>
  <c r="Z266" i="7"/>
  <c r="Y266" i="7"/>
  <c r="X266" i="7"/>
  <c r="V266" i="7"/>
  <c r="U266" i="7"/>
  <c r="T266" i="7"/>
  <c r="S266" i="7"/>
  <c r="R266" i="7"/>
  <c r="Q266" i="7"/>
  <c r="P266" i="7"/>
  <c r="C266" i="7"/>
  <c r="AY266" i="7" s="1"/>
  <c r="B266" i="7"/>
  <c r="AU265" i="7"/>
  <c r="Z265" i="7"/>
  <c r="Y265" i="7"/>
  <c r="X265" i="7"/>
  <c r="V265" i="7"/>
  <c r="U265" i="7"/>
  <c r="T265" i="7"/>
  <c r="S265" i="7"/>
  <c r="R265" i="7"/>
  <c r="Q265" i="7"/>
  <c r="P265" i="7"/>
  <c r="M265" i="7"/>
  <c r="K265" i="7"/>
  <c r="C265" i="7"/>
  <c r="B265" i="7"/>
  <c r="AU264" i="7"/>
  <c r="Z264" i="7"/>
  <c r="Y264" i="7"/>
  <c r="X264" i="7"/>
  <c r="V264" i="7"/>
  <c r="U264" i="7"/>
  <c r="T264" i="7"/>
  <c r="S264" i="7"/>
  <c r="R264" i="7"/>
  <c r="Q264" i="7"/>
  <c r="P264" i="7"/>
  <c r="M264" i="7"/>
  <c r="K264" i="7"/>
  <c r="C264" i="7"/>
  <c r="B264" i="7"/>
  <c r="AK263" i="7" s="1"/>
  <c r="AU263" i="7"/>
  <c r="Z263" i="7"/>
  <c r="Y263" i="7"/>
  <c r="X263" i="7"/>
  <c r="V263" i="7"/>
  <c r="U263" i="7"/>
  <c r="T263" i="7"/>
  <c r="S263" i="7"/>
  <c r="R263" i="7"/>
  <c r="Q263" i="7"/>
  <c r="P263" i="7"/>
  <c r="M263" i="7"/>
  <c r="K263" i="7"/>
  <c r="C263" i="7"/>
  <c r="B263" i="7"/>
  <c r="AK262" i="7" s="1"/>
  <c r="AU262" i="7"/>
  <c r="Z262" i="7"/>
  <c r="Y262" i="7"/>
  <c r="X262" i="7"/>
  <c r="V262" i="7"/>
  <c r="U262" i="7"/>
  <c r="T262" i="7"/>
  <c r="S262" i="7"/>
  <c r="R262" i="7"/>
  <c r="Q262" i="7"/>
  <c r="P262" i="7"/>
  <c r="M262" i="7"/>
  <c r="K262" i="7"/>
  <c r="C262" i="7"/>
  <c r="AX262" i="7" s="1"/>
  <c r="B262" i="7"/>
  <c r="AK255" i="7" s="1"/>
  <c r="AU261" i="7"/>
  <c r="Z261" i="7"/>
  <c r="Y261" i="7"/>
  <c r="X261" i="7"/>
  <c r="V261" i="7"/>
  <c r="U261" i="7"/>
  <c r="T261" i="7"/>
  <c r="S261" i="7"/>
  <c r="R261" i="7"/>
  <c r="Q261" i="7"/>
  <c r="P261" i="7"/>
  <c r="C261" i="7"/>
  <c r="AL261" i="7" s="1"/>
  <c r="B261" i="7"/>
  <c r="AK260" i="7" s="1"/>
  <c r="AU260" i="7"/>
  <c r="Z260" i="7"/>
  <c r="Y260" i="7"/>
  <c r="X260" i="7"/>
  <c r="V260" i="7"/>
  <c r="U260" i="7"/>
  <c r="T260" i="7"/>
  <c r="S260" i="7"/>
  <c r="R260" i="7"/>
  <c r="Q260" i="7"/>
  <c r="P260" i="7"/>
  <c r="C260" i="7"/>
  <c r="AL260" i="7" s="1"/>
  <c r="B260" i="7"/>
  <c r="AK259" i="7" s="1"/>
  <c r="AU259" i="7"/>
  <c r="Z259" i="7"/>
  <c r="Y259" i="7"/>
  <c r="X259" i="7"/>
  <c r="V259" i="7"/>
  <c r="U259" i="7"/>
  <c r="T259" i="7"/>
  <c r="S259" i="7"/>
  <c r="R259" i="7"/>
  <c r="Q259" i="7"/>
  <c r="P259" i="7"/>
  <c r="C259" i="7"/>
  <c r="AX259" i="7" s="1"/>
  <c r="B259" i="7"/>
  <c r="AU258" i="7"/>
  <c r="Z258" i="7"/>
  <c r="Y258" i="7"/>
  <c r="X258" i="7"/>
  <c r="V258" i="7"/>
  <c r="U258" i="7"/>
  <c r="T258" i="7"/>
  <c r="S258" i="7"/>
  <c r="R258" i="7"/>
  <c r="Q258" i="7"/>
  <c r="P258" i="7"/>
  <c r="C258" i="7"/>
  <c r="AY258" i="7" s="1"/>
  <c r="B258" i="7"/>
  <c r="AK257" i="7" s="1"/>
  <c r="AU257" i="7"/>
  <c r="Z257" i="7"/>
  <c r="Y257" i="7"/>
  <c r="X257" i="7"/>
  <c r="V257" i="7"/>
  <c r="U257" i="7"/>
  <c r="T257" i="7"/>
  <c r="S257" i="7"/>
  <c r="R257" i="7"/>
  <c r="Q257" i="7"/>
  <c r="P257" i="7"/>
  <c r="C257" i="7"/>
  <c r="AY257" i="7" s="1"/>
  <c r="B257" i="7"/>
  <c r="AK256" i="7" s="1"/>
  <c r="AU256" i="7"/>
  <c r="Z256" i="7"/>
  <c r="Y256" i="7"/>
  <c r="X256" i="7"/>
  <c r="V256" i="7"/>
  <c r="U256" i="7"/>
  <c r="T256" i="7"/>
  <c r="S256" i="7"/>
  <c r="R256" i="7"/>
  <c r="Q256" i="7"/>
  <c r="P256" i="7"/>
  <c r="C256" i="7"/>
  <c r="AX256" i="7" s="1"/>
  <c r="B256" i="7"/>
  <c r="AU255" i="7"/>
  <c r="Z255" i="7"/>
  <c r="Y255" i="7"/>
  <c r="X255" i="7"/>
  <c r="V255" i="7"/>
  <c r="U255" i="7"/>
  <c r="T255" i="7"/>
  <c r="S255" i="7"/>
  <c r="R255" i="7"/>
  <c r="Q255" i="7"/>
  <c r="P255" i="7"/>
  <c r="M255" i="7"/>
  <c r="K255" i="7"/>
  <c r="C255" i="7"/>
  <c r="AL255" i="7" s="1"/>
  <c r="B255" i="7"/>
  <c r="AK254" i="7" s="1"/>
  <c r="AU254" i="7"/>
  <c r="Z254" i="7"/>
  <c r="Y254" i="7"/>
  <c r="X254" i="7"/>
  <c r="V254" i="7"/>
  <c r="U254" i="7"/>
  <c r="T254" i="7"/>
  <c r="S254" i="7"/>
  <c r="R254" i="7"/>
  <c r="Q254" i="7"/>
  <c r="P254" i="7"/>
  <c r="M254" i="7"/>
  <c r="K254" i="7"/>
  <c r="C254" i="7"/>
  <c r="B254" i="7"/>
  <c r="AK253" i="7" s="1"/>
  <c r="AU253" i="7"/>
  <c r="Z253" i="7"/>
  <c r="Y253" i="7"/>
  <c r="X253" i="7"/>
  <c r="V253" i="7"/>
  <c r="U253" i="7"/>
  <c r="T253" i="7"/>
  <c r="S253" i="7"/>
  <c r="R253" i="7"/>
  <c r="Q253" i="7"/>
  <c r="P253" i="7"/>
  <c r="M253" i="7"/>
  <c r="K253" i="7"/>
  <c r="C253" i="7"/>
  <c r="B253" i="7"/>
  <c r="AK252" i="7" s="1"/>
  <c r="AU252" i="7"/>
  <c r="Z252" i="7"/>
  <c r="Y252" i="7"/>
  <c r="X252" i="7"/>
  <c r="V252" i="7"/>
  <c r="U252" i="7"/>
  <c r="T252" i="7"/>
  <c r="S252" i="7"/>
  <c r="R252" i="7"/>
  <c r="Q252" i="7"/>
  <c r="P252" i="7"/>
  <c r="M252" i="7"/>
  <c r="K252" i="7"/>
  <c r="C252" i="7"/>
  <c r="B252" i="7"/>
  <c r="AK251" i="7" s="1"/>
  <c r="AU251" i="7"/>
  <c r="Z251" i="7"/>
  <c r="Y251" i="7"/>
  <c r="X251" i="7"/>
  <c r="V251" i="7"/>
  <c r="U251" i="7"/>
  <c r="T251" i="7"/>
  <c r="S251" i="7"/>
  <c r="R251" i="7"/>
  <c r="Q251" i="7"/>
  <c r="P251" i="7"/>
  <c r="M251" i="7"/>
  <c r="K251" i="7"/>
  <c r="C251" i="7"/>
  <c r="B251" i="7"/>
  <c r="AK244" i="7" s="1"/>
  <c r="AU250" i="7"/>
  <c r="AK250" i="7"/>
  <c r="Z250" i="7"/>
  <c r="Y250" i="7"/>
  <c r="X250" i="7"/>
  <c r="V250" i="7"/>
  <c r="U250" i="7"/>
  <c r="T250" i="7"/>
  <c r="S250" i="7"/>
  <c r="R250" i="7"/>
  <c r="Q250" i="7"/>
  <c r="P250" i="7"/>
  <c r="M250" i="7"/>
  <c r="K250" i="7"/>
  <c r="C250" i="7"/>
  <c r="AX250" i="7" s="1"/>
  <c r="B250" i="7"/>
  <c r="AK249" i="7" s="1"/>
  <c r="AU249" i="7"/>
  <c r="Z249" i="7"/>
  <c r="Y249" i="7"/>
  <c r="X249" i="7"/>
  <c r="V249" i="7"/>
  <c r="U249" i="7"/>
  <c r="T249" i="7"/>
  <c r="S249" i="7"/>
  <c r="R249" i="7"/>
  <c r="Q249" i="7"/>
  <c r="P249" i="7"/>
  <c r="M249" i="7"/>
  <c r="K249" i="7"/>
  <c r="C249" i="7"/>
  <c r="AY249" i="7" s="1"/>
  <c r="B249" i="7"/>
  <c r="AK248" i="7" s="1"/>
  <c r="AU248" i="7"/>
  <c r="Z248" i="7"/>
  <c r="Y248" i="7"/>
  <c r="X248" i="7"/>
  <c r="V248" i="7"/>
  <c r="U248" i="7"/>
  <c r="T248" i="7"/>
  <c r="S248" i="7"/>
  <c r="R248" i="7"/>
  <c r="Q248" i="7"/>
  <c r="P248" i="7"/>
  <c r="M248" i="7"/>
  <c r="K248" i="7"/>
  <c r="C248" i="7"/>
  <c r="AX248" i="7" s="1"/>
  <c r="B248" i="7"/>
  <c r="AK247" i="7" s="1"/>
  <c r="AU247" i="7"/>
  <c r="Z247" i="7"/>
  <c r="Y247" i="7"/>
  <c r="X247" i="7"/>
  <c r="V247" i="7"/>
  <c r="U247" i="7"/>
  <c r="T247" i="7"/>
  <c r="S247" i="7"/>
  <c r="R247" i="7"/>
  <c r="Q247" i="7"/>
  <c r="P247" i="7"/>
  <c r="M247" i="7"/>
  <c r="K247" i="7"/>
  <c r="C247" i="7"/>
  <c r="AY247" i="7" s="1"/>
  <c r="B247" i="7"/>
  <c r="AK246" i="7" s="1"/>
  <c r="AU246" i="7"/>
  <c r="Z246" i="7"/>
  <c r="Y246" i="7"/>
  <c r="X246" i="7"/>
  <c r="V246" i="7"/>
  <c r="U246" i="7"/>
  <c r="T246" i="7"/>
  <c r="S246" i="7"/>
  <c r="R246" i="7"/>
  <c r="Q246" i="7"/>
  <c r="P246" i="7"/>
  <c r="M246" i="7"/>
  <c r="K246" i="7"/>
  <c r="C246" i="7"/>
  <c r="AY246" i="7" s="1"/>
  <c r="B246" i="7"/>
  <c r="AK245" i="7" s="1"/>
  <c r="AU245" i="7"/>
  <c r="Z245" i="7"/>
  <c r="Y245" i="7"/>
  <c r="X245" i="7"/>
  <c r="V245" i="7"/>
  <c r="U245" i="7"/>
  <c r="T245" i="7"/>
  <c r="S245" i="7"/>
  <c r="R245" i="7"/>
  <c r="Q245" i="7"/>
  <c r="P245" i="7"/>
  <c r="M245" i="7"/>
  <c r="K245" i="7"/>
  <c r="C245" i="7"/>
  <c r="AY245" i="7" s="1"/>
  <c r="B245" i="7"/>
  <c r="AU244" i="7"/>
  <c r="Z244" i="7"/>
  <c r="Y244" i="7"/>
  <c r="X244" i="7"/>
  <c r="V244" i="7"/>
  <c r="U244" i="7"/>
  <c r="T244" i="7"/>
  <c r="S244" i="7"/>
  <c r="R244" i="7"/>
  <c r="Q244" i="7"/>
  <c r="P244" i="7"/>
  <c r="M244" i="7"/>
  <c r="K244" i="7"/>
  <c r="C244" i="7"/>
  <c r="AX244" i="7" s="1"/>
  <c r="B244" i="7"/>
  <c r="AK243" i="7" s="1"/>
  <c r="AU243" i="7"/>
  <c r="Z243" i="7"/>
  <c r="Y243" i="7"/>
  <c r="X243" i="7"/>
  <c r="V243" i="7"/>
  <c r="U243" i="7"/>
  <c r="T243" i="7"/>
  <c r="S243" i="7"/>
  <c r="R243" i="7"/>
  <c r="Q243" i="7"/>
  <c r="P243" i="7"/>
  <c r="M243" i="7"/>
  <c r="K243" i="7"/>
  <c r="C243" i="7"/>
  <c r="AY243" i="7" s="1"/>
  <c r="B243" i="7"/>
  <c r="AK242" i="7" s="1"/>
  <c r="AU242" i="7"/>
  <c r="Z242" i="7"/>
  <c r="Y242" i="7"/>
  <c r="X242" i="7"/>
  <c r="V242" i="7"/>
  <c r="U242" i="7"/>
  <c r="T242" i="7"/>
  <c r="S242" i="7"/>
  <c r="R242" i="7"/>
  <c r="Q242" i="7"/>
  <c r="P242" i="7"/>
  <c r="M242" i="7"/>
  <c r="K242" i="7"/>
  <c r="C242" i="7"/>
  <c r="AX242" i="7" s="1"/>
  <c r="B242" i="7"/>
  <c r="AK241" i="7" s="1"/>
  <c r="AU241" i="7"/>
  <c r="Z241" i="7"/>
  <c r="Y241" i="7"/>
  <c r="X241" i="7"/>
  <c r="V241" i="7"/>
  <c r="U241" i="7"/>
  <c r="T241" i="7"/>
  <c r="S241" i="7"/>
  <c r="R241" i="7"/>
  <c r="Q241" i="7"/>
  <c r="P241" i="7"/>
  <c r="M241" i="7"/>
  <c r="K241" i="7"/>
  <c r="C241" i="7"/>
  <c r="AY241" i="7" s="1"/>
  <c r="B241" i="7"/>
  <c r="AK240" i="7" s="1"/>
  <c r="AU240" i="7"/>
  <c r="Z240" i="7"/>
  <c r="Y240" i="7"/>
  <c r="X240" i="7"/>
  <c r="V240" i="7"/>
  <c r="U240" i="7"/>
  <c r="T240" i="7"/>
  <c r="S240" i="7"/>
  <c r="R240" i="7"/>
  <c r="Q240" i="7"/>
  <c r="P240" i="7"/>
  <c r="M240" i="7"/>
  <c r="K240" i="7"/>
  <c r="C240" i="7"/>
  <c r="AX240" i="7" s="1"/>
  <c r="B240" i="7"/>
  <c r="AK239" i="7" s="1"/>
  <c r="AU239" i="7"/>
  <c r="Z239" i="7"/>
  <c r="Y239" i="7"/>
  <c r="X239" i="7"/>
  <c r="V239" i="7"/>
  <c r="U239" i="7"/>
  <c r="T239" i="7"/>
  <c r="S239" i="7"/>
  <c r="R239" i="7"/>
  <c r="Q239" i="7"/>
  <c r="P239" i="7"/>
  <c r="M239" i="7"/>
  <c r="K239" i="7"/>
  <c r="C239" i="7"/>
  <c r="AX239" i="7" s="1"/>
  <c r="B239" i="7"/>
  <c r="AK238" i="7" s="1"/>
  <c r="AU238" i="7"/>
  <c r="Z238" i="7"/>
  <c r="Y238" i="7"/>
  <c r="X238" i="7"/>
  <c r="V238" i="7"/>
  <c r="U238" i="7"/>
  <c r="T238" i="7"/>
  <c r="S238" i="7"/>
  <c r="R238" i="7"/>
  <c r="Q238" i="7"/>
  <c r="P238" i="7"/>
  <c r="M238" i="7"/>
  <c r="K238" i="7"/>
  <c r="C238" i="7"/>
  <c r="B238" i="7"/>
  <c r="AK237" i="7" s="1"/>
  <c r="AU237" i="7"/>
  <c r="Z237" i="7"/>
  <c r="Y237" i="7"/>
  <c r="X237" i="7"/>
  <c r="V237" i="7"/>
  <c r="U237" i="7"/>
  <c r="T237" i="7"/>
  <c r="S237" i="7"/>
  <c r="R237" i="7"/>
  <c r="Q237" i="7"/>
  <c r="P237" i="7"/>
  <c r="M237" i="7"/>
  <c r="K237" i="7"/>
  <c r="C237" i="7"/>
  <c r="B237" i="7"/>
  <c r="AK236" i="7" s="1"/>
  <c r="AU236" i="7"/>
  <c r="Z236" i="7"/>
  <c r="Y236" i="7"/>
  <c r="X236" i="7"/>
  <c r="V236" i="7"/>
  <c r="U236" i="7"/>
  <c r="T236" i="7"/>
  <c r="S236" i="7"/>
  <c r="R236" i="7"/>
  <c r="Q236" i="7"/>
  <c r="P236" i="7"/>
  <c r="M236" i="7"/>
  <c r="K236" i="7"/>
  <c r="C236" i="7"/>
  <c r="AX236" i="7" s="1"/>
  <c r="B236" i="7"/>
  <c r="AK235" i="7" s="1"/>
  <c r="AU235" i="7"/>
  <c r="Z235" i="7"/>
  <c r="Y235" i="7"/>
  <c r="X235" i="7"/>
  <c r="V235" i="7"/>
  <c r="U235" i="7"/>
  <c r="T235" i="7"/>
  <c r="S235" i="7"/>
  <c r="R235" i="7"/>
  <c r="Q235" i="7"/>
  <c r="P235" i="7"/>
  <c r="M235" i="7"/>
  <c r="K235" i="7"/>
  <c r="C235" i="7"/>
  <c r="AL235" i="7" s="1"/>
  <c r="B235" i="7"/>
  <c r="AK234" i="7" s="1"/>
  <c r="AU234" i="7"/>
  <c r="Z234" i="7"/>
  <c r="Y234" i="7"/>
  <c r="X234" i="7"/>
  <c r="V234" i="7"/>
  <c r="U234" i="7"/>
  <c r="T234" i="7"/>
  <c r="S234" i="7"/>
  <c r="R234" i="7"/>
  <c r="Q234" i="7"/>
  <c r="P234" i="7"/>
  <c r="M234" i="7"/>
  <c r="K234" i="7"/>
  <c r="C234" i="7"/>
  <c r="B234" i="7"/>
  <c r="AK233" i="7" s="1"/>
  <c r="AU233" i="7"/>
  <c r="Z233" i="7"/>
  <c r="Y233" i="7"/>
  <c r="X233" i="7"/>
  <c r="V233" i="7"/>
  <c r="U233" i="7"/>
  <c r="T233" i="7"/>
  <c r="S233" i="7"/>
  <c r="R233" i="7"/>
  <c r="Q233" i="7"/>
  <c r="P233" i="7"/>
  <c r="M233" i="7"/>
  <c r="K233" i="7"/>
  <c r="C233" i="7"/>
  <c r="AL233" i="7" s="1"/>
  <c r="B233" i="7"/>
  <c r="AK232" i="7" s="1"/>
  <c r="AU232" i="7"/>
  <c r="Z232" i="7"/>
  <c r="Y232" i="7"/>
  <c r="X232" i="7"/>
  <c r="V232" i="7"/>
  <c r="U232" i="7"/>
  <c r="T232" i="7"/>
  <c r="S232" i="7"/>
  <c r="R232" i="7"/>
  <c r="Q232" i="7"/>
  <c r="P232" i="7"/>
  <c r="M232" i="7"/>
  <c r="K232" i="7"/>
  <c r="C232" i="7"/>
  <c r="AX232" i="7" s="1"/>
  <c r="B232" i="7"/>
  <c r="AK223" i="7" s="1"/>
  <c r="AU231" i="7"/>
  <c r="Z231" i="7"/>
  <c r="Y231" i="7"/>
  <c r="X231" i="7"/>
  <c r="V231" i="7"/>
  <c r="U231" i="7"/>
  <c r="T231" i="7"/>
  <c r="S231" i="7"/>
  <c r="R231" i="7"/>
  <c r="Q231" i="7"/>
  <c r="P231" i="7"/>
  <c r="M231" i="7"/>
  <c r="K231" i="7"/>
  <c r="C231" i="7"/>
  <c r="AY231" i="7" s="1"/>
  <c r="B231" i="7"/>
  <c r="AK230" i="7" s="1"/>
  <c r="AU230" i="7"/>
  <c r="Z230" i="7"/>
  <c r="Y230" i="7"/>
  <c r="X230" i="7"/>
  <c r="V230" i="7"/>
  <c r="U230" i="7"/>
  <c r="T230" i="7"/>
  <c r="S230" i="7"/>
  <c r="R230" i="7"/>
  <c r="Q230" i="7"/>
  <c r="P230" i="7"/>
  <c r="M230" i="7"/>
  <c r="K230" i="7"/>
  <c r="C230" i="7"/>
  <c r="AY230" i="7" s="1"/>
  <c r="B230" i="7"/>
  <c r="AK229" i="7" s="1"/>
  <c r="AU229" i="7"/>
  <c r="Z229" i="7"/>
  <c r="Y229" i="7"/>
  <c r="X229" i="7"/>
  <c r="V229" i="7"/>
  <c r="U229" i="7"/>
  <c r="T229" i="7"/>
  <c r="S229" i="7"/>
  <c r="R229" i="7"/>
  <c r="Q229" i="7"/>
  <c r="P229" i="7"/>
  <c r="M229" i="7"/>
  <c r="K229" i="7"/>
  <c r="C229" i="7"/>
  <c r="AY229" i="7" s="1"/>
  <c r="B229" i="7"/>
  <c r="AK228" i="7" s="1"/>
  <c r="AU228" i="7"/>
  <c r="Z228" i="7"/>
  <c r="Y228" i="7"/>
  <c r="X228" i="7"/>
  <c r="V228" i="7"/>
  <c r="U228" i="7"/>
  <c r="T228" i="7"/>
  <c r="S228" i="7"/>
  <c r="R228" i="7"/>
  <c r="Q228" i="7"/>
  <c r="P228" i="7"/>
  <c r="M228" i="7"/>
  <c r="K228" i="7"/>
  <c r="C228" i="7"/>
  <c r="AX228" i="7" s="1"/>
  <c r="B228" i="7"/>
  <c r="AU227" i="7"/>
  <c r="Z227" i="7"/>
  <c r="Y227" i="7"/>
  <c r="X227" i="7"/>
  <c r="V227" i="7"/>
  <c r="U227" i="7"/>
  <c r="T227" i="7"/>
  <c r="S227" i="7"/>
  <c r="R227" i="7"/>
  <c r="Q227" i="7"/>
  <c r="P227" i="7"/>
  <c r="M227" i="7"/>
  <c r="K227" i="7"/>
  <c r="C227" i="7"/>
  <c r="AY227" i="7" s="1"/>
  <c r="B227" i="7"/>
  <c r="AK226" i="7" s="1"/>
  <c r="AU226" i="7"/>
  <c r="Z226" i="7"/>
  <c r="Y226" i="7"/>
  <c r="X226" i="7"/>
  <c r="V226" i="7"/>
  <c r="U226" i="7"/>
  <c r="T226" i="7"/>
  <c r="S226" i="7"/>
  <c r="R226" i="7"/>
  <c r="Q226" i="7"/>
  <c r="P226" i="7"/>
  <c r="M226" i="7"/>
  <c r="K226" i="7"/>
  <c r="C226" i="7"/>
  <c r="AX226" i="7" s="1"/>
  <c r="B226" i="7"/>
  <c r="AK225" i="7" s="1"/>
  <c r="AU225" i="7"/>
  <c r="Z225" i="7"/>
  <c r="Y225" i="7"/>
  <c r="X225" i="7"/>
  <c r="V225" i="7"/>
  <c r="U225" i="7"/>
  <c r="T225" i="7"/>
  <c r="S225" i="7"/>
  <c r="R225" i="7"/>
  <c r="Q225" i="7"/>
  <c r="P225" i="7"/>
  <c r="M225" i="7"/>
  <c r="K225" i="7"/>
  <c r="C225" i="7"/>
  <c r="AY225" i="7" s="1"/>
  <c r="B225" i="7"/>
  <c r="AK224" i="7" s="1"/>
  <c r="AU224" i="7"/>
  <c r="Z224" i="7"/>
  <c r="Y224" i="7"/>
  <c r="X224" i="7"/>
  <c r="V224" i="7"/>
  <c r="U224" i="7"/>
  <c r="T224" i="7"/>
  <c r="S224" i="7"/>
  <c r="R224" i="7"/>
  <c r="Q224" i="7"/>
  <c r="P224" i="7"/>
  <c r="M224" i="7"/>
  <c r="K224" i="7"/>
  <c r="C224" i="7"/>
  <c r="AX224" i="7" s="1"/>
  <c r="B224" i="7"/>
  <c r="AU223" i="7"/>
  <c r="Z223" i="7"/>
  <c r="Y223" i="7"/>
  <c r="X223" i="7"/>
  <c r="V223" i="7"/>
  <c r="U223" i="7"/>
  <c r="T223" i="7"/>
  <c r="S223" i="7"/>
  <c r="R223" i="7"/>
  <c r="Q223" i="7"/>
  <c r="P223" i="7"/>
  <c r="M223" i="7"/>
  <c r="K223" i="7"/>
  <c r="C223" i="7"/>
  <c r="AY223" i="7" s="1"/>
  <c r="B223" i="7"/>
  <c r="AK222" i="7" s="1"/>
  <c r="AU222" i="7"/>
  <c r="Z222" i="7"/>
  <c r="Y222" i="7"/>
  <c r="X222" i="7"/>
  <c r="V222" i="7"/>
  <c r="U222" i="7"/>
  <c r="T222" i="7"/>
  <c r="S222" i="7"/>
  <c r="R222" i="7"/>
  <c r="Q222" i="7"/>
  <c r="P222" i="7"/>
  <c r="M222" i="7"/>
  <c r="K222" i="7"/>
  <c r="C222" i="7"/>
  <c r="AY222" i="7" s="1"/>
  <c r="B222" i="7"/>
  <c r="AK221" i="7" s="1"/>
  <c r="AU221" i="7"/>
  <c r="Z221" i="7"/>
  <c r="Y221" i="7"/>
  <c r="X221" i="7"/>
  <c r="V221" i="7"/>
  <c r="U221" i="7"/>
  <c r="T221" i="7"/>
  <c r="S221" i="7"/>
  <c r="R221" i="7"/>
  <c r="Q221" i="7"/>
  <c r="P221" i="7"/>
  <c r="M221" i="7"/>
  <c r="K221" i="7"/>
  <c r="C221" i="7"/>
  <c r="AY221" i="7" s="1"/>
  <c r="B221" i="7"/>
  <c r="AK220" i="7" s="1"/>
  <c r="AU220" i="7"/>
  <c r="Z220" i="7"/>
  <c r="Y220" i="7"/>
  <c r="X220" i="7"/>
  <c r="V220" i="7"/>
  <c r="U220" i="7"/>
  <c r="T220" i="7"/>
  <c r="S220" i="7"/>
  <c r="R220" i="7"/>
  <c r="Q220" i="7"/>
  <c r="P220" i="7"/>
  <c r="M220" i="7"/>
  <c r="K220" i="7"/>
  <c r="C220" i="7"/>
  <c r="AX220" i="7" s="1"/>
  <c r="B220" i="7"/>
  <c r="AK219" i="7" s="1"/>
  <c r="AU219" i="7"/>
  <c r="Z219" i="7"/>
  <c r="Y219" i="7"/>
  <c r="X219" i="7"/>
  <c r="V219" i="7"/>
  <c r="U219" i="7"/>
  <c r="T219" i="7"/>
  <c r="S219" i="7"/>
  <c r="R219" i="7"/>
  <c r="Q219" i="7"/>
  <c r="P219" i="7"/>
  <c r="M219" i="7"/>
  <c r="K219" i="7"/>
  <c r="C219" i="7"/>
  <c r="B219" i="7"/>
  <c r="AK218" i="7" s="1"/>
  <c r="AU218" i="7"/>
  <c r="Z218" i="7"/>
  <c r="Y218" i="7"/>
  <c r="X218" i="7"/>
  <c r="V218" i="7"/>
  <c r="U218" i="7"/>
  <c r="T218" i="7"/>
  <c r="S218" i="7"/>
  <c r="R218" i="7"/>
  <c r="Q218" i="7"/>
  <c r="P218" i="7"/>
  <c r="M218" i="7"/>
  <c r="K218" i="7"/>
  <c r="C218" i="7"/>
  <c r="AX218" i="7" s="1"/>
  <c r="B218" i="7"/>
  <c r="AK217" i="7" s="1"/>
  <c r="AU217" i="7"/>
  <c r="Z217" i="7"/>
  <c r="Y217" i="7"/>
  <c r="X217" i="7"/>
  <c r="V217" i="7"/>
  <c r="U217" i="7"/>
  <c r="T217" i="7"/>
  <c r="S217" i="7"/>
  <c r="R217" i="7"/>
  <c r="Q217" i="7"/>
  <c r="P217" i="7"/>
  <c r="M217" i="7"/>
  <c r="K217" i="7"/>
  <c r="C217" i="7"/>
  <c r="AL217" i="7" s="1"/>
  <c r="B217" i="7"/>
  <c r="AK216" i="7" s="1"/>
  <c r="AU216" i="7"/>
  <c r="Z216" i="7"/>
  <c r="Y216" i="7"/>
  <c r="X216" i="7"/>
  <c r="V216" i="7"/>
  <c r="U216" i="7"/>
  <c r="T216" i="7"/>
  <c r="S216" i="7"/>
  <c r="R216" i="7"/>
  <c r="Q216" i="7"/>
  <c r="P216" i="7"/>
  <c r="M216" i="7"/>
  <c r="K216" i="7"/>
  <c r="C216" i="7"/>
  <c r="AX216" i="7" s="1"/>
  <c r="B216" i="7"/>
  <c r="AK215" i="7" s="1"/>
  <c r="AU215" i="7"/>
  <c r="Z215" i="7"/>
  <c r="Y215" i="7"/>
  <c r="X215" i="7"/>
  <c r="V215" i="7"/>
  <c r="U215" i="7"/>
  <c r="T215" i="7"/>
  <c r="S215" i="7"/>
  <c r="R215" i="7"/>
  <c r="Q215" i="7"/>
  <c r="P215" i="7"/>
  <c r="M215" i="7"/>
  <c r="K215" i="7"/>
  <c r="C215" i="7"/>
  <c r="AL215" i="7" s="1"/>
  <c r="B215" i="7"/>
  <c r="AK214" i="7" s="1"/>
  <c r="AU214" i="7"/>
  <c r="Z214" i="7"/>
  <c r="Y214" i="7"/>
  <c r="X214" i="7"/>
  <c r="V214" i="7"/>
  <c r="U214" i="7"/>
  <c r="T214" i="7"/>
  <c r="S214" i="7"/>
  <c r="R214" i="7"/>
  <c r="Q214" i="7"/>
  <c r="P214" i="7"/>
  <c r="M214" i="7"/>
  <c r="K214" i="7"/>
  <c r="C214" i="7"/>
  <c r="B214" i="7"/>
  <c r="AK213" i="7" s="1"/>
  <c r="AU213" i="7"/>
  <c r="Z213" i="7"/>
  <c r="Y213" i="7"/>
  <c r="X213" i="7"/>
  <c r="V213" i="7"/>
  <c r="U213" i="7"/>
  <c r="T213" i="7"/>
  <c r="S213" i="7"/>
  <c r="R213" i="7"/>
  <c r="Q213" i="7"/>
  <c r="P213" i="7"/>
  <c r="M213" i="7"/>
  <c r="K213" i="7"/>
  <c r="C213" i="7"/>
  <c r="B213" i="7"/>
  <c r="AK212" i="7" s="1"/>
  <c r="AU212" i="7"/>
  <c r="Z212" i="7"/>
  <c r="Y212" i="7"/>
  <c r="X212" i="7"/>
  <c r="V212" i="7"/>
  <c r="U212" i="7"/>
  <c r="T212" i="7"/>
  <c r="S212" i="7"/>
  <c r="R212" i="7"/>
  <c r="Q212" i="7"/>
  <c r="P212" i="7"/>
  <c r="M212" i="7"/>
  <c r="K212" i="7"/>
  <c r="C212" i="7"/>
  <c r="AX212" i="7" s="1"/>
  <c r="B212" i="7"/>
  <c r="AK211" i="7" s="1"/>
  <c r="AU211" i="7"/>
  <c r="Z211" i="7"/>
  <c r="Y211" i="7"/>
  <c r="X211" i="7"/>
  <c r="V211" i="7"/>
  <c r="U211" i="7"/>
  <c r="T211" i="7"/>
  <c r="S211" i="7"/>
  <c r="R211" i="7"/>
  <c r="Q211" i="7"/>
  <c r="P211" i="7"/>
  <c r="M211" i="7"/>
  <c r="K211" i="7"/>
  <c r="C211" i="7"/>
  <c r="AL211" i="7" s="1"/>
  <c r="B211" i="7"/>
  <c r="AK210" i="7" s="1"/>
  <c r="AU210" i="7"/>
  <c r="Z210" i="7"/>
  <c r="Y210" i="7"/>
  <c r="X210" i="7"/>
  <c r="V210" i="7"/>
  <c r="U210" i="7"/>
  <c r="T210" i="7"/>
  <c r="S210" i="7"/>
  <c r="R210" i="7"/>
  <c r="Q210" i="7"/>
  <c r="P210" i="7"/>
  <c r="M210" i="7"/>
  <c r="K210" i="7"/>
  <c r="C210" i="7"/>
  <c r="B210" i="7"/>
  <c r="AK209" i="7" s="1"/>
  <c r="AU209" i="7"/>
  <c r="Z209" i="7"/>
  <c r="Y209" i="7"/>
  <c r="X209" i="7"/>
  <c r="V209" i="7"/>
  <c r="U209" i="7"/>
  <c r="T209" i="7"/>
  <c r="S209" i="7"/>
  <c r="R209" i="7"/>
  <c r="Q209" i="7"/>
  <c r="P209" i="7"/>
  <c r="M209" i="7"/>
  <c r="K209" i="7"/>
  <c r="C209" i="7"/>
  <c r="AL209" i="7" s="1"/>
  <c r="B209" i="7"/>
  <c r="AK208" i="7" s="1"/>
  <c r="AU208" i="7"/>
  <c r="Z208" i="7"/>
  <c r="Y208" i="7"/>
  <c r="X208" i="7"/>
  <c r="V208" i="7"/>
  <c r="U208" i="7"/>
  <c r="T208" i="7"/>
  <c r="S208" i="7"/>
  <c r="R208" i="7"/>
  <c r="Q208" i="7"/>
  <c r="P208" i="7"/>
  <c r="M208" i="7"/>
  <c r="K208" i="7"/>
  <c r="C208" i="7"/>
  <c r="AX208" i="7" s="1"/>
  <c r="B208" i="7"/>
  <c r="AK207" i="7" s="1"/>
  <c r="AU207" i="7"/>
  <c r="Z207" i="7"/>
  <c r="Y207" i="7"/>
  <c r="X207" i="7"/>
  <c r="V207" i="7"/>
  <c r="U207" i="7"/>
  <c r="T207" i="7"/>
  <c r="S207" i="7"/>
  <c r="R207" i="7"/>
  <c r="Q207" i="7"/>
  <c r="P207" i="7"/>
  <c r="M207" i="7"/>
  <c r="K207" i="7"/>
  <c r="C207" i="7"/>
  <c r="B207" i="7"/>
  <c r="AK206" i="7" s="1"/>
  <c r="AU206" i="7"/>
  <c r="Z206" i="7"/>
  <c r="Y206" i="7"/>
  <c r="X206" i="7"/>
  <c r="V206" i="7"/>
  <c r="U206" i="7"/>
  <c r="T206" i="7"/>
  <c r="S206" i="7"/>
  <c r="R206" i="7"/>
  <c r="Q206" i="7"/>
  <c r="P206" i="7"/>
  <c r="M206" i="7"/>
  <c r="K206" i="7"/>
  <c r="C206" i="7"/>
  <c r="AY206" i="7" s="1"/>
  <c r="B206" i="7"/>
  <c r="AK205" i="7" s="1"/>
  <c r="AU205" i="7"/>
  <c r="Z205" i="7"/>
  <c r="Y205" i="7"/>
  <c r="X205" i="7"/>
  <c r="V205" i="7"/>
  <c r="U205" i="7"/>
  <c r="T205" i="7"/>
  <c r="S205" i="7"/>
  <c r="R205" i="7"/>
  <c r="Q205" i="7"/>
  <c r="P205" i="7"/>
  <c r="M205" i="7"/>
  <c r="K205" i="7"/>
  <c r="C205" i="7"/>
  <c r="AY205" i="7" s="1"/>
  <c r="B205" i="7"/>
  <c r="AK204" i="7" s="1"/>
  <c r="AU204" i="7"/>
  <c r="Z204" i="7"/>
  <c r="Y204" i="7"/>
  <c r="X204" i="7"/>
  <c r="V204" i="7"/>
  <c r="U204" i="7"/>
  <c r="T204" i="7"/>
  <c r="S204" i="7"/>
  <c r="R204" i="7"/>
  <c r="Q204" i="7"/>
  <c r="P204" i="7"/>
  <c r="M204" i="7"/>
  <c r="K204" i="7"/>
  <c r="C204" i="7"/>
  <c r="B204" i="7"/>
  <c r="AK203" i="7" s="1"/>
  <c r="AU203" i="7"/>
  <c r="Z203" i="7"/>
  <c r="Y203" i="7"/>
  <c r="X203" i="7"/>
  <c r="V203" i="7"/>
  <c r="U203" i="7"/>
  <c r="T203" i="7"/>
  <c r="S203" i="7"/>
  <c r="R203" i="7"/>
  <c r="Q203" i="7"/>
  <c r="P203" i="7"/>
  <c r="M203" i="7"/>
  <c r="K203" i="7"/>
  <c r="C203" i="7"/>
  <c r="B203" i="7"/>
  <c r="AK202" i="7" s="1"/>
  <c r="AU202" i="7"/>
  <c r="Z202" i="7"/>
  <c r="Y202" i="7"/>
  <c r="X202" i="7"/>
  <c r="V202" i="7"/>
  <c r="U202" i="7"/>
  <c r="T202" i="7"/>
  <c r="S202" i="7"/>
  <c r="R202" i="7"/>
  <c r="Q202" i="7"/>
  <c r="P202" i="7"/>
  <c r="M202" i="7"/>
  <c r="K202" i="7"/>
  <c r="C202" i="7"/>
  <c r="AX202" i="7" s="1"/>
  <c r="B202" i="7"/>
  <c r="AK201" i="7" s="1"/>
  <c r="AU201" i="7"/>
  <c r="Z201" i="7"/>
  <c r="Y201" i="7"/>
  <c r="X201" i="7"/>
  <c r="V201" i="7"/>
  <c r="U201" i="7"/>
  <c r="T201" i="7"/>
  <c r="S201" i="7"/>
  <c r="R201" i="7"/>
  <c r="Q201" i="7"/>
  <c r="P201" i="7"/>
  <c r="M201" i="7"/>
  <c r="K201" i="7"/>
  <c r="C201" i="7"/>
  <c r="AY201" i="7" s="1"/>
  <c r="B201" i="7"/>
  <c r="AK200" i="7" s="1"/>
  <c r="AU200" i="7"/>
  <c r="Z200" i="7"/>
  <c r="Y200" i="7"/>
  <c r="X200" i="7"/>
  <c r="V200" i="7"/>
  <c r="U200" i="7"/>
  <c r="T200" i="7"/>
  <c r="S200" i="7"/>
  <c r="R200" i="7"/>
  <c r="Q200" i="7"/>
  <c r="P200" i="7"/>
  <c r="M200" i="7"/>
  <c r="K200" i="7"/>
  <c r="C200" i="7"/>
  <c r="AX200" i="7" s="1"/>
  <c r="B200" i="7"/>
  <c r="AK199" i="7" s="1"/>
  <c r="AU199" i="7"/>
  <c r="Z199" i="7"/>
  <c r="Y199" i="7"/>
  <c r="X199" i="7"/>
  <c r="V199" i="7"/>
  <c r="U199" i="7"/>
  <c r="T199" i="7"/>
  <c r="S199" i="7"/>
  <c r="R199" i="7"/>
  <c r="Q199" i="7"/>
  <c r="P199" i="7"/>
  <c r="M199" i="7"/>
  <c r="K199" i="7"/>
  <c r="C199" i="7"/>
  <c r="AY199" i="7" s="1"/>
  <c r="B199" i="7"/>
  <c r="AK198" i="7" s="1"/>
  <c r="AU198" i="7"/>
  <c r="Z198" i="7"/>
  <c r="Y198" i="7"/>
  <c r="X198" i="7"/>
  <c r="V198" i="7"/>
  <c r="U198" i="7"/>
  <c r="T198" i="7"/>
  <c r="S198" i="7"/>
  <c r="R198" i="7"/>
  <c r="Q198" i="7"/>
  <c r="P198" i="7"/>
  <c r="M198" i="7"/>
  <c r="K198" i="7"/>
  <c r="C198" i="7"/>
  <c r="AY198" i="7" s="1"/>
  <c r="B198" i="7"/>
  <c r="AK197" i="7" s="1"/>
  <c r="AU197" i="7"/>
  <c r="Z197" i="7"/>
  <c r="Y197" i="7"/>
  <c r="X197" i="7"/>
  <c r="V197" i="7"/>
  <c r="U197" i="7"/>
  <c r="T197" i="7"/>
  <c r="S197" i="7"/>
  <c r="R197" i="7"/>
  <c r="Q197" i="7"/>
  <c r="P197" i="7"/>
  <c r="M197" i="7"/>
  <c r="K197" i="7"/>
  <c r="C197" i="7"/>
  <c r="AY197" i="7" s="1"/>
  <c r="B197" i="7"/>
  <c r="AK196" i="7" s="1"/>
  <c r="AU196" i="7"/>
  <c r="Z196" i="7"/>
  <c r="Y196" i="7"/>
  <c r="X196" i="7"/>
  <c r="V196" i="7"/>
  <c r="U196" i="7"/>
  <c r="T196" i="7"/>
  <c r="S196" i="7"/>
  <c r="R196" i="7"/>
  <c r="Q196" i="7"/>
  <c r="P196" i="7"/>
  <c r="M196" i="7"/>
  <c r="K196" i="7"/>
  <c r="C196" i="7"/>
  <c r="AX196" i="7" s="1"/>
  <c r="B196" i="7"/>
  <c r="AK195" i="7" s="1"/>
  <c r="AU195" i="7"/>
  <c r="Z195" i="7"/>
  <c r="Y195" i="7"/>
  <c r="X195" i="7"/>
  <c r="V195" i="7"/>
  <c r="U195" i="7"/>
  <c r="T195" i="7"/>
  <c r="S195" i="7"/>
  <c r="R195" i="7"/>
  <c r="Q195" i="7"/>
  <c r="P195" i="7"/>
  <c r="M195" i="7"/>
  <c r="K195" i="7"/>
  <c r="C195" i="7"/>
  <c r="AL195" i="7" s="1"/>
  <c r="B195" i="7"/>
  <c r="AK194" i="7" s="1"/>
  <c r="AU194" i="7"/>
  <c r="Z194" i="7"/>
  <c r="Y194" i="7"/>
  <c r="X194" i="7"/>
  <c r="V194" i="7"/>
  <c r="U194" i="7"/>
  <c r="T194" i="7"/>
  <c r="S194" i="7"/>
  <c r="R194" i="7"/>
  <c r="Q194" i="7"/>
  <c r="P194" i="7"/>
  <c r="M194" i="7"/>
  <c r="K194" i="7"/>
  <c r="C194" i="7"/>
  <c r="B194" i="7"/>
  <c r="AK193" i="7" s="1"/>
  <c r="AU193" i="7"/>
  <c r="Z193" i="7"/>
  <c r="Y193" i="7"/>
  <c r="X193" i="7"/>
  <c r="V193" i="7"/>
  <c r="U193" i="7"/>
  <c r="T193" i="7"/>
  <c r="S193" i="7"/>
  <c r="R193" i="7"/>
  <c r="Q193" i="7"/>
  <c r="P193" i="7"/>
  <c r="M193" i="7"/>
  <c r="K193" i="7"/>
  <c r="C193" i="7"/>
  <c r="AL193" i="7" s="1"/>
  <c r="B193" i="7"/>
  <c r="AK192" i="7" s="1"/>
  <c r="AU192" i="7"/>
  <c r="Z192" i="7"/>
  <c r="Y192" i="7"/>
  <c r="X192" i="7"/>
  <c r="V192" i="7"/>
  <c r="U192" i="7"/>
  <c r="T192" i="7"/>
  <c r="S192" i="7"/>
  <c r="R192" i="7"/>
  <c r="Q192" i="7"/>
  <c r="P192" i="7"/>
  <c r="M192" i="7"/>
  <c r="K192" i="7"/>
  <c r="C192" i="7"/>
  <c r="AX192" i="7" s="1"/>
  <c r="B192" i="7"/>
  <c r="AK191" i="7" s="1"/>
  <c r="AU191" i="7"/>
  <c r="Z191" i="7"/>
  <c r="Y191" i="7"/>
  <c r="X191" i="7"/>
  <c r="V191" i="7"/>
  <c r="U191" i="7"/>
  <c r="T191" i="7"/>
  <c r="S191" i="7"/>
  <c r="R191" i="7"/>
  <c r="Q191" i="7"/>
  <c r="P191" i="7"/>
  <c r="M191" i="7"/>
  <c r="K191" i="7"/>
  <c r="C191" i="7"/>
  <c r="AL191" i="7" s="1"/>
  <c r="B191" i="7"/>
  <c r="AK183" i="7" s="1"/>
  <c r="AU190" i="7"/>
  <c r="Z190" i="7"/>
  <c r="Y190" i="7"/>
  <c r="X190" i="7"/>
  <c r="V190" i="7"/>
  <c r="U190" i="7"/>
  <c r="T190" i="7"/>
  <c r="S190" i="7"/>
  <c r="R190" i="7"/>
  <c r="Q190" i="7"/>
  <c r="P190" i="7"/>
  <c r="M190" i="7"/>
  <c r="K190" i="7"/>
  <c r="C190" i="7"/>
  <c r="B190" i="7"/>
  <c r="AK189" i="7" s="1"/>
  <c r="AU189" i="7"/>
  <c r="Z189" i="7"/>
  <c r="Y189" i="7"/>
  <c r="X189" i="7"/>
  <c r="V189" i="7"/>
  <c r="U189" i="7"/>
  <c r="T189" i="7"/>
  <c r="S189" i="7"/>
  <c r="R189" i="7"/>
  <c r="Q189" i="7"/>
  <c r="P189" i="7"/>
  <c r="M189" i="7"/>
  <c r="K189" i="7"/>
  <c r="C189" i="7"/>
  <c r="B189" i="7"/>
  <c r="AK188" i="7" s="1"/>
  <c r="AU188" i="7"/>
  <c r="Z188" i="7"/>
  <c r="Y188" i="7"/>
  <c r="X188" i="7"/>
  <c r="V188" i="7"/>
  <c r="U188" i="7"/>
  <c r="T188" i="7"/>
  <c r="S188" i="7"/>
  <c r="R188" i="7"/>
  <c r="Q188" i="7"/>
  <c r="P188" i="7"/>
  <c r="M188" i="7"/>
  <c r="K188" i="7"/>
  <c r="C188" i="7"/>
  <c r="B188" i="7"/>
  <c r="AK187" i="7" s="1"/>
  <c r="AU187" i="7"/>
  <c r="Z187" i="7"/>
  <c r="Y187" i="7"/>
  <c r="X187" i="7"/>
  <c r="V187" i="7"/>
  <c r="U187" i="7"/>
  <c r="T187" i="7"/>
  <c r="S187" i="7"/>
  <c r="R187" i="7"/>
  <c r="Q187" i="7"/>
  <c r="P187" i="7"/>
  <c r="M187" i="7"/>
  <c r="K187" i="7"/>
  <c r="C187" i="7"/>
  <c r="AY187" i="7" s="1"/>
  <c r="B187" i="7"/>
  <c r="AK179" i="7" s="1"/>
  <c r="AU186" i="7"/>
  <c r="Z186" i="7"/>
  <c r="Y186" i="7"/>
  <c r="X186" i="7"/>
  <c r="V186" i="7"/>
  <c r="U186" i="7"/>
  <c r="T186" i="7"/>
  <c r="S186" i="7"/>
  <c r="R186" i="7"/>
  <c r="Q186" i="7"/>
  <c r="P186" i="7"/>
  <c r="C186" i="7"/>
  <c r="B186" i="7"/>
  <c r="AU185" i="7"/>
  <c r="Z185" i="7"/>
  <c r="Y185" i="7"/>
  <c r="X185" i="7"/>
  <c r="V185" i="7"/>
  <c r="U185" i="7"/>
  <c r="T185" i="7"/>
  <c r="S185" i="7"/>
  <c r="R185" i="7"/>
  <c r="Q185" i="7"/>
  <c r="P185" i="7"/>
  <c r="C185" i="7"/>
  <c r="AL185" i="7" s="1"/>
  <c r="B185" i="7"/>
  <c r="AU184" i="7"/>
  <c r="Z184" i="7"/>
  <c r="Y184" i="7"/>
  <c r="X184" i="7"/>
  <c r="V184" i="7"/>
  <c r="U184" i="7"/>
  <c r="T184" i="7"/>
  <c r="S184" i="7"/>
  <c r="R184" i="7"/>
  <c r="Q184" i="7"/>
  <c r="P184" i="7"/>
  <c r="C184" i="7"/>
  <c r="AY184" i="7" s="1"/>
  <c r="B184" i="7"/>
  <c r="AU183" i="7"/>
  <c r="Z183" i="7"/>
  <c r="Y183" i="7"/>
  <c r="X183" i="7"/>
  <c r="V183" i="7"/>
  <c r="U183" i="7"/>
  <c r="T183" i="7"/>
  <c r="S183" i="7"/>
  <c r="R183" i="7"/>
  <c r="Q183" i="7"/>
  <c r="P183" i="7"/>
  <c r="C183" i="7"/>
  <c r="AL183" i="7" s="1"/>
  <c r="B183" i="7"/>
  <c r="AU182" i="7"/>
  <c r="Z182" i="7"/>
  <c r="Y182" i="7"/>
  <c r="X182" i="7"/>
  <c r="V182" i="7"/>
  <c r="U182" i="7"/>
  <c r="T182" i="7"/>
  <c r="S182" i="7"/>
  <c r="R182" i="7"/>
  <c r="Q182" i="7"/>
  <c r="P182" i="7"/>
  <c r="C182" i="7"/>
  <c r="AL182" i="7" s="1"/>
  <c r="B182" i="7"/>
  <c r="AU181" i="7"/>
  <c r="Z181" i="7"/>
  <c r="Y181" i="7"/>
  <c r="X181" i="7"/>
  <c r="V181" i="7"/>
  <c r="U181" i="7"/>
  <c r="T181" i="7"/>
  <c r="S181" i="7"/>
  <c r="R181" i="7"/>
  <c r="Q181" i="7"/>
  <c r="P181" i="7"/>
  <c r="C181" i="7"/>
  <c r="AY181" i="7" s="1"/>
  <c r="B181" i="7"/>
  <c r="AU180" i="7"/>
  <c r="Z180" i="7"/>
  <c r="Y180" i="7"/>
  <c r="X180" i="7"/>
  <c r="V180" i="7"/>
  <c r="U180" i="7"/>
  <c r="T180" i="7"/>
  <c r="S180" i="7"/>
  <c r="R180" i="7"/>
  <c r="Q180" i="7"/>
  <c r="P180" i="7"/>
  <c r="C180" i="7"/>
  <c r="AX180" i="7" s="1"/>
  <c r="B180" i="7"/>
  <c r="AU179" i="7"/>
  <c r="Z179" i="7"/>
  <c r="Y179" i="7"/>
  <c r="X179" i="7"/>
  <c r="V179" i="7"/>
  <c r="U179" i="7"/>
  <c r="T179" i="7"/>
  <c r="S179" i="7"/>
  <c r="R179" i="7"/>
  <c r="Q179" i="7"/>
  <c r="P179" i="7"/>
  <c r="M179" i="7"/>
  <c r="K179" i="7"/>
  <c r="C179" i="7"/>
  <c r="B179" i="7"/>
  <c r="AK178" i="7" s="1"/>
  <c r="AU178" i="7"/>
  <c r="Z178" i="7"/>
  <c r="Y178" i="7"/>
  <c r="X178" i="7"/>
  <c r="V178" i="7"/>
  <c r="U178" i="7"/>
  <c r="T178" i="7"/>
  <c r="S178" i="7"/>
  <c r="R178" i="7"/>
  <c r="Q178" i="7"/>
  <c r="P178" i="7"/>
  <c r="M178" i="7"/>
  <c r="K178" i="7"/>
  <c r="C178" i="7"/>
  <c r="AX178" i="7" s="1"/>
  <c r="B178" i="7"/>
  <c r="AK177" i="7" s="1"/>
  <c r="AU177" i="7"/>
  <c r="Z177" i="7"/>
  <c r="Y177" i="7"/>
  <c r="X177" i="7"/>
  <c r="V177" i="7"/>
  <c r="U177" i="7"/>
  <c r="T177" i="7"/>
  <c r="S177" i="7"/>
  <c r="R177" i="7"/>
  <c r="Q177" i="7"/>
  <c r="P177" i="7"/>
  <c r="M177" i="7"/>
  <c r="K177" i="7"/>
  <c r="C177" i="7"/>
  <c r="AL177" i="7" s="1"/>
  <c r="B177" i="7"/>
  <c r="AK176" i="7" s="1"/>
  <c r="AU176" i="7"/>
  <c r="Z176" i="7"/>
  <c r="Y176" i="7"/>
  <c r="X176" i="7"/>
  <c r="V176" i="7"/>
  <c r="U176" i="7"/>
  <c r="T176" i="7"/>
  <c r="S176" i="7"/>
  <c r="R176" i="7"/>
  <c r="Q176" i="7"/>
  <c r="P176" i="7"/>
  <c r="M176" i="7"/>
  <c r="K176" i="7"/>
  <c r="C176" i="7"/>
  <c r="AY176" i="7" s="1"/>
  <c r="B176" i="7"/>
  <c r="AK175" i="7" s="1"/>
  <c r="AU175" i="7"/>
  <c r="Z175" i="7"/>
  <c r="Y175" i="7"/>
  <c r="X175" i="7"/>
  <c r="V175" i="7"/>
  <c r="U175" i="7"/>
  <c r="T175" i="7"/>
  <c r="S175" i="7"/>
  <c r="R175" i="7"/>
  <c r="Q175" i="7"/>
  <c r="P175" i="7"/>
  <c r="M175" i="7"/>
  <c r="K175" i="7"/>
  <c r="C175" i="7"/>
  <c r="B175" i="7"/>
  <c r="AK166" i="7" s="1"/>
  <c r="AU174" i="7"/>
  <c r="Z174" i="7"/>
  <c r="Y174" i="7"/>
  <c r="X174" i="7"/>
  <c r="V174" i="7"/>
  <c r="U174" i="7"/>
  <c r="T174" i="7"/>
  <c r="S174" i="7"/>
  <c r="R174" i="7"/>
  <c r="Q174" i="7"/>
  <c r="P174" i="7"/>
  <c r="M174" i="7"/>
  <c r="K174" i="7"/>
  <c r="C174" i="7"/>
  <c r="B174" i="7"/>
  <c r="AK173" i="7" s="1"/>
  <c r="AU173" i="7"/>
  <c r="Z173" i="7"/>
  <c r="Y173" i="7"/>
  <c r="X173" i="7"/>
  <c r="V173" i="7"/>
  <c r="U173" i="7"/>
  <c r="T173" i="7"/>
  <c r="S173" i="7"/>
  <c r="R173" i="7"/>
  <c r="Q173" i="7"/>
  <c r="P173" i="7"/>
  <c r="M173" i="7"/>
  <c r="K173" i="7"/>
  <c r="C173" i="7"/>
  <c r="AX173" i="7" s="1"/>
  <c r="B173" i="7"/>
  <c r="AK172" i="7" s="1"/>
  <c r="AU172" i="7"/>
  <c r="Z172" i="7"/>
  <c r="Y172" i="7"/>
  <c r="X172" i="7"/>
  <c r="V172" i="7"/>
  <c r="U172" i="7"/>
  <c r="T172" i="7"/>
  <c r="S172" i="7"/>
  <c r="R172" i="7"/>
  <c r="Q172" i="7"/>
  <c r="P172" i="7"/>
  <c r="M172" i="7"/>
  <c r="K172" i="7"/>
  <c r="C172" i="7"/>
  <c r="AX172" i="7" s="1"/>
  <c r="B172" i="7"/>
  <c r="AK171" i="7" s="1"/>
  <c r="AU171" i="7"/>
  <c r="Z171" i="7"/>
  <c r="Y171" i="7"/>
  <c r="X171" i="7"/>
  <c r="V171" i="7"/>
  <c r="U171" i="7"/>
  <c r="T171" i="7"/>
  <c r="S171" i="7"/>
  <c r="R171" i="7"/>
  <c r="Q171" i="7"/>
  <c r="P171" i="7"/>
  <c r="M171" i="7"/>
  <c r="K171" i="7"/>
  <c r="C171" i="7"/>
  <c r="AY171" i="7" s="1"/>
  <c r="B171" i="7"/>
  <c r="AK170" i="7" s="1"/>
  <c r="AU170" i="7"/>
  <c r="Z170" i="7"/>
  <c r="Y170" i="7"/>
  <c r="X170" i="7"/>
  <c r="V170" i="7"/>
  <c r="U170" i="7"/>
  <c r="T170" i="7"/>
  <c r="S170" i="7"/>
  <c r="R170" i="7"/>
  <c r="Q170" i="7"/>
  <c r="P170" i="7"/>
  <c r="M170" i="7"/>
  <c r="K170" i="7"/>
  <c r="C170" i="7"/>
  <c r="AX170" i="7" s="1"/>
  <c r="B170" i="7"/>
  <c r="AK169" i="7" s="1"/>
  <c r="AU169" i="7"/>
  <c r="Z169" i="7"/>
  <c r="Y169" i="7"/>
  <c r="X169" i="7"/>
  <c r="V169" i="7"/>
  <c r="U169" i="7"/>
  <c r="T169" i="7"/>
  <c r="S169" i="7"/>
  <c r="R169" i="7"/>
  <c r="Q169" i="7"/>
  <c r="P169" i="7"/>
  <c r="M169" i="7"/>
  <c r="K169" i="7"/>
  <c r="C169" i="7"/>
  <c r="AY169" i="7" s="1"/>
  <c r="B169" i="7"/>
  <c r="AK168" i="7" s="1"/>
  <c r="AU168" i="7"/>
  <c r="Z168" i="7"/>
  <c r="Y168" i="7"/>
  <c r="X168" i="7"/>
  <c r="V168" i="7"/>
  <c r="U168" i="7"/>
  <c r="T168" i="7"/>
  <c r="S168" i="7"/>
  <c r="R168" i="7"/>
  <c r="Q168" i="7"/>
  <c r="P168" i="7"/>
  <c r="M168" i="7"/>
  <c r="K168" i="7"/>
  <c r="C168" i="7"/>
  <c r="AY168" i="7" s="1"/>
  <c r="B168" i="7"/>
  <c r="AK167" i="7" s="1"/>
  <c r="AU167" i="7"/>
  <c r="Z167" i="7"/>
  <c r="Y167" i="7"/>
  <c r="X167" i="7"/>
  <c r="V167" i="7"/>
  <c r="U167" i="7"/>
  <c r="T167" i="7"/>
  <c r="S167" i="7"/>
  <c r="R167" i="7"/>
  <c r="Q167" i="7"/>
  <c r="P167" i="7"/>
  <c r="M167" i="7"/>
  <c r="K167" i="7"/>
  <c r="C167" i="7"/>
  <c r="AY167" i="7" s="1"/>
  <c r="B167" i="7"/>
  <c r="AU166" i="7"/>
  <c r="Z166" i="7"/>
  <c r="Y166" i="7"/>
  <c r="X166" i="7"/>
  <c r="V166" i="7"/>
  <c r="U166" i="7"/>
  <c r="T166" i="7"/>
  <c r="S166" i="7"/>
  <c r="R166" i="7"/>
  <c r="Q166" i="7"/>
  <c r="P166" i="7"/>
  <c r="M166" i="7"/>
  <c r="K166" i="7"/>
  <c r="C166" i="7"/>
  <c r="AX166" i="7" s="1"/>
  <c r="B166" i="7"/>
  <c r="AK165" i="7" s="1"/>
  <c r="AU165" i="7"/>
  <c r="Z165" i="7"/>
  <c r="Y165" i="7"/>
  <c r="X165" i="7"/>
  <c r="V165" i="7"/>
  <c r="U165" i="7"/>
  <c r="T165" i="7"/>
  <c r="S165" i="7"/>
  <c r="R165" i="7"/>
  <c r="Q165" i="7"/>
  <c r="P165" i="7"/>
  <c r="M165" i="7"/>
  <c r="K165" i="7"/>
  <c r="C165" i="7"/>
  <c r="AX165" i="7" s="1"/>
  <c r="B165" i="7"/>
  <c r="AK164" i="7" s="1"/>
  <c r="AU164" i="7"/>
  <c r="Z164" i="7"/>
  <c r="Y164" i="7"/>
  <c r="X164" i="7"/>
  <c r="V164" i="7"/>
  <c r="U164" i="7"/>
  <c r="T164" i="7"/>
  <c r="S164" i="7"/>
  <c r="R164" i="7"/>
  <c r="Q164" i="7"/>
  <c r="P164" i="7"/>
  <c r="M164" i="7"/>
  <c r="K164" i="7"/>
  <c r="C164" i="7"/>
  <c r="AX164" i="7" s="1"/>
  <c r="B164" i="7"/>
  <c r="AK163" i="7" s="1"/>
  <c r="AU163" i="7"/>
  <c r="Z163" i="7"/>
  <c r="Y163" i="7"/>
  <c r="X163" i="7"/>
  <c r="V163" i="7"/>
  <c r="U163" i="7"/>
  <c r="T163" i="7"/>
  <c r="S163" i="7"/>
  <c r="R163" i="7"/>
  <c r="Q163" i="7"/>
  <c r="P163" i="7"/>
  <c r="M163" i="7"/>
  <c r="K163" i="7"/>
  <c r="C163" i="7"/>
  <c r="AY163" i="7" s="1"/>
  <c r="B163" i="7"/>
  <c r="AK162" i="7" s="1"/>
  <c r="AU162" i="7"/>
  <c r="Z162" i="7"/>
  <c r="Y162" i="7"/>
  <c r="X162" i="7"/>
  <c r="V162" i="7"/>
  <c r="U162" i="7"/>
  <c r="T162" i="7"/>
  <c r="S162" i="7"/>
  <c r="R162" i="7"/>
  <c r="Q162" i="7"/>
  <c r="P162" i="7"/>
  <c r="M162" i="7"/>
  <c r="K162" i="7"/>
  <c r="C162" i="7"/>
  <c r="AX162" i="7" s="1"/>
  <c r="B162" i="7"/>
  <c r="AK161" i="7" s="1"/>
  <c r="AU161" i="7"/>
  <c r="Z161" i="7"/>
  <c r="Y161" i="7"/>
  <c r="X161" i="7"/>
  <c r="V161" i="7"/>
  <c r="U161" i="7"/>
  <c r="T161" i="7"/>
  <c r="S161" i="7"/>
  <c r="R161" i="7"/>
  <c r="Q161" i="7"/>
  <c r="P161" i="7"/>
  <c r="M161" i="7"/>
  <c r="K161" i="7"/>
  <c r="C161" i="7"/>
  <c r="B161" i="7"/>
  <c r="AK160" i="7" s="1"/>
  <c r="AU160" i="7"/>
  <c r="Z160" i="7"/>
  <c r="Y160" i="7"/>
  <c r="X160" i="7"/>
  <c r="V160" i="7"/>
  <c r="U160" i="7"/>
  <c r="T160" i="7"/>
  <c r="S160" i="7"/>
  <c r="R160" i="7"/>
  <c r="Q160" i="7"/>
  <c r="P160" i="7"/>
  <c r="M160" i="7"/>
  <c r="K160" i="7"/>
  <c r="C160" i="7"/>
  <c r="AX160" i="7" s="1"/>
  <c r="B160" i="7"/>
  <c r="AK159" i="7" s="1"/>
  <c r="AU159" i="7"/>
  <c r="Z159" i="7"/>
  <c r="Y159" i="7"/>
  <c r="X159" i="7"/>
  <c r="V159" i="7"/>
  <c r="U159" i="7"/>
  <c r="T159" i="7"/>
  <c r="S159" i="7"/>
  <c r="R159" i="7"/>
  <c r="Q159" i="7"/>
  <c r="P159" i="7"/>
  <c r="M159" i="7"/>
  <c r="K159" i="7"/>
  <c r="C159" i="7"/>
  <c r="AY159" i="7" s="1"/>
  <c r="B159" i="7"/>
  <c r="AK158" i="7" s="1"/>
  <c r="AU158" i="7"/>
  <c r="Z158" i="7"/>
  <c r="Y158" i="7"/>
  <c r="X158" i="7"/>
  <c r="V158" i="7"/>
  <c r="U158" i="7"/>
  <c r="T158" i="7"/>
  <c r="S158" i="7"/>
  <c r="R158" i="7"/>
  <c r="Q158" i="7"/>
  <c r="P158" i="7"/>
  <c r="M158" i="7"/>
  <c r="K158" i="7"/>
  <c r="C158" i="7"/>
  <c r="AX158" i="7" s="1"/>
  <c r="B158" i="7"/>
  <c r="AK157" i="7" s="1"/>
  <c r="AU157" i="7"/>
  <c r="Z157" i="7"/>
  <c r="Y157" i="7"/>
  <c r="X157" i="7"/>
  <c r="V157" i="7"/>
  <c r="U157" i="7"/>
  <c r="T157" i="7"/>
  <c r="S157" i="7"/>
  <c r="R157" i="7"/>
  <c r="Q157" i="7"/>
  <c r="P157" i="7"/>
  <c r="M157" i="7"/>
  <c r="K157" i="7"/>
  <c r="C157" i="7"/>
  <c r="AX157" i="7" s="1"/>
  <c r="B157" i="7"/>
  <c r="AK156" i="7" s="1"/>
  <c r="AU156" i="7"/>
  <c r="Z156" i="7"/>
  <c r="Y156" i="7"/>
  <c r="X156" i="7"/>
  <c r="V156" i="7"/>
  <c r="U156" i="7"/>
  <c r="T156" i="7"/>
  <c r="S156" i="7"/>
  <c r="R156" i="7"/>
  <c r="Q156" i="7"/>
  <c r="P156" i="7"/>
  <c r="M156" i="7"/>
  <c r="K156" i="7"/>
  <c r="C156" i="7"/>
  <c r="AX156" i="7" s="1"/>
  <c r="B156" i="7"/>
  <c r="AK155" i="7" s="1"/>
  <c r="AU155" i="7"/>
  <c r="Z155" i="7"/>
  <c r="Y155" i="7"/>
  <c r="X155" i="7"/>
  <c r="V155" i="7"/>
  <c r="U155" i="7"/>
  <c r="T155" i="7"/>
  <c r="S155" i="7"/>
  <c r="R155" i="7"/>
  <c r="Q155" i="7"/>
  <c r="P155" i="7"/>
  <c r="M155" i="7"/>
  <c r="K155" i="7"/>
  <c r="C155" i="7"/>
  <c r="AY155" i="7" s="1"/>
  <c r="B155" i="7"/>
  <c r="AK154" i="7" s="1"/>
  <c r="AU154" i="7"/>
  <c r="Z154" i="7"/>
  <c r="Y154" i="7"/>
  <c r="X154" i="7"/>
  <c r="V154" i="7"/>
  <c r="U154" i="7"/>
  <c r="T154" i="7"/>
  <c r="S154" i="7"/>
  <c r="R154" i="7"/>
  <c r="Q154" i="7"/>
  <c r="P154" i="7"/>
  <c r="M154" i="7"/>
  <c r="K154" i="7"/>
  <c r="C154" i="7"/>
  <c r="AX154" i="7" s="1"/>
  <c r="B154" i="7"/>
  <c r="AK151" i="7" s="1"/>
  <c r="AU153" i="7"/>
  <c r="Z153" i="7"/>
  <c r="Y153" i="7"/>
  <c r="X153" i="7"/>
  <c r="V153" i="7"/>
  <c r="U153" i="7"/>
  <c r="T153" i="7"/>
  <c r="S153" i="7"/>
  <c r="R153" i="7"/>
  <c r="Q153" i="7"/>
  <c r="P153" i="7"/>
  <c r="M153" i="7"/>
  <c r="K153" i="7"/>
  <c r="C153" i="7"/>
  <c r="AL153" i="7" s="1"/>
  <c r="B153" i="7"/>
  <c r="AU152" i="7"/>
  <c r="Z152" i="7"/>
  <c r="Y152" i="7"/>
  <c r="X152" i="7"/>
  <c r="V152" i="7"/>
  <c r="U152" i="7"/>
  <c r="T152" i="7"/>
  <c r="S152" i="7"/>
  <c r="R152" i="7"/>
  <c r="Q152" i="7"/>
  <c r="P152" i="7"/>
  <c r="M152" i="7"/>
  <c r="K152" i="7"/>
  <c r="C152" i="7"/>
  <c r="AX152" i="7" s="1"/>
  <c r="B152" i="7"/>
  <c r="AU151" i="7"/>
  <c r="Z151" i="7"/>
  <c r="Y151" i="7"/>
  <c r="X151" i="7"/>
  <c r="V151" i="7"/>
  <c r="U151" i="7"/>
  <c r="T151" i="7"/>
  <c r="S151" i="7"/>
  <c r="R151" i="7"/>
  <c r="Q151" i="7"/>
  <c r="P151" i="7"/>
  <c r="M151" i="7"/>
  <c r="K151" i="7"/>
  <c r="C151" i="7"/>
  <c r="B151" i="7"/>
  <c r="AK150" i="7" s="1"/>
  <c r="AU150" i="7"/>
  <c r="Z150" i="7"/>
  <c r="Y150" i="7"/>
  <c r="X150" i="7"/>
  <c r="V150" i="7"/>
  <c r="U150" i="7"/>
  <c r="T150" i="7"/>
  <c r="S150" i="7"/>
  <c r="R150" i="7"/>
  <c r="Q150" i="7"/>
  <c r="P150" i="7"/>
  <c r="M150" i="7"/>
  <c r="K150" i="7"/>
  <c r="C150" i="7"/>
  <c r="AX150" i="7" s="1"/>
  <c r="B150" i="7"/>
  <c r="AK149" i="7" s="1"/>
  <c r="AU149" i="7"/>
  <c r="Z149" i="7"/>
  <c r="Y149" i="7"/>
  <c r="X149" i="7"/>
  <c r="V149" i="7"/>
  <c r="U149" i="7"/>
  <c r="T149" i="7"/>
  <c r="S149" i="7"/>
  <c r="R149" i="7"/>
  <c r="Q149" i="7"/>
  <c r="P149" i="7"/>
  <c r="M149" i="7"/>
  <c r="K149" i="7"/>
  <c r="C149" i="7"/>
  <c r="AL149" i="7" s="1"/>
  <c r="B149" i="7"/>
  <c r="AK148" i="7" s="1"/>
  <c r="AU148" i="7"/>
  <c r="Z148" i="7"/>
  <c r="Y148" i="7"/>
  <c r="X148" i="7"/>
  <c r="V148" i="7"/>
  <c r="U148" i="7"/>
  <c r="T148" i="7"/>
  <c r="S148" i="7"/>
  <c r="R148" i="7"/>
  <c r="Q148" i="7"/>
  <c r="P148" i="7"/>
  <c r="M148" i="7"/>
  <c r="K148" i="7"/>
  <c r="C148" i="7"/>
  <c r="AX148" i="7" s="1"/>
  <c r="B148" i="7"/>
  <c r="AK147" i="7" s="1"/>
  <c r="AU147" i="7"/>
  <c r="Z147" i="7"/>
  <c r="Y147" i="7"/>
  <c r="X147" i="7"/>
  <c r="V147" i="7"/>
  <c r="U147" i="7"/>
  <c r="T147" i="7"/>
  <c r="S147" i="7"/>
  <c r="R147" i="7"/>
  <c r="Q147" i="7"/>
  <c r="P147" i="7"/>
  <c r="M147" i="7"/>
  <c r="K147" i="7"/>
  <c r="C147" i="7"/>
  <c r="AY147" i="7" s="1"/>
  <c r="B147" i="7"/>
  <c r="AK146" i="7" s="1"/>
  <c r="AU146" i="7"/>
  <c r="Z146" i="7"/>
  <c r="Y146" i="7"/>
  <c r="X146" i="7"/>
  <c r="V146" i="7"/>
  <c r="U146" i="7"/>
  <c r="T146" i="7"/>
  <c r="S146" i="7"/>
  <c r="R146" i="7"/>
  <c r="Q146" i="7"/>
  <c r="P146" i="7"/>
  <c r="M146" i="7"/>
  <c r="K146" i="7"/>
  <c r="C146" i="7"/>
  <c r="AX146" i="7" s="1"/>
  <c r="B146" i="7"/>
  <c r="AK145" i="7" s="1"/>
  <c r="AU145" i="7"/>
  <c r="Z145" i="7"/>
  <c r="Y145" i="7"/>
  <c r="X145" i="7"/>
  <c r="V145" i="7"/>
  <c r="U145" i="7"/>
  <c r="T145" i="7"/>
  <c r="S145" i="7"/>
  <c r="R145" i="7"/>
  <c r="Q145" i="7"/>
  <c r="P145" i="7"/>
  <c r="M145" i="7"/>
  <c r="K145" i="7"/>
  <c r="C145" i="7"/>
  <c r="AL145" i="7" s="1"/>
  <c r="B145" i="7"/>
  <c r="AK144" i="7" s="1"/>
  <c r="AU144" i="7"/>
  <c r="Z144" i="7"/>
  <c r="Y144" i="7"/>
  <c r="X144" i="7"/>
  <c r="V144" i="7"/>
  <c r="U144" i="7"/>
  <c r="T144" i="7"/>
  <c r="S144" i="7"/>
  <c r="R144" i="7"/>
  <c r="Q144" i="7"/>
  <c r="P144" i="7"/>
  <c r="M144" i="7"/>
  <c r="K144" i="7"/>
  <c r="C144" i="7"/>
  <c r="AX144" i="7" s="1"/>
  <c r="B144" i="7"/>
  <c r="AK143" i="7" s="1"/>
  <c r="AU143" i="7"/>
  <c r="Z143" i="7"/>
  <c r="Y143" i="7"/>
  <c r="X143" i="7"/>
  <c r="V143" i="7"/>
  <c r="U143" i="7"/>
  <c r="T143" i="7"/>
  <c r="S143" i="7"/>
  <c r="R143" i="7"/>
  <c r="Q143" i="7"/>
  <c r="P143" i="7"/>
  <c r="M143" i="7"/>
  <c r="K143" i="7"/>
  <c r="C143" i="7"/>
  <c r="B143" i="7"/>
  <c r="AK142" i="7" s="1"/>
  <c r="AU142" i="7"/>
  <c r="Z142" i="7"/>
  <c r="Y142" i="7"/>
  <c r="X142" i="7"/>
  <c r="V142" i="7"/>
  <c r="U142" i="7"/>
  <c r="T142" i="7"/>
  <c r="S142" i="7"/>
  <c r="R142" i="7"/>
  <c r="Q142" i="7"/>
  <c r="P142" i="7"/>
  <c r="M142" i="7"/>
  <c r="K142" i="7"/>
  <c r="C142" i="7"/>
  <c r="AX142" i="7" s="1"/>
  <c r="B142" i="7"/>
  <c r="AK141" i="7" s="1"/>
  <c r="AU141" i="7"/>
  <c r="Z141" i="7"/>
  <c r="Y141" i="7"/>
  <c r="X141" i="7"/>
  <c r="V141" i="7"/>
  <c r="U141" i="7"/>
  <c r="T141" i="7"/>
  <c r="S141" i="7"/>
  <c r="R141" i="7"/>
  <c r="Q141" i="7"/>
  <c r="P141" i="7"/>
  <c r="M141" i="7"/>
  <c r="K141" i="7"/>
  <c r="C141" i="7"/>
  <c r="AL141" i="7" s="1"/>
  <c r="B141" i="7"/>
  <c r="AK140" i="7" s="1"/>
  <c r="AU140" i="7"/>
  <c r="Z140" i="7"/>
  <c r="Y140" i="7"/>
  <c r="X140" i="7"/>
  <c r="V140" i="7"/>
  <c r="U140" i="7"/>
  <c r="T140" i="7"/>
  <c r="S140" i="7"/>
  <c r="R140" i="7"/>
  <c r="Q140" i="7"/>
  <c r="P140" i="7"/>
  <c r="M140" i="7"/>
  <c r="K140" i="7"/>
  <c r="C140" i="7"/>
  <c r="AX140" i="7" s="1"/>
  <c r="B140" i="7"/>
  <c r="AK139" i="7" s="1"/>
  <c r="AU139" i="7"/>
  <c r="Z139" i="7"/>
  <c r="Y139" i="7"/>
  <c r="X139" i="7"/>
  <c r="V139" i="7"/>
  <c r="U139" i="7"/>
  <c r="T139" i="7"/>
  <c r="S139" i="7"/>
  <c r="R139" i="7"/>
  <c r="Q139" i="7"/>
  <c r="P139" i="7"/>
  <c r="M139" i="7"/>
  <c r="K139" i="7"/>
  <c r="C139" i="7"/>
  <c r="B139" i="7"/>
  <c r="AK138" i="7" s="1"/>
  <c r="AU138" i="7"/>
  <c r="Z138" i="7"/>
  <c r="Y138" i="7"/>
  <c r="X138" i="7"/>
  <c r="V138" i="7"/>
  <c r="U138" i="7"/>
  <c r="T138" i="7"/>
  <c r="S138" i="7"/>
  <c r="R138" i="7"/>
  <c r="Q138" i="7"/>
  <c r="P138" i="7"/>
  <c r="M138" i="7"/>
  <c r="K138" i="7"/>
  <c r="C138" i="7"/>
  <c r="AX138" i="7" s="1"/>
  <c r="B138" i="7"/>
  <c r="AK137" i="7" s="1"/>
  <c r="AU137" i="7"/>
  <c r="Z137" i="7"/>
  <c r="Y137" i="7"/>
  <c r="X137" i="7"/>
  <c r="V137" i="7"/>
  <c r="U137" i="7"/>
  <c r="T137" i="7"/>
  <c r="S137" i="7"/>
  <c r="R137" i="7"/>
  <c r="Q137" i="7"/>
  <c r="P137" i="7"/>
  <c r="M137" i="7"/>
  <c r="K137" i="7"/>
  <c r="C137" i="7"/>
  <c r="AL137" i="7" s="1"/>
  <c r="B137" i="7"/>
  <c r="AK136" i="7" s="1"/>
  <c r="AU136" i="7"/>
  <c r="Z136" i="7"/>
  <c r="Y136" i="7"/>
  <c r="X136" i="7"/>
  <c r="V136" i="7"/>
  <c r="U136" i="7"/>
  <c r="T136" i="7"/>
  <c r="S136" i="7"/>
  <c r="R136" i="7"/>
  <c r="Q136" i="7"/>
  <c r="P136" i="7"/>
  <c r="M136" i="7"/>
  <c r="K136" i="7"/>
  <c r="C136" i="7"/>
  <c r="AX136" i="7" s="1"/>
  <c r="B136" i="7"/>
  <c r="AK135" i="7" s="1"/>
  <c r="AU135" i="7"/>
  <c r="Z135" i="7"/>
  <c r="Y135" i="7"/>
  <c r="X135" i="7"/>
  <c r="V135" i="7"/>
  <c r="U135" i="7"/>
  <c r="T135" i="7"/>
  <c r="S135" i="7"/>
  <c r="R135" i="7"/>
  <c r="Q135" i="7"/>
  <c r="P135" i="7"/>
  <c r="M135" i="7"/>
  <c r="K135" i="7"/>
  <c r="C135" i="7"/>
  <c r="B135" i="7"/>
  <c r="AK134" i="7" s="1"/>
  <c r="AU134" i="7"/>
  <c r="Z134" i="7"/>
  <c r="Y134" i="7"/>
  <c r="X134" i="7"/>
  <c r="V134" i="7"/>
  <c r="U134" i="7"/>
  <c r="T134" i="7"/>
  <c r="S134" i="7"/>
  <c r="R134" i="7"/>
  <c r="Q134" i="7"/>
  <c r="P134" i="7"/>
  <c r="M134" i="7"/>
  <c r="K134" i="7"/>
  <c r="C134" i="7"/>
  <c r="AX134" i="7" s="1"/>
  <c r="B134" i="7"/>
  <c r="AK133" i="7" s="1"/>
  <c r="AU133" i="7"/>
  <c r="Z133" i="7"/>
  <c r="Y133" i="7"/>
  <c r="X133" i="7"/>
  <c r="V133" i="7"/>
  <c r="U133" i="7"/>
  <c r="T133" i="7"/>
  <c r="S133" i="7"/>
  <c r="R133" i="7"/>
  <c r="Q133" i="7"/>
  <c r="P133" i="7"/>
  <c r="M133" i="7"/>
  <c r="K133" i="7"/>
  <c r="C133" i="7"/>
  <c r="AL133" i="7" s="1"/>
  <c r="B133" i="7"/>
  <c r="AK132" i="7" s="1"/>
  <c r="AU132" i="7"/>
  <c r="Z132" i="7"/>
  <c r="Y132" i="7"/>
  <c r="X132" i="7"/>
  <c r="V132" i="7"/>
  <c r="U132" i="7"/>
  <c r="T132" i="7"/>
  <c r="S132" i="7"/>
  <c r="R132" i="7"/>
  <c r="Q132" i="7"/>
  <c r="P132" i="7"/>
  <c r="M132" i="7"/>
  <c r="K132" i="7"/>
  <c r="C132" i="7"/>
  <c r="AX132" i="7" s="1"/>
  <c r="B132" i="7"/>
  <c r="AK131" i="7" s="1"/>
  <c r="AU131" i="7"/>
  <c r="Z131" i="7"/>
  <c r="Y131" i="7"/>
  <c r="X131" i="7"/>
  <c r="V131" i="7"/>
  <c r="U131" i="7"/>
  <c r="T131" i="7"/>
  <c r="S131" i="7"/>
  <c r="R131" i="7"/>
  <c r="Q131" i="7"/>
  <c r="P131" i="7"/>
  <c r="M131" i="7"/>
  <c r="K131" i="7"/>
  <c r="C131" i="7"/>
  <c r="B131" i="7"/>
  <c r="AK130" i="7" s="1"/>
  <c r="AU130" i="7"/>
  <c r="Z130" i="7"/>
  <c r="Y130" i="7"/>
  <c r="X130" i="7"/>
  <c r="V130" i="7"/>
  <c r="U130" i="7"/>
  <c r="T130" i="7"/>
  <c r="S130" i="7"/>
  <c r="R130" i="7"/>
  <c r="Q130" i="7"/>
  <c r="P130" i="7"/>
  <c r="M130" i="7"/>
  <c r="K130" i="7"/>
  <c r="C130" i="7"/>
  <c r="AX130" i="7" s="1"/>
  <c r="B130" i="7"/>
  <c r="AK129" i="7" s="1"/>
  <c r="AU129" i="7"/>
  <c r="Z129" i="7"/>
  <c r="Y129" i="7"/>
  <c r="X129" i="7"/>
  <c r="V129" i="7"/>
  <c r="U129" i="7"/>
  <c r="T129" i="7"/>
  <c r="S129" i="7"/>
  <c r="R129" i="7"/>
  <c r="Q129" i="7"/>
  <c r="P129" i="7"/>
  <c r="M129" i="7"/>
  <c r="K129" i="7"/>
  <c r="C129" i="7"/>
  <c r="AL129" i="7" s="1"/>
  <c r="B129" i="7"/>
  <c r="AK128" i="7" s="1"/>
  <c r="AU128" i="7"/>
  <c r="Z128" i="7"/>
  <c r="Y128" i="7"/>
  <c r="X128" i="7"/>
  <c r="V128" i="7"/>
  <c r="U128" i="7"/>
  <c r="T128" i="7"/>
  <c r="S128" i="7"/>
  <c r="R128" i="7"/>
  <c r="Q128" i="7"/>
  <c r="P128" i="7"/>
  <c r="M128" i="7"/>
  <c r="K128" i="7"/>
  <c r="C128" i="7"/>
  <c r="AX128" i="7" s="1"/>
  <c r="B128" i="7"/>
  <c r="AK127" i="7" s="1"/>
  <c r="AU127" i="7"/>
  <c r="Z127" i="7"/>
  <c r="Y127" i="7"/>
  <c r="X127" i="7"/>
  <c r="V127" i="7"/>
  <c r="U127" i="7"/>
  <c r="T127" i="7"/>
  <c r="S127" i="7"/>
  <c r="R127" i="7"/>
  <c r="Q127" i="7"/>
  <c r="P127" i="7"/>
  <c r="M127" i="7"/>
  <c r="K127" i="7"/>
  <c r="C127" i="7"/>
  <c r="B127" i="7"/>
  <c r="AK126" i="7" s="1"/>
  <c r="AU126" i="7"/>
  <c r="Z126" i="7"/>
  <c r="Y126" i="7"/>
  <c r="X126" i="7"/>
  <c r="V126" i="7"/>
  <c r="U126" i="7"/>
  <c r="T126" i="7"/>
  <c r="S126" i="7"/>
  <c r="R126" i="7"/>
  <c r="Q126" i="7"/>
  <c r="P126" i="7"/>
  <c r="M126" i="7"/>
  <c r="K126" i="7"/>
  <c r="C126" i="7"/>
  <c r="AX126" i="7" s="1"/>
  <c r="B126" i="7"/>
  <c r="AK125" i="7" s="1"/>
  <c r="AU125" i="7"/>
  <c r="Z125" i="7"/>
  <c r="Y125" i="7"/>
  <c r="X125" i="7"/>
  <c r="V125" i="7"/>
  <c r="U125" i="7"/>
  <c r="T125" i="7"/>
  <c r="S125" i="7"/>
  <c r="R125" i="7"/>
  <c r="Q125" i="7"/>
  <c r="P125" i="7"/>
  <c r="M125" i="7"/>
  <c r="K125" i="7"/>
  <c r="C125" i="7"/>
  <c r="AL125" i="7" s="1"/>
  <c r="B125" i="7"/>
  <c r="AK124" i="7" s="1"/>
  <c r="AU124" i="7"/>
  <c r="Z124" i="7"/>
  <c r="Y124" i="7"/>
  <c r="X124" i="7"/>
  <c r="V124" i="7"/>
  <c r="U124" i="7"/>
  <c r="T124" i="7"/>
  <c r="S124" i="7"/>
  <c r="R124" i="7"/>
  <c r="Q124" i="7"/>
  <c r="P124" i="7"/>
  <c r="M124" i="7"/>
  <c r="K124" i="7"/>
  <c r="C124" i="7"/>
  <c r="AX124" i="7" s="1"/>
  <c r="B124" i="7"/>
  <c r="AK123" i="7" s="1"/>
  <c r="AU123" i="7"/>
  <c r="Z123" i="7"/>
  <c r="Y123" i="7"/>
  <c r="X123" i="7"/>
  <c r="V123" i="7"/>
  <c r="U123" i="7"/>
  <c r="T123" i="7"/>
  <c r="S123" i="7"/>
  <c r="R123" i="7"/>
  <c r="Q123" i="7"/>
  <c r="P123" i="7"/>
  <c r="M123" i="7"/>
  <c r="K123" i="7"/>
  <c r="C123" i="7"/>
  <c r="B123" i="7"/>
  <c r="AK122" i="7" s="1"/>
  <c r="AU122" i="7"/>
  <c r="Z122" i="7"/>
  <c r="Y122" i="7"/>
  <c r="X122" i="7"/>
  <c r="V122" i="7"/>
  <c r="U122" i="7"/>
  <c r="T122" i="7"/>
  <c r="S122" i="7"/>
  <c r="R122" i="7"/>
  <c r="Q122" i="7"/>
  <c r="P122" i="7"/>
  <c r="M122" i="7"/>
  <c r="K122" i="7"/>
  <c r="C122" i="7"/>
  <c r="AX122" i="7" s="1"/>
  <c r="B122" i="7"/>
  <c r="AK121" i="7" s="1"/>
  <c r="AU121" i="7"/>
  <c r="Z121" i="7"/>
  <c r="Y121" i="7"/>
  <c r="X121" i="7"/>
  <c r="V121" i="7"/>
  <c r="U121" i="7"/>
  <c r="T121" i="7"/>
  <c r="S121" i="7"/>
  <c r="R121" i="7"/>
  <c r="Q121" i="7"/>
  <c r="P121" i="7"/>
  <c r="M121" i="7"/>
  <c r="K121" i="7"/>
  <c r="C121" i="7"/>
  <c r="AL121" i="7" s="1"/>
  <c r="B121" i="7"/>
  <c r="AK114" i="7" s="1"/>
  <c r="AU120" i="7"/>
  <c r="Z120" i="7"/>
  <c r="Y120" i="7"/>
  <c r="X120" i="7"/>
  <c r="V120" i="7"/>
  <c r="U120" i="7"/>
  <c r="T120" i="7"/>
  <c r="S120" i="7"/>
  <c r="R120" i="7"/>
  <c r="Q120" i="7"/>
  <c r="P120" i="7"/>
  <c r="C120" i="7"/>
  <c r="B120" i="7"/>
  <c r="AK119" i="7" s="1"/>
  <c r="AU119" i="7"/>
  <c r="Z119" i="7"/>
  <c r="Y119" i="7"/>
  <c r="X119" i="7"/>
  <c r="V119" i="7"/>
  <c r="U119" i="7"/>
  <c r="T119" i="7"/>
  <c r="S119" i="7"/>
  <c r="R119" i="7"/>
  <c r="Q119" i="7"/>
  <c r="P119" i="7"/>
  <c r="C119" i="7"/>
  <c r="AY119" i="7" s="1"/>
  <c r="B119" i="7"/>
  <c r="AU118" i="7"/>
  <c r="Z118" i="7"/>
  <c r="Y118" i="7"/>
  <c r="X118" i="7"/>
  <c r="V118" i="7"/>
  <c r="U118" i="7"/>
  <c r="T118" i="7"/>
  <c r="S118" i="7"/>
  <c r="R118" i="7"/>
  <c r="Q118" i="7"/>
  <c r="P118" i="7"/>
  <c r="C118" i="7"/>
  <c r="AL118" i="7" s="1"/>
  <c r="B118" i="7"/>
  <c r="AK117" i="7" s="1"/>
  <c r="AU117" i="7"/>
  <c r="Z117" i="7"/>
  <c r="Y117" i="7"/>
  <c r="X117" i="7"/>
  <c r="V117" i="7"/>
  <c r="U117" i="7"/>
  <c r="T117" i="7"/>
  <c r="S117" i="7"/>
  <c r="R117" i="7"/>
  <c r="Q117" i="7"/>
  <c r="P117" i="7"/>
  <c r="C117" i="7"/>
  <c r="AL117" i="7" s="1"/>
  <c r="B117" i="7"/>
  <c r="AU116" i="7"/>
  <c r="Z116" i="7"/>
  <c r="Y116" i="7"/>
  <c r="X116" i="7"/>
  <c r="V116" i="7"/>
  <c r="U116" i="7"/>
  <c r="T116" i="7"/>
  <c r="S116" i="7"/>
  <c r="R116" i="7"/>
  <c r="Q116" i="7"/>
  <c r="P116" i="7"/>
  <c r="C116" i="7"/>
  <c r="AY116" i="7" s="1"/>
  <c r="B116" i="7"/>
  <c r="AK115" i="7" s="1"/>
  <c r="AU115" i="7"/>
  <c r="Z115" i="7"/>
  <c r="Y115" i="7"/>
  <c r="X115" i="7"/>
  <c r="V115" i="7"/>
  <c r="U115" i="7"/>
  <c r="T115" i="7"/>
  <c r="S115" i="7"/>
  <c r="R115" i="7"/>
  <c r="Q115" i="7"/>
  <c r="P115" i="7"/>
  <c r="C115" i="7"/>
  <c r="AX115" i="7" s="1"/>
  <c r="B115" i="7"/>
  <c r="AU114" i="7"/>
  <c r="Z114" i="7"/>
  <c r="Y114" i="7"/>
  <c r="X114" i="7"/>
  <c r="V114" i="7"/>
  <c r="U114" i="7"/>
  <c r="T114" i="7"/>
  <c r="S114" i="7"/>
  <c r="R114" i="7"/>
  <c r="Q114" i="7"/>
  <c r="P114" i="7"/>
  <c r="M114" i="7"/>
  <c r="K114" i="7"/>
  <c r="C114" i="7"/>
  <c r="B114" i="7"/>
  <c r="AK113" i="7" s="1"/>
  <c r="AU113" i="7"/>
  <c r="Z113" i="7"/>
  <c r="Y113" i="7"/>
  <c r="X113" i="7"/>
  <c r="V113" i="7"/>
  <c r="U113" i="7"/>
  <c r="T113" i="7"/>
  <c r="S113" i="7"/>
  <c r="R113" i="7"/>
  <c r="Q113" i="7"/>
  <c r="P113" i="7"/>
  <c r="M113" i="7"/>
  <c r="K113" i="7"/>
  <c r="C113" i="7"/>
  <c r="AX113" i="7" s="1"/>
  <c r="B113" i="7"/>
  <c r="AK101" i="7" s="1"/>
  <c r="AU112" i="7"/>
  <c r="Z112" i="7"/>
  <c r="Y112" i="7"/>
  <c r="X112" i="7"/>
  <c r="V112" i="7"/>
  <c r="U112" i="7"/>
  <c r="T112" i="7"/>
  <c r="S112" i="7"/>
  <c r="R112" i="7"/>
  <c r="Q112" i="7"/>
  <c r="P112" i="7"/>
  <c r="M112" i="7"/>
  <c r="K112" i="7"/>
  <c r="C112" i="7"/>
  <c r="AL112" i="7" s="1"/>
  <c r="B112" i="7"/>
  <c r="AK111" i="7" s="1"/>
  <c r="AU111" i="7"/>
  <c r="Z111" i="7"/>
  <c r="Y111" i="7"/>
  <c r="X111" i="7"/>
  <c r="V111" i="7"/>
  <c r="U111" i="7"/>
  <c r="T111" i="7"/>
  <c r="S111" i="7"/>
  <c r="R111" i="7"/>
  <c r="Q111" i="7"/>
  <c r="P111" i="7"/>
  <c r="M111" i="7"/>
  <c r="K111" i="7"/>
  <c r="C111" i="7"/>
  <c r="AX111" i="7" s="1"/>
  <c r="B111" i="7"/>
  <c r="AK110" i="7" s="1"/>
  <c r="AU110" i="7"/>
  <c r="Z110" i="7"/>
  <c r="Y110" i="7"/>
  <c r="X110" i="7"/>
  <c r="V110" i="7"/>
  <c r="U110" i="7"/>
  <c r="T110" i="7"/>
  <c r="S110" i="7"/>
  <c r="R110" i="7"/>
  <c r="Q110" i="7"/>
  <c r="P110" i="7"/>
  <c r="M110" i="7"/>
  <c r="K110" i="7"/>
  <c r="C110" i="7"/>
  <c r="AY110" i="7" s="1"/>
  <c r="B110" i="7"/>
  <c r="AK98" i="7" s="1"/>
  <c r="AU109" i="7"/>
  <c r="Z109" i="7"/>
  <c r="Y109" i="7"/>
  <c r="X109" i="7"/>
  <c r="V109" i="7"/>
  <c r="U109" i="7"/>
  <c r="T109" i="7"/>
  <c r="S109" i="7"/>
  <c r="R109" i="7"/>
  <c r="Q109" i="7"/>
  <c r="P109" i="7"/>
  <c r="C109" i="7"/>
  <c r="AY109" i="7" s="1"/>
  <c r="B109" i="7"/>
  <c r="AK108" i="7" s="1"/>
  <c r="AU108" i="7"/>
  <c r="Z108" i="7"/>
  <c r="Y108" i="7"/>
  <c r="X108" i="7"/>
  <c r="V108" i="7"/>
  <c r="U108" i="7"/>
  <c r="T108" i="7"/>
  <c r="S108" i="7"/>
  <c r="R108" i="7"/>
  <c r="Q108" i="7"/>
  <c r="P108" i="7"/>
  <c r="C108" i="7"/>
  <c r="AL108" i="7" s="1"/>
  <c r="B108" i="7"/>
  <c r="AK107" i="7" s="1"/>
  <c r="AU107" i="7"/>
  <c r="Z107" i="7"/>
  <c r="Y107" i="7"/>
  <c r="X107" i="7"/>
  <c r="V107" i="7"/>
  <c r="U107" i="7"/>
  <c r="T107" i="7"/>
  <c r="S107" i="7"/>
  <c r="R107" i="7"/>
  <c r="Q107" i="7"/>
  <c r="P107" i="7"/>
  <c r="C107" i="7"/>
  <c r="B107" i="7"/>
  <c r="AU106" i="7"/>
  <c r="Z106" i="7"/>
  <c r="Y106" i="7"/>
  <c r="X106" i="7"/>
  <c r="V106" i="7"/>
  <c r="U106" i="7"/>
  <c r="T106" i="7"/>
  <c r="S106" i="7"/>
  <c r="R106" i="7"/>
  <c r="Q106" i="7"/>
  <c r="P106" i="7"/>
  <c r="C106" i="7"/>
  <c r="AY106" i="7" s="1"/>
  <c r="B106" i="7"/>
  <c r="AK105" i="7" s="1"/>
  <c r="AU105" i="7"/>
  <c r="Z105" i="7"/>
  <c r="Y105" i="7"/>
  <c r="X105" i="7"/>
  <c r="V105" i="7"/>
  <c r="U105" i="7"/>
  <c r="T105" i="7"/>
  <c r="S105" i="7"/>
  <c r="R105" i="7"/>
  <c r="Q105" i="7"/>
  <c r="P105" i="7"/>
  <c r="C105" i="7"/>
  <c r="AL105" i="7" s="1"/>
  <c r="B105" i="7"/>
  <c r="AU104" i="7"/>
  <c r="Z104" i="7"/>
  <c r="Y104" i="7"/>
  <c r="X104" i="7"/>
  <c r="V104" i="7"/>
  <c r="U104" i="7"/>
  <c r="T104" i="7"/>
  <c r="S104" i="7"/>
  <c r="R104" i="7"/>
  <c r="Q104" i="7"/>
  <c r="P104" i="7"/>
  <c r="C104" i="7"/>
  <c r="AL104" i="7" s="1"/>
  <c r="B104" i="7"/>
  <c r="AK103" i="7" s="1"/>
  <c r="AU103" i="7"/>
  <c r="Z103" i="7"/>
  <c r="Y103" i="7"/>
  <c r="X103" i="7"/>
  <c r="V103" i="7"/>
  <c r="U103" i="7"/>
  <c r="T103" i="7"/>
  <c r="S103" i="7"/>
  <c r="R103" i="7"/>
  <c r="Q103" i="7"/>
  <c r="P103" i="7"/>
  <c r="C103" i="7"/>
  <c r="AY103" i="7" s="1"/>
  <c r="B103" i="7"/>
  <c r="AK102" i="7" s="1"/>
  <c r="AU102" i="7"/>
  <c r="Z102" i="7"/>
  <c r="Y102" i="7"/>
  <c r="X102" i="7"/>
  <c r="V102" i="7"/>
  <c r="U102" i="7"/>
  <c r="T102" i="7"/>
  <c r="S102" i="7"/>
  <c r="R102" i="7"/>
  <c r="Q102" i="7"/>
  <c r="P102" i="7"/>
  <c r="C102" i="7"/>
  <c r="AY102" i="7" s="1"/>
  <c r="B102" i="7"/>
  <c r="AU101" i="7"/>
  <c r="Z101" i="7"/>
  <c r="Y101" i="7"/>
  <c r="X101" i="7"/>
  <c r="V101" i="7"/>
  <c r="U101" i="7"/>
  <c r="T101" i="7"/>
  <c r="S101" i="7"/>
  <c r="R101" i="7"/>
  <c r="Q101" i="7"/>
  <c r="P101" i="7"/>
  <c r="C101" i="7"/>
  <c r="AX101" i="7" s="1"/>
  <c r="B101" i="7"/>
  <c r="AK100" i="7" s="1"/>
  <c r="AU100" i="7"/>
  <c r="Z100" i="7"/>
  <c r="Y100" i="7"/>
  <c r="X100" i="7"/>
  <c r="V100" i="7"/>
  <c r="U100" i="7"/>
  <c r="T100" i="7"/>
  <c r="S100" i="7"/>
  <c r="R100" i="7"/>
  <c r="Q100" i="7"/>
  <c r="P100" i="7"/>
  <c r="C100" i="7"/>
  <c r="AL100" i="7" s="1"/>
  <c r="B100" i="7"/>
  <c r="AK99" i="7" s="1"/>
  <c r="AU99" i="7"/>
  <c r="Z99" i="7"/>
  <c r="Y99" i="7"/>
  <c r="X99" i="7"/>
  <c r="V99" i="7"/>
  <c r="U99" i="7"/>
  <c r="T99" i="7"/>
  <c r="S99" i="7"/>
  <c r="R99" i="7"/>
  <c r="Q99" i="7"/>
  <c r="P99" i="7"/>
  <c r="C99" i="7"/>
  <c r="AL99" i="7" s="1"/>
  <c r="B99" i="7"/>
  <c r="AU98" i="7"/>
  <c r="Z98" i="7"/>
  <c r="Y98" i="7"/>
  <c r="X98" i="7"/>
  <c r="V98" i="7"/>
  <c r="U98" i="7"/>
  <c r="T98" i="7"/>
  <c r="S98" i="7"/>
  <c r="R98" i="7"/>
  <c r="Q98" i="7"/>
  <c r="P98" i="7"/>
  <c r="M98" i="7"/>
  <c r="K98" i="7"/>
  <c r="C98" i="7"/>
  <c r="AX98" i="7" s="1"/>
  <c r="B98" i="7"/>
  <c r="AK97" i="7" s="1"/>
  <c r="AU97" i="7"/>
  <c r="Z97" i="7"/>
  <c r="Y97" i="7"/>
  <c r="X97" i="7"/>
  <c r="V97" i="7"/>
  <c r="U97" i="7"/>
  <c r="T97" i="7"/>
  <c r="S97" i="7"/>
  <c r="R97" i="7"/>
  <c r="Q97" i="7"/>
  <c r="P97" i="7"/>
  <c r="M97" i="7"/>
  <c r="K97" i="7"/>
  <c r="C97" i="7"/>
  <c r="AX97" i="7" s="1"/>
  <c r="B97" i="7"/>
  <c r="AK96" i="7" s="1"/>
  <c r="AU96" i="7"/>
  <c r="Z96" i="7"/>
  <c r="Y96" i="7"/>
  <c r="X96" i="7"/>
  <c r="V96" i="7"/>
  <c r="U96" i="7"/>
  <c r="T96" i="7"/>
  <c r="S96" i="7"/>
  <c r="R96" i="7"/>
  <c r="Q96" i="7"/>
  <c r="P96" i="7"/>
  <c r="M96" i="7"/>
  <c r="K96" i="7"/>
  <c r="C96" i="7"/>
  <c r="AX96" i="7" s="1"/>
  <c r="B96" i="7"/>
  <c r="AK95" i="7" s="1"/>
  <c r="AU95" i="7"/>
  <c r="Z95" i="7"/>
  <c r="Y95" i="7"/>
  <c r="X95" i="7"/>
  <c r="V95" i="7"/>
  <c r="U95" i="7"/>
  <c r="T95" i="7"/>
  <c r="S95" i="7"/>
  <c r="R95" i="7"/>
  <c r="Q95" i="7"/>
  <c r="P95" i="7"/>
  <c r="M95" i="7"/>
  <c r="K95" i="7"/>
  <c r="C95" i="7"/>
  <c r="AL95" i="7" s="1"/>
  <c r="B95" i="7"/>
  <c r="AK94" i="7" s="1"/>
  <c r="AU94" i="7"/>
  <c r="Z94" i="7"/>
  <c r="Y94" i="7"/>
  <c r="X94" i="7"/>
  <c r="V94" i="7"/>
  <c r="U94" i="7"/>
  <c r="T94" i="7"/>
  <c r="S94" i="7"/>
  <c r="R94" i="7"/>
  <c r="Q94" i="7"/>
  <c r="P94" i="7"/>
  <c r="M94" i="7"/>
  <c r="K94" i="7"/>
  <c r="C94" i="7"/>
  <c r="AY94" i="7" s="1"/>
  <c r="B94" i="7"/>
  <c r="AK93" i="7" s="1"/>
  <c r="AU93" i="7"/>
  <c r="Z93" i="7"/>
  <c r="Y93" i="7"/>
  <c r="X93" i="7"/>
  <c r="V93" i="7"/>
  <c r="U93" i="7"/>
  <c r="T93" i="7"/>
  <c r="S93" i="7"/>
  <c r="R93" i="7"/>
  <c r="Q93" i="7"/>
  <c r="P93" i="7"/>
  <c r="M93" i="7"/>
  <c r="K93" i="7"/>
  <c r="C93" i="7"/>
  <c r="AX93" i="7" s="1"/>
  <c r="B93" i="7"/>
  <c r="AK92" i="7" s="1"/>
  <c r="AU92" i="7"/>
  <c r="Z92" i="7"/>
  <c r="Y92" i="7"/>
  <c r="X92" i="7"/>
  <c r="V92" i="7"/>
  <c r="U92" i="7"/>
  <c r="T92" i="7"/>
  <c r="S92" i="7"/>
  <c r="R92" i="7"/>
  <c r="Q92" i="7"/>
  <c r="P92" i="7"/>
  <c r="M92" i="7"/>
  <c r="K92" i="7"/>
  <c r="C92" i="7"/>
  <c r="AY92" i="7" s="1"/>
  <c r="B92" i="7"/>
  <c r="AK91" i="7" s="1"/>
  <c r="AU91" i="7"/>
  <c r="Z91" i="7"/>
  <c r="Y91" i="7"/>
  <c r="X91" i="7"/>
  <c r="V91" i="7"/>
  <c r="U91" i="7"/>
  <c r="T91" i="7"/>
  <c r="S91" i="7"/>
  <c r="R91" i="7"/>
  <c r="Q91" i="7"/>
  <c r="P91" i="7"/>
  <c r="M91" i="7"/>
  <c r="K91" i="7"/>
  <c r="C91" i="7"/>
  <c r="AX91" i="7" s="1"/>
  <c r="B91" i="7"/>
  <c r="AK90" i="7" s="1"/>
  <c r="AU90" i="7"/>
  <c r="Z90" i="7"/>
  <c r="Y90" i="7"/>
  <c r="X90" i="7"/>
  <c r="V90" i="7"/>
  <c r="U90" i="7"/>
  <c r="T90" i="7"/>
  <c r="S90" i="7"/>
  <c r="R90" i="7"/>
  <c r="Q90" i="7"/>
  <c r="P90" i="7"/>
  <c r="M90" i="7"/>
  <c r="K90" i="7"/>
  <c r="C90" i="7"/>
  <c r="AY90" i="7" s="1"/>
  <c r="B90" i="7"/>
  <c r="AK89" i="7" s="1"/>
  <c r="AU89" i="7"/>
  <c r="Z89" i="7"/>
  <c r="Y89" i="7"/>
  <c r="X89" i="7"/>
  <c r="V89" i="7"/>
  <c r="U89" i="7"/>
  <c r="T89" i="7"/>
  <c r="S89" i="7"/>
  <c r="R89" i="7"/>
  <c r="Q89" i="7"/>
  <c r="P89" i="7"/>
  <c r="M89" i="7"/>
  <c r="K89" i="7"/>
  <c r="C89" i="7"/>
  <c r="AX89" i="7" s="1"/>
  <c r="B89" i="7"/>
  <c r="AK88" i="7" s="1"/>
  <c r="AU88" i="7"/>
  <c r="Z88" i="7"/>
  <c r="Y88" i="7"/>
  <c r="X88" i="7"/>
  <c r="V88" i="7"/>
  <c r="U88" i="7"/>
  <c r="T88" i="7"/>
  <c r="S88" i="7"/>
  <c r="R88" i="7"/>
  <c r="Q88" i="7"/>
  <c r="P88" i="7"/>
  <c r="M88" i="7"/>
  <c r="K88" i="7"/>
  <c r="C88" i="7"/>
  <c r="AY88" i="7" s="1"/>
  <c r="B88" i="7"/>
  <c r="AK87" i="7" s="1"/>
  <c r="AU87" i="7"/>
  <c r="Z87" i="7"/>
  <c r="Y87" i="7"/>
  <c r="X87" i="7"/>
  <c r="V87" i="7"/>
  <c r="U87" i="7"/>
  <c r="T87" i="7"/>
  <c r="S87" i="7"/>
  <c r="R87" i="7"/>
  <c r="Q87" i="7"/>
  <c r="P87" i="7"/>
  <c r="M87" i="7"/>
  <c r="K87" i="7"/>
  <c r="C87" i="7"/>
  <c r="AL87" i="7" s="1"/>
  <c r="B87" i="7"/>
  <c r="AK86" i="7" s="1"/>
  <c r="AU86" i="7"/>
  <c r="Z86" i="7"/>
  <c r="Y86" i="7"/>
  <c r="X86" i="7"/>
  <c r="V86" i="7"/>
  <c r="U86" i="7"/>
  <c r="T86" i="7"/>
  <c r="S86" i="7"/>
  <c r="R86" i="7"/>
  <c r="Q86" i="7"/>
  <c r="P86" i="7"/>
  <c r="M86" i="7"/>
  <c r="K86" i="7"/>
  <c r="C86" i="7"/>
  <c r="AX86" i="7" s="1"/>
  <c r="B86" i="7"/>
  <c r="AK85" i="7" s="1"/>
  <c r="AU85" i="7"/>
  <c r="Z85" i="7"/>
  <c r="Y85" i="7"/>
  <c r="X85" i="7"/>
  <c r="V85" i="7"/>
  <c r="U85" i="7"/>
  <c r="T85" i="7"/>
  <c r="S85" i="7"/>
  <c r="R85" i="7"/>
  <c r="Q85" i="7"/>
  <c r="P85" i="7"/>
  <c r="M85" i="7"/>
  <c r="K85" i="7"/>
  <c r="C85" i="7"/>
  <c r="AY85" i="7" s="1"/>
  <c r="B85" i="7"/>
  <c r="AK84" i="7" s="1"/>
  <c r="AU84" i="7"/>
  <c r="Z84" i="7"/>
  <c r="Y84" i="7"/>
  <c r="X84" i="7"/>
  <c r="V84" i="7"/>
  <c r="U84" i="7"/>
  <c r="T84" i="7"/>
  <c r="S84" i="7"/>
  <c r="R84" i="7"/>
  <c r="Q84" i="7"/>
  <c r="P84" i="7"/>
  <c r="M84" i="7"/>
  <c r="K84" i="7"/>
  <c r="C84" i="7"/>
  <c r="AY84" i="7" s="1"/>
  <c r="B84" i="7"/>
  <c r="AK83" i="7" s="1"/>
  <c r="AU83" i="7"/>
  <c r="Z83" i="7"/>
  <c r="Y83" i="7"/>
  <c r="X83" i="7"/>
  <c r="V83" i="7"/>
  <c r="U83" i="7"/>
  <c r="T83" i="7"/>
  <c r="S83" i="7"/>
  <c r="R83" i="7"/>
  <c r="Q83" i="7"/>
  <c r="P83" i="7"/>
  <c r="M83" i="7"/>
  <c r="K83" i="7"/>
  <c r="C83" i="7"/>
  <c r="AX83" i="7" s="1"/>
  <c r="B83" i="7"/>
  <c r="AK82" i="7" s="1"/>
  <c r="AU82" i="7"/>
  <c r="Z82" i="7"/>
  <c r="Y82" i="7"/>
  <c r="X82" i="7"/>
  <c r="V82" i="7"/>
  <c r="U82" i="7"/>
  <c r="T82" i="7"/>
  <c r="S82" i="7"/>
  <c r="R82" i="7"/>
  <c r="Q82" i="7"/>
  <c r="P82" i="7"/>
  <c r="M82" i="7"/>
  <c r="K82" i="7"/>
  <c r="C82" i="7"/>
  <c r="AY82" i="7" s="1"/>
  <c r="B82" i="7"/>
  <c r="AK81" i="7" s="1"/>
  <c r="AU81" i="7"/>
  <c r="Z81" i="7"/>
  <c r="Y81" i="7"/>
  <c r="X81" i="7"/>
  <c r="V81" i="7"/>
  <c r="U81" i="7"/>
  <c r="T81" i="7"/>
  <c r="S81" i="7"/>
  <c r="R81" i="7"/>
  <c r="Q81" i="7"/>
  <c r="P81" i="7"/>
  <c r="M81" i="7"/>
  <c r="K81" i="7"/>
  <c r="C81" i="7"/>
  <c r="AL81" i="7" s="1"/>
  <c r="B81" i="7"/>
  <c r="AK80" i="7" s="1"/>
  <c r="AU80" i="7"/>
  <c r="Z80" i="7"/>
  <c r="Y80" i="7"/>
  <c r="X80" i="7"/>
  <c r="V80" i="7"/>
  <c r="U80" i="7"/>
  <c r="T80" i="7"/>
  <c r="S80" i="7"/>
  <c r="R80" i="7"/>
  <c r="Q80" i="7"/>
  <c r="P80" i="7"/>
  <c r="M80" i="7"/>
  <c r="K80" i="7"/>
  <c r="C80" i="7"/>
  <c r="AL80" i="7" s="1"/>
  <c r="B80" i="7"/>
  <c r="AK79" i="7" s="1"/>
  <c r="AK75" i="7"/>
  <c r="AU75" i="7"/>
  <c r="Z75" i="7"/>
  <c r="Y75" i="7"/>
  <c r="X75" i="7"/>
  <c r="V75" i="7"/>
  <c r="U75" i="7"/>
  <c r="T75" i="7"/>
  <c r="S75" i="7"/>
  <c r="R75" i="7"/>
  <c r="Q75" i="7"/>
  <c r="P75" i="7"/>
  <c r="M75" i="7"/>
  <c r="K75" i="7"/>
  <c r="C75" i="7"/>
  <c r="AX75" i="7" s="1"/>
  <c r="B75" i="7"/>
  <c r="AK74" i="7" s="1"/>
  <c r="AU74" i="7"/>
  <c r="Z74" i="7"/>
  <c r="Y74" i="7"/>
  <c r="X74" i="7"/>
  <c r="V74" i="7"/>
  <c r="U74" i="7"/>
  <c r="T74" i="7"/>
  <c r="S74" i="7"/>
  <c r="R74" i="7"/>
  <c r="Q74" i="7"/>
  <c r="P74" i="7"/>
  <c r="M74" i="7"/>
  <c r="K74" i="7"/>
  <c r="C74" i="7"/>
  <c r="AL74" i="7" s="1"/>
  <c r="B74" i="7"/>
  <c r="AK73" i="7" s="1"/>
  <c r="AU73" i="7"/>
  <c r="Z73" i="7"/>
  <c r="Y73" i="7"/>
  <c r="X73" i="7"/>
  <c r="V73" i="7"/>
  <c r="U73" i="7"/>
  <c r="T73" i="7"/>
  <c r="S73" i="7"/>
  <c r="R73" i="7"/>
  <c r="Q73" i="7"/>
  <c r="P73" i="7"/>
  <c r="M73" i="7"/>
  <c r="K73" i="7"/>
  <c r="C73" i="7"/>
  <c r="AL73" i="7" s="1"/>
  <c r="B73" i="7"/>
  <c r="AK72" i="7" s="1"/>
  <c r="AU72" i="7"/>
  <c r="Z72" i="7"/>
  <c r="Y72" i="7"/>
  <c r="X72" i="7"/>
  <c r="V72" i="7"/>
  <c r="U72" i="7"/>
  <c r="T72" i="7"/>
  <c r="S72" i="7"/>
  <c r="R72" i="7"/>
  <c r="Q72" i="7"/>
  <c r="P72" i="7"/>
  <c r="M72" i="7"/>
  <c r="K72" i="7"/>
  <c r="C72" i="7"/>
  <c r="AL72" i="7" s="1"/>
  <c r="B72" i="7"/>
  <c r="AK71" i="7" s="1"/>
  <c r="AU71" i="7"/>
  <c r="Z71" i="7"/>
  <c r="Y71" i="7"/>
  <c r="X71" i="7"/>
  <c r="V71" i="7"/>
  <c r="U71" i="7"/>
  <c r="T71" i="7"/>
  <c r="S71" i="7"/>
  <c r="R71" i="7"/>
  <c r="Q71" i="7"/>
  <c r="P71" i="7"/>
  <c r="M71" i="7"/>
  <c r="K71" i="7"/>
  <c r="C71" i="7"/>
  <c r="B71" i="7"/>
  <c r="AK70" i="7" s="1"/>
  <c r="AU70" i="7"/>
  <c r="Z70" i="7"/>
  <c r="Y70" i="7"/>
  <c r="X70" i="7"/>
  <c r="V70" i="7"/>
  <c r="U70" i="7"/>
  <c r="T70" i="7"/>
  <c r="S70" i="7"/>
  <c r="R70" i="7"/>
  <c r="Q70" i="7"/>
  <c r="P70" i="7"/>
  <c r="M70" i="7"/>
  <c r="K70" i="7"/>
  <c r="C70" i="7"/>
  <c r="AL70" i="7" s="1"/>
  <c r="B70" i="7"/>
  <c r="AK69" i="7" s="1"/>
  <c r="AU69" i="7"/>
  <c r="Z69" i="7"/>
  <c r="Y69" i="7"/>
  <c r="X69" i="7"/>
  <c r="V69" i="7"/>
  <c r="U69" i="7"/>
  <c r="T69" i="7"/>
  <c r="S69" i="7"/>
  <c r="R69" i="7"/>
  <c r="Q69" i="7"/>
  <c r="P69" i="7"/>
  <c r="M69" i="7"/>
  <c r="K69" i="7"/>
  <c r="C69" i="7"/>
  <c r="AL69" i="7" s="1"/>
  <c r="B69" i="7"/>
  <c r="AK68" i="7" s="1"/>
  <c r="AU68" i="7"/>
  <c r="Z68" i="7"/>
  <c r="Y68" i="7"/>
  <c r="X68" i="7"/>
  <c r="V68" i="7"/>
  <c r="U68" i="7"/>
  <c r="T68" i="7"/>
  <c r="S68" i="7"/>
  <c r="R68" i="7"/>
  <c r="Q68" i="7"/>
  <c r="P68" i="7"/>
  <c r="M68" i="7"/>
  <c r="K68" i="7"/>
  <c r="C68" i="7"/>
  <c r="AL68" i="7" s="1"/>
  <c r="B68" i="7"/>
  <c r="AK60" i="7" s="1"/>
  <c r="AU67" i="7"/>
  <c r="Z67" i="7"/>
  <c r="Y67" i="7"/>
  <c r="X67" i="7"/>
  <c r="V67" i="7"/>
  <c r="U67" i="7"/>
  <c r="T67" i="7"/>
  <c r="S67" i="7"/>
  <c r="R67" i="7"/>
  <c r="Q67" i="7"/>
  <c r="P67" i="7"/>
  <c r="C67" i="7"/>
  <c r="AL67" i="7" s="1"/>
  <c r="B67" i="7"/>
  <c r="AK66" i="7" s="1"/>
  <c r="AU66" i="7"/>
  <c r="Z66" i="7"/>
  <c r="Y66" i="7"/>
  <c r="X66" i="7"/>
  <c r="V66" i="7"/>
  <c r="U66" i="7"/>
  <c r="T66" i="7"/>
  <c r="S66" i="7"/>
  <c r="R66" i="7"/>
  <c r="Q66" i="7"/>
  <c r="P66" i="7"/>
  <c r="C66" i="7"/>
  <c r="AY66" i="7" s="1"/>
  <c r="B66" i="7"/>
  <c r="AK65" i="7" s="1"/>
  <c r="AU65" i="7"/>
  <c r="Z65" i="7"/>
  <c r="Y65" i="7"/>
  <c r="X65" i="7"/>
  <c r="V65" i="7"/>
  <c r="U65" i="7"/>
  <c r="T65" i="7"/>
  <c r="S65" i="7"/>
  <c r="R65" i="7"/>
  <c r="Q65" i="7"/>
  <c r="P65" i="7"/>
  <c r="C65" i="7"/>
  <c r="AY65" i="7" s="1"/>
  <c r="B65" i="7"/>
  <c r="AK64" i="7" s="1"/>
  <c r="AU64" i="7"/>
  <c r="Z64" i="7"/>
  <c r="Y64" i="7"/>
  <c r="X64" i="7"/>
  <c r="V64" i="7"/>
  <c r="U64" i="7"/>
  <c r="T64" i="7"/>
  <c r="S64" i="7"/>
  <c r="R64" i="7"/>
  <c r="Q64" i="7"/>
  <c r="P64" i="7"/>
  <c r="C64" i="7"/>
  <c r="AL64" i="7" s="1"/>
  <c r="B64" i="7"/>
  <c r="AK63" i="7" s="1"/>
  <c r="AU63" i="7"/>
  <c r="Z63" i="7"/>
  <c r="Y63" i="7"/>
  <c r="X63" i="7"/>
  <c r="V63" i="7"/>
  <c r="U63" i="7"/>
  <c r="T63" i="7"/>
  <c r="S63" i="7"/>
  <c r="R63" i="7"/>
  <c r="Q63" i="7"/>
  <c r="P63" i="7"/>
  <c r="C63" i="7"/>
  <c r="AX63" i="7" s="1"/>
  <c r="B63" i="7"/>
  <c r="AK62" i="7" s="1"/>
  <c r="AU62" i="7"/>
  <c r="Z62" i="7"/>
  <c r="Y62" i="7"/>
  <c r="X62" i="7"/>
  <c r="V62" i="7"/>
  <c r="U62" i="7"/>
  <c r="T62" i="7"/>
  <c r="S62" i="7"/>
  <c r="R62" i="7"/>
  <c r="Q62" i="7"/>
  <c r="P62" i="7"/>
  <c r="C62" i="7"/>
  <c r="AL62" i="7" s="1"/>
  <c r="B62" i="7"/>
  <c r="AK61" i="7" s="1"/>
  <c r="AU61" i="7"/>
  <c r="Z61" i="7"/>
  <c r="Y61" i="7"/>
  <c r="X61" i="7"/>
  <c r="V61" i="7"/>
  <c r="U61" i="7"/>
  <c r="T61" i="7"/>
  <c r="S61" i="7"/>
  <c r="R61" i="7"/>
  <c r="Q61" i="7"/>
  <c r="P61" i="7"/>
  <c r="C61" i="7"/>
  <c r="AL61" i="7" s="1"/>
  <c r="B61" i="7"/>
  <c r="AU60" i="7"/>
  <c r="Z60" i="7"/>
  <c r="Y60" i="7"/>
  <c r="X60" i="7"/>
  <c r="V60" i="7"/>
  <c r="U60" i="7"/>
  <c r="T60" i="7"/>
  <c r="S60" i="7"/>
  <c r="R60" i="7"/>
  <c r="Q60" i="7"/>
  <c r="P60" i="7"/>
  <c r="M60" i="7"/>
  <c r="K60" i="7"/>
  <c r="C60" i="7"/>
  <c r="AX60" i="7" s="1"/>
  <c r="B60" i="7"/>
  <c r="AK51" i="7" s="1"/>
  <c r="AU59" i="7"/>
  <c r="Z59" i="7"/>
  <c r="Y59" i="7"/>
  <c r="X59" i="7"/>
  <c r="V59" i="7"/>
  <c r="U59" i="7"/>
  <c r="T59" i="7"/>
  <c r="S59" i="7"/>
  <c r="R59" i="7"/>
  <c r="Q59" i="7"/>
  <c r="P59" i="7"/>
  <c r="M59" i="7"/>
  <c r="K59" i="7"/>
  <c r="C59" i="7"/>
  <c r="AL59" i="7" s="1"/>
  <c r="B59" i="7"/>
  <c r="AK58" i="7" s="1"/>
  <c r="AU58" i="7"/>
  <c r="Z58" i="7"/>
  <c r="Y58" i="7"/>
  <c r="X58" i="7"/>
  <c r="V58" i="7"/>
  <c r="U58" i="7"/>
  <c r="T58" i="7"/>
  <c r="S58" i="7"/>
  <c r="R58" i="7"/>
  <c r="Q58" i="7"/>
  <c r="P58" i="7"/>
  <c r="M58" i="7"/>
  <c r="K58" i="7"/>
  <c r="C58" i="7"/>
  <c r="AL58" i="7" s="1"/>
  <c r="B58" i="7"/>
  <c r="AK57" i="7" s="1"/>
  <c r="AU57" i="7"/>
  <c r="Z57" i="7"/>
  <c r="Y57" i="7"/>
  <c r="X57" i="7"/>
  <c r="V57" i="7"/>
  <c r="U57" i="7"/>
  <c r="T57" i="7"/>
  <c r="S57" i="7"/>
  <c r="R57" i="7"/>
  <c r="Q57" i="7"/>
  <c r="P57" i="7"/>
  <c r="M57" i="7"/>
  <c r="K57" i="7"/>
  <c r="C57" i="7"/>
  <c r="AL57" i="7" s="1"/>
  <c r="B57" i="7"/>
  <c r="AK56" i="7" s="1"/>
  <c r="AU56" i="7"/>
  <c r="Z56" i="7"/>
  <c r="Y56" i="7"/>
  <c r="X56" i="7"/>
  <c r="V56" i="7"/>
  <c r="U56" i="7"/>
  <c r="T56" i="7"/>
  <c r="S56" i="7"/>
  <c r="R56" i="7"/>
  <c r="Q56" i="7"/>
  <c r="P56" i="7"/>
  <c r="M56" i="7"/>
  <c r="K56" i="7"/>
  <c r="C56" i="7"/>
  <c r="B56" i="7"/>
  <c r="AK55" i="7" s="1"/>
  <c r="AU55" i="7"/>
  <c r="Z55" i="7"/>
  <c r="Y55" i="7"/>
  <c r="X55" i="7"/>
  <c r="V55" i="7"/>
  <c r="U55" i="7"/>
  <c r="T55" i="7"/>
  <c r="S55" i="7"/>
  <c r="R55" i="7"/>
  <c r="Q55" i="7"/>
  <c r="P55" i="7"/>
  <c r="M55" i="7"/>
  <c r="K55" i="7"/>
  <c r="C55" i="7"/>
  <c r="AL55" i="7" s="1"/>
  <c r="B55" i="7"/>
  <c r="AK54" i="7" s="1"/>
  <c r="AU54" i="7"/>
  <c r="Z54" i="7"/>
  <c r="Y54" i="7"/>
  <c r="X54" i="7"/>
  <c r="V54" i="7"/>
  <c r="U54" i="7"/>
  <c r="T54" i="7"/>
  <c r="S54" i="7"/>
  <c r="R54" i="7"/>
  <c r="Q54" i="7"/>
  <c r="P54" i="7"/>
  <c r="M54" i="7"/>
  <c r="K54" i="7"/>
  <c r="C54" i="7"/>
  <c r="AL54" i="7" s="1"/>
  <c r="B54" i="7"/>
  <c r="AK53" i="7" s="1"/>
  <c r="AU53" i="7"/>
  <c r="Z53" i="7"/>
  <c r="Y53" i="7"/>
  <c r="X53" i="7"/>
  <c r="V53" i="7"/>
  <c r="U53" i="7"/>
  <c r="T53" i="7"/>
  <c r="S53" i="7"/>
  <c r="R53" i="7"/>
  <c r="Q53" i="7"/>
  <c r="P53" i="7"/>
  <c r="M53" i="7"/>
  <c r="K53" i="7"/>
  <c r="C53" i="7"/>
  <c r="AX53" i="7" s="1"/>
  <c r="B53" i="7"/>
  <c r="AK52" i="7" s="1"/>
  <c r="AU52" i="7"/>
  <c r="Z52" i="7"/>
  <c r="Y52" i="7"/>
  <c r="X52" i="7"/>
  <c r="V52" i="7"/>
  <c r="U52" i="7"/>
  <c r="T52" i="7"/>
  <c r="S52" i="7"/>
  <c r="R52" i="7"/>
  <c r="Q52" i="7"/>
  <c r="P52" i="7"/>
  <c r="M52" i="7"/>
  <c r="K52" i="7"/>
  <c r="C52" i="7"/>
  <c r="AL52" i="7" s="1"/>
  <c r="B52" i="7"/>
  <c r="AK43" i="7" s="1"/>
  <c r="AU51" i="7"/>
  <c r="Z51" i="7"/>
  <c r="Y51" i="7"/>
  <c r="X51" i="7"/>
  <c r="V51" i="7"/>
  <c r="U51" i="7"/>
  <c r="T51" i="7"/>
  <c r="S51" i="7"/>
  <c r="R51" i="7"/>
  <c r="Q51" i="7"/>
  <c r="P51" i="7"/>
  <c r="C51" i="7"/>
  <c r="AL51" i="7" s="1"/>
  <c r="B51" i="7"/>
  <c r="AK50" i="7" s="1"/>
  <c r="AU50" i="7"/>
  <c r="Z50" i="7"/>
  <c r="Y50" i="7"/>
  <c r="X50" i="7"/>
  <c r="V50" i="7"/>
  <c r="U50" i="7"/>
  <c r="T50" i="7"/>
  <c r="S50" i="7"/>
  <c r="R50" i="7"/>
  <c r="Q50" i="7"/>
  <c r="P50" i="7"/>
  <c r="C50" i="7"/>
  <c r="AX50" i="7" s="1"/>
  <c r="B50" i="7"/>
  <c r="AK49" i="7" s="1"/>
  <c r="AU49" i="7"/>
  <c r="Z49" i="7"/>
  <c r="Y49" i="7"/>
  <c r="X49" i="7"/>
  <c r="V49" i="7"/>
  <c r="U49" i="7"/>
  <c r="T49" i="7"/>
  <c r="S49" i="7"/>
  <c r="R49" i="7"/>
  <c r="Q49" i="7"/>
  <c r="P49" i="7"/>
  <c r="C49" i="7"/>
  <c r="AL49" i="7" s="1"/>
  <c r="B49" i="7"/>
  <c r="AK48" i="7" s="1"/>
  <c r="AU48" i="7"/>
  <c r="Z48" i="7"/>
  <c r="Y48" i="7"/>
  <c r="X48" i="7"/>
  <c r="V48" i="7"/>
  <c r="U48" i="7"/>
  <c r="T48" i="7"/>
  <c r="S48" i="7"/>
  <c r="R48" i="7"/>
  <c r="Q48" i="7"/>
  <c r="P48" i="7"/>
  <c r="C48" i="7"/>
  <c r="AL48" i="7" s="1"/>
  <c r="B48" i="7"/>
  <c r="AU47" i="7"/>
  <c r="Z47" i="7"/>
  <c r="Y47" i="7"/>
  <c r="X47" i="7"/>
  <c r="V47" i="7"/>
  <c r="U47" i="7"/>
  <c r="T47" i="7"/>
  <c r="S47" i="7"/>
  <c r="R47" i="7"/>
  <c r="Q47" i="7"/>
  <c r="P47" i="7"/>
  <c r="C47" i="7"/>
  <c r="AX47" i="7" s="1"/>
  <c r="B47" i="7"/>
  <c r="AK46" i="7" s="1"/>
  <c r="AU46" i="7"/>
  <c r="Z46" i="7"/>
  <c r="Y46" i="7"/>
  <c r="X46" i="7"/>
  <c r="V46" i="7"/>
  <c r="U46" i="7"/>
  <c r="T46" i="7"/>
  <c r="S46" i="7"/>
  <c r="R46" i="7"/>
  <c r="Q46" i="7"/>
  <c r="P46" i="7"/>
  <c r="C46" i="7"/>
  <c r="AL46" i="7" s="1"/>
  <c r="B46" i="7"/>
  <c r="AK45" i="7" s="1"/>
  <c r="AU45" i="7"/>
  <c r="Z45" i="7"/>
  <c r="Y45" i="7"/>
  <c r="X45" i="7"/>
  <c r="V45" i="7"/>
  <c r="U45" i="7"/>
  <c r="T45" i="7"/>
  <c r="S45" i="7"/>
  <c r="R45" i="7"/>
  <c r="Q45" i="7"/>
  <c r="P45" i="7"/>
  <c r="C45" i="7"/>
  <c r="AY45" i="7" s="1"/>
  <c r="B45" i="7"/>
  <c r="AU44" i="7"/>
  <c r="Z44" i="7"/>
  <c r="Y44" i="7"/>
  <c r="X44" i="7"/>
  <c r="V44" i="7"/>
  <c r="U44" i="7"/>
  <c r="T44" i="7"/>
  <c r="S44" i="7"/>
  <c r="R44" i="7"/>
  <c r="Q44" i="7"/>
  <c r="P44" i="7"/>
  <c r="M44" i="7"/>
  <c r="K44" i="7"/>
  <c r="C44" i="7"/>
  <c r="AL44" i="7" s="1"/>
  <c r="B44" i="7"/>
  <c r="AU43" i="7"/>
  <c r="Z43" i="7"/>
  <c r="Y43" i="7"/>
  <c r="X43" i="7"/>
  <c r="V43" i="7"/>
  <c r="U43" i="7"/>
  <c r="T43" i="7"/>
  <c r="S43" i="7"/>
  <c r="R43" i="7"/>
  <c r="Q43" i="7"/>
  <c r="P43" i="7"/>
  <c r="M43" i="7"/>
  <c r="K43" i="7"/>
  <c r="C43" i="7"/>
  <c r="AL43" i="7" s="1"/>
  <c r="B43" i="7"/>
  <c r="AK42" i="7" s="1"/>
  <c r="AU42" i="7"/>
  <c r="Z42" i="7"/>
  <c r="Y42" i="7"/>
  <c r="X42" i="7"/>
  <c r="V42" i="7"/>
  <c r="U42" i="7"/>
  <c r="T42" i="7"/>
  <c r="S42" i="7"/>
  <c r="R42" i="7"/>
  <c r="Q42" i="7"/>
  <c r="P42" i="7"/>
  <c r="M42" i="7"/>
  <c r="K42" i="7"/>
  <c r="C42" i="7"/>
  <c r="B42" i="7"/>
  <c r="AK41" i="7" s="1"/>
  <c r="AU41" i="7"/>
  <c r="Z41" i="7"/>
  <c r="Y41" i="7"/>
  <c r="X41" i="7"/>
  <c r="V41" i="7"/>
  <c r="U41" i="7"/>
  <c r="T41" i="7"/>
  <c r="S41" i="7"/>
  <c r="R41" i="7"/>
  <c r="Q41" i="7"/>
  <c r="P41" i="7"/>
  <c r="M41" i="7"/>
  <c r="K41" i="7"/>
  <c r="C41" i="7"/>
  <c r="AL41" i="7" s="1"/>
  <c r="B41" i="7"/>
  <c r="AK40" i="7" s="1"/>
  <c r="AU40" i="7"/>
  <c r="Z40" i="7"/>
  <c r="Y40" i="7"/>
  <c r="X40" i="7"/>
  <c r="V40" i="7"/>
  <c r="U40" i="7"/>
  <c r="T40" i="7"/>
  <c r="S40" i="7"/>
  <c r="R40" i="7"/>
  <c r="Q40" i="7"/>
  <c r="P40" i="7"/>
  <c r="M40" i="7"/>
  <c r="K40" i="7"/>
  <c r="C40" i="7"/>
  <c r="AX40" i="7" s="1"/>
  <c r="B40" i="7"/>
  <c r="AK39" i="7" s="1"/>
  <c r="AU39" i="7"/>
  <c r="Z39" i="7"/>
  <c r="Y39" i="7"/>
  <c r="X39" i="7"/>
  <c r="V39" i="7"/>
  <c r="U39" i="7"/>
  <c r="T39" i="7"/>
  <c r="S39" i="7"/>
  <c r="R39" i="7"/>
  <c r="Q39" i="7"/>
  <c r="P39" i="7"/>
  <c r="M39" i="7"/>
  <c r="K39" i="7"/>
  <c r="C39" i="7"/>
  <c r="B39" i="7"/>
  <c r="AK38" i="7" s="1"/>
  <c r="AU38" i="7"/>
  <c r="Z38" i="7"/>
  <c r="Y38" i="7"/>
  <c r="X38" i="7"/>
  <c r="V38" i="7"/>
  <c r="U38" i="7"/>
  <c r="T38" i="7"/>
  <c r="S38" i="7"/>
  <c r="R38" i="7"/>
  <c r="Q38" i="7"/>
  <c r="P38" i="7"/>
  <c r="M38" i="7"/>
  <c r="K38" i="7"/>
  <c r="C38" i="7"/>
  <c r="B38" i="7"/>
  <c r="AK37" i="7" s="1"/>
  <c r="AU37" i="7"/>
  <c r="Z37" i="7"/>
  <c r="Y37" i="7"/>
  <c r="X37" i="7"/>
  <c r="V37" i="7"/>
  <c r="U37" i="7"/>
  <c r="T37" i="7"/>
  <c r="S37" i="7"/>
  <c r="R37" i="7"/>
  <c r="Q37" i="7"/>
  <c r="P37" i="7"/>
  <c r="M37" i="7"/>
  <c r="K37" i="7"/>
  <c r="C37" i="7"/>
  <c r="AX37" i="7" s="1"/>
  <c r="B37" i="7"/>
  <c r="AK36" i="7" s="1"/>
  <c r="AU36" i="7"/>
  <c r="Z36" i="7"/>
  <c r="Y36" i="7"/>
  <c r="X36" i="7"/>
  <c r="V36" i="7"/>
  <c r="U36" i="7"/>
  <c r="T36" i="7"/>
  <c r="S36" i="7"/>
  <c r="R36" i="7"/>
  <c r="Q36" i="7"/>
  <c r="P36" i="7"/>
  <c r="M36" i="7"/>
  <c r="K36" i="7"/>
  <c r="C36" i="7"/>
  <c r="AX36" i="7" s="1"/>
  <c r="B36" i="7"/>
  <c r="AK35" i="7" s="1"/>
  <c r="AU35" i="7"/>
  <c r="Z35" i="7"/>
  <c r="Y35" i="7"/>
  <c r="X35" i="7"/>
  <c r="V35" i="7"/>
  <c r="U35" i="7"/>
  <c r="T35" i="7"/>
  <c r="S35" i="7"/>
  <c r="R35" i="7"/>
  <c r="Q35" i="7"/>
  <c r="P35" i="7"/>
  <c r="M35" i="7"/>
  <c r="K35" i="7"/>
  <c r="C35" i="7"/>
  <c r="AL35" i="7" s="1"/>
  <c r="B35" i="7"/>
  <c r="AK34" i="7" s="1"/>
  <c r="Z34" i="7"/>
  <c r="Y34" i="7"/>
  <c r="X34" i="7"/>
  <c r="V34" i="7"/>
  <c r="U34" i="7"/>
  <c r="T34" i="7"/>
  <c r="S34" i="7"/>
  <c r="R34" i="7"/>
  <c r="Q34" i="7"/>
  <c r="P34" i="7"/>
  <c r="M34" i="7"/>
  <c r="K34" i="7"/>
  <c r="C34" i="7"/>
  <c r="AL34" i="7" s="1"/>
  <c r="B34" i="7"/>
  <c r="AK33" i="7" s="1"/>
  <c r="Z33" i="7"/>
  <c r="Y33" i="7"/>
  <c r="X33" i="7"/>
  <c r="V33" i="7"/>
  <c r="U33" i="7"/>
  <c r="T33" i="7"/>
  <c r="S33" i="7"/>
  <c r="R33" i="7"/>
  <c r="Q33" i="7"/>
  <c r="P33" i="7"/>
  <c r="M33" i="7"/>
  <c r="K33" i="7"/>
  <c r="C33" i="7"/>
  <c r="B33" i="7"/>
  <c r="AK32" i="7" s="1"/>
  <c r="Z32" i="7"/>
  <c r="Y32" i="7"/>
  <c r="X32" i="7"/>
  <c r="V32" i="7"/>
  <c r="U32" i="7"/>
  <c r="T32" i="7"/>
  <c r="S32" i="7"/>
  <c r="R32" i="7"/>
  <c r="Q32" i="7"/>
  <c r="P32" i="7"/>
  <c r="M32" i="7"/>
  <c r="K32" i="7"/>
  <c r="C32" i="7"/>
  <c r="AY32" i="7" s="1"/>
  <c r="B32" i="7"/>
  <c r="AK31" i="7" s="1"/>
  <c r="Z31" i="7"/>
  <c r="Y31" i="7"/>
  <c r="X31" i="7"/>
  <c r="V31" i="7"/>
  <c r="U31" i="7"/>
  <c r="T31" i="7"/>
  <c r="S31" i="7"/>
  <c r="R31" i="7"/>
  <c r="Q31" i="7"/>
  <c r="P31" i="7"/>
  <c r="M31" i="7"/>
  <c r="K31" i="7"/>
  <c r="C31" i="7"/>
  <c r="B31" i="7"/>
  <c r="AK30" i="7" s="1"/>
  <c r="Z30" i="7"/>
  <c r="Y30" i="7"/>
  <c r="X30" i="7"/>
  <c r="V30" i="7"/>
  <c r="U30" i="7"/>
  <c r="T30" i="7"/>
  <c r="S30" i="7"/>
  <c r="R30" i="7"/>
  <c r="Q30" i="7"/>
  <c r="P30" i="7"/>
  <c r="M30" i="7"/>
  <c r="K30" i="7"/>
  <c r="C30" i="7"/>
  <c r="AX30" i="7" s="1"/>
  <c r="B30" i="7"/>
  <c r="AK29" i="7" s="1"/>
  <c r="Z29" i="7"/>
  <c r="Y29" i="7"/>
  <c r="X29" i="7"/>
  <c r="V29" i="7"/>
  <c r="U29" i="7"/>
  <c r="T29" i="7"/>
  <c r="S29" i="7"/>
  <c r="R29" i="7"/>
  <c r="Q29" i="7"/>
  <c r="P29" i="7"/>
  <c r="M29" i="7"/>
  <c r="K29" i="7"/>
  <c r="C29" i="7"/>
  <c r="B29" i="7"/>
  <c r="AK28" i="7" s="1"/>
  <c r="Z28" i="7"/>
  <c r="Y28" i="7"/>
  <c r="X28" i="7"/>
  <c r="V28" i="7"/>
  <c r="U28" i="7"/>
  <c r="T28" i="7"/>
  <c r="S28" i="7"/>
  <c r="R28" i="7"/>
  <c r="Q28" i="7"/>
  <c r="P28" i="7"/>
  <c r="M28" i="7"/>
  <c r="K28" i="7"/>
  <c r="C28" i="7"/>
  <c r="AX28" i="7" s="1"/>
  <c r="B28" i="7"/>
  <c r="AK27" i="7" s="1"/>
  <c r="Z27" i="7"/>
  <c r="Y27" i="7"/>
  <c r="X27" i="7"/>
  <c r="V27" i="7"/>
  <c r="U27" i="7"/>
  <c r="T27" i="7"/>
  <c r="S27" i="7"/>
  <c r="R27" i="7"/>
  <c r="Q27" i="7"/>
  <c r="P27" i="7"/>
  <c r="M27" i="7"/>
  <c r="K27" i="7"/>
  <c r="C27" i="7"/>
  <c r="AY27" i="7" s="1"/>
  <c r="B27" i="7"/>
  <c r="AK26" i="7" s="1"/>
  <c r="Z26" i="7"/>
  <c r="Y26" i="7"/>
  <c r="X26" i="7"/>
  <c r="V26" i="7"/>
  <c r="U26" i="7"/>
  <c r="T26" i="7"/>
  <c r="S26" i="7"/>
  <c r="R26" i="7"/>
  <c r="Q26" i="7"/>
  <c r="P26" i="7"/>
  <c r="M26" i="7"/>
  <c r="K26" i="7"/>
  <c r="C26" i="7"/>
  <c r="AX26" i="7" s="1"/>
  <c r="B26" i="7"/>
  <c r="AK25" i="7" s="1"/>
  <c r="Z25" i="7"/>
  <c r="Y25" i="7"/>
  <c r="X25" i="7"/>
  <c r="V25" i="7"/>
  <c r="U25" i="7"/>
  <c r="T25" i="7"/>
  <c r="S25" i="7"/>
  <c r="R25" i="7"/>
  <c r="Q25" i="7"/>
  <c r="P25" i="7"/>
  <c r="M25" i="7"/>
  <c r="K25" i="7"/>
  <c r="C25" i="7"/>
  <c r="AY25" i="7" s="1"/>
  <c r="B25" i="7"/>
  <c r="AK24" i="7" s="1"/>
  <c r="Z24" i="7"/>
  <c r="Y24" i="7"/>
  <c r="X24" i="7"/>
  <c r="V24" i="7"/>
  <c r="U24" i="7"/>
  <c r="T24" i="7"/>
  <c r="S24" i="7"/>
  <c r="R24" i="7"/>
  <c r="Q24" i="7"/>
  <c r="P24" i="7"/>
  <c r="M24" i="7"/>
  <c r="K24" i="7"/>
  <c r="C24" i="7"/>
  <c r="AL24" i="7" s="1"/>
  <c r="B24" i="7"/>
  <c r="AK23" i="7" s="1"/>
  <c r="Z23" i="7"/>
  <c r="Y23" i="7"/>
  <c r="X23" i="7"/>
  <c r="V23" i="7"/>
  <c r="U23" i="7"/>
  <c r="T23" i="7"/>
  <c r="S23" i="7"/>
  <c r="R23" i="7"/>
  <c r="Q23" i="7"/>
  <c r="P23" i="7"/>
  <c r="M23" i="7"/>
  <c r="K23" i="7"/>
  <c r="C23" i="7"/>
  <c r="B23" i="7"/>
  <c r="AK22" i="7" s="1"/>
  <c r="Z22" i="7"/>
  <c r="Y22" i="7"/>
  <c r="X22" i="7"/>
  <c r="V22" i="7"/>
  <c r="U22" i="7"/>
  <c r="T22" i="7"/>
  <c r="S22" i="7"/>
  <c r="R22" i="7"/>
  <c r="Q22" i="7"/>
  <c r="P22" i="7"/>
  <c r="M22" i="7"/>
  <c r="K22" i="7"/>
  <c r="C22" i="7"/>
  <c r="AX22" i="7" s="1"/>
  <c r="B22" i="7"/>
  <c r="AK21" i="7" s="1"/>
  <c r="Z21" i="7"/>
  <c r="Y21" i="7"/>
  <c r="X21" i="7"/>
  <c r="V21" i="7"/>
  <c r="U21" i="7"/>
  <c r="T21" i="7"/>
  <c r="S21" i="7"/>
  <c r="R21" i="7"/>
  <c r="Q21" i="7"/>
  <c r="P21" i="7"/>
  <c r="M21" i="7"/>
  <c r="K21" i="7"/>
  <c r="C21" i="7"/>
  <c r="B21" i="7"/>
  <c r="AK20" i="7" s="1"/>
  <c r="Z20" i="7"/>
  <c r="Y20" i="7"/>
  <c r="X20" i="7"/>
  <c r="V20" i="7"/>
  <c r="U20" i="7"/>
  <c r="T20" i="7"/>
  <c r="S20" i="7"/>
  <c r="R20" i="7"/>
  <c r="Q20" i="7"/>
  <c r="P20" i="7"/>
  <c r="M20" i="7"/>
  <c r="K20" i="7"/>
  <c r="C20" i="7"/>
  <c r="AY20" i="7" s="1"/>
  <c r="B20" i="7"/>
  <c r="AK19" i="7" s="1"/>
  <c r="Z19" i="7"/>
  <c r="Y19" i="7"/>
  <c r="X19" i="7"/>
  <c r="V19" i="7"/>
  <c r="U19" i="7"/>
  <c r="T19" i="7"/>
  <c r="S19" i="7"/>
  <c r="R19" i="7"/>
  <c r="Q19" i="7"/>
  <c r="P19" i="7"/>
  <c r="M19" i="7"/>
  <c r="K19" i="7"/>
  <c r="C19" i="7"/>
  <c r="AL19" i="7" s="1"/>
  <c r="B19" i="7"/>
  <c r="AK18" i="7" s="1"/>
  <c r="Z18" i="7"/>
  <c r="Y18" i="7"/>
  <c r="X18" i="7"/>
  <c r="V18" i="7"/>
  <c r="U18" i="7"/>
  <c r="T18" i="7"/>
  <c r="S18" i="7"/>
  <c r="R18" i="7"/>
  <c r="Q18" i="7"/>
  <c r="P18" i="7"/>
  <c r="M18" i="7"/>
  <c r="K18" i="7"/>
  <c r="C18" i="7"/>
  <c r="AL18" i="7" s="1"/>
  <c r="B18" i="7"/>
  <c r="AK17" i="7" s="1"/>
  <c r="Z17" i="7"/>
  <c r="Y17" i="7"/>
  <c r="X17" i="7"/>
  <c r="V17" i="7"/>
  <c r="U17" i="7"/>
  <c r="T17" i="7"/>
  <c r="S17" i="7"/>
  <c r="R17" i="7"/>
  <c r="Q17" i="7"/>
  <c r="P17" i="7"/>
  <c r="M17" i="7"/>
  <c r="K17" i="7"/>
  <c r="C17" i="7"/>
  <c r="B17" i="7"/>
  <c r="AK16" i="7" s="1"/>
  <c r="Z16" i="7"/>
  <c r="Y16" i="7"/>
  <c r="X16" i="7"/>
  <c r="V16" i="7"/>
  <c r="U16" i="7"/>
  <c r="T16" i="7"/>
  <c r="S16" i="7"/>
  <c r="R16" i="7"/>
  <c r="Q16" i="7"/>
  <c r="P16" i="7"/>
  <c r="M16" i="7"/>
  <c r="K16" i="7"/>
  <c r="C16" i="7"/>
  <c r="AX16" i="7" s="1"/>
  <c r="B16" i="7"/>
  <c r="AK15" i="7" s="1"/>
  <c r="Z15" i="7"/>
  <c r="Y15" i="7"/>
  <c r="X15" i="7"/>
  <c r="V15" i="7"/>
  <c r="U15" i="7"/>
  <c r="T15" i="7"/>
  <c r="S15" i="7"/>
  <c r="R15" i="7"/>
  <c r="Q15" i="7"/>
  <c r="P15" i="7"/>
  <c r="M15" i="7"/>
  <c r="K15" i="7"/>
  <c r="C15" i="7"/>
  <c r="B15" i="7"/>
  <c r="AK14" i="7" s="1"/>
  <c r="Z14" i="7"/>
  <c r="Y14" i="7"/>
  <c r="X14" i="7"/>
  <c r="V14" i="7"/>
  <c r="U14" i="7"/>
  <c r="T14" i="7"/>
  <c r="S14" i="7"/>
  <c r="R14" i="7"/>
  <c r="Q14" i="7"/>
  <c r="P14" i="7"/>
  <c r="M14" i="7"/>
  <c r="K14" i="7"/>
  <c r="C14" i="7"/>
  <c r="AX14" i="7" s="1"/>
  <c r="B14" i="7"/>
  <c r="AK13" i="7" s="1"/>
  <c r="Z13" i="7"/>
  <c r="Y13" i="7"/>
  <c r="X13" i="7"/>
  <c r="V13" i="7"/>
  <c r="U13" i="7"/>
  <c r="T13" i="7"/>
  <c r="S13" i="7"/>
  <c r="R13" i="7"/>
  <c r="Q13" i="7"/>
  <c r="P13" i="7"/>
  <c r="M13" i="7"/>
  <c r="K13" i="7"/>
  <c r="C13" i="7"/>
  <c r="B13" i="7"/>
  <c r="AK12" i="7" s="1"/>
  <c r="Z12" i="7"/>
  <c r="Y12" i="7"/>
  <c r="X12" i="7"/>
  <c r="V12" i="7"/>
  <c r="U12" i="7"/>
  <c r="T12" i="7"/>
  <c r="S12" i="7"/>
  <c r="R12" i="7"/>
  <c r="Q12" i="7"/>
  <c r="P12" i="7"/>
  <c r="M12" i="7"/>
  <c r="K12" i="7"/>
  <c r="C12" i="7"/>
  <c r="AX12" i="7" s="1"/>
  <c r="B12" i="7"/>
  <c r="AK11" i="7" s="1"/>
  <c r="Z11" i="7"/>
  <c r="Y11" i="7"/>
  <c r="X11" i="7"/>
  <c r="V11" i="7"/>
  <c r="U11" i="7"/>
  <c r="T11" i="7"/>
  <c r="S11" i="7"/>
  <c r="R11" i="7"/>
  <c r="Q11" i="7"/>
  <c r="P11" i="7"/>
  <c r="M11" i="7"/>
  <c r="K11" i="7"/>
  <c r="C11" i="7"/>
  <c r="B11" i="7"/>
  <c r="AK10" i="7" s="1"/>
  <c r="Z10" i="7"/>
  <c r="Y10" i="7"/>
  <c r="X10" i="7"/>
  <c r="V10" i="7"/>
  <c r="U10" i="7"/>
  <c r="T10" i="7"/>
  <c r="S10" i="7"/>
  <c r="R10" i="7"/>
  <c r="Q10" i="7"/>
  <c r="P10" i="7"/>
  <c r="M10" i="7"/>
  <c r="K10" i="7"/>
  <c r="C10" i="7"/>
  <c r="AY10" i="7" s="1"/>
  <c r="B10" i="7"/>
  <c r="AK9" i="7" s="1"/>
  <c r="Z9" i="7"/>
  <c r="Y9" i="7"/>
  <c r="X9" i="7"/>
  <c r="V9" i="7"/>
  <c r="U9" i="7"/>
  <c r="T9" i="7"/>
  <c r="S9" i="7"/>
  <c r="R9" i="7"/>
  <c r="Q9" i="7"/>
  <c r="P9" i="7"/>
  <c r="M9" i="7"/>
  <c r="K9" i="7"/>
  <c r="C9" i="7"/>
  <c r="AX9" i="7" s="1"/>
  <c r="B9" i="7"/>
  <c r="AK8" i="7" s="1"/>
  <c r="Z8" i="7"/>
  <c r="Y8" i="7"/>
  <c r="X8" i="7"/>
  <c r="V8" i="7"/>
  <c r="U8" i="7"/>
  <c r="T8" i="7"/>
  <c r="S8" i="7"/>
  <c r="R8" i="7"/>
  <c r="Q8" i="7"/>
  <c r="P8" i="7"/>
  <c r="M8" i="7"/>
  <c r="K8" i="7"/>
  <c r="C8" i="7"/>
  <c r="AL8" i="7" s="1"/>
  <c r="B8" i="7"/>
  <c r="AK7" i="7" s="1"/>
  <c r="Z7" i="7"/>
  <c r="Y7" i="7"/>
  <c r="X7" i="7"/>
  <c r="V7" i="7"/>
  <c r="U7" i="7"/>
  <c r="T7" i="7"/>
  <c r="S7" i="7"/>
  <c r="R7" i="7"/>
  <c r="Q7" i="7"/>
  <c r="P7" i="7"/>
  <c r="M7" i="7"/>
  <c r="K7" i="7"/>
  <c r="C7" i="7"/>
  <c r="AL7" i="7" s="1"/>
  <c r="B7" i="7"/>
  <c r="AK6" i="7" s="1"/>
  <c r="Z6" i="7"/>
  <c r="Y6" i="7"/>
  <c r="X6" i="7"/>
  <c r="V6" i="7"/>
  <c r="U6" i="7"/>
  <c r="T6" i="7"/>
  <c r="S6" i="7"/>
  <c r="R6" i="7"/>
  <c r="Q6" i="7"/>
  <c r="P6" i="7"/>
  <c r="M6" i="7"/>
  <c r="K6" i="7"/>
  <c r="C6" i="7"/>
  <c r="AX6" i="7" s="1"/>
  <c r="B6" i="7"/>
  <c r="AK5" i="7" s="1"/>
  <c r="Z5" i="7"/>
  <c r="Y5" i="7"/>
  <c r="X5" i="7"/>
  <c r="V5" i="7"/>
  <c r="U5" i="7"/>
  <c r="T5" i="7"/>
  <c r="S5" i="7"/>
  <c r="R5" i="7"/>
  <c r="Q5" i="7"/>
  <c r="P5" i="7"/>
  <c r="M5" i="7"/>
  <c r="K5" i="7"/>
  <c r="C5" i="7"/>
  <c r="AX5" i="7" s="1"/>
  <c r="B5" i="7"/>
  <c r="AK4" i="7" s="1"/>
  <c r="Z4" i="7"/>
  <c r="Y4" i="7"/>
  <c r="X4" i="7"/>
  <c r="V4" i="7"/>
  <c r="U4" i="7"/>
  <c r="T4" i="7"/>
  <c r="S4" i="7"/>
  <c r="R4" i="7"/>
  <c r="Q4" i="7"/>
  <c r="P4" i="7"/>
  <c r="M4" i="7"/>
  <c r="K4" i="7"/>
  <c r="C4" i="7"/>
  <c r="AL4" i="7" s="1"/>
  <c r="B4" i="7"/>
  <c r="AK3" i="7" s="1"/>
  <c r="AY43" i="7"/>
  <c r="AY255" i="7"/>
  <c r="AY449" i="7"/>
  <c r="AY305" i="7"/>
  <c r="AY209" i="7"/>
  <c r="AY316" i="7"/>
  <c r="AY193" i="7"/>
  <c r="AY129" i="7"/>
  <c r="AY57" i="7"/>
  <c r="AY41" i="7"/>
  <c r="AY195" i="7"/>
  <c r="AY309" i="7"/>
  <c r="AY77" i="7"/>
  <c r="AY219" i="7"/>
  <c r="AY474" i="7"/>
  <c r="AY333" i="7"/>
  <c r="AY329" i="7"/>
  <c r="AY451" i="7"/>
  <c r="AY141" i="7"/>
  <c r="AY76" i="7"/>
  <c r="AY125" i="7"/>
  <c r="AY401" i="7"/>
  <c r="AY235" i="7"/>
  <c r="AY78" i="7"/>
  <c r="AY79" i="7"/>
  <c r="AY317" i="7"/>
  <c r="AY364" i="7"/>
  <c r="AY545" i="7"/>
  <c r="AY3" i="7"/>
  <c r="AY464" i="7"/>
  <c r="AL92" i="7" l="1"/>
  <c r="AL335" i="7"/>
  <c r="AL361" i="7"/>
  <c r="AK269" i="7"/>
  <c r="AL326" i="7"/>
  <c r="AY105" i="7"/>
  <c r="AV574" i="7"/>
  <c r="AX44" i="7"/>
  <c r="AX518" i="7"/>
  <c r="AL250" i="7"/>
  <c r="AY335" i="7"/>
  <c r="AX62" i="7"/>
  <c r="AK181" i="7"/>
  <c r="AL519" i="7"/>
  <c r="AY62" i="7"/>
  <c r="AX18" i="7"/>
  <c r="AL303" i="7"/>
  <c r="AX34" i="7"/>
  <c r="AL542" i="7"/>
  <c r="AV582" i="7"/>
  <c r="AL290" i="7"/>
  <c r="AY568" i="7"/>
  <c r="AV581" i="7"/>
  <c r="AY104" i="7"/>
  <c r="AK186" i="7"/>
  <c r="AX270" i="7"/>
  <c r="AV567" i="7"/>
  <c r="AX4" i="7"/>
  <c r="AY157" i="7"/>
  <c r="AX269" i="7"/>
  <c r="AY270" i="7"/>
  <c r="AL297" i="7"/>
  <c r="AY299" i="7"/>
  <c r="AL300" i="7"/>
  <c r="AX320" i="7"/>
  <c r="AL321" i="7"/>
  <c r="AL351" i="7"/>
  <c r="AY386" i="7"/>
  <c r="AY387" i="7"/>
  <c r="AL388" i="7"/>
  <c r="AL541" i="7"/>
  <c r="AX542" i="7"/>
  <c r="AY564" i="7"/>
  <c r="AY269" i="7"/>
  <c r="AY349" i="7"/>
  <c r="AL504" i="7"/>
  <c r="AY63" i="7"/>
  <c r="AX66" i="7"/>
  <c r="AV577" i="7"/>
  <c r="AV585" i="7"/>
  <c r="AX20" i="7"/>
  <c r="AY83" i="7"/>
  <c r="AX84" i="7"/>
  <c r="AV94" i="7"/>
  <c r="AY118" i="7"/>
  <c r="AL154" i="7"/>
  <c r="AL228" i="7"/>
  <c r="AK261" i="7"/>
  <c r="AL262" i="7"/>
  <c r="AK267" i="7"/>
  <c r="AX341" i="7"/>
  <c r="AL342" i="7"/>
  <c r="AL359" i="7"/>
  <c r="AL420" i="7"/>
  <c r="AL443" i="7"/>
  <c r="AY450" i="7"/>
  <c r="AL463" i="7"/>
  <c r="AL480" i="7"/>
  <c r="AY483" i="7"/>
  <c r="AX535" i="7"/>
  <c r="AL28" i="7"/>
  <c r="AL53" i="7"/>
  <c r="AX181" i="7"/>
  <c r="AY341" i="7"/>
  <c r="AY343" i="7"/>
  <c r="AX344" i="7"/>
  <c r="AY442" i="7"/>
  <c r="AL444" i="7"/>
  <c r="AL446" i="7"/>
  <c r="AL500" i="7"/>
  <c r="AL523" i="7"/>
  <c r="AL524" i="7"/>
  <c r="AX538" i="7"/>
  <c r="AX539" i="7"/>
  <c r="AV580" i="7"/>
  <c r="AY51" i="7"/>
  <c r="AX52" i="7"/>
  <c r="AX110" i="7"/>
  <c r="AL111" i="7"/>
  <c r="AY117" i="7"/>
  <c r="AY180" i="7"/>
  <c r="AK184" i="7"/>
  <c r="AK271" i="7"/>
  <c r="AL511" i="7"/>
  <c r="AL520" i="7"/>
  <c r="AY526" i="7"/>
  <c r="AY538" i="7"/>
  <c r="AY539" i="7"/>
  <c r="AX544" i="7"/>
  <c r="AL178" i="7"/>
  <c r="AK190" i="7"/>
  <c r="AL223" i="7"/>
  <c r="AL367" i="7"/>
  <c r="AL369" i="7"/>
  <c r="AL428" i="7"/>
  <c r="AL430" i="7"/>
  <c r="AY490" i="7"/>
  <c r="AX543" i="7"/>
  <c r="AL169" i="7"/>
  <c r="AL219" i="7"/>
  <c r="AL507" i="7"/>
  <c r="AV564" i="7"/>
  <c r="AV570" i="7"/>
  <c r="AL170" i="7"/>
  <c r="AL414" i="7"/>
  <c r="AK182" i="7"/>
  <c r="AL138" i="7"/>
  <c r="AL146" i="7"/>
  <c r="AY148" i="7"/>
  <c r="AL26" i="7"/>
  <c r="AL20" i="7"/>
  <c r="AK59" i="7"/>
  <c r="AL83" i="7"/>
  <c r="AX92" i="7"/>
  <c r="AL96" i="7"/>
  <c r="AX104" i="7"/>
  <c r="AY115" i="7"/>
  <c r="AX119" i="7"/>
  <c r="AL157" i="7"/>
  <c r="AX182" i="7"/>
  <c r="AX183" i="7"/>
  <c r="AX184" i="7"/>
  <c r="AY239" i="7"/>
  <c r="AY240" i="7"/>
  <c r="AL241" i="7"/>
  <c r="AY272" i="7"/>
  <c r="AL274" i="7"/>
  <c r="AY303" i="7"/>
  <c r="AL311" i="7"/>
  <c r="AY344" i="7"/>
  <c r="AX105" i="7"/>
  <c r="AX109" i="7"/>
  <c r="AV110" i="7"/>
  <c r="AX118" i="7"/>
  <c r="AY156" i="7"/>
  <c r="AY182" i="7"/>
  <c r="AY183" i="7"/>
  <c r="AL242" i="7"/>
  <c r="AX333" i="7"/>
  <c r="AL334" i="7"/>
  <c r="AX461" i="7"/>
  <c r="AY535" i="7"/>
  <c r="AL540" i="7"/>
  <c r="AV565" i="7"/>
  <c r="AY268" i="7"/>
  <c r="AY311" i="7"/>
  <c r="AL12" i="7"/>
  <c r="AL10" i="7"/>
  <c r="AY100" i="7"/>
  <c r="AY108" i="7"/>
  <c r="AL122" i="7"/>
  <c r="AL165" i="7"/>
  <c r="AL173" i="7"/>
  <c r="AL187" i="7"/>
  <c r="AL202" i="7"/>
  <c r="AL231" i="7"/>
  <c r="AY261" i="7"/>
  <c r="AL287" i="7"/>
  <c r="AL399" i="7"/>
  <c r="AL495" i="7"/>
  <c r="AX10" i="7"/>
  <c r="AL130" i="7"/>
  <c r="AY172" i="7"/>
  <c r="AY232" i="7"/>
  <c r="AY267" i="7"/>
  <c r="AL281" i="7"/>
  <c r="AY283" i="7"/>
  <c r="AL284" i="7"/>
  <c r="AX569" i="7"/>
  <c r="AL50" i="7"/>
  <c r="AY165" i="7"/>
  <c r="AK185" i="7"/>
  <c r="AL259" i="7"/>
  <c r="AY397" i="7"/>
  <c r="AY399" i="7"/>
  <c r="AL422" i="7"/>
  <c r="AK503" i="7"/>
  <c r="AX545" i="7"/>
  <c r="AV563" i="7"/>
  <c r="AX565" i="7"/>
  <c r="AV571" i="7"/>
  <c r="AX61" i="7"/>
  <c r="AL491" i="7"/>
  <c r="AL503" i="7"/>
  <c r="AY50" i="7"/>
  <c r="AL220" i="7"/>
  <c r="AY224" i="7"/>
  <c r="AL225" i="7"/>
  <c r="AL459" i="7"/>
  <c r="AL460" i="7"/>
  <c r="AL6" i="7"/>
  <c r="AL22" i="7"/>
  <c r="AY52" i="7"/>
  <c r="AX8" i="7"/>
  <c r="AX24" i="7"/>
  <c r="AL36" i="7"/>
  <c r="AL37" i="7"/>
  <c r="AL40" i="7"/>
  <c r="AX55" i="7"/>
  <c r="AL60" i="7"/>
  <c r="AY61" i="7"/>
  <c r="AL84" i="7"/>
  <c r="AK106" i="7"/>
  <c r="AL113" i="7"/>
  <c r="AY166" i="7"/>
  <c r="AL167" i="7"/>
  <c r="AX328" i="7"/>
  <c r="AL328" i="7"/>
  <c r="AL106" i="7"/>
  <c r="AY160" i="7"/>
  <c r="AX210" i="7"/>
  <c r="AL210" i="7"/>
  <c r="AK258" i="7"/>
  <c r="AK264" i="7"/>
  <c r="AX276" i="7"/>
  <c r="AL276" i="7"/>
  <c r="AY315" i="7"/>
  <c r="AL315" i="7"/>
  <c r="AX327" i="7"/>
  <c r="AL327" i="7"/>
  <c r="AV52" i="7"/>
  <c r="AL65" i="7"/>
  <c r="AK67" i="7"/>
  <c r="AL88" i="7"/>
  <c r="AL97" i="7"/>
  <c r="AX103" i="7"/>
  <c r="AK118" i="7"/>
  <c r="AY207" i="7"/>
  <c r="AL207" i="7"/>
  <c r="AX275" i="7"/>
  <c r="AL275" i="7"/>
  <c r="AL301" i="7"/>
  <c r="AY301" i="7"/>
  <c r="AX301" i="7"/>
  <c r="AL14" i="7"/>
  <c r="AL32" i="7"/>
  <c r="AX64" i="7"/>
  <c r="AL66" i="7"/>
  <c r="AV68" i="7"/>
  <c r="AY89" i="7"/>
  <c r="AL90" i="7"/>
  <c r="AX106" i="7"/>
  <c r="AK116" i="7"/>
  <c r="AK120" i="7"/>
  <c r="AK152" i="7"/>
  <c r="AY161" i="7"/>
  <c r="AL161" i="7"/>
  <c r="AX168" i="7"/>
  <c r="AL168" i="7"/>
  <c r="AX264" i="7"/>
  <c r="AL264" i="7"/>
  <c r="AY313" i="7"/>
  <c r="AL313" i="7"/>
  <c r="AX393" i="7"/>
  <c r="AL393" i="7"/>
  <c r="AL16" i="7"/>
  <c r="AL30" i="7"/>
  <c r="AX51" i="7"/>
  <c r="AY64" i="7"/>
  <c r="AX65" i="7"/>
  <c r="AX68" i="7"/>
  <c r="AX70" i="7"/>
  <c r="AL75" i="7"/>
  <c r="AL91" i="7"/>
  <c r="AL98" i="7"/>
  <c r="AK109" i="7"/>
  <c r="AL116" i="7"/>
  <c r="AX117" i="7"/>
  <c r="AL119" i="7"/>
  <c r="AX121" i="7"/>
  <c r="AL128" i="7"/>
  <c r="AL136" i="7"/>
  <c r="AL144" i="7"/>
  <c r="AL152" i="7"/>
  <c r="AY175" i="7"/>
  <c r="AL175" i="7"/>
  <c r="AX176" i="7"/>
  <c r="AL176" i="7"/>
  <c r="AX194" i="7"/>
  <c r="AL194" i="7"/>
  <c r="AX204" i="7"/>
  <c r="AL204" i="7"/>
  <c r="AX252" i="7"/>
  <c r="AL252" i="7"/>
  <c r="AX263" i="7"/>
  <c r="AL263" i="7"/>
  <c r="AY312" i="7"/>
  <c r="AX312" i="7"/>
  <c r="AY121" i="7"/>
  <c r="AX174" i="7"/>
  <c r="AY174" i="7"/>
  <c r="AX188" i="7"/>
  <c r="AL188" i="7"/>
  <c r="AY203" i="7"/>
  <c r="AL203" i="7"/>
  <c r="AY251" i="7"/>
  <c r="AL251" i="7"/>
  <c r="AY91" i="7"/>
  <c r="AX234" i="7"/>
  <c r="AL234" i="7"/>
  <c r="AX282" i="7"/>
  <c r="AL282" i="7"/>
  <c r="AY81" i="7"/>
  <c r="AL82" i="7"/>
  <c r="AL93" i="7"/>
  <c r="AK104" i="7"/>
  <c r="AY158" i="7"/>
  <c r="AL160" i="7"/>
  <c r="AL162" i="7"/>
  <c r="AY164" i="7"/>
  <c r="AL186" i="7"/>
  <c r="AY186" i="7"/>
  <c r="AX353" i="7"/>
  <c r="AL353" i="7"/>
  <c r="AL184" i="7"/>
  <c r="AL196" i="7"/>
  <c r="AY200" i="7"/>
  <c r="AL201" i="7"/>
  <c r="AL227" i="7"/>
  <c r="AK231" i="7"/>
  <c r="AY242" i="7"/>
  <c r="AL244" i="7"/>
  <c r="AY248" i="7"/>
  <c r="AL249" i="7"/>
  <c r="AY259" i="7"/>
  <c r="AY260" i="7"/>
  <c r="AX261" i="7"/>
  <c r="AX267" i="7"/>
  <c r="AX268" i="7"/>
  <c r="AL299" i="7"/>
  <c r="AX309" i="7"/>
  <c r="AL310" i="7"/>
  <c r="AX325" i="7"/>
  <c r="AX336" i="7"/>
  <c r="AL337" i="7"/>
  <c r="AL340" i="7"/>
  <c r="AX347" i="7"/>
  <c r="AL348" i="7"/>
  <c r="AK350" i="7"/>
  <c r="AL375" i="7"/>
  <c r="AL377" i="7"/>
  <c r="AL385" i="7"/>
  <c r="AY407" i="7"/>
  <c r="AY408" i="7"/>
  <c r="AY410" i="7"/>
  <c r="AL412" i="7"/>
  <c r="AX465" i="7"/>
  <c r="AY466" i="7"/>
  <c r="AL467" i="7"/>
  <c r="AL468" i="7"/>
  <c r="AL496" i="7"/>
  <c r="AL512" i="7"/>
  <c r="AL528" i="7"/>
  <c r="AY563" i="7"/>
  <c r="AY573" i="7"/>
  <c r="AY226" i="7"/>
  <c r="AY298" i="7"/>
  <c r="AY325" i="7"/>
  <c r="AY383" i="7"/>
  <c r="AY428" i="7"/>
  <c r="AY431" i="7"/>
  <c r="AY432" i="7"/>
  <c r="AL433" i="7"/>
  <c r="AL471" i="7"/>
  <c r="AL472" i="7"/>
  <c r="AX486" i="7"/>
  <c r="AL487" i="7"/>
  <c r="AY495" i="7"/>
  <c r="AY511" i="7"/>
  <c r="AL514" i="7"/>
  <c r="AY527" i="7"/>
  <c r="AL531" i="7"/>
  <c r="AV578" i="7"/>
  <c r="AV586" i="7"/>
  <c r="AL256" i="7"/>
  <c r="AX257" i="7"/>
  <c r="AY310" i="7"/>
  <c r="AY389" i="7"/>
  <c r="AL391" i="7"/>
  <c r="AV399" i="7"/>
  <c r="AY412" i="7"/>
  <c r="AY434" i="7"/>
  <c r="AL436" i="7"/>
  <c r="AL488" i="7"/>
  <c r="AL499" i="7"/>
  <c r="AX515" i="7"/>
  <c r="AL532" i="7"/>
  <c r="AV572" i="7"/>
  <c r="AV575" i="7"/>
  <c r="AV583" i="7"/>
  <c r="AY202" i="7"/>
  <c r="AL239" i="7"/>
  <c r="AY250" i="7"/>
  <c r="AY262" i="7"/>
  <c r="AY326" i="7"/>
  <c r="AL343" i="7"/>
  <c r="AL438" i="7"/>
  <c r="AX473" i="7"/>
  <c r="AL475" i="7"/>
  <c r="AY487" i="7"/>
  <c r="AY498" i="7"/>
  <c r="AY514" i="7"/>
  <c r="AY515" i="7"/>
  <c r="AY531" i="7"/>
  <c r="AL212" i="7"/>
  <c r="AL218" i="7"/>
  <c r="AL236" i="7"/>
  <c r="AY256" i="7"/>
  <c r="AL283" i="7"/>
  <c r="AL302" i="7"/>
  <c r="AX317" i="7"/>
  <c r="AL318" i="7"/>
  <c r="AL319" i="7"/>
  <c r="AL320" i="7"/>
  <c r="AY342" i="7"/>
  <c r="AY351" i="7"/>
  <c r="AY391" i="7"/>
  <c r="AY394" i="7"/>
  <c r="AY395" i="7"/>
  <c r="AL396" i="7"/>
  <c r="AY436" i="7"/>
  <c r="AY439" i="7"/>
  <c r="AY440" i="7"/>
  <c r="AL441" i="7"/>
  <c r="AX478" i="7"/>
  <c r="AL479" i="7"/>
  <c r="AY499" i="7"/>
  <c r="AY534" i="7"/>
  <c r="AY302" i="7"/>
  <c r="AL323" i="7"/>
  <c r="AL336" i="7"/>
  <c r="AL347" i="7"/>
  <c r="AL483" i="7"/>
  <c r="AL492" i="7"/>
  <c r="AY503" i="7"/>
  <c r="AY517" i="7"/>
  <c r="AY518" i="7"/>
  <c r="AX519" i="7"/>
  <c r="AV566" i="7"/>
  <c r="AX572" i="7"/>
  <c r="AV579" i="7"/>
  <c r="AY173" i="7"/>
  <c r="AL181" i="7"/>
  <c r="AL199" i="7"/>
  <c r="AL226" i="7"/>
  <c r="AL243" i="7"/>
  <c r="AL247" i="7"/>
  <c r="AX260" i="7"/>
  <c r="AL292" i="7"/>
  <c r="AL298" i="7"/>
  <c r="AL324" i="7"/>
  <c r="AL339" i="7"/>
  <c r="AY346" i="7"/>
  <c r="AL383" i="7"/>
  <c r="AL404" i="7"/>
  <c r="AL406" i="7"/>
  <c r="AL409" i="7"/>
  <c r="AK417" i="7"/>
  <c r="AL452" i="7"/>
  <c r="AL454" i="7"/>
  <c r="AX457" i="7"/>
  <c r="AY482" i="7"/>
  <c r="AL484" i="7"/>
  <c r="AY491" i="7"/>
  <c r="AY523" i="7"/>
  <c r="AL527" i="7"/>
  <c r="AY537" i="7"/>
  <c r="AV568" i="7"/>
  <c r="AV569" i="7"/>
  <c r="AY571" i="7"/>
  <c r="AV576" i="7"/>
  <c r="AV584" i="7"/>
  <c r="AL11" i="7"/>
  <c r="AL15" i="7"/>
  <c r="AL23" i="7"/>
  <c r="AL27" i="7"/>
  <c r="AL31" i="7"/>
  <c r="AX7" i="7"/>
  <c r="AX11" i="7"/>
  <c r="AX15" i="7"/>
  <c r="AX19" i="7"/>
  <c r="AX23" i="7"/>
  <c r="AX27" i="7"/>
  <c r="AX31" i="7"/>
  <c r="AL38" i="7"/>
  <c r="AK47" i="7"/>
  <c r="AX58" i="7"/>
  <c r="AY68" i="7"/>
  <c r="AX73" i="7"/>
  <c r="AX81" i="7"/>
  <c r="AL85" i="7"/>
  <c r="AX90" i="7"/>
  <c r="AX95" i="7"/>
  <c r="AV121" i="7"/>
  <c r="AX35" i="7"/>
  <c r="AX43" i="7"/>
  <c r="AL47" i="7"/>
  <c r="AX49" i="7"/>
  <c r="AY67" i="7"/>
  <c r="AX67" i="7"/>
  <c r="AY107" i="7"/>
  <c r="AX107" i="7"/>
  <c r="AL114" i="7"/>
  <c r="AX32" i="7"/>
  <c r="AX38" i="7"/>
  <c r="AL45" i="7"/>
  <c r="AX48" i="7"/>
  <c r="AY49" i="7"/>
  <c r="AX54" i="7"/>
  <c r="AL63" i="7"/>
  <c r="AX69" i="7"/>
  <c r="AX85" i="7"/>
  <c r="AL13" i="7"/>
  <c r="AL17" i="7"/>
  <c r="AL29" i="7"/>
  <c r="AL33" i="7"/>
  <c r="AL39" i="7"/>
  <c r="AX41" i="7"/>
  <c r="AY47" i="7"/>
  <c r="AY48" i="7"/>
  <c r="AX59" i="7"/>
  <c r="AX74" i="7"/>
  <c r="AX82" i="7"/>
  <c r="AX102" i="7"/>
  <c r="AL102" i="7"/>
  <c r="AL5" i="7"/>
  <c r="AL9" i="7"/>
  <c r="AL21" i="7"/>
  <c r="AL25" i="7"/>
  <c r="AX13" i="7"/>
  <c r="AX17" i="7"/>
  <c r="AX21" i="7"/>
  <c r="AX25" i="7"/>
  <c r="AX29" i="7"/>
  <c r="AX33" i="7"/>
  <c r="AL42" i="7"/>
  <c r="AX45" i="7"/>
  <c r="AL56" i="7"/>
  <c r="AL71" i="7"/>
  <c r="AY86" i="7"/>
  <c r="AL86" i="7"/>
  <c r="AX87" i="7"/>
  <c r="AL103" i="7"/>
  <c r="AL107" i="7"/>
  <c r="AX39" i="7"/>
  <c r="AY87" i="7"/>
  <c r="AY101" i="7"/>
  <c r="AL101" i="7"/>
  <c r="AX42" i="7"/>
  <c r="AY46" i="7"/>
  <c r="AX46" i="7"/>
  <c r="AX56" i="7"/>
  <c r="AX71" i="7"/>
  <c r="AX94" i="7"/>
  <c r="AL94" i="7"/>
  <c r="AY99" i="7"/>
  <c r="AX99" i="7"/>
  <c r="AX114" i="7"/>
  <c r="AL120" i="7"/>
  <c r="AY120" i="7"/>
  <c r="AX120" i="7"/>
  <c r="AX57" i="7"/>
  <c r="AX72" i="7"/>
  <c r="AX80" i="7"/>
  <c r="AX88" i="7"/>
  <c r="AY93" i="7"/>
  <c r="AL109" i="7"/>
  <c r="AL123" i="7"/>
  <c r="AX125" i="7"/>
  <c r="AL131" i="7"/>
  <c r="AX133" i="7"/>
  <c r="AL139" i="7"/>
  <c r="AX141" i="7"/>
  <c r="AY146" i="7"/>
  <c r="AL147" i="7"/>
  <c r="AX149" i="7"/>
  <c r="AY154" i="7"/>
  <c r="AL155" i="7"/>
  <c r="AY162" i="7"/>
  <c r="AL163" i="7"/>
  <c r="AY170" i="7"/>
  <c r="AL171" i="7"/>
  <c r="AK174" i="7"/>
  <c r="AL179" i="7"/>
  <c r="AK180" i="7"/>
  <c r="AX185" i="7"/>
  <c r="AL189" i="7"/>
  <c r="AX191" i="7"/>
  <c r="AY196" i="7"/>
  <c r="AL197" i="7"/>
  <c r="AX199" i="7"/>
  <c r="AY204" i="7"/>
  <c r="AL205" i="7"/>
  <c r="AX207" i="7"/>
  <c r="AL213" i="7"/>
  <c r="AX215" i="7"/>
  <c r="AL221" i="7"/>
  <c r="AX223" i="7"/>
  <c r="AY228" i="7"/>
  <c r="AL229" i="7"/>
  <c r="AX231" i="7"/>
  <c r="AL237" i="7"/>
  <c r="AY244" i="7"/>
  <c r="AL245" i="7"/>
  <c r="AX247" i="7"/>
  <c r="AL253" i="7"/>
  <c r="AX255" i="7"/>
  <c r="AL257" i="7"/>
  <c r="AL265" i="7"/>
  <c r="AX271" i="7"/>
  <c r="AL277" i="7"/>
  <c r="AX279" i="7"/>
  <c r="AY284" i="7"/>
  <c r="AL285" i="7"/>
  <c r="AX287" i="7"/>
  <c r="AL293" i="7"/>
  <c r="AX295" i="7"/>
  <c r="AX305" i="7"/>
  <c r="AX313" i="7"/>
  <c r="AX321" i="7"/>
  <c r="AX329" i="7"/>
  <c r="AX337" i="7"/>
  <c r="AL89" i="7"/>
  <c r="AX100" i="7"/>
  <c r="AX108" i="7"/>
  <c r="AK112" i="7"/>
  <c r="AL115" i="7"/>
  <c r="AL126" i="7"/>
  <c r="AL134" i="7"/>
  <c r="AL142" i="7"/>
  <c r="AL150" i="7"/>
  <c r="AK153" i="7"/>
  <c r="AL158" i="7"/>
  <c r="AL166" i="7"/>
  <c r="AL174" i="7"/>
  <c r="AL180" i="7"/>
  <c r="AY185" i="7"/>
  <c r="AX186" i="7"/>
  <c r="AL192" i="7"/>
  <c r="AL200" i="7"/>
  <c r="AL208" i="7"/>
  <c r="AL216" i="7"/>
  <c r="AL224" i="7"/>
  <c r="AK227" i="7"/>
  <c r="AL232" i="7"/>
  <c r="AL240" i="7"/>
  <c r="AL248" i="7"/>
  <c r="AL258" i="7"/>
  <c r="AL266" i="7"/>
  <c r="AY271" i="7"/>
  <c r="AL272" i="7"/>
  <c r="AL280" i="7"/>
  <c r="AL288" i="7"/>
  <c r="AL296" i="7"/>
  <c r="AX306" i="7"/>
  <c r="AX314" i="7"/>
  <c r="AX322" i="7"/>
  <c r="AX330" i="7"/>
  <c r="AX338" i="7"/>
  <c r="AX123" i="7"/>
  <c r="AX131" i="7"/>
  <c r="AX139" i="7"/>
  <c r="AX147" i="7"/>
  <c r="AX155" i="7"/>
  <c r="AX163" i="7"/>
  <c r="AX171" i="7"/>
  <c r="AX179" i="7"/>
  <c r="AX189" i="7"/>
  <c r="AX197" i="7"/>
  <c r="AX205" i="7"/>
  <c r="AX213" i="7"/>
  <c r="AX221" i="7"/>
  <c r="AX229" i="7"/>
  <c r="AX237" i="7"/>
  <c r="AX245" i="7"/>
  <c r="AX253" i="7"/>
  <c r="AX265" i="7"/>
  <c r="AX277" i="7"/>
  <c r="AX285" i="7"/>
  <c r="AX293" i="7"/>
  <c r="AY314" i="7"/>
  <c r="AY322" i="7"/>
  <c r="AY338" i="7"/>
  <c r="AL110" i="7"/>
  <c r="AL124" i="7"/>
  <c r="AL132" i="7"/>
  <c r="AL140" i="7"/>
  <c r="AL148" i="7"/>
  <c r="AL156" i="7"/>
  <c r="AL164" i="7"/>
  <c r="AL172" i="7"/>
  <c r="AL190" i="7"/>
  <c r="AL198" i="7"/>
  <c r="AL206" i="7"/>
  <c r="AL214" i="7"/>
  <c r="AL222" i="7"/>
  <c r="AL230" i="7"/>
  <c r="AL238" i="7"/>
  <c r="AL246" i="7"/>
  <c r="AL254" i="7"/>
  <c r="AX258" i="7"/>
  <c r="AX266" i="7"/>
  <c r="AL278" i="7"/>
  <c r="AL286" i="7"/>
  <c r="AL294" i="7"/>
  <c r="AL304" i="7"/>
  <c r="AL312" i="7"/>
  <c r="AY350" i="7"/>
  <c r="AL350" i="7"/>
  <c r="AX112" i="7"/>
  <c r="AX116" i="7"/>
  <c r="AL127" i="7"/>
  <c r="AX129" i="7"/>
  <c r="AL135" i="7"/>
  <c r="AX137" i="7"/>
  <c r="AL143" i="7"/>
  <c r="AX145" i="7"/>
  <c r="AL151" i="7"/>
  <c r="AX153" i="7"/>
  <c r="AL159" i="7"/>
  <c r="AX161" i="7"/>
  <c r="AX169" i="7"/>
  <c r="AX177" i="7"/>
  <c r="AX187" i="7"/>
  <c r="AX195" i="7"/>
  <c r="AX203" i="7"/>
  <c r="AX211" i="7"/>
  <c r="AX219" i="7"/>
  <c r="AX227" i="7"/>
  <c r="AX235" i="7"/>
  <c r="AX243" i="7"/>
  <c r="AX251" i="7"/>
  <c r="AX291" i="7"/>
  <c r="AX307" i="7"/>
  <c r="AX315" i="7"/>
  <c r="AX323" i="7"/>
  <c r="AX331" i="7"/>
  <c r="AX339" i="7"/>
  <c r="AX190" i="7"/>
  <c r="AX198" i="7"/>
  <c r="AX206" i="7"/>
  <c r="AX214" i="7"/>
  <c r="AX222" i="7"/>
  <c r="AX230" i="7"/>
  <c r="AX238" i="7"/>
  <c r="AX246" i="7"/>
  <c r="AX254" i="7"/>
  <c r="AX278" i="7"/>
  <c r="AX286" i="7"/>
  <c r="AX294" i="7"/>
  <c r="AX127" i="7"/>
  <c r="AX135" i="7"/>
  <c r="AX143" i="7"/>
  <c r="AX151" i="7"/>
  <c r="AX159" i="7"/>
  <c r="AX167" i="7"/>
  <c r="AX175" i="7"/>
  <c r="AX193" i="7"/>
  <c r="AX201" i="7"/>
  <c r="AX209" i="7"/>
  <c r="AX217" i="7"/>
  <c r="AX225" i="7"/>
  <c r="AX233" i="7"/>
  <c r="AX241" i="7"/>
  <c r="AX249" i="7"/>
  <c r="AX273" i="7"/>
  <c r="AX281" i="7"/>
  <c r="AX289" i="7"/>
  <c r="AX297" i="7"/>
  <c r="AK328" i="7"/>
  <c r="AK325" i="7"/>
  <c r="AX345" i="7"/>
  <c r="AY345" i="7"/>
  <c r="AX300" i="7"/>
  <c r="AX308" i="7"/>
  <c r="AX316" i="7"/>
  <c r="AX324" i="7"/>
  <c r="AX332" i="7"/>
  <c r="AX340" i="7"/>
  <c r="AL346" i="7"/>
  <c r="AX348" i="7"/>
  <c r="AL354" i="7"/>
  <c r="AX356" i="7"/>
  <c r="AL362" i="7"/>
  <c r="AX364" i="7"/>
  <c r="AL370" i="7"/>
  <c r="AX372" i="7"/>
  <c r="AL378" i="7"/>
  <c r="AX380" i="7"/>
  <c r="AY385" i="7"/>
  <c r="AL386" i="7"/>
  <c r="AX388" i="7"/>
  <c r="AY393" i="7"/>
  <c r="AL394" i="7"/>
  <c r="AX396" i="7"/>
  <c r="AX401" i="7"/>
  <c r="AY406" i="7"/>
  <c r="AL407" i="7"/>
  <c r="AX409" i="7"/>
  <c r="AY414" i="7"/>
  <c r="AL415" i="7"/>
  <c r="AX417" i="7"/>
  <c r="AL423" i="7"/>
  <c r="AX425" i="7"/>
  <c r="AY430" i="7"/>
  <c r="AL431" i="7"/>
  <c r="AX433" i="7"/>
  <c r="AY438" i="7"/>
  <c r="AL439" i="7"/>
  <c r="AX441" i="7"/>
  <c r="AK442" i="7"/>
  <c r="AL447" i="7"/>
  <c r="AX449" i="7"/>
  <c r="AY454" i="7"/>
  <c r="AL455" i="7"/>
  <c r="AL458" i="7"/>
  <c r="AY461" i="7"/>
  <c r="AL462" i="7"/>
  <c r="AK466" i="7"/>
  <c r="AX474" i="7"/>
  <c r="AL510" i="7"/>
  <c r="AY510" i="7"/>
  <c r="AL349" i="7"/>
  <c r="AL357" i="7"/>
  <c r="AL365" i="7"/>
  <c r="AL373" i="7"/>
  <c r="AL381" i="7"/>
  <c r="AL389" i="7"/>
  <c r="AL397" i="7"/>
  <c r="AL402" i="7"/>
  <c r="AL410" i="7"/>
  <c r="AL418" i="7"/>
  <c r="AL426" i="7"/>
  <c r="AL434" i="7"/>
  <c r="AL442" i="7"/>
  <c r="AL450" i="7"/>
  <c r="AL466" i="7"/>
  <c r="AL469" i="7"/>
  <c r="AX470" i="7"/>
  <c r="AY481" i="7"/>
  <c r="AL481" i="7"/>
  <c r="AY489" i="7"/>
  <c r="AL489" i="7"/>
  <c r="AY497" i="7"/>
  <c r="AL497" i="7"/>
  <c r="AL352" i="7"/>
  <c r="AL360" i="7"/>
  <c r="AL368" i="7"/>
  <c r="AL376" i="7"/>
  <c r="AL384" i="7"/>
  <c r="AL392" i="7"/>
  <c r="AL405" i="7"/>
  <c r="AL413" i="7"/>
  <c r="AL421" i="7"/>
  <c r="AL429" i="7"/>
  <c r="AL437" i="7"/>
  <c r="AL445" i="7"/>
  <c r="AL453" i="7"/>
  <c r="AL355" i="7"/>
  <c r="AL363" i="7"/>
  <c r="AL371" i="7"/>
  <c r="AL379" i="7"/>
  <c r="AL387" i="7"/>
  <c r="AL395" i="7"/>
  <c r="AL400" i="7"/>
  <c r="AL408" i="7"/>
  <c r="AL416" i="7"/>
  <c r="AL424" i="7"/>
  <c r="AL432" i="7"/>
  <c r="AL440" i="7"/>
  <c r="AL448" i="7"/>
  <c r="AL456" i="7"/>
  <c r="AX352" i="7"/>
  <c r="AL358" i="7"/>
  <c r="AX360" i="7"/>
  <c r="AL366" i="7"/>
  <c r="AX368" i="7"/>
  <c r="AL374" i="7"/>
  <c r="AX376" i="7"/>
  <c r="AL382" i="7"/>
  <c r="AX384" i="7"/>
  <c r="AL390" i="7"/>
  <c r="AX392" i="7"/>
  <c r="AL398" i="7"/>
  <c r="AL403" i="7"/>
  <c r="AX405" i="7"/>
  <c r="AL411" i="7"/>
  <c r="AX413" i="7"/>
  <c r="AL419" i="7"/>
  <c r="AX421" i="7"/>
  <c r="AL427" i="7"/>
  <c r="AX429" i="7"/>
  <c r="AL435" i="7"/>
  <c r="AX437" i="7"/>
  <c r="AX445" i="7"/>
  <c r="AX453" i="7"/>
  <c r="AY485" i="7"/>
  <c r="AL485" i="7"/>
  <c r="AX494" i="7"/>
  <c r="AL502" i="7"/>
  <c r="AY502" i="7"/>
  <c r="AX456" i="7"/>
  <c r="AX476" i="7"/>
  <c r="AL477" i="7"/>
  <c r="AY486" i="7"/>
  <c r="AY494" i="7"/>
  <c r="AX358" i="7"/>
  <c r="AX366" i="7"/>
  <c r="AX374" i="7"/>
  <c r="AX382" i="7"/>
  <c r="AX390" i="7"/>
  <c r="AX398" i="7"/>
  <c r="AX403" i="7"/>
  <c r="AX411" i="7"/>
  <c r="AX419" i="7"/>
  <c r="AX427" i="7"/>
  <c r="AX435" i="7"/>
  <c r="AX443" i="7"/>
  <c r="AX451" i="7"/>
  <c r="AX464" i="7"/>
  <c r="AY480" i="7"/>
  <c r="AY488" i="7"/>
  <c r="AY496" i="7"/>
  <c r="AY504" i="7"/>
  <c r="AL505" i="7"/>
  <c r="AL513" i="7"/>
  <c r="AY516" i="7"/>
  <c r="AX517" i="7"/>
  <c r="AY524" i="7"/>
  <c r="AL525" i="7"/>
  <c r="AY532" i="7"/>
  <c r="AL533" i="7"/>
  <c r="AY536" i="7"/>
  <c r="AX537" i="7"/>
  <c r="AY547" i="7"/>
  <c r="AY548" i="7"/>
  <c r="AY549" i="7"/>
  <c r="AY550" i="7"/>
  <c r="AY551" i="7"/>
  <c r="AY552" i="7"/>
  <c r="AY553" i="7"/>
  <c r="AY554" i="7"/>
  <c r="AY555" i="7"/>
  <c r="AY556" i="7"/>
  <c r="AY557" i="7"/>
  <c r="AY558" i="7"/>
  <c r="AY559" i="7"/>
  <c r="AY560" i="7"/>
  <c r="AY561" i="7"/>
  <c r="AY562" i="7"/>
  <c r="AY570" i="7"/>
  <c r="AX522" i="7"/>
  <c r="AX530" i="7"/>
  <c r="AX505" i="7"/>
  <c r="AX513" i="7"/>
  <c r="AY522" i="7"/>
  <c r="AX525" i="7"/>
  <c r="AY530" i="7"/>
  <c r="AX533" i="7"/>
  <c r="AL482" i="7"/>
  <c r="AX484" i="7"/>
  <c r="AL490" i="7"/>
  <c r="AX492" i="7"/>
  <c r="AL498" i="7"/>
  <c r="AX500" i="7"/>
  <c r="AL506" i="7"/>
  <c r="AX508" i="7"/>
  <c r="AX520" i="7"/>
  <c r="AL526" i="7"/>
  <c r="AX528" i="7"/>
  <c r="AL534" i="7"/>
  <c r="AX540" i="7"/>
  <c r="AX566" i="7"/>
  <c r="AL493" i="7"/>
  <c r="AL501" i="7"/>
  <c r="AL509" i="7"/>
  <c r="AL521" i="7"/>
  <c r="AL529" i="7"/>
  <c r="AX541" i="7"/>
  <c r="AX567" i="7"/>
  <c r="AL516" i="7"/>
  <c r="AL536" i="7"/>
  <c r="AL546" i="7"/>
  <c r="AX493" i="7"/>
  <c r="AX501" i="7"/>
  <c r="AX509" i="7"/>
  <c r="AX521" i="7"/>
  <c r="AX529" i="7"/>
  <c r="AY276" i="7"/>
  <c r="AY512" i="7"/>
  <c r="AY425" i="7"/>
  <c r="AY293" i="7"/>
  <c r="AY291" i="7"/>
  <c r="AY452" i="7"/>
  <c r="AY80" i="7"/>
  <c r="AY18" i="7"/>
  <c r="AY369" i="7"/>
  <c r="AY122" i="7"/>
  <c r="AY360" i="7"/>
  <c r="AY213" i="7"/>
  <c r="AY418" i="7"/>
  <c r="AY134" i="7"/>
  <c r="AY58" i="7"/>
  <c r="AY128" i="7"/>
  <c r="AY264" i="7"/>
  <c r="AY140" i="7"/>
  <c r="AY138" i="7"/>
  <c r="AY36" i="7"/>
  <c r="AY368" i="7"/>
  <c r="AY308" i="7"/>
  <c r="AY457" i="7"/>
  <c r="AY420" i="7"/>
  <c r="AY444" i="7"/>
  <c r="AY188" i="7"/>
  <c r="AY279" i="7"/>
  <c r="AY194" i="7"/>
  <c r="AY289" i="7"/>
  <c r="AY151" i="7"/>
  <c r="AY359" i="7"/>
  <c r="AY280" i="7"/>
  <c r="AY361" i="7"/>
  <c r="AY12" i="7"/>
  <c r="AY33" i="7"/>
  <c r="AY472" i="7"/>
  <c r="AY363" i="7"/>
  <c r="AY55" i="7"/>
  <c r="AY506" i="7"/>
  <c r="AY214" i="7"/>
  <c r="AY123" i="7"/>
  <c r="AY459" i="7"/>
  <c r="AY253" i="7"/>
  <c r="AY98" i="7"/>
  <c r="AY136" i="7"/>
  <c r="AY415" i="7"/>
  <c r="AY238" i="7"/>
  <c r="AY216" i="7"/>
  <c r="AY424" i="7"/>
  <c r="AY471" i="7"/>
  <c r="AY29" i="7"/>
  <c r="AY467" i="7"/>
  <c r="AY456" i="7"/>
  <c r="AY95" i="7"/>
  <c r="AY11" i="7"/>
  <c r="AY142" i="7"/>
  <c r="AY290" i="7"/>
  <c r="AY252" i="7"/>
  <c r="AY356" i="7"/>
  <c r="AY460" i="7"/>
  <c r="AY72" i="7"/>
  <c r="AY211" i="7"/>
  <c r="AY419" i="7"/>
  <c r="AY288" i="7"/>
  <c r="AY53" i="7"/>
  <c r="AY292" i="7"/>
  <c r="AY353" i="7"/>
  <c r="AY6" i="7"/>
  <c r="AY352" i="7"/>
  <c r="AY546" i="7"/>
  <c r="AY139" i="7"/>
  <c r="AY97" i="7"/>
  <c r="AY275" i="7"/>
  <c r="AY234" i="7"/>
  <c r="AY54" i="7"/>
  <c r="AY189" i="7"/>
  <c r="AY23" i="7"/>
  <c r="AY179" i="7"/>
  <c r="AY273" i="7"/>
  <c r="AY38" i="7"/>
  <c r="AY131" i="7"/>
  <c r="AY331" i="7"/>
  <c r="AY334" i="7"/>
  <c r="AY75" i="7"/>
  <c r="AY365" i="7"/>
  <c r="AY463" i="7"/>
  <c r="AY421" i="7"/>
  <c r="AY475" i="7"/>
  <c r="AY236" i="7"/>
  <c r="AY132" i="7"/>
  <c r="AY59" i="7"/>
  <c r="AY149" i="7"/>
  <c r="AY4" i="7"/>
  <c r="AY26" i="7"/>
  <c r="AY423" i="7"/>
  <c r="AY378" i="7"/>
  <c r="AY16" i="7"/>
  <c r="AY373" i="7"/>
  <c r="AY476" i="7"/>
  <c r="AY39" i="7"/>
  <c r="AY446" i="7"/>
  <c r="AY416" i="7"/>
  <c r="AY357" i="7"/>
  <c r="AY473" i="7"/>
  <c r="AY233" i="7"/>
  <c r="AY367" i="7"/>
  <c r="AY278" i="7"/>
  <c r="AY328" i="7"/>
  <c r="AY277" i="7"/>
  <c r="AY126" i="7"/>
  <c r="AY9" i="7"/>
  <c r="AY40" i="7"/>
  <c r="AY34" i="7"/>
  <c r="AY371" i="7"/>
  <c r="AY130" i="7"/>
  <c r="AY417" i="7"/>
  <c r="AY177" i="7"/>
  <c r="AY42" i="7"/>
  <c r="AY318" i="7"/>
  <c r="AY7" i="7"/>
  <c r="AY133" i="7"/>
  <c r="AY327" i="7"/>
  <c r="AY462" i="7"/>
  <c r="AY71" i="7"/>
  <c r="AY24" i="7"/>
  <c r="AY295" i="7"/>
  <c r="AY448" i="7"/>
  <c r="AY478" i="7"/>
  <c r="AY19" i="7"/>
  <c r="AY479" i="7"/>
  <c r="AY370" i="7"/>
  <c r="AY135" i="7"/>
  <c r="AY274" i="7"/>
  <c r="AY35" i="7"/>
  <c r="AY153" i="7"/>
  <c r="AY405" i="7"/>
  <c r="AY377" i="7"/>
  <c r="AY70" i="7"/>
  <c r="AY263" i="7"/>
  <c r="AY381" i="7"/>
  <c r="AY379" i="7"/>
  <c r="AY294" i="7"/>
  <c r="AY374" i="7"/>
  <c r="AY17" i="7"/>
  <c r="AY382" i="7"/>
  <c r="AY14" i="7"/>
  <c r="AY127" i="7"/>
  <c r="AY265" i="7"/>
  <c r="AY362" i="7"/>
  <c r="AY513" i="7"/>
  <c r="AY30" i="7"/>
  <c r="AY96" i="7"/>
  <c r="AY402" i="7"/>
  <c r="AY217" i="7"/>
  <c r="AY143" i="7"/>
  <c r="AY137" i="7"/>
  <c r="AY73" i="7"/>
  <c r="AY74" i="7"/>
  <c r="AY404" i="7"/>
  <c r="AY375" i="7"/>
  <c r="AY296" i="7"/>
  <c r="AY468" i="7"/>
  <c r="AY237" i="7"/>
  <c r="AY212" i="7"/>
  <c r="AY426" i="7"/>
  <c r="AY112" i="7"/>
  <c r="AY254" i="7"/>
  <c r="AY422" i="7"/>
  <c r="AY144" i="7"/>
  <c r="AY319" i="7"/>
  <c r="AY307" i="7"/>
  <c r="AY332" i="7"/>
  <c r="AY56" i="7"/>
  <c r="AY477" i="7"/>
  <c r="AY354" i="7"/>
  <c r="AY21" i="7"/>
  <c r="AY111" i="7"/>
  <c r="AY355" i="7"/>
  <c r="AY44" i="7"/>
  <c r="AY192" i="7"/>
  <c r="AY220" i="7"/>
  <c r="AY178" i="7"/>
  <c r="AY358" i="7"/>
  <c r="AY208" i="7"/>
  <c r="AY190" i="7"/>
  <c r="AY400" i="7"/>
  <c r="AY447" i="7"/>
  <c r="AY69" i="7"/>
  <c r="AY453" i="7"/>
  <c r="AY60" i="7"/>
  <c r="AY508" i="7"/>
  <c r="AY5" i="7"/>
  <c r="AY37" i="7"/>
  <c r="AY114" i="7"/>
  <c r="AY31" i="7"/>
  <c r="AY13" i="7"/>
  <c r="AY22" i="7"/>
  <c r="AY113" i="7"/>
  <c r="AY507" i="7"/>
  <c r="AY376" i="7"/>
  <c r="AY124" i="7"/>
  <c r="AY469" i="7"/>
  <c r="AY366" i="7"/>
  <c r="AY210" i="7"/>
  <c r="AY330" i="7"/>
  <c r="AY191" i="7"/>
  <c r="AY455" i="7"/>
  <c r="AY304" i="7"/>
  <c r="AY403" i="7"/>
  <c r="AY8" i="7"/>
  <c r="AY465" i="7"/>
  <c r="AY306" i="7"/>
  <c r="AY28" i="7"/>
  <c r="AY458" i="7"/>
  <c r="AY218" i="7"/>
  <c r="AY150" i="7"/>
  <c r="AY145" i="7"/>
  <c r="AY380" i="7"/>
  <c r="AY15" i="7"/>
  <c r="AY470" i="7"/>
  <c r="AY215" i="7"/>
  <c r="AY372" i="7"/>
  <c r="AY152" i="7"/>
  <c r="AY445" i="7"/>
  <c r="Z111" i="1" l="1"/>
  <c r="Y111" i="1"/>
  <c r="X111" i="1"/>
  <c r="V111" i="1"/>
  <c r="U111" i="1"/>
  <c r="T111" i="1"/>
  <c r="S111" i="1"/>
  <c r="R111" i="1"/>
  <c r="Q111" i="1"/>
  <c r="P111" i="1"/>
  <c r="AL111" i="1"/>
  <c r="AZ111" i="1" l="1"/>
  <c r="Z415" i="1" l="1"/>
  <c r="Y415" i="1"/>
  <c r="X415" i="1"/>
  <c r="V415" i="1"/>
  <c r="U415" i="1"/>
  <c r="T415" i="1"/>
  <c r="S415" i="1"/>
  <c r="R415" i="1"/>
  <c r="Q415" i="1"/>
  <c r="P415" i="1"/>
  <c r="Z414" i="1"/>
  <c r="Y414" i="1"/>
  <c r="X414" i="1"/>
  <c r="V414" i="1"/>
  <c r="U414" i="1"/>
  <c r="T414" i="1"/>
  <c r="S414" i="1"/>
  <c r="R414" i="1"/>
  <c r="Q414" i="1"/>
  <c r="P414" i="1"/>
  <c r="BA414" i="1"/>
  <c r="Z413" i="1"/>
  <c r="Y413" i="1"/>
  <c r="X413" i="1"/>
  <c r="V413" i="1"/>
  <c r="U413" i="1"/>
  <c r="T413" i="1"/>
  <c r="S413" i="1"/>
  <c r="R413" i="1"/>
  <c r="Q413" i="1"/>
  <c r="P413" i="1"/>
  <c r="Z412" i="1"/>
  <c r="Y412" i="1"/>
  <c r="X412" i="1"/>
  <c r="V412" i="1"/>
  <c r="U412" i="1"/>
  <c r="T412" i="1"/>
  <c r="S412" i="1"/>
  <c r="R412" i="1"/>
  <c r="Q412" i="1"/>
  <c r="P412" i="1"/>
  <c r="BA412" i="1"/>
  <c r="Z411" i="1"/>
  <c r="Y411" i="1"/>
  <c r="X411" i="1"/>
  <c r="V411" i="1"/>
  <c r="U411" i="1"/>
  <c r="T411" i="1"/>
  <c r="S411" i="1"/>
  <c r="R411" i="1"/>
  <c r="Q411" i="1"/>
  <c r="P411" i="1"/>
  <c r="BA411" i="1"/>
  <c r="Z410" i="1"/>
  <c r="Y410" i="1"/>
  <c r="X410" i="1"/>
  <c r="V410" i="1"/>
  <c r="U410" i="1"/>
  <c r="T410" i="1"/>
  <c r="S410" i="1"/>
  <c r="R410" i="1"/>
  <c r="Q410" i="1"/>
  <c r="P410" i="1"/>
  <c r="Z409" i="1"/>
  <c r="Y409" i="1"/>
  <c r="X409" i="1"/>
  <c r="V409" i="1"/>
  <c r="U409" i="1"/>
  <c r="T409" i="1"/>
  <c r="S409" i="1"/>
  <c r="R409" i="1"/>
  <c r="Q409" i="1"/>
  <c r="P409" i="1"/>
  <c r="Z408" i="1"/>
  <c r="Y408" i="1"/>
  <c r="X408" i="1"/>
  <c r="V408" i="1"/>
  <c r="U408" i="1"/>
  <c r="T408" i="1"/>
  <c r="S408" i="1"/>
  <c r="R408" i="1"/>
  <c r="Q408" i="1"/>
  <c r="P408" i="1"/>
  <c r="Z407" i="1"/>
  <c r="Y407" i="1"/>
  <c r="X407" i="1"/>
  <c r="V407" i="1"/>
  <c r="U407" i="1"/>
  <c r="T407" i="1"/>
  <c r="S407" i="1"/>
  <c r="R407" i="1"/>
  <c r="Q407" i="1"/>
  <c r="P407" i="1"/>
  <c r="Z406" i="1"/>
  <c r="Y406" i="1"/>
  <c r="X406" i="1"/>
  <c r="V406" i="1"/>
  <c r="U406" i="1"/>
  <c r="T406" i="1"/>
  <c r="S406" i="1"/>
  <c r="R406" i="1"/>
  <c r="Q406" i="1"/>
  <c r="P406" i="1"/>
  <c r="Z405" i="1"/>
  <c r="Y405" i="1"/>
  <c r="X405" i="1"/>
  <c r="V405" i="1"/>
  <c r="U405" i="1"/>
  <c r="T405" i="1"/>
  <c r="S405" i="1"/>
  <c r="R405" i="1"/>
  <c r="Q405" i="1"/>
  <c r="P405" i="1"/>
  <c r="Z404" i="1"/>
  <c r="Y404" i="1"/>
  <c r="X404" i="1"/>
  <c r="V404" i="1"/>
  <c r="U404" i="1"/>
  <c r="T404" i="1"/>
  <c r="S404" i="1"/>
  <c r="R404" i="1"/>
  <c r="Q404" i="1"/>
  <c r="P404" i="1"/>
  <c r="Z312" i="1"/>
  <c r="Y312" i="1"/>
  <c r="X312" i="1"/>
  <c r="V312" i="1"/>
  <c r="U312" i="1"/>
  <c r="T312" i="1"/>
  <c r="S312" i="1"/>
  <c r="R312" i="1"/>
  <c r="Q312" i="1"/>
  <c r="P312" i="1"/>
  <c r="Z311" i="1"/>
  <c r="Y311" i="1"/>
  <c r="X311" i="1"/>
  <c r="V311" i="1"/>
  <c r="U311" i="1"/>
  <c r="T311" i="1"/>
  <c r="S311" i="1"/>
  <c r="R311" i="1"/>
  <c r="Q311" i="1"/>
  <c r="P311" i="1"/>
  <c r="Z310" i="1"/>
  <c r="Y310" i="1"/>
  <c r="X310" i="1"/>
  <c r="V310" i="1"/>
  <c r="U310" i="1"/>
  <c r="T310" i="1"/>
  <c r="S310" i="1"/>
  <c r="R310" i="1"/>
  <c r="Q310" i="1"/>
  <c r="P310" i="1"/>
  <c r="Z309" i="1"/>
  <c r="Y309" i="1"/>
  <c r="X309" i="1"/>
  <c r="V309" i="1"/>
  <c r="U309" i="1"/>
  <c r="T309" i="1"/>
  <c r="S309" i="1"/>
  <c r="R309" i="1"/>
  <c r="Q309" i="1"/>
  <c r="P309" i="1"/>
  <c r="BA309" i="1"/>
  <c r="Z308" i="1"/>
  <c r="Y308" i="1"/>
  <c r="X308" i="1"/>
  <c r="V308" i="1"/>
  <c r="U308" i="1"/>
  <c r="T308" i="1"/>
  <c r="S308" i="1"/>
  <c r="R308" i="1"/>
  <c r="Q308" i="1"/>
  <c r="P308" i="1"/>
  <c r="Z303" i="1"/>
  <c r="Y303" i="1"/>
  <c r="X303" i="1"/>
  <c r="V303" i="1"/>
  <c r="U303" i="1"/>
  <c r="T303" i="1"/>
  <c r="S303" i="1"/>
  <c r="R303" i="1"/>
  <c r="Q303" i="1"/>
  <c r="P303" i="1"/>
  <c r="Z302" i="1"/>
  <c r="Y302" i="1"/>
  <c r="X302" i="1"/>
  <c r="V302" i="1"/>
  <c r="U302" i="1"/>
  <c r="T302" i="1"/>
  <c r="S302" i="1"/>
  <c r="R302" i="1"/>
  <c r="Q302" i="1"/>
  <c r="P302" i="1"/>
  <c r="BA302" i="1"/>
  <c r="Z301" i="1"/>
  <c r="Y301" i="1"/>
  <c r="X301" i="1"/>
  <c r="V301" i="1"/>
  <c r="U301" i="1"/>
  <c r="T301" i="1"/>
  <c r="S301" i="1"/>
  <c r="R301" i="1"/>
  <c r="Q301" i="1"/>
  <c r="P301" i="1"/>
  <c r="BA301" i="1"/>
  <c r="Z300" i="1"/>
  <c r="Y300" i="1"/>
  <c r="X300" i="1"/>
  <c r="V300" i="1"/>
  <c r="U300" i="1"/>
  <c r="T300" i="1"/>
  <c r="S300" i="1"/>
  <c r="R300" i="1"/>
  <c r="Q300" i="1"/>
  <c r="P300" i="1"/>
  <c r="Z299" i="1"/>
  <c r="Y299" i="1"/>
  <c r="X299" i="1"/>
  <c r="V299" i="1"/>
  <c r="U299" i="1"/>
  <c r="T299" i="1"/>
  <c r="S299" i="1"/>
  <c r="R299" i="1"/>
  <c r="Q299" i="1"/>
  <c r="P299" i="1"/>
  <c r="Z298" i="1"/>
  <c r="Y298" i="1"/>
  <c r="X298" i="1"/>
  <c r="V298" i="1"/>
  <c r="U298" i="1"/>
  <c r="T298" i="1"/>
  <c r="S298" i="1"/>
  <c r="R298" i="1"/>
  <c r="Q298" i="1"/>
  <c r="P298" i="1"/>
  <c r="Z292" i="1"/>
  <c r="Y292" i="1"/>
  <c r="X292" i="1"/>
  <c r="V292" i="1"/>
  <c r="U292" i="1"/>
  <c r="T292" i="1"/>
  <c r="S292" i="1"/>
  <c r="R292" i="1"/>
  <c r="Q292" i="1"/>
  <c r="P292" i="1"/>
  <c r="Z291" i="1"/>
  <c r="Y291" i="1"/>
  <c r="X291" i="1"/>
  <c r="V291" i="1"/>
  <c r="U291" i="1"/>
  <c r="T291" i="1"/>
  <c r="S291" i="1"/>
  <c r="R291" i="1"/>
  <c r="Q291" i="1"/>
  <c r="P291" i="1"/>
  <c r="BA291" i="1"/>
  <c r="Z290" i="1"/>
  <c r="Y290" i="1"/>
  <c r="X290" i="1"/>
  <c r="V290" i="1"/>
  <c r="U290" i="1"/>
  <c r="T290" i="1"/>
  <c r="S290" i="1"/>
  <c r="R290" i="1"/>
  <c r="Q290" i="1"/>
  <c r="P290" i="1"/>
  <c r="Z289" i="1"/>
  <c r="Y289" i="1"/>
  <c r="X289" i="1"/>
  <c r="V289" i="1"/>
  <c r="U289" i="1"/>
  <c r="T289" i="1"/>
  <c r="S289" i="1"/>
  <c r="R289" i="1"/>
  <c r="Q289" i="1"/>
  <c r="P289" i="1"/>
  <c r="BA289" i="1"/>
  <c r="Z288" i="1"/>
  <c r="Y288" i="1"/>
  <c r="X288" i="1"/>
  <c r="V288" i="1"/>
  <c r="U288" i="1"/>
  <c r="T288" i="1"/>
  <c r="S288" i="1"/>
  <c r="R288" i="1"/>
  <c r="Q288" i="1"/>
  <c r="P288" i="1"/>
  <c r="BA288" i="1"/>
  <c r="Z287" i="1"/>
  <c r="Y287" i="1"/>
  <c r="X287" i="1"/>
  <c r="V287" i="1"/>
  <c r="U287" i="1"/>
  <c r="T287" i="1"/>
  <c r="S287" i="1"/>
  <c r="R287" i="1"/>
  <c r="Q287" i="1"/>
  <c r="P287" i="1"/>
  <c r="Z256" i="1"/>
  <c r="Y256" i="1"/>
  <c r="X256" i="1"/>
  <c r="V256" i="1"/>
  <c r="U256" i="1"/>
  <c r="T256" i="1"/>
  <c r="S256" i="1"/>
  <c r="R256" i="1"/>
  <c r="Q256" i="1"/>
  <c r="P256" i="1"/>
  <c r="Z255" i="1"/>
  <c r="Y255" i="1"/>
  <c r="X255" i="1"/>
  <c r="V255" i="1"/>
  <c r="U255" i="1"/>
  <c r="T255" i="1"/>
  <c r="S255" i="1"/>
  <c r="R255" i="1"/>
  <c r="Q255" i="1"/>
  <c r="P255" i="1"/>
  <c r="Z274" i="1"/>
  <c r="Y274" i="1"/>
  <c r="X274" i="1"/>
  <c r="V274" i="1"/>
  <c r="U274" i="1"/>
  <c r="T274" i="1"/>
  <c r="S274" i="1"/>
  <c r="R274" i="1"/>
  <c r="Q274" i="1"/>
  <c r="P274" i="1"/>
  <c r="Z247" i="1"/>
  <c r="Y247" i="1"/>
  <c r="X247" i="1"/>
  <c r="V247" i="1"/>
  <c r="U247" i="1"/>
  <c r="T247" i="1"/>
  <c r="S247" i="1"/>
  <c r="R247" i="1"/>
  <c r="Q247" i="1"/>
  <c r="P247" i="1"/>
  <c r="Z273" i="1"/>
  <c r="Y273" i="1"/>
  <c r="X273" i="1"/>
  <c r="V273" i="1"/>
  <c r="U273" i="1"/>
  <c r="T273" i="1"/>
  <c r="S273" i="1"/>
  <c r="R273" i="1"/>
  <c r="Q273" i="1"/>
  <c r="P273" i="1"/>
  <c r="Z171" i="1"/>
  <c r="Y171" i="1"/>
  <c r="X171" i="1"/>
  <c r="V171" i="1"/>
  <c r="U171" i="1"/>
  <c r="T171" i="1"/>
  <c r="S171" i="1"/>
  <c r="R171" i="1"/>
  <c r="Q171" i="1"/>
  <c r="P171" i="1"/>
  <c r="BA171" i="1"/>
  <c r="Z170" i="1"/>
  <c r="Y170" i="1"/>
  <c r="X170" i="1"/>
  <c r="V170" i="1"/>
  <c r="U170" i="1"/>
  <c r="T170" i="1"/>
  <c r="S170" i="1"/>
  <c r="R170" i="1"/>
  <c r="Q170" i="1"/>
  <c r="P170" i="1"/>
  <c r="Z169" i="1"/>
  <c r="Y169" i="1"/>
  <c r="X169" i="1"/>
  <c r="V169" i="1"/>
  <c r="U169" i="1"/>
  <c r="T169" i="1"/>
  <c r="S169" i="1"/>
  <c r="R169" i="1"/>
  <c r="Q169" i="1"/>
  <c r="P169" i="1"/>
  <c r="Z168" i="1"/>
  <c r="Y168" i="1"/>
  <c r="X168" i="1"/>
  <c r="V168" i="1"/>
  <c r="U168" i="1"/>
  <c r="T168" i="1"/>
  <c r="S168" i="1"/>
  <c r="R168" i="1"/>
  <c r="Q168" i="1"/>
  <c r="P168" i="1"/>
  <c r="BA168" i="1"/>
  <c r="Z167" i="1"/>
  <c r="Y167" i="1"/>
  <c r="X167" i="1"/>
  <c r="V167" i="1"/>
  <c r="U167" i="1"/>
  <c r="T167" i="1"/>
  <c r="S167" i="1"/>
  <c r="R167" i="1"/>
  <c r="Q167" i="1"/>
  <c r="P167" i="1"/>
  <c r="BA167" i="1"/>
  <c r="Z166" i="1"/>
  <c r="Y166" i="1"/>
  <c r="X166" i="1"/>
  <c r="V166" i="1"/>
  <c r="U166" i="1"/>
  <c r="T166" i="1"/>
  <c r="S166" i="1"/>
  <c r="R166" i="1"/>
  <c r="Q166" i="1"/>
  <c r="P166" i="1"/>
  <c r="Z101" i="1"/>
  <c r="Y101" i="1"/>
  <c r="X101" i="1"/>
  <c r="V101" i="1"/>
  <c r="U101" i="1"/>
  <c r="T101" i="1"/>
  <c r="S101" i="1"/>
  <c r="R101" i="1"/>
  <c r="Q101" i="1"/>
  <c r="P101" i="1"/>
  <c r="BA101" i="1"/>
  <c r="Z100" i="1"/>
  <c r="Y100" i="1"/>
  <c r="X100" i="1"/>
  <c r="V100" i="1"/>
  <c r="U100" i="1"/>
  <c r="T100" i="1"/>
  <c r="S100" i="1"/>
  <c r="R100" i="1"/>
  <c r="Q100" i="1"/>
  <c r="P100" i="1"/>
  <c r="BA100" i="1"/>
  <c r="Z99" i="1"/>
  <c r="Y99" i="1"/>
  <c r="X99" i="1"/>
  <c r="V99" i="1"/>
  <c r="U99" i="1"/>
  <c r="T99" i="1"/>
  <c r="S99" i="1"/>
  <c r="R99" i="1"/>
  <c r="Q99" i="1"/>
  <c r="P99" i="1"/>
  <c r="Z98" i="1"/>
  <c r="Y98" i="1"/>
  <c r="X98" i="1"/>
  <c r="V98" i="1"/>
  <c r="U98" i="1"/>
  <c r="T98" i="1"/>
  <c r="S98" i="1"/>
  <c r="R98" i="1"/>
  <c r="Q98" i="1"/>
  <c r="P98" i="1"/>
  <c r="Z97" i="1"/>
  <c r="Y97" i="1"/>
  <c r="X97" i="1"/>
  <c r="V97" i="1"/>
  <c r="U97" i="1"/>
  <c r="T97" i="1"/>
  <c r="S97" i="1"/>
  <c r="R97" i="1"/>
  <c r="Q97" i="1"/>
  <c r="P97" i="1"/>
  <c r="Z96" i="1"/>
  <c r="Y96" i="1"/>
  <c r="X96" i="1"/>
  <c r="V96" i="1"/>
  <c r="U96" i="1"/>
  <c r="T96" i="1"/>
  <c r="S96" i="1"/>
  <c r="R96" i="1"/>
  <c r="Q96" i="1"/>
  <c r="P96" i="1"/>
  <c r="Z90" i="1"/>
  <c r="Y90" i="1"/>
  <c r="X90" i="1"/>
  <c r="V90" i="1"/>
  <c r="U90" i="1"/>
  <c r="T90" i="1"/>
  <c r="S90" i="1"/>
  <c r="R90" i="1"/>
  <c r="Q90" i="1"/>
  <c r="P90" i="1"/>
  <c r="BA90" i="1"/>
  <c r="Z89" i="1"/>
  <c r="Y89" i="1"/>
  <c r="X89" i="1"/>
  <c r="V89" i="1"/>
  <c r="U89" i="1"/>
  <c r="T89" i="1"/>
  <c r="S89" i="1"/>
  <c r="R89" i="1"/>
  <c r="Q89" i="1"/>
  <c r="P89" i="1"/>
  <c r="BA89" i="1"/>
  <c r="Z88" i="1"/>
  <c r="Y88" i="1"/>
  <c r="X88" i="1"/>
  <c r="V88" i="1"/>
  <c r="U88" i="1"/>
  <c r="T88" i="1"/>
  <c r="S88" i="1"/>
  <c r="R88" i="1"/>
  <c r="Q88" i="1"/>
  <c r="P88" i="1"/>
  <c r="Z87" i="1"/>
  <c r="Y87" i="1"/>
  <c r="X87" i="1"/>
  <c r="V87" i="1"/>
  <c r="U87" i="1"/>
  <c r="T87" i="1"/>
  <c r="S87" i="1"/>
  <c r="R87" i="1"/>
  <c r="Q87" i="1"/>
  <c r="P87" i="1"/>
  <c r="BA87" i="1"/>
  <c r="Z86" i="1"/>
  <c r="Y86" i="1"/>
  <c r="X86" i="1"/>
  <c r="V86" i="1"/>
  <c r="U86" i="1"/>
  <c r="T86" i="1"/>
  <c r="S86" i="1"/>
  <c r="R86" i="1"/>
  <c r="Q86" i="1"/>
  <c r="P86" i="1"/>
  <c r="BA86" i="1"/>
  <c r="Z85" i="1"/>
  <c r="Y85" i="1"/>
  <c r="X85" i="1"/>
  <c r="V85" i="1"/>
  <c r="U85" i="1"/>
  <c r="T85" i="1"/>
  <c r="S85" i="1"/>
  <c r="R85" i="1"/>
  <c r="Q85" i="1"/>
  <c r="P85" i="1"/>
  <c r="BA85" i="1"/>
  <c r="Z84" i="1"/>
  <c r="Y84" i="1"/>
  <c r="X84" i="1"/>
  <c r="V84" i="1"/>
  <c r="U84" i="1"/>
  <c r="T84" i="1"/>
  <c r="S84" i="1"/>
  <c r="R84" i="1"/>
  <c r="Q84" i="1"/>
  <c r="P84" i="1"/>
  <c r="Z83" i="1"/>
  <c r="Y83" i="1"/>
  <c r="X83" i="1"/>
  <c r="V83" i="1"/>
  <c r="U83" i="1"/>
  <c r="T83" i="1"/>
  <c r="S83" i="1"/>
  <c r="R83" i="1"/>
  <c r="Q83" i="1"/>
  <c r="P83" i="1"/>
  <c r="Z82" i="1"/>
  <c r="Y82" i="1"/>
  <c r="X82" i="1"/>
  <c r="V82" i="1"/>
  <c r="U82" i="1"/>
  <c r="T82" i="1"/>
  <c r="S82" i="1"/>
  <c r="R82" i="1"/>
  <c r="Q82" i="1"/>
  <c r="P82" i="1"/>
  <c r="Z81" i="1"/>
  <c r="Y81" i="1"/>
  <c r="X81" i="1"/>
  <c r="V81" i="1"/>
  <c r="U81" i="1"/>
  <c r="T81" i="1"/>
  <c r="S81" i="1"/>
  <c r="R81" i="1"/>
  <c r="Q81" i="1"/>
  <c r="P81" i="1"/>
  <c r="Z64" i="1"/>
  <c r="Y64" i="1"/>
  <c r="X64" i="1"/>
  <c r="V64" i="1"/>
  <c r="U64" i="1"/>
  <c r="T64" i="1"/>
  <c r="S64" i="1"/>
  <c r="R64" i="1"/>
  <c r="Q64" i="1"/>
  <c r="P64" i="1"/>
  <c r="BA64" i="1"/>
  <c r="Z63" i="1"/>
  <c r="Y63" i="1"/>
  <c r="X63" i="1"/>
  <c r="V63" i="1"/>
  <c r="U63" i="1"/>
  <c r="T63" i="1"/>
  <c r="S63" i="1"/>
  <c r="R63" i="1"/>
  <c r="Q63" i="1"/>
  <c r="P63" i="1"/>
  <c r="Z62" i="1"/>
  <c r="Y62" i="1"/>
  <c r="X62" i="1"/>
  <c r="V62" i="1"/>
  <c r="U62" i="1"/>
  <c r="T62" i="1"/>
  <c r="S62" i="1"/>
  <c r="R62" i="1"/>
  <c r="Q62" i="1"/>
  <c r="P62" i="1"/>
  <c r="Z61" i="1"/>
  <c r="Y61" i="1"/>
  <c r="X61" i="1"/>
  <c r="V61" i="1"/>
  <c r="U61" i="1"/>
  <c r="T61" i="1"/>
  <c r="S61" i="1"/>
  <c r="R61" i="1"/>
  <c r="Q61" i="1"/>
  <c r="P61" i="1"/>
  <c r="BA61" i="1"/>
  <c r="Z60" i="1"/>
  <c r="Y60" i="1"/>
  <c r="X60" i="1"/>
  <c r="V60" i="1"/>
  <c r="U60" i="1"/>
  <c r="T60" i="1"/>
  <c r="S60" i="1"/>
  <c r="R60" i="1"/>
  <c r="Q60" i="1"/>
  <c r="P60" i="1"/>
  <c r="Z59" i="1"/>
  <c r="Y59" i="1"/>
  <c r="X59" i="1"/>
  <c r="V59" i="1"/>
  <c r="U59" i="1"/>
  <c r="T59" i="1"/>
  <c r="S59" i="1"/>
  <c r="R59" i="1"/>
  <c r="Q59" i="1"/>
  <c r="P59" i="1"/>
  <c r="Z58" i="1"/>
  <c r="Y58" i="1"/>
  <c r="X58" i="1"/>
  <c r="V58" i="1"/>
  <c r="U58" i="1"/>
  <c r="T58" i="1"/>
  <c r="S58" i="1"/>
  <c r="R58" i="1"/>
  <c r="Q58" i="1"/>
  <c r="P58" i="1"/>
  <c r="Z48" i="1"/>
  <c r="Y48" i="1"/>
  <c r="X48" i="1"/>
  <c r="V48" i="1"/>
  <c r="U48" i="1"/>
  <c r="T48" i="1"/>
  <c r="S48" i="1"/>
  <c r="R48" i="1"/>
  <c r="Q48" i="1"/>
  <c r="P48" i="1"/>
  <c r="BA48" i="1"/>
  <c r="Z47" i="1"/>
  <c r="Y47" i="1"/>
  <c r="X47" i="1"/>
  <c r="V47" i="1"/>
  <c r="U47" i="1"/>
  <c r="T47" i="1"/>
  <c r="S47" i="1"/>
  <c r="R47" i="1"/>
  <c r="Q47" i="1"/>
  <c r="P47" i="1"/>
  <c r="Z46" i="1"/>
  <c r="Y46" i="1"/>
  <c r="X46" i="1"/>
  <c r="V46" i="1"/>
  <c r="U46" i="1"/>
  <c r="T46" i="1"/>
  <c r="S46" i="1"/>
  <c r="R46" i="1"/>
  <c r="Q46" i="1"/>
  <c r="P46" i="1"/>
  <c r="Z45" i="1"/>
  <c r="Y45" i="1"/>
  <c r="X45" i="1"/>
  <c r="V45" i="1"/>
  <c r="U45" i="1"/>
  <c r="T45" i="1"/>
  <c r="S45" i="1"/>
  <c r="R45" i="1"/>
  <c r="Q45" i="1"/>
  <c r="P45" i="1"/>
  <c r="Z44" i="1"/>
  <c r="Y44" i="1"/>
  <c r="X44" i="1"/>
  <c r="V44" i="1"/>
  <c r="U44" i="1"/>
  <c r="T44" i="1"/>
  <c r="S44" i="1"/>
  <c r="R44" i="1"/>
  <c r="Q44" i="1"/>
  <c r="P44" i="1"/>
  <c r="AL290" i="1" l="1"/>
  <c r="BA290" i="1"/>
  <c r="AZ308" i="1"/>
  <c r="BA308" i="1"/>
  <c r="AZ409" i="1"/>
  <c r="BA409" i="1"/>
  <c r="AL170" i="1"/>
  <c r="BA170" i="1"/>
  <c r="AL408" i="1"/>
  <c r="AL299" i="1"/>
  <c r="BA299" i="1"/>
  <c r="AL310" i="1"/>
  <c r="BA310" i="1"/>
  <c r="AZ407" i="1"/>
  <c r="AZ415" i="1"/>
  <c r="BA415" i="1"/>
  <c r="AZ287" i="1"/>
  <c r="BA287" i="1"/>
  <c r="AZ406" i="1"/>
  <c r="AL169" i="1"/>
  <c r="BA169" i="1"/>
  <c r="AZ256" i="1"/>
  <c r="AZ312" i="1"/>
  <c r="BA312" i="1"/>
  <c r="AL405" i="1"/>
  <c r="AL413" i="1"/>
  <c r="BA413" i="1"/>
  <c r="AL166" i="1"/>
  <c r="BA166" i="1"/>
  <c r="AL298" i="1"/>
  <c r="AL274" i="1"/>
  <c r="AZ292" i="1"/>
  <c r="BA292" i="1"/>
  <c r="AZ303" i="1"/>
  <c r="BA303" i="1"/>
  <c r="AZ300" i="1"/>
  <c r="BA300" i="1"/>
  <c r="AL311" i="1"/>
  <c r="BA311" i="1"/>
  <c r="AZ410" i="1"/>
  <c r="BA410" i="1"/>
  <c r="AZ58" i="1"/>
  <c r="AL81" i="1"/>
  <c r="AZ99" i="1"/>
  <c r="BA99" i="1"/>
  <c r="AZ60" i="1"/>
  <c r="BA60" i="1"/>
  <c r="AL83" i="1"/>
  <c r="BA83" i="1"/>
  <c r="AL96" i="1"/>
  <c r="BA96" i="1"/>
  <c r="AL45" i="1"/>
  <c r="AL63" i="1"/>
  <c r="BA63" i="1"/>
  <c r="AZ88" i="1"/>
  <c r="BA88" i="1"/>
  <c r="AZ62" i="1"/>
  <c r="BA62" i="1"/>
  <c r="AZ98" i="1"/>
  <c r="BA98" i="1"/>
  <c r="AZ59" i="1"/>
  <c r="BA59" i="1"/>
  <c r="AZ82" i="1"/>
  <c r="BA82" i="1"/>
  <c r="AL84" i="1"/>
  <c r="BA84" i="1"/>
  <c r="AZ97" i="1"/>
  <c r="BA97" i="1"/>
  <c r="AL406" i="1"/>
  <c r="AL407" i="1"/>
  <c r="AL409" i="1"/>
  <c r="AL414" i="1"/>
  <c r="AZ405" i="1"/>
  <c r="AL411" i="1"/>
  <c r="AZ413" i="1"/>
  <c r="AZ411" i="1"/>
  <c r="AZ408" i="1"/>
  <c r="AL404" i="1"/>
  <c r="AL412" i="1"/>
  <c r="AZ414" i="1"/>
  <c r="AL415" i="1"/>
  <c r="AZ404" i="1"/>
  <c r="AL410" i="1"/>
  <c r="AZ412" i="1"/>
  <c r="AL301" i="1"/>
  <c r="AZ310" i="1"/>
  <c r="AL309" i="1"/>
  <c r="AZ311" i="1"/>
  <c r="AL312" i="1"/>
  <c r="AZ309" i="1"/>
  <c r="AL308" i="1"/>
  <c r="AL302" i="1"/>
  <c r="AL291" i="1"/>
  <c r="AZ301" i="1"/>
  <c r="AL303" i="1"/>
  <c r="AZ302" i="1"/>
  <c r="AZ298" i="1"/>
  <c r="AZ299" i="1"/>
  <c r="AL300" i="1"/>
  <c r="AL288" i="1"/>
  <c r="AZ290" i="1"/>
  <c r="AZ288" i="1"/>
  <c r="AL255" i="1"/>
  <c r="AL289" i="1"/>
  <c r="AZ291" i="1"/>
  <c r="AL292" i="1"/>
  <c r="AL287" i="1"/>
  <c r="AZ289" i="1"/>
  <c r="AZ274" i="1"/>
  <c r="AL273" i="1"/>
  <c r="AZ255" i="1"/>
  <c r="AL256" i="1"/>
  <c r="AZ273" i="1"/>
  <c r="AL247" i="1"/>
  <c r="AZ247" i="1"/>
  <c r="AZ169" i="1"/>
  <c r="AL168" i="1"/>
  <c r="AZ170" i="1"/>
  <c r="AL171" i="1"/>
  <c r="AZ168" i="1"/>
  <c r="AZ171" i="1"/>
  <c r="AZ166" i="1"/>
  <c r="AL167" i="1"/>
  <c r="AZ167" i="1"/>
  <c r="AL86" i="1"/>
  <c r="AL99" i="1"/>
  <c r="AL98" i="1"/>
  <c r="AZ100" i="1"/>
  <c r="AL100" i="1"/>
  <c r="AL101" i="1"/>
  <c r="AZ101" i="1"/>
  <c r="AZ96" i="1"/>
  <c r="AL97" i="1"/>
  <c r="AL87" i="1"/>
  <c r="AZ86" i="1"/>
  <c r="AL88" i="1"/>
  <c r="AZ87" i="1"/>
  <c r="AL89" i="1"/>
  <c r="AL90" i="1"/>
  <c r="AZ89" i="1"/>
  <c r="AZ90" i="1"/>
  <c r="AL58" i="1"/>
  <c r="AZ83" i="1"/>
  <c r="AZ84" i="1"/>
  <c r="AL85" i="1"/>
  <c r="AL59" i="1"/>
  <c r="AZ85" i="1"/>
  <c r="AZ81" i="1"/>
  <c r="AL47" i="1"/>
  <c r="AL82" i="1"/>
  <c r="AL62" i="1"/>
  <c r="AL60" i="1"/>
  <c r="AL61" i="1"/>
  <c r="AZ63" i="1"/>
  <c r="AL64" i="1"/>
  <c r="AZ61" i="1"/>
  <c r="AZ64" i="1"/>
  <c r="AZ47" i="1"/>
  <c r="AL48" i="1"/>
  <c r="AZ48" i="1"/>
  <c r="AL44" i="1"/>
  <c r="AZ45" i="1"/>
  <c r="AL46" i="1"/>
  <c r="AZ44" i="1"/>
  <c r="AZ46" i="1"/>
  <c r="BA81" i="1"/>
  <c r="BA298" i="1"/>
  <c r="BA44" i="1"/>
  <c r="BA58" i="1"/>
  <c r="BA45" i="1"/>
  <c r="BA47" i="1"/>
  <c r="BA273" i="1"/>
  <c r="BA255" i="1"/>
  <c r="BA256" i="1"/>
  <c r="BA247" i="1"/>
  <c r="BA46" i="1"/>
  <c r="BA274" i="1"/>
  <c r="BA405" i="1"/>
  <c r="BA407" i="1"/>
  <c r="BA408" i="1"/>
  <c r="BA404" i="1"/>
  <c r="BA406" i="1"/>
  <c r="Z379" i="1" l="1"/>
  <c r="Y379" i="1"/>
  <c r="X379" i="1"/>
  <c r="V379" i="1"/>
  <c r="U379" i="1"/>
  <c r="T379" i="1"/>
  <c r="S379" i="1"/>
  <c r="R379" i="1"/>
  <c r="Q379" i="1"/>
  <c r="P379" i="1"/>
  <c r="AL379" i="1" l="1"/>
  <c r="AZ379" i="1"/>
  <c r="AK572" i="1" l="1"/>
  <c r="AK571" i="1"/>
  <c r="AK570" i="1"/>
  <c r="AK569" i="1"/>
  <c r="AK568" i="1"/>
  <c r="AK567" i="1"/>
  <c r="AK566" i="1"/>
  <c r="AK565" i="1"/>
  <c r="AK564" i="1"/>
  <c r="AK563" i="1"/>
  <c r="AK562" i="1"/>
  <c r="AK561" i="1"/>
  <c r="AK560" i="1"/>
  <c r="AK559" i="1"/>
  <c r="AK558" i="1"/>
  <c r="AK557" i="1"/>
  <c r="AK556" i="1"/>
  <c r="AK555" i="1"/>
  <c r="AK554" i="1"/>
  <c r="AK553" i="1"/>
  <c r="AK552" i="1"/>
  <c r="AK551" i="1"/>
  <c r="AK550" i="1"/>
  <c r="AK549" i="1"/>
  <c r="AK548" i="1"/>
  <c r="AK547" i="1"/>
  <c r="AK546" i="1"/>
  <c r="AK545" i="1"/>
  <c r="AK544" i="1"/>
  <c r="AK543" i="1"/>
  <c r="AK542" i="1"/>
  <c r="AK541" i="1"/>
  <c r="AK540" i="1"/>
  <c r="AK539" i="1"/>
  <c r="AK538" i="1"/>
  <c r="AK537" i="1"/>
  <c r="AK536" i="1"/>
  <c r="AK535" i="1"/>
  <c r="AK534" i="1"/>
  <c r="AK533" i="1"/>
  <c r="AK532" i="1"/>
  <c r="AK531" i="1"/>
  <c r="AK530" i="1"/>
  <c r="AK529" i="1"/>
  <c r="AK528" i="1"/>
  <c r="AK527" i="1"/>
  <c r="AK526" i="1"/>
  <c r="AK525" i="1"/>
  <c r="AK524" i="1"/>
  <c r="AK523" i="1"/>
  <c r="AK522" i="1"/>
  <c r="AK521" i="1"/>
  <c r="AK520" i="1"/>
  <c r="AK519" i="1"/>
  <c r="AK518" i="1"/>
  <c r="AK517" i="1"/>
  <c r="AK516" i="1"/>
  <c r="AK515" i="1"/>
  <c r="AK514" i="1"/>
  <c r="AK513" i="1"/>
  <c r="AK512" i="1"/>
  <c r="AK511" i="1"/>
  <c r="AK510" i="1"/>
  <c r="AK509" i="1"/>
  <c r="AK508" i="1"/>
  <c r="AK507" i="1"/>
  <c r="AK506" i="1"/>
  <c r="AK505" i="1"/>
  <c r="AK504" i="1"/>
  <c r="AK503" i="1"/>
  <c r="AK502" i="1"/>
  <c r="AK501" i="1"/>
  <c r="AK500" i="1"/>
  <c r="AK499" i="1"/>
  <c r="AK498" i="1"/>
  <c r="AK497" i="1"/>
  <c r="AK496" i="1"/>
  <c r="AK495" i="1"/>
  <c r="AK494" i="1"/>
  <c r="AK493" i="1"/>
  <c r="AK492" i="1"/>
  <c r="AK491" i="1"/>
  <c r="AK490" i="1"/>
  <c r="AK489" i="1"/>
  <c r="Z455" i="1"/>
  <c r="Y455" i="1"/>
  <c r="X455" i="1"/>
  <c r="V455" i="1"/>
  <c r="S455" i="1"/>
  <c r="R455" i="1"/>
  <c r="Q455" i="1"/>
  <c r="P455" i="1"/>
  <c r="Z454" i="1"/>
  <c r="Y454" i="1"/>
  <c r="X454" i="1"/>
  <c r="V454" i="1"/>
  <c r="S454" i="1"/>
  <c r="R454" i="1"/>
  <c r="Q454" i="1"/>
  <c r="P454" i="1"/>
  <c r="Z453" i="1"/>
  <c r="Y453" i="1"/>
  <c r="X453" i="1"/>
  <c r="V453" i="1"/>
  <c r="S453" i="1"/>
  <c r="R453" i="1"/>
  <c r="Q453" i="1"/>
  <c r="P453" i="1"/>
  <c r="Z452" i="1"/>
  <c r="Y452" i="1"/>
  <c r="X452" i="1"/>
  <c r="V452" i="1"/>
  <c r="S452" i="1"/>
  <c r="R452" i="1"/>
  <c r="Q452" i="1"/>
  <c r="P452" i="1"/>
  <c r="Z451" i="1"/>
  <c r="Y451" i="1"/>
  <c r="X451" i="1"/>
  <c r="V451" i="1"/>
  <c r="S451" i="1"/>
  <c r="R451" i="1"/>
  <c r="Q451" i="1"/>
  <c r="P451" i="1"/>
  <c r="Z450" i="1"/>
  <c r="Y450" i="1"/>
  <c r="X450" i="1"/>
  <c r="V450" i="1"/>
  <c r="S450" i="1"/>
  <c r="R450" i="1"/>
  <c r="Q450" i="1"/>
  <c r="P450" i="1"/>
  <c r="Z449" i="1"/>
  <c r="Y449" i="1"/>
  <c r="X449" i="1"/>
  <c r="V449" i="1"/>
  <c r="S449" i="1"/>
  <c r="R449" i="1"/>
  <c r="Q449" i="1"/>
  <c r="P449" i="1"/>
  <c r="Z448" i="1"/>
  <c r="Y448" i="1"/>
  <c r="X448" i="1"/>
  <c r="V448" i="1"/>
  <c r="S448" i="1"/>
  <c r="R448" i="1"/>
  <c r="Q448" i="1"/>
  <c r="P448" i="1"/>
  <c r="Z447" i="1"/>
  <c r="Y447" i="1"/>
  <c r="X447" i="1"/>
  <c r="V447" i="1"/>
  <c r="S447" i="1"/>
  <c r="R447" i="1"/>
  <c r="Q447" i="1"/>
  <c r="P447" i="1"/>
  <c r="Z446" i="1"/>
  <c r="Y446" i="1"/>
  <c r="X446" i="1"/>
  <c r="V446" i="1"/>
  <c r="S446" i="1"/>
  <c r="R446" i="1"/>
  <c r="Q446" i="1"/>
  <c r="P446" i="1"/>
  <c r="Z445" i="1"/>
  <c r="Y445" i="1"/>
  <c r="X445" i="1"/>
  <c r="V445" i="1"/>
  <c r="S445" i="1"/>
  <c r="R445" i="1"/>
  <c r="Q445" i="1"/>
  <c r="P445" i="1"/>
  <c r="Z444" i="1"/>
  <c r="Y444" i="1"/>
  <c r="X444" i="1"/>
  <c r="V444" i="1"/>
  <c r="S444" i="1"/>
  <c r="R444" i="1"/>
  <c r="Q444" i="1"/>
  <c r="P444" i="1"/>
  <c r="Z443" i="1"/>
  <c r="Y443" i="1"/>
  <c r="X443" i="1"/>
  <c r="V443" i="1"/>
  <c r="S443" i="1"/>
  <c r="R443" i="1"/>
  <c r="Q443" i="1"/>
  <c r="P443" i="1"/>
  <c r="Z442" i="1"/>
  <c r="Y442" i="1"/>
  <c r="X442" i="1"/>
  <c r="V442" i="1"/>
  <c r="S442" i="1"/>
  <c r="R442" i="1"/>
  <c r="Q442" i="1"/>
  <c r="P442" i="1"/>
  <c r="Z441" i="1"/>
  <c r="Y441" i="1"/>
  <c r="X441" i="1"/>
  <c r="V441" i="1"/>
  <c r="S441" i="1"/>
  <c r="R441" i="1"/>
  <c r="Q441" i="1"/>
  <c r="P441" i="1"/>
  <c r="Z440" i="1"/>
  <c r="Y440" i="1"/>
  <c r="X440" i="1"/>
  <c r="V440" i="1"/>
  <c r="S440" i="1"/>
  <c r="R440" i="1"/>
  <c r="Q440" i="1"/>
  <c r="P440" i="1"/>
  <c r="Z439" i="1"/>
  <c r="Y439" i="1"/>
  <c r="X439" i="1"/>
  <c r="V439" i="1"/>
  <c r="S439" i="1"/>
  <c r="R439" i="1"/>
  <c r="Q439" i="1"/>
  <c r="P439" i="1"/>
  <c r="Z438" i="1"/>
  <c r="Y438" i="1"/>
  <c r="X438" i="1"/>
  <c r="V438" i="1"/>
  <c r="S438" i="1"/>
  <c r="R438" i="1"/>
  <c r="Q438" i="1"/>
  <c r="P438" i="1"/>
  <c r="Z437" i="1"/>
  <c r="Y437" i="1"/>
  <c r="X437" i="1"/>
  <c r="V437" i="1"/>
  <c r="U437" i="1"/>
  <c r="T437" i="1"/>
  <c r="S437" i="1"/>
  <c r="R437" i="1"/>
  <c r="Q437" i="1"/>
  <c r="P437" i="1"/>
  <c r="Z436" i="1"/>
  <c r="Y436" i="1"/>
  <c r="X436" i="1"/>
  <c r="V436" i="1"/>
  <c r="U436" i="1"/>
  <c r="T436" i="1"/>
  <c r="S436" i="1"/>
  <c r="R436" i="1"/>
  <c r="Q436" i="1"/>
  <c r="P436" i="1"/>
  <c r="Z435" i="1"/>
  <c r="Y435" i="1"/>
  <c r="X435" i="1"/>
  <c r="V435" i="1"/>
  <c r="U435" i="1"/>
  <c r="T435" i="1"/>
  <c r="S435" i="1"/>
  <c r="R435" i="1"/>
  <c r="Q435" i="1"/>
  <c r="P435" i="1"/>
  <c r="Z434" i="1"/>
  <c r="Y434" i="1"/>
  <c r="X434" i="1"/>
  <c r="V434" i="1"/>
  <c r="U434" i="1"/>
  <c r="T434" i="1"/>
  <c r="S434" i="1"/>
  <c r="R434" i="1"/>
  <c r="Q434" i="1"/>
  <c r="P434" i="1"/>
  <c r="Z433" i="1"/>
  <c r="Y433" i="1"/>
  <c r="X433" i="1"/>
  <c r="V433" i="1"/>
  <c r="U433" i="1"/>
  <c r="T433" i="1"/>
  <c r="S433" i="1"/>
  <c r="R433" i="1"/>
  <c r="Q433" i="1"/>
  <c r="P433" i="1"/>
  <c r="Z432" i="1"/>
  <c r="Y432" i="1"/>
  <c r="X432" i="1"/>
  <c r="V432" i="1"/>
  <c r="U432" i="1"/>
  <c r="T432" i="1"/>
  <c r="S432" i="1"/>
  <c r="R432" i="1"/>
  <c r="Q432" i="1"/>
  <c r="P432" i="1"/>
  <c r="Z431" i="1"/>
  <c r="Y431" i="1"/>
  <c r="X431" i="1"/>
  <c r="V431" i="1"/>
  <c r="U431" i="1"/>
  <c r="T431" i="1"/>
  <c r="S431" i="1"/>
  <c r="R431" i="1"/>
  <c r="Q431" i="1"/>
  <c r="P431" i="1"/>
  <c r="Z430" i="1"/>
  <c r="Y430" i="1"/>
  <c r="X430" i="1"/>
  <c r="V430" i="1"/>
  <c r="U430" i="1"/>
  <c r="T430" i="1"/>
  <c r="S430" i="1"/>
  <c r="R430" i="1"/>
  <c r="Q430" i="1"/>
  <c r="P430" i="1"/>
  <c r="Z429" i="1"/>
  <c r="Y429" i="1"/>
  <c r="X429" i="1"/>
  <c r="V429" i="1"/>
  <c r="U429" i="1"/>
  <c r="T429" i="1"/>
  <c r="S429" i="1"/>
  <c r="R429" i="1"/>
  <c r="Q429" i="1"/>
  <c r="P429" i="1"/>
  <c r="Z428" i="1"/>
  <c r="Y428" i="1"/>
  <c r="X428" i="1"/>
  <c r="V428" i="1"/>
  <c r="U428" i="1"/>
  <c r="T428" i="1"/>
  <c r="S428" i="1"/>
  <c r="R428" i="1"/>
  <c r="Q428" i="1"/>
  <c r="P428" i="1"/>
  <c r="Z427" i="1"/>
  <c r="Y427" i="1"/>
  <c r="X427" i="1"/>
  <c r="V427" i="1"/>
  <c r="U427" i="1"/>
  <c r="T427" i="1"/>
  <c r="S427" i="1"/>
  <c r="R427" i="1"/>
  <c r="Q427" i="1"/>
  <c r="P427" i="1"/>
  <c r="Z426" i="1"/>
  <c r="Y426" i="1"/>
  <c r="X426" i="1"/>
  <c r="V426" i="1"/>
  <c r="U426" i="1"/>
  <c r="T426" i="1"/>
  <c r="S426" i="1"/>
  <c r="R426" i="1"/>
  <c r="Q426" i="1"/>
  <c r="P426" i="1"/>
  <c r="Z425" i="1"/>
  <c r="Y425" i="1"/>
  <c r="X425" i="1"/>
  <c r="V425" i="1"/>
  <c r="U425" i="1"/>
  <c r="T425" i="1"/>
  <c r="S425" i="1"/>
  <c r="R425" i="1"/>
  <c r="Q425" i="1"/>
  <c r="P425" i="1"/>
  <c r="Z424" i="1"/>
  <c r="Y424" i="1"/>
  <c r="X424" i="1"/>
  <c r="V424" i="1"/>
  <c r="U424" i="1"/>
  <c r="T424" i="1"/>
  <c r="S424" i="1"/>
  <c r="R424" i="1"/>
  <c r="Q424" i="1"/>
  <c r="P424" i="1"/>
  <c r="Z423" i="1"/>
  <c r="Y423" i="1"/>
  <c r="X423" i="1"/>
  <c r="V423" i="1"/>
  <c r="U423" i="1"/>
  <c r="T423" i="1"/>
  <c r="S423" i="1"/>
  <c r="R423" i="1"/>
  <c r="Q423" i="1"/>
  <c r="P423" i="1"/>
  <c r="Z422" i="1"/>
  <c r="Y422" i="1"/>
  <c r="X422" i="1"/>
  <c r="V422" i="1"/>
  <c r="U422" i="1"/>
  <c r="T422" i="1"/>
  <c r="S422" i="1"/>
  <c r="R422" i="1"/>
  <c r="Q422" i="1"/>
  <c r="P422" i="1"/>
  <c r="Z421" i="1"/>
  <c r="Y421" i="1"/>
  <c r="X421" i="1"/>
  <c r="V421" i="1"/>
  <c r="U421" i="1"/>
  <c r="T421" i="1"/>
  <c r="S421" i="1"/>
  <c r="R421" i="1"/>
  <c r="Q421" i="1"/>
  <c r="P421" i="1"/>
  <c r="Z420" i="1"/>
  <c r="Y420" i="1"/>
  <c r="X420" i="1"/>
  <c r="V420" i="1"/>
  <c r="U420" i="1"/>
  <c r="T420" i="1"/>
  <c r="S420" i="1"/>
  <c r="R420" i="1"/>
  <c r="Q420" i="1"/>
  <c r="P420" i="1"/>
  <c r="Z419" i="1"/>
  <c r="Y419" i="1"/>
  <c r="X419" i="1"/>
  <c r="V419" i="1"/>
  <c r="U419" i="1"/>
  <c r="T419" i="1"/>
  <c r="S419" i="1"/>
  <c r="R419" i="1"/>
  <c r="Q419" i="1"/>
  <c r="P419" i="1"/>
  <c r="Z418" i="1"/>
  <c r="Y418" i="1"/>
  <c r="X418" i="1"/>
  <c r="V418" i="1"/>
  <c r="U418" i="1"/>
  <c r="T418" i="1"/>
  <c r="S418" i="1"/>
  <c r="R418" i="1"/>
  <c r="Q418" i="1"/>
  <c r="P418" i="1"/>
  <c r="Z417" i="1"/>
  <c r="Y417" i="1"/>
  <c r="X417" i="1"/>
  <c r="V417" i="1"/>
  <c r="U417" i="1"/>
  <c r="T417" i="1"/>
  <c r="S417" i="1"/>
  <c r="R417" i="1"/>
  <c r="Q417" i="1"/>
  <c r="P417" i="1"/>
  <c r="Z416" i="1"/>
  <c r="Y416" i="1"/>
  <c r="X416" i="1"/>
  <c r="V416" i="1"/>
  <c r="U416" i="1"/>
  <c r="T416" i="1"/>
  <c r="S416" i="1"/>
  <c r="R416" i="1"/>
  <c r="Q416" i="1"/>
  <c r="P416" i="1"/>
  <c r="Z403" i="1"/>
  <c r="Y403" i="1"/>
  <c r="X403" i="1"/>
  <c r="V403" i="1"/>
  <c r="U403" i="1"/>
  <c r="T403" i="1"/>
  <c r="S403" i="1"/>
  <c r="R403" i="1"/>
  <c r="Q403" i="1"/>
  <c r="P403" i="1"/>
  <c r="Z402" i="1"/>
  <c r="Y402" i="1"/>
  <c r="X402" i="1"/>
  <c r="V402" i="1"/>
  <c r="U402" i="1"/>
  <c r="T402" i="1"/>
  <c r="S402" i="1"/>
  <c r="R402" i="1"/>
  <c r="Q402" i="1"/>
  <c r="P402" i="1"/>
  <c r="Z401" i="1"/>
  <c r="Y401" i="1"/>
  <c r="X401" i="1"/>
  <c r="V401" i="1"/>
  <c r="U401" i="1"/>
  <c r="T401" i="1"/>
  <c r="S401" i="1"/>
  <c r="R401" i="1"/>
  <c r="Q401" i="1"/>
  <c r="P401" i="1"/>
  <c r="Z400" i="1"/>
  <c r="Y400" i="1"/>
  <c r="X400" i="1"/>
  <c r="V400" i="1"/>
  <c r="U400" i="1"/>
  <c r="T400" i="1"/>
  <c r="S400" i="1"/>
  <c r="R400" i="1"/>
  <c r="Q400" i="1"/>
  <c r="P400" i="1"/>
  <c r="Z399" i="1"/>
  <c r="Y399" i="1"/>
  <c r="X399" i="1"/>
  <c r="V399" i="1"/>
  <c r="U399" i="1"/>
  <c r="T399" i="1"/>
  <c r="S399" i="1"/>
  <c r="R399" i="1"/>
  <c r="Q399" i="1"/>
  <c r="P399" i="1"/>
  <c r="Z398" i="1"/>
  <c r="Y398" i="1"/>
  <c r="X398" i="1"/>
  <c r="V398" i="1"/>
  <c r="U398" i="1"/>
  <c r="T398" i="1"/>
  <c r="S398" i="1"/>
  <c r="R398" i="1"/>
  <c r="Q398" i="1"/>
  <c r="P398" i="1"/>
  <c r="Z397" i="1"/>
  <c r="Y397" i="1"/>
  <c r="X397" i="1"/>
  <c r="V397" i="1"/>
  <c r="U397" i="1"/>
  <c r="T397" i="1"/>
  <c r="S397" i="1"/>
  <c r="R397" i="1"/>
  <c r="Q397" i="1"/>
  <c r="P397" i="1"/>
  <c r="Z396" i="1"/>
  <c r="Y396" i="1"/>
  <c r="X396" i="1"/>
  <c r="V396" i="1"/>
  <c r="U396" i="1"/>
  <c r="T396" i="1"/>
  <c r="S396" i="1"/>
  <c r="R396" i="1"/>
  <c r="Q396" i="1"/>
  <c r="P396" i="1"/>
  <c r="Z395" i="1"/>
  <c r="Y395" i="1"/>
  <c r="X395" i="1"/>
  <c r="V395" i="1"/>
  <c r="U395" i="1"/>
  <c r="T395" i="1"/>
  <c r="S395" i="1"/>
  <c r="R395" i="1"/>
  <c r="Q395" i="1"/>
  <c r="P395" i="1"/>
  <c r="Z394" i="1"/>
  <c r="Y394" i="1"/>
  <c r="X394" i="1"/>
  <c r="V394" i="1"/>
  <c r="U394" i="1"/>
  <c r="T394" i="1"/>
  <c r="S394" i="1"/>
  <c r="R394" i="1"/>
  <c r="Q394" i="1"/>
  <c r="P394" i="1"/>
  <c r="Z393" i="1"/>
  <c r="Y393" i="1"/>
  <c r="X393" i="1"/>
  <c r="V393" i="1"/>
  <c r="U393" i="1"/>
  <c r="T393" i="1"/>
  <c r="S393" i="1"/>
  <c r="R393" i="1"/>
  <c r="Q393" i="1"/>
  <c r="P393" i="1"/>
  <c r="Z392" i="1"/>
  <c r="Y392" i="1"/>
  <c r="X392" i="1"/>
  <c r="V392" i="1"/>
  <c r="U392" i="1"/>
  <c r="T392" i="1"/>
  <c r="S392" i="1"/>
  <c r="R392" i="1"/>
  <c r="Q392" i="1"/>
  <c r="P392" i="1"/>
  <c r="Z391" i="1"/>
  <c r="Y391" i="1"/>
  <c r="X391" i="1"/>
  <c r="V391" i="1"/>
  <c r="U391" i="1"/>
  <c r="T391" i="1"/>
  <c r="S391" i="1"/>
  <c r="R391" i="1"/>
  <c r="Q391" i="1"/>
  <c r="P391" i="1"/>
  <c r="Z390" i="1"/>
  <c r="Y390" i="1"/>
  <c r="X390" i="1"/>
  <c r="V390" i="1"/>
  <c r="U390" i="1"/>
  <c r="T390" i="1"/>
  <c r="S390" i="1"/>
  <c r="R390" i="1"/>
  <c r="Q390" i="1"/>
  <c r="P390" i="1"/>
  <c r="Z389" i="1"/>
  <c r="Y389" i="1"/>
  <c r="X389" i="1"/>
  <c r="V389" i="1"/>
  <c r="U389" i="1"/>
  <c r="T389" i="1"/>
  <c r="S389" i="1"/>
  <c r="R389" i="1"/>
  <c r="Q389" i="1"/>
  <c r="P389" i="1"/>
  <c r="Z388" i="1"/>
  <c r="Y388" i="1"/>
  <c r="X388" i="1"/>
  <c r="V388" i="1"/>
  <c r="U388" i="1"/>
  <c r="T388" i="1"/>
  <c r="S388" i="1"/>
  <c r="R388" i="1"/>
  <c r="Q388" i="1"/>
  <c r="P388" i="1"/>
  <c r="Z387" i="1"/>
  <c r="Y387" i="1"/>
  <c r="X387" i="1"/>
  <c r="V387" i="1"/>
  <c r="U387" i="1"/>
  <c r="T387" i="1"/>
  <c r="S387" i="1"/>
  <c r="R387" i="1"/>
  <c r="Q387" i="1"/>
  <c r="P387" i="1"/>
  <c r="Z386" i="1"/>
  <c r="Y386" i="1"/>
  <c r="X386" i="1"/>
  <c r="V386" i="1"/>
  <c r="U386" i="1"/>
  <c r="T386" i="1"/>
  <c r="S386" i="1"/>
  <c r="R386" i="1"/>
  <c r="Q386" i="1"/>
  <c r="P386" i="1"/>
  <c r="Z385" i="1"/>
  <c r="Y385" i="1"/>
  <c r="X385" i="1"/>
  <c r="V385" i="1"/>
  <c r="U385" i="1"/>
  <c r="T385" i="1"/>
  <c r="S385" i="1"/>
  <c r="R385" i="1"/>
  <c r="Q385" i="1"/>
  <c r="P385" i="1"/>
  <c r="Z384" i="1"/>
  <c r="Y384" i="1"/>
  <c r="X384" i="1"/>
  <c r="V384" i="1"/>
  <c r="U384" i="1"/>
  <c r="T384" i="1"/>
  <c r="S384" i="1"/>
  <c r="R384" i="1"/>
  <c r="Q384" i="1"/>
  <c r="P384" i="1"/>
  <c r="Z383" i="1"/>
  <c r="Y383" i="1"/>
  <c r="X383" i="1"/>
  <c r="V383" i="1"/>
  <c r="U383" i="1"/>
  <c r="T383" i="1"/>
  <c r="S383" i="1"/>
  <c r="R383" i="1"/>
  <c r="Q383" i="1"/>
  <c r="P383" i="1"/>
  <c r="Z382" i="1"/>
  <c r="Y382" i="1"/>
  <c r="X382" i="1"/>
  <c r="V382" i="1"/>
  <c r="U382" i="1"/>
  <c r="T382" i="1"/>
  <c r="S382" i="1"/>
  <c r="R382" i="1"/>
  <c r="Q382" i="1"/>
  <c r="P382" i="1"/>
  <c r="Z381" i="1"/>
  <c r="Y381" i="1"/>
  <c r="X381" i="1"/>
  <c r="V381" i="1"/>
  <c r="U381" i="1"/>
  <c r="T381" i="1"/>
  <c r="S381" i="1"/>
  <c r="R381" i="1"/>
  <c r="Q381" i="1"/>
  <c r="P381" i="1"/>
  <c r="Z380" i="1"/>
  <c r="Y380" i="1"/>
  <c r="X380" i="1"/>
  <c r="V380" i="1"/>
  <c r="U380" i="1"/>
  <c r="T380" i="1"/>
  <c r="S380" i="1"/>
  <c r="R380" i="1"/>
  <c r="Q380" i="1"/>
  <c r="P380" i="1"/>
  <c r="Z378" i="1"/>
  <c r="Y378" i="1"/>
  <c r="X378" i="1"/>
  <c r="V378" i="1"/>
  <c r="U378" i="1"/>
  <c r="T378" i="1"/>
  <c r="S378" i="1"/>
  <c r="R378" i="1"/>
  <c r="Q378" i="1"/>
  <c r="P378" i="1"/>
  <c r="Z377" i="1"/>
  <c r="Y377" i="1"/>
  <c r="X377" i="1"/>
  <c r="V377" i="1"/>
  <c r="U377" i="1"/>
  <c r="T377" i="1"/>
  <c r="S377" i="1"/>
  <c r="R377" i="1"/>
  <c r="Q377" i="1"/>
  <c r="P377" i="1"/>
  <c r="Z376" i="1"/>
  <c r="Y376" i="1"/>
  <c r="X376" i="1"/>
  <c r="V376" i="1"/>
  <c r="U376" i="1"/>
  <c r="T376" i="1"/>
  <c r="S376" i="1"/>
  <c r="R376" i="1"/>
  <c r="Q376" i="1"/>
  <c r="P376" i="1"/>
  <c r="Z354" i="1"/>
  <c r="Y354" i="1"/>
  <c r="X354" i="1"/>
  <c r="V354" i="1"/>
  <c r="U354" i="1"/>
  <c r="T354" i="1"/>
  <c r="S354" i="1"/>
  <c r="R354" i="1"/>
  <c r="Q354" i="1"/>
  <c r="P354" i="1"/>
  <c r="Z277" i="1"/>
  <c r="Y277" i="1"/>
  <c r="X277" i="1"/>
  <c r="V277" i="1"/>
  <c r="U277" i="1"/>
  <c r="T277" i="1"/>
  <c r="S277" i="1"/>
  <c r="R277" i="1"/>
  <c r="Q277" i="1"/>
  <c r="P277" i="1"/>
  <c r="Z276" i="1"/>
  <c r="Y276" i="1"/>
  <c r="X276" i="1"/>
  <c r="V276" i="1"/>
  <c r="U276" i="1"/>
  <c r="T276" i="1"/>
  <c r="S276" i="1"/>
  <c r="R276" i="1"/>
  <c r="Q276" i="1"/>
  <c r="P276" i="1"/>
  <c r="Z275" i="1"/>
  <c r="Y275" i="1"/>
  <c r="X275" i="1"/>
  <c r="V275" i="1"/>
  <c r="U275" i="1"/>
  <c r="T275" i="1"/>
  <c r="S275" i="1"/>
  <c r="R275" i="1"/>
  <c r="Q275" i="1"/>
  <c r="P275" i="1"/>
  <c r="Z351" i="1"/>
  <c r="Y351" i="1"/>
  <c r="X351" i="1"/>
  <c r="V351" i="1"/>
  <c r="U351" i="1"/>
  <c r="T351" i="1"/>
  <c r="S351" i="1"/>
  <c r="R351" i="1"/>
  <c r="Q351" i="1"/>
  <c r="P351" i="1"/>
  <c r="Z348" i="1"/>
  <c r="Y348" i="1"/>
  <c r="X348" i="1"/>
  <c r="V348" i="1"/>
  <c r="U348" i="1"/>
  <c r="T348" i="1"/>
  <c r="S348" i="1"/>
  <c r="R348" i="1"/>
  <c r="Q348" i="1"/>
  <c r="P348" i="1"/>
  <c r="Z352" i="1"/>
  <c r="Y352" i="1"/>
  <c r="X352" i="1"/>
  <c r="V352" i="1"/>
  <c r="U352" i="1"/>
  <c r="T352" i="1"/>
  <c r="S352" i="1"/>
  <c r="R352" i="1"/>
  <c r="Q352" i="1"/>
  <c r="P352" i="1"/>
  <c r="Z350" i="1"/>
  <c r="Y350" i="1"/>
  <c r="X350" i="1"/>
  <c r="V350" i="1"/>
  <c r="U350" i="1"/>
  <c r="T350" i="1"/>
  <c r="S350" i="1"/>
  <c r="R350" i="1"/>
  <c r="Q350" i="1"/>
  <c r="P350" i="1"/>
  <c r="Z347" i="1"/>
  <c r="Y347" i="1"/>
  <c r="X347" i="1"/>
  <c r="V347" i="1"/>
  <c r="U347" i="1"/>
  <c r="T347" i="1"/>
  <c r="S347" i="1"/>
  <c r="R347" i="1"/>
  <c r="Q347" i="1"/>
  <c r="P347" i="1"/>
  <c r="Z349" i="1"/>
  <c r="Y349" i="1"/>
  <c r="X349" i="1"/>
  <c r="V349" i="1"/>
  <c r="U349" i="1"/>
  <c r="T349" i="1"/>
  <c r="S349" i="1"/>
  <c r="R349" i="1"/>
  <c r="Q349" i="1"/>
  <c r="P349" i="1"/>
  <c r="Z346" i="1"/>
  <c r="Y346" i="1"/>
  <c r="X346" i="1"/>
  <c r="V346" i="1"/>
  <c r="U346" i="1"/>
  <c r="T346" i="1"/>
  <c r="S346" i="1"/>
  <c r="R346" i="1"/>
  <c r="Q346" i="1"/>
  <c r="P346" i="1"/>
  <c r="Z336" i="1"/>
  <c r="Y336" i="1"/>
  <c r="X336" i="1"/>
  <c r="V336" i="1"/>
  <c r="U336" i="1"/>
  <c r="T336" i="1"/>
  <c r="S336" i="1"/>
  <c r="R336" i="1"/>
  <c r="Q336" i="1"/>
  <c r="P336" i="1"/>
  <c r="Z345" i="1"/>
  <c r="Y345" i="1"/>
  <c r="X345" i="1"/>
  <c r="V345" i="1"/>
  <c r="U345" i="1"/>
  <c r="T345" i="1"/>
  <c r="S345" i="1"/>
  <c r="R345" i="1"/>
  <c r="Q345" i="1"/>
  <c r="P345" i="1"/>
  <c r="Z344" i="1"/>
  <c r="Y344" i="1"/>
  <c r="X344" i="1"/>
  <c r="V344" i="1"/>
  <c r="U344" i="1"/>
  <c r="T344" i="1"/>
  <c r="S344" i="1"/>
  <c r="R344" i="1"/>
  <c r="Q344" i="1"/>
  <c r="P344" i="1"/>
  <c r="Z343" i="1"/>
  <c r="Y343" i="1"/>
  <c r="X343" i="1"/>
  <c r="V343" i="1"/>
  <c r="U343" i="1"/>
  <c r="T343" i="1"/>
  <c r="S343" i="1"/>
  <c r="R343" i="1"/>
  <c r="Q343" i="1"/>
  <c r="P343" i="1"/>
  <c r="Z342" i="1"/>
  <c r="Y342" i="1"/>
  <c r="X342" i="1"/>
  <c r="V342" i="1"/>
  <c r="U342" i="1"/>
  <c r="T342" i="1"/>
  <c r="S342" i="1"/>
  <c r="R342" i="1"/>
  <c r="Q342" i="1"/>
  <c r="P342" i="1"/>
  <c r="Z341" i="1"/>
  <c r="Y341" i="1"/>
  <c r="X341" i="1"/>
  <c r="V341" i="1"/>
  <c r="U341" i="1"/>
  <c r="T341" i="1"/>
  <c r="S341" i="1"/>
  <c r="R341" i="1"/>
  <c r="Q341" i="1"/>
  <c r="P341" i="1"/>
  <c r="Z340" i="1"/>
  <c r="Y340" i="1"/>
  <c r="X340" i="1"/>
  <c r="V340" i="1"/>
  <c r="U340" i="1"/>
  <c r="T340" i="1"/>
  <c r="S340" i="1"/>
  <c r="R340" i="1"/>
  <c r="Q340" i="1"/>
  <c r="P340" i="1"/>
  <c r="Z339" i="1"/>
  <c r="Y339" i="1"/>
  <c r="X339" i="1"/>
  <c r="V339" i="1"/>
  <c r="U339" i="1"/>
  <c r="T339" i="1"/>
  <c r="S339" i="1"/>
  <c r="R339" i="1"/>
  <c r="Q339" i="1"/>
  <c r="P339" i="1"/>
  <c r="Z338" i="1"/>
  <c r="Y338" i="1"/>
  <c r="X338" i="1"/>
  <c r="V338" i="1"/>
  <c r="U338" i="1"/>
  <c r="T338" i="1"/>
  <c r="S338" i="1"/>
  <c r="R338" i="1"/>
  <c r="Q338" i="1"/>
  <c r="P338" i="1"/>
  <c r="Z337" i="1"/>
  <c r="Y337" i="1"/>
  <c r="X337" i="1"/>
  <c r="V337" i="1"/>
  <c r="U337" i="1"/>
  <c r="T337" i="1"/>
  <c r="S337" i="1"/>
  <c r="R337" i="1"/>
  <c r="Q337" i="1"/>
  <c r="P337" i="1"/>
  <c r="Z335" i="1"/>
  <c r="Y335" i="1"/>
  <c r="X335" i="1"/>
  <c r="V335" i="1"/>
  <c r="U335" i="1"/>
  <c r="T335" i="1"/>
  <c r="S335" i="1"/>
  <c r="R335" i="1"/>
  <c r="Q335" i="1"/>
  <c r="P335" i="1"/>
  <c r="Z334" i="1"/>
  <c r="Y334" i="1"/>
  <c r="X334" i="1"/>
  <c r="V334" i="1"/>
  <c r="U334" i="1"/>
  <c r="T334" i="1"/>
  <c r="S334" i="1"/>
  <c r="R334" i="1"/>
  <c r="Q334" i="1"/>
  <c r="P334" i="1"/>
  <c r="Z333" i="1"/>
  <c r="Y333" i="1"/>
  <c r="X333" i="1"/>
  <c r="V333" i="1"/>
  <c r="U333" i="1"/>
  <c r="T333" i="1"/>
  <c r="S333" i="1"/>
  <c r="R333" i="1"/>
  <c r="Q333" i="1"/>
  <c r="P333" i="1"/>
  <c r="Z332" i="1"/>
  <c r="Y332" i="1"/>
  <c r="X332" i="1"/>
  <c r="V332" i="1"/>
  <c r="U332" i="1"/>
  <c r="T332" i="1"/>
  <c r="S332" i="1"/>
  <c r="R332" i="1"/>
  <c r="Q332" i="1"/>
  <c r="P332" i="1"/>
  <c r="Z331" i="1"/>
  <c r="Y331" i="1"/>
  <c r="X331" i="1"/>
  <c r="V331" i="1"/>
  <c r="U331" i="1"/>
  <c r="T331" i="1"/>
  <c r="S331" i="1"/>
  <c r="R331" i="1"/>
  <c r="Q331" i="1"/>
  <c r="P331" i="1"/>
  <c r="Z330" i="1"/>
  <c r="Y330" i="1"/>
  <c r="X330" i="1"/>
  <c r="V330" i="1"/>
  <c r="U330" i="1"/>
  <c r="T330" i="1"/>
  <c r="S330" i="1"/>
  <c r="R330" i="1"/>
  <c r="Q330" i="1"/>
  <c r="P330" i="1"/>
  <c r="Z329" i="1"/>
  <c r="Y329" i="1"/>
  <c r="X329" i="1"/>
  <c r="V329" i="1"/>
  <c r="U329" i="1"/>
  <c r="T329" i="1"/>
  <c r="S329" i="1"/>
  <c r="R329" i="1"/>
  <c r="Q329" i="1"/>
  <c r="P329" i="1"/>
  <c r="Z328" i="1"/>
  <c r="Y328" i="1"/>
  <c r="X328" i="1"/>
  <c r="V328" i="1"/>
  <c r="U328" i="1"/>
  <c r="T328" i="1"/>
  <c r="S328" i="1"/>
  <c r="R328" i="1"/>
  <c r="Q328" i="1"/>
  <c r="P328" i="1"/>
  <c r="Z327" i="1"/>
  <c r="Y327" i="1"/>
  <c r="X327" i="1"/>
  <c r="V327" i="1"/>
  <c r="U327" i="1"/>
  <c r="T327" i="1"/>
  <c r="S327" i="1"/>
  <c r="R327" i="1"/>
  <c r="Q327" i="1"/>
  <c r="P327" i="1"/>
  <c r="Z326" i="1"/>
  <c r="Y326" i="1"/>
  <c r="X326" i="1"/>
  <c r="V326" i="1"/>
  <c r="U326" i="1"/>
  <c r="T326" i="1"/>
  <c r="S326" i="1"/>
  <c r="R326" i="1"/>
  <c r="Q326" i="1"/>
  <c r="P326" i="1"/>
  <c r="Z325" i="1"/>
  <c r="Y325" i="1"/>
  <c r="X325" i="1"/>
  <c r="V325" i="1"/>
  <c r="U325" i="1"/>
  <c r="T325" i="1"/>
  <c r="S325" i="1"/>
  <c r="R325" i="1"/>
  <c r="Q325" i="1"/>
  <c r="P325" i="1"/>
  <c r="Z324" i="1"/>
  <c r="Y324" i="1"/>
  <c r="X324" i="1"/>
  <c r="V324" i="1"/>
  <c r="U324" i="1"/>
  <c r="T324" i="1"/>
  <c r="S324" i="1"/>
  <c r="R324" i="1"/>
  <c r="Q324" i="1"/>
  <c r="P324" i="1"/>
  <c r="Z323" i="1"/>
  <c r="Y323" i="1"/>
  <c r="X323" i="1"/>
  <c r="V323" i="1"/>
  <c r="U323" i="1"/>
  <c r="T323" i="1"/>
  <c r="S323" i="1"/>
  <c r="R323" i="1"/>
  <c r="Q323" i="1"/>
  <c r="P323" i="1"/>
  <c r="Z322" i="1"/>
  <c r="Y322" i="1"/>
  <c r="X322" i="1"/>
  <c r="V322" i="1"/>
  <c r="U322" i="1"/>
  <c r="T322" i="1"/>
  <c r="S322" i="1"/>
  <c r="R322" i="1"/>
  <c r="Q322" i="1"/>
  <c r="P322" i="1"/>
  <c r="Z321" i="1"/>
  <c r="Y321" i="1"/>
  <c r="X321" i="1"/>
  <c r="V321" i="1"/>
  <c r="U321" i="1"/>
  <c r="T321" i="1"/>
  <c r="S321" i="1"/>
  <c r="R321" i="1"/>
  <c r="Q321" i="1"/>
  <c r="P321" i="1"/>
  <c r="Z320" i="1"/>
  <c r="Y320" i="1"/>
  <c r="X320" i="1"/>
  <c r="V320" i="1"/>
  <c r="U320" i="1"/>
  <c r="T320" i="1"/>
  <c r="S320" i="1"/>
  <c r="R320" i="1"/>
  <c r="Q320" i="1"/>
  <c r="P320" i="1"/>
  <c r="Z313" i="1"/>
  <c r="Y313" i="1"/>
  <c r="X313" i="1"/>
  <c r="V313" i="1"/>
  <c r="U313" i="1"/>
  <c r="T313" i="1"/>
  <c r="S313" i="1"/>
  <c r="R313" i="1"/>
  <c r="Q313" i="1"/>
  <c r="P313" i="1"/>
  <c r="Z307" i="1"/>
  <c r="Y307" i="1"/>
  <c r="X307" i="1"/>
  <c r="V307" i="1"/>
  <c r="U307" i="1"/>
  <c r="T307" i="1"/>
  <c r="S307" i="1"/>
  <c r="R307" i="1"/>
  <c r="Q307" i="1"/>
  <c r="P307" i="1"/>
  <c r="Z306" i="1"/>
  <c r="Y306" i="1"/>
  <c r="X306" i="1"/>
  <c r="V306" i="1"/>
  <c r="U306" i="1"/>
  <c r="T306" i="1"/>
  <c r="S306" i="1"/>
  <c r="R306" i="1"/>
  <c r="Q306" i="1"/>
  <c r="P306" i="1"/>
  <c r="Z305" i="1"/>
  <c r="Y305" i="1"/>
  <c r="X305" i="1"/>
  <c r="V305" i="1"/>
  <c r="U305" i="1"/>
  <c r="T305" i="1"/>
  <c r="S305" i="1"/>
  <c r="R305" i="1"/>
  <c r="Q305" i="1"/>
  <c r="P305" i="1"/>
  <c r="Z304" i="1"/>
  <c r="Y304" i="1"/>
  <c r="X304" i="1"/>
  <c r="V304" i="1"/>
  <c r="U304" i="1"/>
  <c r="T304" i="1"/>
  <c r="S304" i="1"/>
  <c r="R304" i="1"/>
  <c r="Q304" i="1"/>
  <c r="P304" i="1"/>
  <c r="Z297" i="1"/>
  <c r="Y297" i="1"/>
  <c r="X297" i="1"/>
  <c r="V297" i="1"/>
  <c r="U297" i="1"/>
  <c r="T297" i="1"/>
  <c r="S297" i="1"/>
  <c r="R297" i="1"/>
  <c r="Q297" i="1"/>
  <c r="P297" i="1"/>
  <c r="Z296" i="1"/>
  <c r="Y296" i="1"/>
  <c r="X296" i="1"/>
  <c r="V296" i="1"/>
  <c r="U296" i="1"/>
  <c r="T296" i="1"/>
  <c r="S296" i="1"/>
  <c r="R296" i="1"/>
  <c r="Q296" i="1"/>
  <c r="P296" i="1"/>
  <c r="Z295" i="1"/>
  <c r="Y295" i="1"/>
  <c r="X295" i="1"/>
  <c r="V295" i="1"/>
  <c r="U295" i="1"/>
  <c r="T295" i="1"/>
  <c r="S295" i="1"/>
  <c r="R295" i="1"/>
  <c r="Q295" i="1"/>
  <c r="P295" i="1"/>
  <c r="Z294" i="1"/>
  <c r="Y294" i="1"/>
  <c r="X294" i="1"/>
  <c r="V294" i="1"/>
  <c r="U294" i="1"/>
  <c r="T294" i="1"/>
  <c r="S294" i="1"/>
  <c r="R294" i="1"/>
  <c r="Q294" i="1"/>
  <c r="P294" i="1"/>
  <c r="Z293" i="1"/>
  <c r="Y293" i="1"/>
  <c r="X293" i="1"/>
  <c r="V293" i="1"/>
  <c r="U293" i="1"/>
  <c r="T293" i="1"/>
  <c r="S293" i="1"/>
  <c r="R293" i="1"/>
  <c r="Q293" i="1"/>
  <c r="P293" i="1"/>
  <c r="Z286" i="1"/>
  <c r="Y286" i="1"/>
  <c r="X286" i="1"/>
  <c r="V286" i="1"/>
  <c r="U286" i="1"/>
  <c r="T286" i="1"/>
  <c r="S286" i="1"/>
  <c r="R286" i="1"/>
  <c r="Q286" i="1"/>
  <c r="P286" i="1"/>
  <c r="Z285" i="1"/>
  <c r="Y285" i="1"/>
  <c r="X285" i="1"/>
  <c r="V285" i="1"/>
  <c r="U285" i="1"/>
  <c r="T285" i="1"/>
  <c r="S285" i="1"/>
  <c r="R285" i="1"/>
  <c r="Q285" i="1"/>
  <c r="P285" i="1"/>
  <c r="Z284" i="1"/>
  <c r="Y284" i="1"/>
  <c r="X284" i="1"/>
  <c r="V284" i="1"/>
  <c r="U284" i="1"/>
  <c r="T284" i="1"/>
  <c r="S284" i="1"/>
  <c r="R284" i="1"/>
  <c r="Q284" i="1"/>
  <c r="P284" i="1"/>
  <c r="Z283" i="1"/>
  <c r="Y283" i="1"/>
  <c r="X283" i="1"/>
  <c r="V283" i="1"/>
  <c r="U283" i="1"/>
  <c r="T283" i="1"/>
  <c r="S283" i="1"/>
  <c r="R283" i="1"/>
  <c r="Q283" i="1"/>
  <c r="P283" i="1"/>
  <c r="Z282" i="1"/>
  <c r="Y282" i="1"/>
  <c r="X282" i="1"/>
  <c r="V282" i="1"/>
  <c r="U282" i="1"/>
  <c r="T282" i="1"/>
  <c r="S282" i="1"/>
  <c r="R282" i="1"/>
  <c r="Q282" i="1"/>
  <c r="P282" i="1"/>
  <c r="Z281" i="1"/>
  <c r="Y281" i="1"/>
  <c r="X281" i="1"/>
  <c r="V281" i="1"/>
  <c r="U281" i="1"/>
  <c r="T281" i="1"/>
  <c r="S281" i="1"/>
  <c r="R281" i="1"/>
  <c r="Q281" i="1"/>
  <c r="P281" i="1"/>
  <c r="Z280" i="1"/>
  <c r="Y280" i="1"/>
  <c r="X280" i="1"/>
  <c r="V280" i="1"/>
  <c r="U280" i="1"/>
  <c r="T280" i="1"/>
  <c r="S280" i="1"/>
  <c r="R280" i="1"/>
  <c r="Q280" i="1"/>
  <c r="P280" i="1"/>
  <c r="Z253" i="1"/>
  <c r="Y253" i="1"/>
  <c r="X253" i="1"/>
  <c r="V253" i="1"/>
  <c r="U253" i="1"/>
  <c r="T253" i="1"/>
  <c r="S253" i="1"/>
  <c r="R253" i="1"/>
  <c r="Q253" i="1"/>
  <c r="P253" i="1"/>
  <c r="Z258" i="1"/>
  <c r="Y258" i="1"/>
  <c r="X258" i="1"/>
  <c r="V258" i="1"/>
  <c r="U258" i="1"/>
  <c r="T258" i="1"/>
  <c r="S258" i="1"/>
  <c r="R258" i="1"/>
  <c r="Q258" i="1"/>
  <c r="P258" i="1"/>
  <c r="Z221" i="1"/>
  <c r="Y221" i="1"/>
  <c r="X221" i="1"/>
  <c r="V221" i="1"/>
  <c r="U221" i="1"/>
  <c r="T221" i="1"/>
  <c r="S221" i="1"/>
  <c r="R221" i="1"/>
  <c r="Q221" i="1"/>
  <c r="P221" i="1"/>
  <c r="Z229" i="1"/>
  <c r="Y229" i="1"/>
  <c r="X229" i="1"/>
  <c r="V229" i="1"/>
  <c r="U229" i="1"/>
  <c r="T229" i="1"/>
  <c r="S229" i="1"/>
  <c r="R229" i="1"/>
  <c r="Q229" i="1"/>
  <c r="P229" i="1"/>
  <c r="Z257" i="1"/>
  <c r="Y257" i="1"/>
  <c r="X257" i="1"/>
  <c r="V257" i="1"/>
  <c r="U257" i="1"/>
  <c r="T257" i="1"/>
  <c r="S257" i="1"/>
  <c r="R257" i="1"/>
  <c r="Q257" i="1"/>
  <c r="P257" i="1"/>
  <c r="Z272" i="1"/>
  <c r="Y272" i="1"/>
  <c r="X272" i="1"/>
  <c r="V272" i="1"/>
  <c r="U272" i="1"/>
  <c r="T272" i="1"/>
  <c r="S272" i="1"/>
  <c r="R272" i="1"/>
  <c r="Q272" i="1"/>
  <c r="P272" i="1"/>
  <c r="Z271" i="1"/>
  <c r="Y271" i="1"/>
  <c r="X271" i="1"/>
  <c r="V271" i="1"/>
  <c r="U271" i="1"/>
  <c r="T271" i="1"/>
  <c r="S271" i="1"/>
  <c r="R271" i="1"/>
  <c r="Q271" i="1"/>
  <c r="P271" i="1"/>
  <c r="Z249" i="1"/>
  <c r="Y249" i="1"/>
  <c r="X249" i="1"/>
  <c r="V249" i="1"/>
  <c r="U249" i="1"/>
  <c r="T249" i="1"/>
  <c r="S249" i="1"/>
  <c r="R249" i="1"/>
  <c r="Q249" i="1"/>
  <c r="P249" i="1"/>
  <c r="Z248" i="1"/>
  <c r="Y248" i="1"/>
  <c r="X248" i="1"/>
  <c r="V248" i="1"/>
  <c r="U248" i="1"/>
  <c r="T248" i="1"/>
  <c r="S248" i="1"/>
  <c r="R248" i="1"/>
  <c r="Q248" i="1"/>
  <c r="P248" i="1"/>
  <c r="Z228" i="1"/>
  <c r="Y228" i="1"/>
  <c r="X228" i="1"/>
  <c r="V228" i="1"/>
  <c r="U228" i="1"/>
  <c r="T228" i="1"/>
  <c r="S228" i="1"/>
  <c r="R228" i="1"/>
  <c r="Q228" i="1"/>
  <c r="P228" i="1"/>
  <c r="Z270" i="1"/>
  <c r="Y270" i="1"/>
  <c r="X270" i="1"/>
  <c r="V270" i="1"/>
  <c r="U270" i="1"/>
  <c r="T270" i="1"/>
  <c r="S270" i="1"/>
  <c r="R270" i="1"/>
  <c r="Q270" i="1"/>
  <c r="P270" i="1"/>
  <c r="Z269" i="1"/>
  <c r="Y269" i="1"/>
  <c r="X269" i="1"/>
  <c r="V269" i="1"/>
  <c r="U269" i="1"/>
  <c r="T269" i="1"/>
  <c r="S269" i="1"/>
  <c r="R269" i="1"/>
  <c r="Q269" i="1"/>
  <c r="P269" i="1"/>
  <c r="Z268" i="1"/>
  <c r="Y268" i="1"/>
  <c r="X268" i="1"/>
  <c r="V268" i="1"/>
  <c r="U268" i="1"/>
  <c r="T268" i="1"/>
  <c r="S268" i="1"/>
  <c r="R268" i="1"/>
  <c r="Q268" i="1"/>
  <c r="P268" i="1"/>
  <c r="Z215" i="1"/>
  <c r="Y215" i="1"/>
  <c r="X215" i="1"/>
  <c r="V215" i="1"/>
  <c r="U215" i="1"/>
  <c r="T215" i="1"/>
  <c r="S215" i="1"/>
  <c r="R215" i="1"/>
  <c r="Q215" i="1"/>
  <c r="P215" i="1"/>
  <c r="Z182" i="1"/>
  <c r="Y182" i="1"/>
  <c r="X182" i="1"/>
  <c r="V182" i="1"/>
  <c r="U182" i="1"/>
  <c r="T182" i="1"/>
  <c r="S182" i="1"/>
  <c r="R182" i="1"/>
  <c r="Q182" i="1"/>
  <c r="P182" i="1"/>
  <c r="Z177" i="1"/>
  <c r="Y177" i="1"/>
  <c r="X177" i="1"/>
  <c r="V177" i="1"/>
  <c r="U177" i="1"/>
  <c r="T177" i="1"/>
  <c r="S177" i="1"/>
  <c r="R177" i="1"/>
  <c r="Q177" i="1"/>
  <c r="P177" i="1"/>
  <c r="Z176" i="1"/>
  <c r="Y176" i="1"/>
  <c r="X176" i="1"/>
  <c r="V176" i="1"/>
  <c r="U176" i="1"/>
  <c r="T176" i="1"/>
  <c r="S176" i="1"/>
  <c r="R176" i="1"/>
  <c r="Q176" i="1"/>
  <c r="P176" i="1"/>
  <c r="Z175" i="1"/>
  <c r="Y175" i="1"/>
  <c r="X175" i="1"/>
  <c r="V175" i="1"/>
  <c r="U175" i="1"/>
  <c r="T175" i="1"/>
  <c r="S175" i="1"/>
  <c r="R175" i="1"/>
  <c r="Q175" i="1"/>
  <c r="P175" i="1"/>
  <c r="Z174" i="1"/>
  <c r="Y174" i="1"/>
  <c r="X174" i="1"/>
  <c r="V174" i="1"/>
  <c r="U174" i="1"/>
  <c r="T174" i="1"/>
  <c r="S174" i="1"/>
  <c r="R174" i="1"/>
  <c r="Q174" i="1"/>
  <c r="P174" i="1"/>
  <c r="Z180" i="1"/>
  <c r="Y180" i="1"/>
  <c r="X180" i="1"/>
  <c r="V180" i="1"/>
  <c r="U180" i="1"/>
  <c r="T180" i="1"/>
  <c r="S180" i="1"/>
  <c r="R180" i="1"/>
  <c r="Q180" i="1"/>
  <c r="P180" i="1"/>
  <c r="Z181" i="1"/>
  <c r="Y181" i="1"/>
  <c r="X181" i="1"/>
  <c r="V181" i="1"/>
  <c r="U181" i="1"/>
  <c r="T181" i="1"/>
  <c r="S181" i="1"/>
  <c r="R181" i="1"/>
  <c r="Q181" i="1"/>
  <c r="P181" i="1"/>
  <c r="Z220" i="1"/>
  <c r="Y220" i="1"/>
  <c r="X220" i="1"/>
  <c r="V220" i="1"/>
  <c r="U220" i="1"/>
  <c r="T220" i="1"/>
  <c r="S220" i="1"/>
  <c r="R220" i="1"/>
  <c r="Q220" i="1"/>
  <c r="P220" i="1"/>
  <c r="Z222" i="1"/>
  <c r="Y222" i="1"/>
  <c r="X222" i="1"/>
  <c r="V222" i="1"/>
  <c r="U222" i="1"/>
  <c r="T222" i="1"/>
  <c r="S222" i="1"/>
  <c r="R222" i="1"/>
  <c r="Q222" i="1"/>
  <c r="P222" i="1"/>
  <c r="Z179" i="1"/>
  <c r="Y179" i="1"/>
  <c r="X179" i="1"/>
  <c r="V179" i="1"/>
  <c r="U179" i="1"/>
  <c r="T179" i="1"/>
  <c r="S179" i="1"/>
  <c r="R179" i="1"/>
  <c r="Q179" i="1"/>
  <c r="P179" i="1"/>
  <c r="Z219" i="1"/>
  <c r="Y219" i="1"/>
  <c r="X219" i="1"/>
  <c r="V219" i="1"/>
  <c r="U219" i="1"/>
  <c r="T219" i="1"/>
  <c r="S219" i="1"/>
  <c r="R219" i="1"/>
  <c r="Q219" i="1"/>
  <c r="P219" i="1"/>
  <c r="Z217" i="1"/>
  <c r="Y217" i="1"/>
  <c r="X217" i="1"/>
  <c r="V217" i="1"/>
  <c r="U217" i="1"/>
  <c r="T217" i="1"/>
  <c r="S217" i="1"/>
  <c r="R217" i="1"/>
  <c r="Q217" i="1"/>
  <c r="P217" i="1"/>
  <c r="Z178" i="1"/>
  <c r="Y178" i="1"/>
  <c r="X178" i="1"/>
  <c r="V178" i="1"/>
  <c r="U178" i="1"/>
  <c r="T178" i="1"/>
  <c r="S178" i="1"/>
  <c r="R178" i="1"/>
  <c r="Q178" i="1"/>
  <c r="P178" i="1"/>
  <c r="Z173" i="1"/>
  <c r="Y173" i="1"/>
  <c r="X173" i="1"/>
  <c r="V173" i="1"/>
  <c r="U173" i="1"/>
  <c r="T173" i="1"/>
  <c r="S173" i="1"/>
  <c r="R173" i="1"/>
  <c r="Q173" i="1"/>
  <c r="P173" i="1"/>
  <c r="Z172" i="1"/>
  <c r="Y172" i="1"/>
  <c r="X172" i="1"/>
  <c r="V172" i="1"/>
  <c r="U172" i="1"/>
  <c r="T172" i="1"/>
  <c r="S172" i="1"/>
  <c r="R172" i="1"/>
  <c r="Q172" i="1"/>
  <c r="P172" i="1"/>
  <c r="Z164" i="1"/>
  <c r="Y164" i="1"/>
  <c r="X164" i="1"/>
  <c r="V164" i="1"/>
  <c r="U164" i="1"/>
  <c r="T164" i="1"/>
  <c r="S164" i="1"/>
  <c r="R164" i="1"/>
  <c r="Q164" i="1"/>
  <c r="P164" i="1"/>
  <c r="Z163" i="1"/>
  <c r="Y163" i="1"/>
  <c r="X163" i="1"/>
  <c r="V163" i="1"/>
  <c r="U163" i="1"/>
  <c r="T163" i="1"/>
  <c r="S163" i="1"/>
  <c r="R163" i="1"/>
  <c r="Q163" i="1"/>
  <c r="P163" i="1"/>
  <c r="Z162" i="1"/>
  <c r="Y162" i="1"/>
  <c r="X162" i="1"/>
  <c r="V162" i="1"/>
  <c r="U162" i="1"/>
  <c r="T162" i="1"/>
  <c r="S162" i="1"/>
  <c r="R162" i="1"/>
  <c r="Q162" i="1"/>
  <c r="P162" i="1"/>
  <c r="Z161" i="1"/>
  <c r="Y161" i="1"/>
  <c r="X161" i="1"/>
  <c r="V161" i="1"/>
  <c r="U161" i="1"/>
  <c r="T161" i="1"/>
  <c r="S161" i="1"/>
  <c r="R161" i="1"/>
  <c r="Q161" i="1"/>
  <c r="P161" i="1"/>
  <c r="Z115" i="1"/>
  <c r="Y115" i="1"/>
  <c r="X115" i="1"/>
  <c r="V115" i="1"/>
  <c r="U115" i="1"/>
  <c r="T115" i="1"/>
  <c r="S115" i="1"/>
  <c r="R115" i="1"/>
  <c r="Q115" i="1"/>
  <c r="P115" i="1"/>
  <c r="Z113" i="1"/>
  <c r="Y113" i="1"/>
  <c r="X113" i="1"/>
  <c r="V113" i="1"/>
  <c r="U113" i="1"/>
  <c r="T113" i="1"/>
  <c r="S113" i="1"/>
  <c r="R113" i="1"/>
  <c r="Q113" i="1"/>
  <c r="P113" i="1"/>
  <c r="Z112" i="1"/>
  <c r="Y112" i="1"/>
  <c r="X112" i="1"/>
  <c r="V112" i="1"/>
  <c r="U112" i="1"/>
  <c r="T112" i="1"/>
  <c r="S112" i="1"/>
  <c r="R112" i="1"/>
  <c r="Q112" i="1"/>
  <c r="P112" i="1"/>
  <c r="Z110" i="1"/>
  <c r="Y110" i="1"/>
  <c r="X110" i="1"/>
  <c r="V110" i="1"/>
  <c r="U110" i="1"/>
  <c r="T110" i="1"/>
  <c r="S110" i="1"/>
  <c r="R110" i="1"/>
  <c r="Q110" i="1"/>
  <c r="P110" i="1"/>
  <c r="Z109" i="1"/>
  <c r="Y109" i="1"/>
  <c r="X109" i="1"/>
  <c r="V109" i="1"/>
  <c r="U109" i="1"/>
  <c r="T109" i="1"/>
  <c r="S109" i="1"/>
  <c r="R109" i="1"/>
  <c r="Q109" i="1"/>
  <c r="P109" i="1"/>
  <c r="Z108" i="1"/>
  <c r="Y108" i="1"/>
  <c r="X108" i="1"/>
  <c r="V108" i="1"/>
  <c r="U108" i="1"/>
  <c r="T108" i="1"/>
  <c r="S108" i="1"/>
  <c r="R108" i="1"/>
  <c r="Q108" i="1"/>
  <c r="P108" i="1"/>
  <c r="Z107" i="1"/>
  <c r="Y107" i="1"/>
  <c r="X107" i="1"/>
  <c r="V107" i="1"/>
  <c r="U107" i="1"/>
  <c r="T107" i="1"/>
  <c r="S107" i="1"/>
  <c r="R107" i="1"/>
  <c r="Q107" i="1"/>
  <c r="P107" i="1"/>
  <c r="Z106" i="1"/>
  <c r="Y106" i="1"/>
  <c r="X106" i="1"/>
  <c r="V106" i="1"/>
  <c r="U106" i="1"/>
  <c r="T106" i="1"/>
  <c r="S106" i="1"/>
  <c r="R106" i="1"/>
  <c r="Q106" i="1"/>
  <c r="P106" i="1"/>
  <c r="Z105" i="1"/>
  <c r="Y105" i="1"/>
  <c r="X105" i="1"/>
  <c r="V105" i="1"/>
  <c r="U105" i="1"/>
  <c r="T105" i="1"/>
  <c r="S105" i="1"/>
  <c r="R105" i="1"/>
  <c r="Q105" i="1"/>
  <c r="P105" i="1"/>
  <c r="Z104" i="1"/>
  <c r="Y104" i="1"/>
  <c r="X104" i="1"/>
  <c r="V104" i="1"/>
  <c r="U104" i="1"/>
  <c r="T104" i="1"/>
  <c r="S104" i="1"/>
  <c r="R104" i="1"/>
  <c r="Q104" i="1"/>
  <c r="P104" i="1"/>
  <c r="Z103" i="1"/>
  <c r="Y103" i="1"/>
  <c r="X103" i="1"/>
  <c r="V103" i="1"/>
  <c r="U103" i="1"/>
  <c r="T103" i="1"/>
  <c r="S103" i="1"/>
  <c r="R103" i="1"/>
  <c r="Q103" i="1"/>
  <c r="P103" i="1"/>
  <c r="Z102" i="1"/>
  <c r="Y102" i="1"/>
  <c r="X102" i="1"/>
  <c r="V102" i="1"/>
  <c r="U102" i="1"/>
  <c r="T102" i="1"/>
  <c r="S102" i="1"/>
  <c r="R102" i="1"/>
  <c r="Q102" i="1"/>
  <c r="P102" i="1"/>
  <c r="Z95" i="1"/>
  <c r="Y95" i="1"/>
  <c r="X95" i="1"/>
  <c r="V95" i="1"/>
  <c r="U95" i="1"/>
  <c r="T95" i="1"/>
  <c r="S95" i="1"/>
  <c r="R95" i="1"/>
  <c r="Q95" i="1"/>
  <c r="P95" i="1"/>
  <c r="Z94" i="1"/>
  <c r="Y94" i="1"/>
  <c r="X94" i="1"/>
  <c r="V94" i="1"/>
  <c r="U94" i="1"/>
  <c r="T94" i="1"/>
  <c r="S94" i="1"/>
  <c r="R94" i="1"/>
  <c r="Q94" i="1"/>
  <c r="P94" i="1"/>
  <c r="Z93" i="1"/>
  <c r="Y93" i="1"/>
  <c r="X93" i="1"/>
  <c r="V93" i="1"/>
  <c r="U93" i="1"/>
  <c r="T93" i="1"/>
  <c r="S93" i="1"/>
  <c r="R93" i="1"/>
  <c r="Q93" i="1"/>
  <c r="P93" i="1"/>
  <c r="Z92" i="1"/>
  <c r="Y92" i="1"/>
  <c r="X92" i="1"/>
  <c r="V92" i="1"/>
  <c r="U92" i="1"/>
  <c r="T92" i="1"/>
  <c r="S92" i="1"/>
  <c r="R92" i="1"/>
  <c r="Q92" i="1"/>
  <c r="P92" i="1"/>
  <c r="Z91" i="1"/>
  <c r="Y91" i="1"/>
  <c r="X91" i="1"/>
  <c r="V91" i="1"/>
  <c r="U91" i="1"/>
  <c r="T91" i="1"/>
  <c r="S91" i="1"/>
  <c r="R91" i="1"/>
  <c r="Q91" i="1"/>
  <c r="P91" i="1"/>
  <c r="Z80" i="1"/>
  <c r="Y80" i="1"/>
  <c r="X80" i="1"/>
  <c r="V80" i="1"/>
  <c r="U80" i="1"/>
  <c r="T80" i="1"/>
  <c r="S80" i="1"/>
  <c r="R80" i="1"/>
  <c r="Q80" i="1"/>
  <c r="P80" i="1"/>
  <c r="Z79" i="1"/>
  <c r="Y79" i="1"/>
  <c r="X79" i="1"/>
  <c r="V79" i="1"/>
  <c r="U79" i="1"/>
  <c r="T79" i="1"/>
  <c r="S79" i="1"/>
  <c r="R79" i="1"/>
  <c r="Q79" i="1"/>
  <c r="P79" i="1"/>
  <c r="Z78" i="1"/>
  <c r="Y78" i="1"/>
  <c r="X78" i="1"/>
  <c r="V78" i="1"/>
  <c r="U78" i="1"/>
  <c r="T78" i="1"/>
  <c r="S78" i="1"/>
  <c r="R78" i="1"/>
  <c r="Q78" i="1"/>
  <c r="P78" i="1"/>
  <c r="Z77" i="1"/>
  <c r="Y77" i="1"/>
  <c r="X77" i="1"/>
  <c r="V77" i="1"/>
  <c r="U77" i="1"/>
  <c r="T77" i="1"/>
  <c r="S77" i="1"/>
  <c r="R77" i="1"/>
  <c r="Q77" i="1"/>
  <c r="P77" i="1"/>
  <c r="Z75" i="1"/>
  <c r="Y75" i="1"/>
  <c r="X75" i="1"/>
  <c r="V75" i="1"/>
  <c r="U75" i="1"/>
  <c r="T75" i="1"/>
  <c r="S75" i="1"/>
  <c r="R75" i="1"/>
  <c r="Q75" i="1"/>
  <c r="P75" i="1"/>
  <c r="Z74" i="1"/>
  <c r="Y74" i="1"/>
  <c r="X74" i="1"/>
  <c r="V74" i="1"/>
  <c r="U74" i="1"/>
  <c r="T74" i="1"/>
  <c r="S74" i="1"/>
  <c r="R74" i="1"/>
  <c r="Q74" i="1"/>
  <c r="P74" i="1"/>
  <c r="Z73" i="1"/>
  <c r="Y73" i="1"/>
  <c r="X73" i="1"/>
  <c r="V73" i="1"/>
  <c r="U73" i="1"/>
  <c r="T73" i="1"/>
  <c r="S73" i="1"/>
  <c r="R73" i="1"/>
  <c r="Q73" i="1"/>
  <c r="P73" i="1"/>
  <c r="Z72" i="1"/>
  <c r="Y72" i="1"/>
  <c r="X72" i="1"/>
  <c r="V72" i="1"/>
  <c r="U72" i="1"/>
  <c r="T72" i="1"/>
  <c r="S72" i="1"/>
  <c r="R72" i="1"/>
  <c r="Q72" i="1"/>
  <c r="P72" i="1"/>
  <c r="Z71" i="1"/>
  <c r="Y71" i="1"/>
  <c r="X71" i="1"/>
  <c r="V71" i="1"/>
  <c r="U71" i="1"/>
  <c r="T71" i="1"/>
  <c r="S71" i="1"/>
  <c r="R71" i="1"/>
  <c r="Q71" i="1"/>
  <c r="P71" i="1"/>
  <c r="Z69" i="1"/>
  <c r="Y69" i="1"/>
  <c r="X69" i="1"/>
  <c r="V69" i="1"/>
  <c r="U69" i="1"/>
  <c r="T69" i="1"/>
  <c r="S69" i="1"/>
  <c r="R69" i="1"/>
  <c r="Q69" i="1"/>
  <c r="P69" i="1"/>
  <c r="Z68" i="1"/>
  <c r="Y68" i="1"/>
  <c r="X68" i="1"/>
  <c r="V68" i="1"/>
  <c r="U68" i="1"/>
  <c r="T68" i="1"/>
  <c r="S68" i="1"/>
  <c r="R68" i="1"/>
  <c r="Q68" i="1"/>
  <c r="P68" i="1"/>
  <c r="Z67" i="1"/>
  <c r="Y67" i="1"/>
  <c r="X67" i="1"/>
  <c r="V67" i="1"/>
  <c r="U67" i="1"/>
  <c r="T67" i="1"/>
  <c r="S67" i="1"/>
  <c r="R67" i="1"/>
  <c r="Q67" i="1"/>
  <c r="P67" i="1"/>
  <c r="Z66" i="1"/>
  <c r="Y66" i="1"/>
  <c r="X66" i="1"/>
  <c r="V66" i="1"/>
  <c r="U66" i="1"/>
  <c r="T66" i="1"/>
  <c r="S66" i="1"/>
  <c r="R66" i="1"/>
  <c r="Q66" i="1"/>
  <c r="P66" i="1"/>
  <c r="Z65" i="1"/>
  <c r="Y65" i="1"/>
  <c r="X65" i="1"/>
  <c r="V65" i="1"/>
  <c r="U65" i="1"/>
  <c r="T65" i="1"/>
  <c r="S65" i="1"/>
  <c r="R65" i="1"/>
  <c r="Q65" i="1"/>
  <c r="P65" i="1"/>
  <c r="Z57" i="1"/>
  <c r="Y57" i="1"/>
  <c r="X57" i="1"/>
  <c r="V57" i="1"/>
  <c r="U57" i="1"/>
  <c r="T57" i="1"/>
  <c r="S57" i="1"/>
  <c r="R57" i="1"/>
  <c r="Q57" i="1"/>
  <c r="P57" i="1"/>
  <c r="Z56" i="1"/>
  <c r="Y56" i="1"/>
  <c r="X56" i="1"/>
  <c r="V56" i="1"/>
  <c r="U56" i="1"/>
  <c r="T56" i="1"/>
  <c r="S56" i="1"/>
  <c r="R56" i="1"/>
  <c r="Q56" i="1"/>
  <c r="P56" i="1"/>
  <c r="Z55" i="1"/>
  <c r="Y55" i="1"/>
  <c r="X55" i="1"/>
  <c r="V55" i="1"/>
  <c r="U55" i="1"/>
  <c r="T55" i="1"/>
  <c r="S55" i="1"/>
  <c r="R55" i="1"/>
  <c r="Q55" i="1"/>
  <c r="P55" i="1"/>
  <c r="Z54" i="1"/>
  <c r="Y54" i="1"/>
  <c r="X54" i="1"/>
  <c r="V54" i="1"/>
  <c r="U54" i="1"/>
  <c r="T54" i="1"/>
  <c r="S54" i="1"/>
  <c r="R54" i="1"/>
  <c r="Q54" i="1"/>
  <c r="P54" i="1"/>
  <c r="Z53" i="1"/>
  <c r="Y53" i="1"/>
  <c r="X53" i="1"/>
  <c r="V53" i="1"/>
  <c r="U53" i="1"/>
  <c r="T53" i="1"/>
  <c r="S53" i="1"/>
  <c r="R53" i="1"/>
  <c r="Q53" i="1"/>
  <c r="P53" i="1"/>
  <c r="Z52" i="1"/>
  <c r="Y52" i="1"/>
  <c r="X52" i="1"/>
  <c r="V52" i="1"/>
  <c r="U52" i="1"/>
  <c r="T52" i="1"/>
  <c r="S52" i="1"/>
  <c r="R52" i="1"/>
  <c r="Q52" i="1"/>
  <c r="P52" i="1"/>
  <c r="Z51" i="1"/>
  <c r="Y51" i="1"/>
  <c r="X51" i="1"/>
  <c r="V51" i="1"/>
  <c r="U51" i="1"/>
  <c r="T51" i="1"/>
  <c r="S51" i="1"/>
  <c r="R51" i="1"/>
  <c r="Q51" i="1"/>
  <c r="P51" i="1"/>
  <c r="Z50" i="1"/>
  <c r="Y50" i="1"/>
  <c r="X50" i="1"/>
  <c r="V50" i="1"/>
  <c r="U50" i="1"/>
  <c r="T50" i="1"/>
  <c r="S50" i="1"/>
  <c r="R50" i="1"/>
  <c r="Q50" i="1"/>
  <c r="P50" i="1"/>
  <c r="Z49" i="1"/>
  <c r="Y49" i="1"/>
  <c r="X49" i="1"/>
  <c r="V49" i="1"/>
  <c r="U49" i="1"/>
  <c r="T49" i="1"/>
  <c r="S49" i="1"/>
  <c r="R49" i="1"/>
  <c r="Q49" i="1"/>
  <c r="P49" i="1"/>
  <c r="Z43" i="1"/>
  <c r="Y43" i="1"/>
  <c r="X43" i="1"/>
  <c r="V43" i="1"/>
  <c r="U43" i="1"/>
  <c r="T43" i="1"/>
  <c r="S43" i="1"/>
  <c r="R43" i="1"/>
  <c r="Q43" i="1"/>
  <c r="P43" i="1"/>
  <c r="Z42" i="1"/>
  <c r="Y42" i="1"/>
  <c r="X42" i="1"/>
  <c r="V42" i="1"/>
  <c r="U42" i="1"/>
  <c r="T42" i="1"/>
  <c r="S42" i="1"/>
  <c r="R42" i="1"/>
  <c r="Q42" i="1"/>
  <c r="P42" i="1"/>
  <c r="Z41" i="1"/>
  <c r="Y41" i="1"/>
  <c r="X41" i="1"/>
  <c r="V41" i="1"/>
  <c r="U41" i="1"/>
  <c r="T41" i="1"/>
  <c r="S41" i="1"/>
  <c r="R41" i="1"/>
  <c r="Q41" i="1"/>
  <c r="P41" i="1"/>
  <c r="Z40" i="1"/>
  <c r="Y40" i="1"/>
  <c r="X40" i="1"/>
  <c r="V40" i="1"/>
  <c r="U40" i="1"/>
  <c r="T40" i="1"/>
  <c r="S40" i="1"/>
  <c r="R40" i="1"/>
  <c r="Q40" i="1"/>
  <c r="P40" i="1"/>
  <c r="Z39" i="1"/>
  <c r="Y39" i="1"/>
  <c r="X39" i="1"/>
  <c r="V39" i="1"/>
  <c r="U39" i="1"/>
  <c r="T39" i="1"/>
  <c r="S39" i="1"/>
  <c r="R39" i="1"/>
  <c r="Q39" i="1"/>
  <c r="P39" i="1"/>
  <c r="Z38" i="1"/>
  <c r="Y38" i="1"/>
  <c r="X38" i="1"/>
  <c r="V38" i="1"/>
  <c r="U38" i="1"/>
  <c r="T38" i="1"/>
  <c r="S38" i="1"/>
  <c r="R38" i="1"/>
  <c r="Q38" i="1"/>
  <c r="P38" i="1"/>
  <c r="Z37" i="1"/>
  <c r="Y37" i="1"/>
  <c r="X37" i="1"/>
  <c r="V37" i="1"/>
  <c r="U37" i="1"/>
  <c r="T37" i="1"/>
  <c r="S37" i="1"/>
  <c r="R37" i="1"/>
  <c r="Q37" i="1"/>
  <c r="P37" i="1"/>
  <c r="Z36" i="1"/>
  <c r="Y36" i="1"/>
  <c r="X36" i="1"/>
  <c r="V36" i="1"/>
  <c r="U36" i="1"/>
  <c r="T36" i="1"/>
  <c r="S36" i="1"/>
  <c r="R36" i="1"/>
  <c r="Q36" i="1"/>
  <c r="P36" i="1"/>
  <c r="Z35" i="1"/>
  <c r="Y35" i="1"/>
  <c r="X35" i="1"/>
  <c r="V35" i="1"/>
  <c r="U35" i="1"/>
  <c r="T35" i="1"/>
  <c r="S35" i="1"/>
  <c r="R35" i="1"/>
  <c r="Q35" i="1"/>
  <c r="P35" i="1"/>
  <c r="Z34" i="1"/>
  <c r="Y34" i="1"/>
  <c r="X34" i="1"/>
  <c r="V34" i="1"/>
  <c r="U34" i="1"/>
  <c r="T34" i="1"/>
  <c r="S34" i="1"/>
  <c r="R34" i="1"/>
  <c r="Q34" i="1"/>
  <c r="P34" i="1"/>
  <c r="Z33" i="1"/>
  <c r="Y33" i="1"/>
  <c r="X33" i="1"/>
  <c r="V33" i="1"/>
  <c r="U33" i="1"/>
  <c r="T33" i="1"/>
  <c r="S33" i="1"/>
  <c r="R33" i="1"/>
  <c r="Q33" i="1"/>
  <c r="P33" i="1"/>
  <c r="Z32" i="1"/>
  <c r="Y32" i="1"/>
  <c r="X32" i="1"/>
  <c r="V32" i="1"/>
  <c r="U32" i="1"/>
  <c r="T32" i="1"/>
  <c r="S32" i="1"/>
  <c r="R32" i="1"/>
  <c r="Q32" i="1"/>
  <c r="P32" i="1"/>
  <c r="Z31" i="1"/>
  <c r="Y31" i="1"/>
  <c r="X31" i="1"/>
  <c r="V31" i="1"/>
  <c r="U31" i="1"/>
  <c r="T31" i="1"/>
  <c r="S31" i="1"/>
  <c r="R31" i="1"/>
  <c r="Q31" i="1"/>
  <c r="P31" i="1"/>
  <c r="Z30" i="1"/>
  <c r="Y30" i="1"/>
  <c r="X30" i="1"/>
  <c r="V30" i="1"/>
  <c r="U30" i="1"/>
  <c r="T30" i="1"/>
  <c r="S30" i="1"/>
  <c r="R30" i="1"/>
  <c r="Q30" i="1"/>
  <c r="P30" i="1"/>
  <c r="Z29" i="1"/>
  <c r="Y29" i="1"/>
  <c r="X29" i="1"/>
  <c r="V29" i="1"/>
  <c r="U29" i="1"/>
  <c r="T29" i="1"/>
  <c r="S29" i="1"/>
  <c r="R29" i="1"/>
  <c r="Q29" i="1"/>
  <c r="P29" i="1"/>
  <c r="Z28" i="1"/>
  <c r="Y28" i="1"/>
  <c r="X28" i="1"/>
  <c r="V28" i="1"/>
  <c r="U28" i="1"/>
  <c r="T28" i="1"/>
  <c r="S28" i="1"/>
  <c r="R28" i="1"/>
  <c r="Q28" i="1"/>
  <c r="P28" i="1"/>
  <c r="Z27" i="1"/>
  <c r="Y27" i="1"/>
  <c r="X27" i="1"/>
  <c r="V27" i="1"/>
  <c r="U27" i="1"/>
  <c r="T27" i="1"/>
  <c r="S27" i="1"/>
  <c r="R27" i="1"/>
  <c r="Q27" i="1"/>
  <c r="P27" i="1"/>
  <c r="Z26" i="1"/>
  <c r="Y26" i="1"/>
  <c r="X26" i="1"/>
  <c r="V26" i="1"/>
  <c r="U26" i="1"/>
  <c r="T26" i="1"/>
  <c r="S26" i="1"/>
  <c r="R26" i="1"/>
  <c r="Q26" i="1"/>
  <c r="P26" i="1"/>
  <c r="Z25" i="1"/>
  <c r="Y25" i="1"/>
  <c r="X25" i="1"/>
  <c r="V25" i="1"/>
  <c r="U25" i="1"/>
  <c r="T25" i="1"/>
  <c r="S25" i="1"/>
  <c r="R25" i="1"/>
  <c r="Q25" i="1"/>
  <c r="P25" i="1"/>
  <c r="Z24" i="1"/>
  <c r="Y24" i="1"/>
  <c r="X24" i="1"/>
  <c r="V24" i="1"/>
  <c r="U24" i="1"/>
  <c r="T24" i="1"/>
  <c r="S24" i="1"/>
  <c r="R24" i="1"/>
  <c r="Q24" i="1"/>
  <c r="P24" i="1"/>
  <c r="Z23" i="1"/>
  <c r="Y23" i="1"/>
  <c r="X23" i="1"/>
  <c r="V23" i="1"/>
  <c r="U23" i="1"/>
  <c r="T23" i="1"/>
  <c r="S23" i="1"/>
  <c r="R23" i="1"/>
  <c r="Q23" i="1"/>
  <c r="P23" i="1"/>
  <c r="Z22" i="1"/>
  <c r="Y22" i="1"/>
  <c r="X22" i="1"/>
  <c r="V22" i="1"/>
  <c r="U22" i="1"/>
  <c r="T22" i="1"/>
  <c r="S22" i="1"/>
  <c r="R22" i="1"/>
  <c r="Q22" i="1"/>
  <c r="P22" i="1"/>
  <c r="Z21" i="1"/>
  <c r="Y21" i="1"/>
  <c r="X21" i="1"/>
  <c r="V21" i="1"/>
  <c r="U21" i="1"/>
  <c r="T21" i="1"/>
  <c r="S21" i="1"/>
  <c r="R21" i="1"/>
  <c r="Q21" i="1"/>
  <c r="P21" i="1"/>
  <c r="Z20" i="1"/>
  <c r="Y20" i="1"/>
  <c r="X20" i="1"/>
  <c r="V20" i="1"/>
  <c r="U20" i="1"/>
  <c r="T20" i="1"/>
  <c r="S20" i="1"/>
  <c r="R20" i="1"/>
  <c r="Q20" i="1"/>
  <c r="P20" i="1"/>
  <c r="Z19" i="1"/>
  <c r="Y19" i="1"/>
  <c r="X19" i="1"/>
  <c r="V19" i="1"/>
  <c r="U19" i="1"/>
  <c r="T19" i="1"/>
  <c r="S19" i="1"/>
  <c r="R19" i="1"/>
  <c r="Q19" i="1"/>
  <c r="P19" i="1"/>
  <c r="Z18" i="1"/>
  <c r="Y18" i="1"/>
  <c r="X18" i="1"/>
  <c r="V18" i="1"/>
  <c r="U18" i="1"/>
  <c r="T18" i="1"/>
  <c r="S18" i="1"/>
  <c r="R18" i="1"/>
  <c r="Q18" i="1"/>
  <c r="P18" i="1"/>
  <c r="Z17" i="1"/>
  <c r="Y17" i="1"/>
  <c r="X17" i="1"/>
  <c r="V17" i="1"/>
  <c r="U17" i="1"/>
  <c r="T17" i="1"/>
  <c r="S17" i="1"/>
  <c r="R17" i="1"/>
  <c r="Q17" i="1"/>
  <c r="P17" i="1"/>
  <c r="Z16" i="1"/>
  <c r="Y16" i="1"/>
  <c r="X16" i="1"/>
  <c r="V16" i="1"/>
  <c r="U16" i="1"/>
  <c r="T16" i="1"/>
  <c r="S16" i="1"/>
  <c r="R16" i="1"/>
  <c r="Q16" i="1"/>
  <c r="P16" i="1"/>
  <c r="Z15" i="1"/>
  <c r="Y15" i="1"/>
  <c r="X15" i="1"/>
  <c r="V15" i="1"/>
  <c r="U15" i="1"/>
  <c r="T15" i="1"/>
  <c r="S15" i="1"/>
  <c r="R15" i="1"/>
  <c r="Q15" i="1"/>
  <c r="P15" i="1"/>
  <c r="Z14" i="1"/>
  <c r="Y14" i="1"/>
  <c r="X14" i="1"/>
  <c r="V14" i="1"/>
  <c r="U14" i="1"/>
  <c r="T14" i="1"/>
  <c r="S14" i="1"/>
  <c r="R14" i="1"/>
  <c r="Q14" i="1"/>
  <c r="P14" i="1"/>
  <c r="Z13" i="1"/>
  <c r="Y13" i="1"/>
  <c r="X13" i="1"/>
  <c r="V13" i="1"/>
  <c r="U13" i="1"/>
  <c r="T13" i="1"/>
  <c r="S13" i="1"/>
  <c r="R13" i="1"/>
  <c r="Q13" i="1"/>
  <c r="P13" i="1"/>
  <c r="Z12" i="1"/>
  <c r="Y12" i="1"/>
  <c r="X12" i="1"/>
  <c r="V12" i="1"/>
  <c r="U12" i="1"/>
  <c r="T12" i="1"/>
  <c r="S12" i="1"/>
  <c r="R12" i="1"/>
  <c r="Q12" i="1"/>
  <c r="P12" i="1"/>
  <c r="Z11" i="1"/>
  <c r="Y11" i="1"/>
  <c r="X11" i="1"/>
  <c r="V11" i="1"/>
  <c r="U11" i="1"/>
  <c r="T11" i="1"/>
  <c r="S11" i="1"/>
  <c r="R11" i="1"/>
  <c r="Q11" i="1"/>
  <c r="P11" i="1"/>
  <c r="Z10" i="1"/>
  <c r="Y10" i="1"/>
  <c r="X10" i="1"/>
  <c r="V10" i="1"/>
  <c r="U10" i="1"/>
  <c r="T10" i="1"/>
  <c r="S10" i="1"/>
  <c r="R10" i="1"/>
  <c r="Q10" i="1"/>
  <c r="P10" i="1"/>
  <c r="Z9" i="1"/>
  <c r="Y9" i="1"/>
  <c r="X9" i="1"/>
  <c r="V9" i="1"/>
  <c r="U9" i="1"/>
  <c r="T9" i="1"/>
  <c r="S9" i="1"/>
  <c r="R9" i="1"/>
  <c r="Q9" i="1"/>
  <c r="P9" i="1"/>
  <c r="Z8" i="1"/>
  <c r="Y8" i="1"/>
  <c r="X8" i="1"/>
  <c r="V8" i="1"/>
  <c r="U8" i="1"/>
  <c r="T8" i="1"/>
  <c r="S8" i="1"/>
  <c r="R8" i="1"/>
  <c r="Q8" i="1"/>
  <c r="P8" i="1"/>
  <c r="Z7" i="1"/>
  <c r="Y7" i="1"/>
  <c r="X7" i="1"/>
  <c r="V7" i="1"/>
  <c r="U7" i="1"/>
  <c r="T7" i="1"/>
  <c r="S7" i="1"/>
  <c r="R7" i="1"/>
  <c r="Q7" i="1"/>
  <c r="P7" i="1"/>
  <c r="Z6" i="1"/>
  <c r="Y6" i="1"/>
  <c r="X6" i="1"/>
  <c r="V6" i="1"/>
  <c r="U6" i="1"/>
  <c r="T6" i="1"/>
  <c r="S6" i="1"/>
  <c r="R6" i="1"/>
  <c r="Q6" i="1"/>
  <c r="P6" i="1"/>
  <c r="Z5" i="1"/>
  <c r="Y5" i="1"/>
  <c r="X5" i="1"/>
  <c r="V5" i="1"/>
  <c r="U5" i="1"/>
  <c r="T5" i="1"/>
  <c r="S5" i="1"/>
  <c r="R5" i="1"/>
  <c r="Q5" i="1"/>
  <c r="P5" i="1"/>
  <c r="Z4" i="1"/>
  <c r="Y4" i="1"/>
  <c r="X4" i="1"/>
  <c r="V4" i="1"/>
  <c r="U4" i="1"/>
  <c r="T4" i="1"/>
  <c r="S4" i="1"/>
  <c r="R4" i="1"/>
  <c r="Q4" i="1"/>
  <c r="P4" i="1"/>
  <c r="K6" i="1"/>
  <c r="M5" i="1"/>
  <c r="K5" i="1"/>
  <c r="M4" i="1"/>
  <c r="K4" i="1"/>
  <c r="AL394" i="1" l="1"/>
  <c r="BA394" i="1"/>
  <c r="AZ401" i="1"/>
  <c r="AZ397" i="1"/>
  <c r="AL402" i="1"/>
  <c r="AL395" i="1"/>
  <c r="AL392" i="1"/>
  <c r="AZ391" i="1"/>
  <c r="AL398" i="1"/>
  <c r="AL397" i="1"/>
  <c r="AZ398" i="1"/>
  <c r="AZ392" i="1"/>
  <c r="AL400" i="1"/>
  <c r="AZ402" i="1"/>
  <c r="AL401" i="1"/>
  <c r="AL399" i="1"/>
  <c r="AZ400" i="1"/>
  <c r="AL403" i="1"/>
  <c r="AZ399" i="1"/>
  <c r="AZ403" i="1"/>
  <c r="AZ394" i="1"/>
  <c r="AZ395" i="1"/>
  <c r="AL391" i="1"/>
  <c r="AL393" i="1"/>
  <c r="AL396" i="1"/>
  <c r="AZ393" i="1"/>
  <c r="AZ396" i="1"/>
  <c r="BA342" i="1"/>
  <c r="BA392" i="1"/>
  <c r="BA393" i="1"/>
  <c r="BA391" i="1"/>
  <c r="BA403" i="1"/>
  <c r="BA400" i="1"/>
  <c r="BA399" i="1"/>
  <c r="BA396" i="1"/>
  <c r="BA398" i="1"/>
  <c r="BA402" i="1"/>
  <c r="BA397" i="1"/>
  <c r="BA401" i="1"/>
  <c r="BA395" i="1"/>
  <c r="AL341" i="1" l="1"/>
  <c r="BA341" i="1"/>
  <c r="AL343" i="1"/>
  <c r="BA343" i="1"/>
  <c r="AZ341" i="1"/>
  <c r="AL340" i="1"/>
  <c r="AZ340" i="1"/>
  <c r="AL342" i="1"/>
  <c r="AZ343" i="1"/>
  <c r="AZ342" i="1"/>
  <c r="BA340" i="1"/>
  <c r="AL43" i="1" l="1"/>
  <c r="AZ43" i="1"/>
  <c r="AL432" i="1" l="1"/>
  <c r="AZ432" i="1"/>
  <c r="AL433" i="1"/>
  <c r="AZ433" i="1"/>
  <c r="BA432" i="1"/>
  <c r="BA430" i="1" l="1"/>
  <c r="BA428" i="1"/>
  <c r="BA426" i="1"/>
  <c r="BA423" i="1"/>
  <c r="AZ422" i="1" l="1"/>
  <c r="BA422" i="1"/>
  <c r="AL429" i="1"/>
  <c r="BA429" i="1"/>
  <c r="AZ424" i="1"/>
  <c r="BA424" i="1"/>
  <c r="AZ427" i="1"/>
  <c r="BA427" i="1"/>
  <c r="AZ421" i="1"/>
  <c r="BA421" i="1"/>
  <c r="AZ425" i="1"/>
  <c r="BA425" i="1"/>
  <c r="AL425" i="1"/>
  <c r="AL427" i="1"/>
  <c r="AL423" i="1"/>
  <c r="AZ423" i="1"/>
  <c r="AL426" i="1"/>
  <c r="AZ426" i="1"/>
  <c r="AZ428" i="1"/>
  <c r="AZ430" i="1"/>
  <c r="AZ429" i="1"/>
  <c r="AL428" i="1"/>
  <c r="AL430" i="1"/>
  <c r="AL424" i="1"/>
  <c r="AL421" i="1"/>
  <c r="AL422" i="1"/>
  <c r="AZ9" i="1" l="1"/>
  <c r="AL9" i="1" l="1"/>
  <c r="BA333" i="1" l="1"/>
  <c r="BA332" i="1"/>
  <c r="BA331" i="1"/>
  <c r="BA330" i="1"/>
  <c r="BA329" i="1"/>
  <c r="BA182" i="1"/>
  <c r="AZ326" i="1"/>
  <c r="AZ325" i="1"/>
  <c r="AZ324" i="1"/>
  <c r="AZ323" i="1"/>
  <c r="AZ322" i="1"/>
  <c r="AZ321" i="1"/>
  <c r="AZ320" i="1"/>
  <c r="AZ307" i="1"/>
  <c r="AZ306" i="1"/>
  <c r="AZ305" i="1"/>
  <c r="AZ297" i="1"/>
  <c r="AZ296" i="1"/>
  <c r="AZ295" i="1"/>
  <c r="AZ294" i="1"/>
  <c r="AZ285" i="1"/>
  <c r="AZ284" i="1"/>
  <c r="AZ283" i="1"/>
  <c r="AZ282" i="1"/>
  <c r="AZ281" i="1"/>
  <c r="AZ257" i="1"/>
  <c r="AZ272" i="1"/>
  <c r="AZ271" i="1"/>
  <c r="AZ249" i="1"/>
  <c r="AZ248" i="1"/>
  <c r="AZ228" i="1"/>
  <c r="AZ270" i="1"/>
  <c r="AZ269" i="1"/>
  <c r="AZ268" i="1"/>
  <c r="AZ215" i="1"/>
  <c r="AZ222" i="1"/>
  <c r="C4" i="1"/>
  <c r="AZ4" i="1" s="1"/>
  <c r="BA43" i="1"/>
  <c r="BA9" i="1"/>
  <c r="AZ338" i="1" l="1"/>
  <c r="AZ346" i="1"/>
  <c r="AZ382" i="1"/>
  <c r="AZ390" i="1"/>
  <c r="AZ229" i="1"/>
  <c r="AZ339" i="1"/>
  <c r="AZ383" i="1"/>
  <c r="AZ416" i="1"/>
  <c r="BA416" i="1"/>
  <c r="AZ304" i="1"/>
  <c r="BA304" i="1"/>
  <c r="AZ376" i="1"/>
  <c r="AZ384" i="1"/>
  <c r="AZ417" i="1"/>
  <c r="BA417" i="1"/>
  <c r="AZ349" i="1"/>
  <c r="AZ350" i="1"/>
  <c r="AZ377" i="1"/>
  <c r="AZ385" i="1"/>
  <c r="AZ418" i="1"/>
  <c r="AZ293" i="1"/>
  <c r="BA293" i="1"/>
  <c r="AZ344" i="1"/>
  <c r="BA344" i="1"/>
  <c r="AZ354" i="1"/>
  <c r="BA354" i="1"/>
  <c r="AZ378" i="1"/>
  <c r="AZ386" i="1"/>
  <c r="AZ419" i="1"/>
  <c r="AZ387" i="1"/>
  <c r="AZ420" i="1"/>
  <c r="AZ313" i="1"/>
  <c r="BA313" i="1"/>
  <c r="AZ335" i="1"/>
  <c r="AZ280" i="1"/>
  <c r="BA280" i="1"/>
  <c r="AZ334" i="1"/>
  <c r="BA334" i="1"/>
  <c r="AZ337" i="1"/>
  <c r="AZ336" i="1"/>
  <c r="AZ381" i="1"/>
  <c r="AZ388" i="1"/>
  <c r="AZ431" i="1"/>
  <c r="BA431" i="1"/>
  <c r="AZ328" i="1"/>
  <c r="AZ327" i="1"/>
  <c r="AZ345" i="1"/>
  <c r="AZ380" i="1"/>
  <c r="BA380" i="1"/>
  <c r="AZ347" i="1"/>
  <c r="AZ389" i="1"/>
  <c r="AZ32" i="1"/>
  <c r="BA32" i="1"/>
  <c r="AZ29" i="1"/>
  <c r="AZ14" i="1"/>
  <c r="AZ30" i="1"/>
  <c r="AZ38" i="1"/>
  <c r="AZ67" i="1"/>
  <c r="AZ94" i="1"/>
  <c r="AZ110" i="1"/>
  <c r="AZ6" i="1"/>
  <c r="AZ15" i="1"/>
  <c r="AZ23" i="1"/>
  <c r="AZ31" i="1"/>
  <c r="AZ39" i="1"/>
  <c r="AZ53" i="1"/>
  <c r="AZ77" i="1"/>
  <c r="AZ95" i="1"/>
  <c r="AZ105" i="1"/>
  <c r="AZ164" i="1"/>
  <c r="AZ54" i="1"/>
  <c r="AZ68" i="1"/>
  <c r="AZ78" i="1"/>
  <c r="AZ102" i="1"/>
  <c r="BA102" i="1"/>
  <c r="AZ172" i="1"/>
  <c r="BA172" i="1"/>
  <c r="AZ16" i="1"/>
  <c r="AZ25" i="1"/>
  <c r="BA25" i="1"/>
  <c r="AZ55" i="1"/>
  <c r="AZ69" i="1"/>
  <c r="AZ103" i="1"/>
  <c r="AZ173" i="1"/>
  <c r="AZ7" i="1"/>
  <c r="AZ33" i="1"/>
  <c r="AZ79" i="1"/>
  <c r="AZ10" i="1"/>
  <c r="BA10" i="1"/>
  <c r="AZ34" i="1"/>
  <c r="AZ80" i="1"/>
  <c r="AZ24" i="1"/>
  <c r="AZ41" i="1"/>
  <c r="AZ18" i="1"/>
  <c r="AZ26" i="1"/>
  <c r="AZ42" i="1"/>
  <c r="AZ56" i="1"/>
  <c r="AZ71" i="1"/>
  <c r="AZ104" i="1"/>
  <c r="AZ106" i="1"/>
  <c r="AZ178" i="1"/>
  <c r="AZ11" i="1"/>
  <c r="AZ19" i="1"/>
  <c r="AZ27" i="1"/>
  <c r="BA27" i="1"/>
  <c r="AZ35" i="1"/>
  <c r="AZ49" i="1"/>
  <c r="BA49" i="1"/>
  <c r="AZ57" i="1"/>
  <c r="AZ72" i="1"/>
  <c r="AZ91" i="1"/>
  <c r="BA91" i="1"/>
  <c r="AZ107" i="1"/>
  <c r="AZ217" i="1"/>
  <c r="AZ8" i="1"/>
  <c r="AZ12" i="1"/>
  <c r="AZ20" i="1"/>
  <c r="BA20" i="1"/>
  <c r="AZ28" i="1"/>
  <c r="AZ36" i="1"/>
  <c r="AZ50" i="1"/>
  <c r="AZ65" i="1"/>
  <c r="BA65" i="1"/>
  <c r="AZ73" i="1"/>
  <c r="AZ92" i="1"/>
  <c r="AZ108" i="1"/>
  <c r="AZ219" i="1"/>
  <c r="AZ40" i="1"/>
  <c r="AZ21" i="1"/>
  <c r="AZ51" i="1"/>
  <c r="AZ74" i="1"/>
  <c r="AZ93" i="1"/>
  <c r="AZ109" i="1"/>
  <c r="AZ162" i="1"/>
  <c r="AZ179" i="1"/>
  <c r="AZ17" i="1"/>
  <c r="AZ13" i="1"/>
  <c r="AZ37" i="1"/>
  <c r="AZ66" i="1"/>
  <c r="AZ5" i="1"/>
  <c r="AZ22" i="1"/>
  <c r="AZ52" i="1"/>
  <c r="AZ163" i="1"/>
  <c r="AL221" i="1"/>
  <c r="AZ221" i="1"/>
  <c r="AL253" i="1"/>
  <c r="AZ253" i="1"/>
  <c r="AL330" i="1"/>
  <c r="AZ330" i="1"/>
  <c r="AZ351" i="1"/>
  <c r="AL112" i="1"/>
  <c r="AZ112" i="1"/>
  <c r="AL181" i="1"/>
  <c r="AZ181" i="1"/>
  <c r="AZ182" i="1"/>
  <c r="AL333" i="1"/>
  <c r="AZ333" i="1"/>
  <c r="AL277" i="1"/>
  <c r="AZ277" i="1"/>
  <c r="AL75" i="1"/>
  <c r="AZ75" i="1"/>
  <c r="AL113" i="1"/>
  <c r="AZ113" i="1"/>
  <c r="AZ180" i="1"/>
  <c r="AL115" i="1"/>
  <c r="AZ115" i="1"/>
  <c r="AZ176" i="1"/>
  <c r="AL331" i="1"/>
  <c r="AZ331" i="1"/>
  <c r="AL275" i="1"/>
  <c r="AZ275" i="1"/>
  <c r="AZ174" i="1"/>
  <c r="AL258" i="1"/>
  <c r="AZ258" i="1"/>
  <c r="AL329" i="1"/>
  <c r="AZ329" i="1"/>
  <c r="AL352" i="1"/>
  <c r="AZ352" i="1"/>
  <c r="AZ177" i="1"/>
  <c r="AL286" i="1"/>
  <c r="AZ286" i="1"/>
  <c r="AL332" i="1"/>
  <c r="AZ332" i="1"/>
  <c r="AL348" i="1"/>
  <c r="AZ348" i="1"/>
  <c r="AZ276" i="1"/>
  <c r="AL220" i="1"/>
  <c r="AZ220" i="1"/>
  <c r="AL176" i="1"/>
  <c r="AL175" i="1"/>
  <c r="AL180" i="1"/>
  <c r="AL177" i="1"/>
  <c r="AL351" i="1"/>
  <c r="AL276" i="1"/>
  <c r="AL328" i="1"/>
  <c r="AL229" i="1"/>
  <c r="AL174" i="1"/>
  <c r="AL182" i="1"/>
  <c r="BA75" i="1"/>
  <c r="BA352" i="1"/>
  <c r="BA174" i="1"/>
  <c r="BA176" i="1"/>
  <c r="BA277" i="1"/>
  <c r="BA229" i="1"/>
  <c r="BA351" i="1"/>
  <c r="BA175" i="1"/>
  <c r="BA275" i="1"/>
  <c r="BA220" i="1"/>
  <c r="BA379" i="1"/>
  <c r="BA113" i="1"/>
  <c r="BA221" i="1"/>
  <c r="BA276" i="1"/>
  <c r="BA258" i="1"/>
  <c r="BA253" i="1"/>
  <c r="BA177" i="1"/>
  <c r="BA328" i="1"/>
  <c r="BA181" i="1"/>
  <c r="BA115" i="1"/>
  <c r="BA180" i="1"/>
  <c r="BA348" i="1"/>
  <c r="BA286" i="1"/>
  <c r="BA111" i="1"/>
  <c r="BA112" i="1"/>
  <c r="AL390" i="1" l="1"/>
  <c r="AL19" i="1"/>
  <c r="BA390" i="1"/>
  <c r="BA19" i="1"/>
  <c r="AL257" i="1" l="1"/>
  <c r="BA257" i="1"/>
  <c r="AL222" i="1" l="1"/>
  <c r="BA222" i="1"/>
  <c r="AL389" i="1" l="1"/>
  <c r="AL387" i="1"/>
  <c r="BA387" i="1"/>
  <c r="BA389" i="1"/>
  <c r="AL388" i="1" l="1"/>
  <c r="AL386" i="1"/>
  <c r="AL57" i="1"/>
  <c r="BA57" i="1"/>
  <c r="BA386" i="1"/>
  <c r="BA388" i="1"/>
  <c r="E180" i="5" l="1"/>
  <c r="AL385" i="1" l="1"/>
  <c r="BA385" i="1"/>
  <c r="AL74" i="1" l="1"/>
  <c r="BA74" i="1"/>
  <c r="AL327" i="1" l="1"/>
  <c r="BA327" i="1"/>
  <c r="H216" i="5" l="1" a="1"/>
  <c r="H216" i="5" s="1"/>
  <c r="G216" i="5" a="1"/>
  <c r="G216" i="5" s="1"/>
  <c r="F216" i="5" a="1"/>
  <c r="F216" i="5" s="1"/>
  <c r="E216" i="5" a="1"/>
  <c r="E216" i="5" s="1"/>
  <c r="D216" i="5" a="1"/>
  <c r="D216" i="5" s="1"/>
  <c r="H215" i="5" a="1"/>
  <c r="H215" i="5" s="1"/>
  <c r="G215" i="5" a="1"/>
  <c r="G215" i="5" s="1"/>
  <c r="F215" i="5" a="1"/>
  <c r="F215" i="5" s="1"/>
  <c r="E215" i="5" a="1"/>
  <c r="E215" i="5" s="1"/>
  <c r="D215" i="5" a="1"/>
  <c r="D215" i="5" s="1"/>
  <c r="H214" i="5" a="1"/>
  <c r="H214" i="5" s="1"/>
  <c r="G214" i="5" a="1"/>
  <c r="G214" i="5" s="1"/>
  <c r="F214" i="5" a="1"/>
  <c r="F214" i="5" s="1"/>
  <c r="E214" i="5" a="1"/>
  <c r="E214" i="5" s="1"/>
  <c r="D214" i="5" a="1"/>
  <c r="D214" i="5" s="1"/>
  <c r="C216" i="5" a="1"/>
  <c r="C216" i="5" s="1"/>
  <c r="C215" i="5" a="1"/>
  <c r="C215" i="5" s="1"/>
  <c r="C214" i="5" a="1"/>
  <c r="C214" i="5" s="1"/>
  <c r="AL419" i="1" l="1"/>
  <c r="AL418" i="1"/>
  <c r="AL420" i="1"/>
  <c r="D140" i="5" a="1"/>
  <c r="D140" i="5" s="1"/>
  <c r="H140" i="5" a="1"/>
  <c r="H140" i="5" s="1"/>
  <c r="G140" i="5" a="1"/>
  <c r="G140" i="5" s="1"/>
  <c r="F140" i="5" a="1"/>
  <c r="F140" i="5" s="1"/>
  <c r="E140" i="5" a="1"/>
  <c r="E140" i="5" s="1"/>
  <c r="C140" i="5" a="1"/>
  <c r="C140" i="5" s="1"/>
  <c r="BA420" i="1"/>
  <c r="BA418" i="1"/>
  <c r="BA419" i="1"/>
  <c r="H164" i="5" l="1" a="1"/>
  <c r="H164" i="5" s="1"/>
  <c r="G164" i="5" a="1"/>
  <c r="G164" i="5" s="1"/>
  <c r="F164" i="5" a="1"/>
  <c r="F164" i="5" s="1"/>
  <c r="E164" i="5" a="1"/>
  <c r="E164" i="5" s="1"/>
  <c r="D164" i="5" a="1"/>
  <c r="D164" i="5" s="1"/>
  <c r="C164" i="5" a="1"/>
  <c r="C164" i="5" s="1"/>
  <c r="H59" i="5" l="1" a="1"/>
  <c r="H59" i="5" s="1"/>
  <c r="G59" i="5" a="1"/>
  <c r="G59" i="5" s="1"/>
  <c r="F59" i="5" a="1"/>
  <c r="F59" i="5" s="1"/>
  <c r="E59" i="5" a="1"/>
  <c r="E59" i="5" s="1"/>
  <c r="D59" i="5" a="1"/>
  <c r="D59" i="5" s="1"/>
  <c r="AL79" i="1" l="1"/>
  <c r="H40" i="5" a="1"/>
  <c r="H40" i="5" s="1"/>
  <c r="G40" i="5" a="1"/>
  <c r="G40" i="5" s="1"/>
  <c r="F40" i="5" a="1"/>
  <c r="F40" i="5" s="1"/>
  <c r="E40" i="5" a="1"/>
  <c r="E40" i="5" s="1"/>
  <c r="D40" i="5" a="1"/>
  <c r="D40" i="5" s="1"/>
  <c r="BA79" i="1"/>
  <c r="AL39" i="1" l="1"/>
  <c r="C180" i="5" a="1"/>
  <c r="C180" i="5" s="1"/>
  <c r="H180" i="5" a="1"/>
  <c r="H180" i="5" s="1"/>
  <c r="G180" i="5" a="1"/>
  <c r="G180" i="5" s="1"/>
  <c r="F180" i="5" a="1"/>
  <c r="F180" i="5" s="1"/>
  <c r="D180" i="5" a="1"/>
  <c r="D180" i="5" s="1"/>
  <c r="BA39" i="1"/>
  <c r="H202" i="5" l="1" a="1"/>
  <c r="H202" i="5" s="1"/>
  <c r="G202" i="5" a="1"/>
  <c r="G202" i="5" s="1"/>
  <c r="F202" i="5" a="1"/>
  <c r="F202" i="5" s="1"/>
  <c r="E202" i="5" a="1"/>
  <c r="E202" i="5" s="1"/>
  <c r="D202" i="5" a="1"/>
  <c r="D202" i="5" s="1"/>
  <c r="C202" i="5" a="1"/>
  <c r="C202" i="5" s="1"/>
  <c r="H218" i="5" l="1" a="1"/>
  <c r="H218" i="5" s="1"/>
  <c r="H217" i="5" a="1"/>
  <c r="H217" i="5" s="1"/>
  <c r="H213" i="5" a="1"/>
  <c r="H213" i="5" s="1"/>
  <c r="H212" i="5" a="1"/>
  <c r="H212" i="5" s="1"/>
  <c r="H211" i="5" a="1"/>
  <c r="H211" i="5" s="1"/>
  <c r="H210" i="5" a="1"/>
  <c r="H210" i="5" s="1"/>
  <c r="H209" i="5" a="1"/>
  <c r="H209" i="5" s="1"/>
  <c r="H208" i="5" a="1"/>
  <c r="H208" i="5" s="1"/>
  <c r="H207" i="5" a="1"/>
  <c r="H207" i="5" s="1"/>
  <c r="H206" i="5" a="1"/>
  <c r="H206" i="5" s="1"/>
  <c r="H205" i="5" a="1"/>
  <c r="H205" i="5" s="1"/>
  <c r="H204" i="5" a="1"/>
  <c r="H204" i="5" s="1"/>
  <c r="H203" i="5" a="1"/>
  <c r="H203" i="5" s="1"/>
  <c r="H201" i="5" a="1"/>
  <c r="H201" i="5" s="1"/>
  <c r="H200" i="5" a="1"/>
  <c r="H200" i="5" s="1"/>
  <c r="H199" i="5" a="1"/>
  <c r="H199" i="5" s="1"/>
  <c r="H198" i="5" a="1"/>
  <c r="H198" i="5" s="1"/>
  <c r="H197" i="5" a="1"/>
  <c r="H197" i="5" s="1"/>
  <c r="H196" i="5" a="1"/>
  <c r="H196" i="5" s="1"/>
  <c r="H195" i="5" a="1"/>
  <c r="H195" i="5" s="1"/>
  <c r="H194" i="5" a="1"/>
  <c r="H194" i="5" s="1"/>
  <c r="H193" i="5" a="1"/>
  <c r="H193" i="5" s="1"/>
  <c r="H192" i="5" a="1"/>
  <c r="H192" i="5" s="1"/>
  <c r="H191" i="5" a="1"/>
  <c r="H191" i="5" s="1"/>
  <c r="H190" i="5" a="1"/>
  <c r="H190" i="5" s="1"/>
  <c r="H189" i="5" a="1"/>
  <c r="H189" i="5" s="1"/>
  <c r="H188" i="5" a="1"/>
  <c r="H188" i="5" s="1"/>
  <c r="H187" i="5" a="1"/>
  <c r="H187" i="5" s="1"/>
  <c r="H186" i="5" a="1"/>
  <c r="H186" i="5" s="1"/>
  <c r="H185" i="5" a="1"/>
  <c r="H185" i="5" s="1"/>
  <c r="H184" i="5" a="1"/>
  <c r="H184" i="5" s="1"/>
  <c r="H183" i="5" a="1"/>
  <c r="H183" i="5" s="1"/>
  <c r="H182" i="5" a="1"/>
  <c r="H182" i="5" s="1"/>
  <c r="H181" i="5" a="1"/>
  <c r="H181" i="5" s="1"/>
  <c r="H179" i="5" a="1"/>
  <c r="H179" i="5" s="1"/>
  <c r="H178" i="5" a="1"/>
  <c r="H178" i="5" s="1"/>
  <c r="H177" i="5" a="1"/>
  <c r="H177" i="5" s="1"/>
  <c r="H176" i="5" a="1"/>
  <c r="H176" i="5" s="1"/>
  <c r="H175" i="5" a="1"/>
  <c r="H175" i="5" s="1"/>
  <c r="H174" i="5" a="1"/>
  <c r="H174" i="5" s="1"/>
  <c r="H173" i="5" a="1"/>
  <c r="H173" i="5" s="1"/>
  <c r="H172" i="5" a="1"/>
  <c r="H172" i="5" s="1"/>
  <c r="H171" i="5" a="1"/>
  <c r="H171" i="5" s="1"/>
  <c r="H170" i="5" a="1"/>
  <c r="H170" i="5" s="1"/>
  <c r="H169" i="5" a="1"/>
  <c r="H169" i="5" s="1"/>
  <c r="H168" i="5" a="1"/>
  <c r="H168" i="5" s="1"/>
  <c r="H167" i="5" a="1"/>
  <c r="H167" i="5" s="1"/>
  <c r="H166" i="5" a="1"/>
  <c r="H166" i="5" s="1"/>
  <c r="H165" i="5" a="1"/>
  <c r="H165" i="5" s="1"/>
  <c r="H163" i="5" a="1"/>
  <c r="H163" i="5" s="1"/>
  <c r="H162" i="5" a="1"/>
  <c r="H162" i="5" s="1"/>
  <c r="H161" i="5" a="1"/>
  <c r="H161" i="5" s="1"/>
  <c r="H160" i="5" a="1"/>
  <c r="H160" i="5" s="1"/>
  <c r="H159" i="5" a="1"/>
  <c r="H159" i="5" s="1"/>
  <c r="H158" i="5" a="1"/>
  <c r="H158" i="5" s="1"/>
  <c r="H157" i="5" a="1"/>
  <c r="H157" i="5" s="1"/>
  <c r="H156" i="5" a="1"/>
  <c r="H156" i="5" s="1"/>
  <c r="H155" i="5" a="1"/>
  <c r="H155" i="5" s="1"/>
  <c r="H154" i="5" a="1"/>
  <c r="H154" i="5" s="1"/>
  <c r="H153" i="5" a="1"/>
  <c r="H153" i="5" s="1"/>
  <c r="H152" i="5" a="1"/>
  <c r="H152" i="5" s="1"/>
  <c r="H151" i="5" a="1"/>
  <c r="H151" i="5" s="1"/>
  <c r="H150" i="5" a="1"/>
  <c r="H150" i="5" s="1"/>
  <c r="H149" i="5" a="1"/>
  <c r="H149" i="5" s="1"/>
  <c r="H148" i="5" a="1"/>
  <c r="H148" i="5" s="1"/>
  <c r="H147" i="5" a="1"/>
  <c r="H147" i="5" s="1"/>
  <c r="H146" i="5" a="1"/>
  <c r="H146" i="5" s="1"/>
  <c r="H145" i="5" a="1"/>
  <c r="H145" i="5" s="1"/>
  <c r="H144" i="5" a="1"/>
  <c r="H144" i="5" s="1"/>
  <c r="H143" i="5" a="1"/>
  <c r="H143" i="5" s="1"/>
  <c r="H142" i="5" a="1"/>
  <c r="H142" i="5" s="1"/>
  <c r="H141" i="5" a="1"/>
  <c r="H141" i="5" s="1"/>
  <c r="H139" i="5" a="1"/>
  <c r="H139" i="5" s="1"/>
  <c r="H138" i="5" a="1"/>
  <c r="H138" i="5" s="1"/>
  <c r="H137" i="5" a="1"/>
  <c r="H137" i="5" s="1"/>
  <c r="H136" i="5" a="1"/>
  <c r="H136" i="5" s="1"/>
  <c r="H135" i="5" a="1"/>
  <c r="H135" i="5" s="1"/>
  <c r="H134" i="5" a="1"/>
  <c r="H134" i="5" s="1"/>
  <c r="H133" i="5" a="1"/>
  <c r="H133" i="5" s="1"/>
  <c r="H132" i="5" a="1"/>
  <c r="H132" i="5" s="1"/>
  <c r="H131" i="5" a="1"/>
  <c r="H131" i="5" s="1"/>
  <c r="H130" i="5" a="1"/>
  <c r="H130" i="5" s="1"/>
  <c r="H129" i="5" a="1"/>
  <c r="H129" i="5" s="1"/>
  <c r="H128" i="5" a="1"/>
  <c r="H128" i="5" s="1"/>
  <c r="H127" i="5" a="1"/>
  <c r="H127" i="5" s="1"/>
  <c r="H126" i="5" a="1"/>
  <c r="H126" i="5" s="1"/>
  <c r="H125" i="5" a="1"/>
  <c r="H125" i="5" s="1"/>
  <c r="H124" i="5" a="1"/>
  <c r="H124" i="5" s="1"/>
  <c r="H123" i="5" a="1"/>
  <c r="H123" i="5" s="1"/>
  <c r="H122" i="5" a="1"/>
  <c r="H122" i="5" s="1"/>
  <c r="H121" i="5" a="1"/>
  <c r="H121" i="5" s="1"/>
  <c r="H120" i="5" a="1"/>
  <c r="H120" i="5" s="1"/>
  <c r="H119" i="5" a="1"/>
  <c r="H119" i="5" s="1"/>
  <c r="H118" i="5" a="1"/>
  <c r="H118" i="5" s="1"/>
  <c r="H117" i="5" a="1"/>
  <c r="H117" i="5" s="1"/>
  <c r="H116" i="5" a="1"/>
  <c r="H116" i="5" s="1"/>
  <c r="H115" i="5" a="1"/>
  <c r="H115" i="5" s="1"/>
  <c r="H114" i="5" a="1"/>
  <c r="H114" i="5" s="1"/>
  <c r="H113" i="5" a="1"/>
  <c r="H113" i="5" s="1"/>
  <c r="H112" i="5" a="1"/>
  <c r="H112" i="5" s="1"/>
  <c r="H111" i="5" a="1"/>
  <c r="H111" i="5" s="1"/>
  <c r="H110" i="5" a="1"/>
  <c r="H110" i="5" s="1"/>
  <c r="H109" i="5" a="1"/>
  <c r="H109" i="5" s="1"/>
  <c r="H108" i="5" a="1"/>
  <c r="H108" i="5" s="1"/>
  <c r="H107" i="5" a="1"/>
  <c r="H107" i="5" s="1"/>
  <c r="H106" i="5" a="1"/>
  <c r="H106" i="5" s="1"/>
  <c r="H105" i="5" a="1"/>
  <c r="H105" i="5" s="1"/>
  <c r="H104" i="5" a="1"/>
  <c r="H104" i="5" s="1"/>
  <c r="H103" i="5" a="1"/>
  <c r="H103" i="5" s="1"/>
  <c r="H102" i="5" a="1"/>
  <c r="H102" i="5" s="1"/>
  <c r="H101" i="5" a="1"/>
  <c r="H101" i="5" s="1"/>
  <c r="H100" i="5" a="1"/>
  <c r="H100" i="5" s="1"/>
  <c r="H99" i="5" a="1"/>
  <c r="H99" i="5" s="1"/>
  <c r="H98" i="5" a="1"/>
  <c r="H98" i="5" s="1"/>
  <c r="H97" i="5" a="1"/>
  <c r="H97" i="5" s="1"/>
  <c r="H96" i="5" a="1"/>
  <c r="H96" i="5" s="1"/>
  <c r="H95" i="5" a="1"/>
  <c r="H95" i="5" s="1"/>
  <c r="H94" i="5" a="1"/>
  <c r="H94" i="5" s="1"/>
  <c r="H93" i="5" a="1"/>
  <c r="H93" i="5" s="1"/>
  <c r="H92" i="5" a="1"/>
  <c r="H92" i="5" s="1"/>
  <c r="H91" i="5" a="1"/>
  <c r="H91" i="5" s="1"/>
  <c r="H90" i="5" a="1"/>
  <c r="H90" i="5" s="1"/>
  <c r="H89" i="5" a="1"/>
  <c r="H89" i="5" s="1"/>
  <c r="H88" i="5" a="1"/>
  <c r="H88" i="5" s="1"/>
  <c r="H87" i="5" a="1"/>
  <c r="H87" i="5" s="1"/>
  <c r="H86" i="5" a="1"/>
  <c r="H86" i="5" s="1"/>
  <c r="H85" i="5" a="1"/>
  <c r="H85" i="5" s="1"/>
  <c r="H84" i="5" a="1"/>
  <c r="H84" i="5" s="1"/>
  <c r="H83" i="5" a="1"/>
  <c r="H83" i="5" s="1"/>
  <c r="H82" i="5" a="1"/>
  <c r="H82" i="5" s="1"/>
  <c r="H81" i="5" a="1"/>
  <c r="H81" i="5" s="1"/>
  <c r="H80" i="5" a="1"/>
  <c r="H80" i="5" s="1"/>
  <c r="H79" i="5" a="1"/>
  <c r="H79" i="5" s="1"/>
  <c r="H78" i="5" a="1"/>
  <c r="H78" i="5" s="1"/>
  <c r="H77" i="5" a="1"/>
  <c r="H77" i="5" s="1"/>
  <c r="H76" i="5" a="1"/>
  <c r="H76" i="5" s="1"/>
  <c r="H75" i="5" a="1"/>
  <c r="H75" i="5" s="1"/>
  <c r="H74" i="5" a="1"/>
  <c r="H74" i="5" s="1"/>
  <c r="H73" i="5" a="1"/>
  <c r="H73" i="5" s="1"/>
  <c r="H72" i="5" a="1"/>
  <c r="H72" i="5" s="1"/>
  <c r="H71" i="5" a="1"/>
  <c r="H71" i="5" s="1"/>
  <c r="H70" i="5" a="1"/>
  <c r="H70" i="5" s="1"/>
  <c r="H69" i="5" a="1"/>
  <c r="H69" i="5" s="1"/>
  <c r="H68" i="5" a="1"/>
  <c r="H68" i="5" s="1"/>
  <c r="H67" i="5" a="1"/>
  <c r="H67" i="5" s="1"/>
  <c r="H66" i="5" a="1"/>
  <c r="H66" i="5" s="1"/>
  <c r="H65" i="5" a="1"/>
  <c r="H65" i="5" s="1"/>
  <c r="H64" i="5" a="1"/>
  <c r="H64" i="5" s="1"/>
  <c r="H63" i="5" a="1"/>
  <c r="H63" i="5" s="1"/>
  <c r="H62" i="5" a="1"/>
  <c r="H62" i="5" s="1"/>
  <c r="H61" i="5" a="1"/>
  <c r="H61" i="5" s="1"/>
  <c r="H60" i="5" a="1"/>
  <c r="H60" i="5" s="1"/>
  <c r="H58" i="5" a="1"/>
  <c r="H58" i="5" s="1"/>
  <c r="H57" i="5" a="1"/>
  <c r="H57" i="5" s="1"/>
  <c r="H56" i="5" a="1"/>
  <c r="H56" i="5" s="1"/>
  <c r="H55" i="5" a="1"/>
  <c r="H55" i="5" s="1"/>
  <c r="H54" i="5" a="1"/>
  <c r="H54" i="5" s="1"/>
  <c r="H53" i="5" a="1"/>
  <c r="H53" i="5" s="1"/>
  <c r="H52" i="5" a="1"/>
  <c r="H52" i="5" s="1"/>
  <c r="H51" i="5" a="1"/>
  <c r="H51" i="5" s="1"/>
  <c r="H50" i="5" a="1"/>
  <c r="H50" i="5" s="1"/>
  <c r="H49" i="5" a="1"/>
  <c r="H49" i="5" s="1"/>
  <c r="H48" i="5" a="1"/>
  <c r="H48" i="5" s="1"/>
  <c r="H47" i="5" a="1"/>
  <c r="H47" i="5" s="1"/>
  <c r="H46" i="5" a="1"/>
  <c r="H46" i="5" s="1"/>
  <c r="H45" i="5" a="1"/>
  <c r="H45" i="5" s="1"/>
  <c r="H44" i="5" a="1"/>
  <c r="H44" i="5" s="1"/>
  <c r="H43" i="5" a="1"/>
  <c r="H43" i="5" s="1"/>
  <c r="H42" i="5" a="1"/>
  <c r="H42" i="5" s="1"/>
  <c r="H41" i="5" a="1"/>
  <c r="H41" i="5" s="1"/>
  <c r="H39" i="5" a="1"/>
  <c r="H39"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H21" i="5" a="1"/>
  <c r="H21" i="5" s="1"/>
  <c r="H20" i="5" a="1"/>
  <c r="H20" i="5" s="1"/>
  <c r="H19" i="5" a="1"/>
  <c r="H19" i="5" s="1"/>
  <c r="H18" i="5" a="1"/>
  <c r="H18" i="5" s="1"/>
  <c r="H17" i="5" a="1"/>
  <c r="H17" i="5" s="1"/>
  <c r="H16" i="5" a="1"/>
  <c r="H16" i="5" s="1"/>
  <c r="H15" i="5" a="1"/>
  <c r="H15" i="5" s="1"/>
  <c r="H14" i="5" a="1"/>
  <c r="H14" i="5" s="1"/>
  <c r="H13" i="5" a="1"/>
  <c r="H13" i="5" s="1"/>
  <c r="H12" i="5" a="1"/>
  <c r="H12" i="5" s="1"/>
  <c r="H11" i="5" a="1"/>
  <c r="H11" i="5" s="1"/>
  <c r="H10" i="5" a="1"/>
  <c r="H10" i="5" s="1"/>
  <c r="H9" i="5" a="1"/>
  <c r="H9" i="5" s="1"/>
  <c r="H8" i="5" a="1"/>
  <c r="H8" i="5" s="1"/>
  <c r="H7" i="5" a="1"/>
  <c r="H7" i="5" s="1"/>
  <c r="H6" i="5" a="1"/>
  <c r="H6" i="5" s="1"/>
  <c r="H5" i="5" a="1"/>
  <c r="H5" i="5" s="1"/>
  <c r="H4" i="5" a="1"/>
  <c r="H4" i="5" s="1"/>
  <c r="G217" i="5" a="1"/>
  <c r="G217" i="5" s="1"/>
  <c r="G213" i="5" a="1"/>
  <c r="G213" i="5" s="1"/>
  <c r="G212" i="5" a="1"/>
  <c r="G212" i="5" s="1"/>
  <c r="G211" i="5" a="1"/>
  <c r="G211" i="5" s="1"/>
  <c r="G210" i="5" a="1"/>
  <c r="G210" i="5" s="1"/>
  <c r="G209" i="5" a="1"/>
  <c r="G209" i="5" s="1"/>
  <c r="G208" i="5" a="1"/>
  <c r="G208" i="5" s="1"/>
  <c r="G207" i="5" a="1"/>
  <c r="G207" i="5" s="1"/>
  <c r="G206" i="5" a="1"/>
  <c r="G206" i="5" s="1"/>
  <c r="G205" i="5" a="1"/>
  <c r="G205" i="5" s="1"/>
  <c r="G204" i="5" a="1"/>
  <c r="G204" i="5" s="1"/>
  <c r="G203" i="5" a="1"/>
  <c r="G203" i="5" s="1"/>
  <c r="G201" i="5" a="1"/>
  <c r="G201" i="5" s="1"/>
  <c r="G200" i="5" a="1"/>
  <c r="G200" i="5" s="1"/>
  <c r="G199" i="5" a="1"/>
  <c r="G199" i="5" s="1"/>
  <c r="G198" i="5" a="1"/>
  <c r="G198" i="5" s="1"/>
  <c r="G197" i="5" a="1"/>
  <c r="G197" i="5" s="1"/>
  <c r="G196" i="5" a="1"/>
  <c r="G196" i="5" s="1"/>
  <c r="G195" i="5" a="1"/>
  <c r="G195" i="5" s="1"/>
  <c r="G194" i="5" a="1"/>
  <c r="G194" i="5" s="1"/>
  <c r="G193" i="5" a="1"/>
  <c r="G193" i="5" s="1"/>
  <c r="G192" i="5" a="1"/>
  <c r="G192" i="5" s="1"/>
  <c r="G191" i="5" a="1"/>
  <c r="G191" i="5" s="1"/>
  <c r="G190" i="5" a="1"/>
  <c r="G190" i="5" s="1"/>
  <c r="G189" i="5" a="1"/>
  <c r="G189" i="5" s="1"/>
  <c r="G188" i="5" a="1"/>
  <c r="G188" i="5" s="1"/>
  <c r="G187" i="5" a="1"/>
  <c r="G187" i="5" s="1"/>
  <c r="G186" i="5" a="1"/>
  <c r="G186" i="5" s="1"/>
  <c r="G185" i="5" a="1"/>
  <c r="G185" i="5" s="1"/>
  <c r="G184" i="5" a="1"/>
  <c r="G184" i="5" s="1"/>
  <c r="G183" i="5" a="1"/>
  <c r="G183" i="5" s="1"/>
  <c r="G182" i="5" a="1"/>
  <c r="G182" i="5" s="1"/>
  <c r="G181" i="5" a="1"/>
  <c r="G181" i="5" s="1"/>
  <c r="G179" i="5" a="1"/>
  <c r="G179" i="5" s="1"/>
  <c r="G178" i="5" a="1"/>
  <c r="G178" i="5" s="1"/>
  <c r="G177" i="5" a="1"/>
  <c r="G177" i="5" s="1"/>
  <c r="G176" i="5" a="1"/>
  <c r="G176" i="5" s="1"/>
  <c r="G175" i="5" a="1"/>
  <c r="G175" i="5" s="1"/>
  <c r="G174" i="5" a="1"/>
  <c r="G174" i="5" s="1"/>
  <c r="G173" i="5" a="1"/>
  <c r="G173" i="5" s="1"/>
  <c r="G172" i="5" a="1"/>
  <c r="G172" i="5" s="1"/>
  <c r="G171" i="5" a="1"/>
  <c r="G171" i="5" s="1"/>
  <c r="G170" i="5" a="1"/>
  <c r="G170" i="5" s="1"/>
  <c r="G169" i="5" a="1"/>
  <c r="G169" i="5" s="1"/>
  <c r="G168" i="5" a="1"/>
  <c r="G168" i="5" s="1"/>
  <c r="G167" i="5" a="1"/>
  <c r="G167" i="5" s="1"/>
  <c r="G166" i="5" a="1"/>
  <c r="G166" i="5" s="1"/>
  <c r="G165" i="5" a="1"/>
  <c r="G165" i="5" s="1"/>
  <c r="G163" i="5" a="1"/>
  <c r="G163" i="5" s="1"/>
  <c r="G162" i="5" a="1"/>
  <c r="G162" i="5" s="1"/>
  <c r="G161" i="5" a="1"/>
  <c r="G161" i="5" s="1"/>
  <c r="G160" i="5" a="1"/>
  <c r="G160" i="5" s="1"/>
  <c r="G159" i="5" a="1"/>
  <c r="G159" i="5" s="1"/>
  <c r="G158" i="5" a="1"/>
  <c r="G158" i="5" s="1"/>
  <c r="G157" i="5" a="1"/>
  <c r="G157" i="5" s="1"/>
  <c r="G156" i="5" a="1"/>
  <c r="G156" i="5" s="1"/>
  <c r="G155" i="5" a="1"/>
  <c r="G155" i="5" s="1"/>
  <c r="G154" i="5" a="1"/>
  <c r="G154" i="5" s="1"/>
  <c r="G153" i="5" a="1"/>
  <c r="G153" i="5" s="1"/>
  <c r="G152" i="5" a="1"/>
  <c r="G152" i="5" s="1"/>
  <c r="G151" i="5" a="1"/>
  <c r="G151" i="5" s="1"/>
  <c r="G150" i="5" a="1"/>
  <c r="G150" i="5" s="1"/>
  <c r="G149" i="5" a="1"/>
  <c r="G149" i="5" s="1"/>
  <c r="G148" i="5" a="1"/>
  <c r="G148" i="5" s="1"/>
  <c r="G147" i="5" a="1"/>
  <c r="G147" i="5" s="1"/>
  <c r="G146" i="5" a="1"/>
  <c r="G146" i="5" s="1"/>
  <c r="G145" i="5" a="1"/>
  <c r="G145" i="5" s="1"/>
  <c r="G144" i="5" a="1"/>
  <c r="G144" i="5" s="1"/>
  <c r="G143" i="5" a="1"/>
  <c r="G143" i="5" s="1"/>
  <c r="G142" i="5" a="1"/>
  <c r="G142" i="5" s="1"/>
  <c r="G141" i="5" a="1"/>
  <c r="G141" i="5" s="1"/>
  <c r="G139" i="5" a="1"/>
  <c r="G139" i="5" s="1"/>
  <c r="G138" i="5" a="1"/>
  <c r="G138" i="5" s="1"/>
  <c r="G137" i="5" a="1"/>
  <c r="G137" i="5" s="1"/>
  <c r="G136" i="5" a="1"/>
  <c r="G136" i="5" s="1"/>
  <c r="G135" i="5" a="1"/>
  <c r="G135" i="5" s="1"/>
  <c r="G134" i="5" a="1"/>
  <c r="G134" i="5" s="1"/>
  <c r="G133" i="5" a="1"/>
  <c r="G133" i="5" s="1"/>
  <c r="G132" i="5" a="1"/>
  <c r="G132" i="5" s="1"/>
  <c r="G131" i="5" a="1"/>
  <c r="G131" i="5" s="1"/>
  <c r="G130" i="5" a="1"/>
  <c r="G130" i="5" s="1"/>
  <c r="G129" i="5" a="1"/>
  <c r="G129" i="5" s="1"/>
  <c r="G128" i="5" a="1"/>
  <c r="G128" i="5" s="1"/>
  <c r="G127" i="5" a="1"/>
  <c r="G127" i="5" s="1"/>
  <c r="G126" i="5" a="1"/>
  <c r="G126" i="5" s="1"/>
  <c r="G125" i="5" a="1"/>
  <c r="G125" i="5" s="1"/>
  <c r="G124" i="5" a="1"/>
  <c r="G124" i="5" s="1"/>
  <c r="G123" i="5" a="1"/>
  <c r="G123" i="5" s="1"/>
  <c r="G122" i="5" a="1"/>
  <c r="G122" i="5" s="1"/>
  <c r="G121" i="5" a="1"/>
  <c r="G121" i="5" s="1"/>
  <c r="G120" i="5" a="1"/>
  <c r="G120" i="5" s="1"/>
  <c r="G119" i="5" a="1"/>
  <c r="G119" i="5" s="1"/>
  <c r="G118" i="5" a="1"/>
  <c r="G118" i="5" s="1"/>
  <c r="G117" i="5" a="1"/>
  <c r="G117" i="5" s="1"/>
  <c r="G116" i="5" a="1"/>
  <c r="G116" i="5" s="1"/>
  <c r="G115" i="5" a="1"/>
  <c r="G115" i="5" s="1"/>
  <c r="G114" i="5" a="1"/>
  <c r="G114" i="5" s="1"/>
  <c r="G113" i="5" a="1"/>
  <c r="G113" i="5" s="1"/>
  <c r="G112" i="5" a="1"/>
  <c r="G112" i="5" s="1"/>
  <c r="G111" i="5" a="1"/>
  <c r="G111" i="5" s="1"/>
  <c r="G110" i="5" a="1"/>
  <c r="G110" i="5" s="1"/>
  <c r="G109" i="5" a="1"/>
  <c r="G109" i="5" s="1"/>
  <c r="G108" i="5" a="1"/>
  <c r="G108" i="5" s="1"/>
  <c r="G107" i="5" a="1"/>
  <c r="G107" i="5" s="1"/>
  <c r="G106" i="5" a="1"/>
  <c r="G106" i="5" s="1"/>
  <c r="G105" i="5" a="1"/>
  <c r="G105" i="5" s="1"/>
  <c r="G104" i="5" a="1"/>
  <c r="G104" i="5" s="1"/>
  <c r="G103" i="5" a="1"/>
  <c r="G103" i="5" s="1"/>
  <c r="G102" i="5" a="1"/>
  <c r="G102" i="5" s="1"/>
  <c r="G101" i="5" a="1"/>
  <c r="G101" i="5" s="1"/>
  <c r="G100" i="5" a="1"/>
  <c r="G100" i="5" s="1"/>
  <c r="G99" i="5" a="1"/>
  <c r="G99" i="5" s="1"/>
  <c r="G98" i="5" a="1"/>
  <c r="G98" i="5" s="1"/>
  <c r="G97" i="5" a="1"/>
  <c r="G97" i="5" s="1"/>
  <c r="G96" i="5" a="1"/>
  <c r="G96" i="5" s="1"/>
  <c r="G95" i="5" a="1"/>
  <c r="G95" i="5" s="1"/>
  <c r="G94" i="5" a="1"/>
  <c r="G94" i="5" s="1"/>
  <c r="G93" i="5" a="1"/>
  <c r="G93" i="5" s="1"/>
  <c r="G92" i="5" a="1"/>
  <c r="G92" i="5" s="1"/>
  <c r="G91" i="5" a="1"/>
  <c r="G91" i="5" s="1"/>
  <c r="G90" i="5" a="1"/>
  <c r="G90" i="5" s="1"/>
  <c r="G89" i="5" a="1"/>
  <c r="G89" i="5" s="1"/>
  <c r="G88" i="5" a="1"/>
  <c r="G88" i="5" s="1"/>
  <c r="G87" i="5" a="1"/>
  <c r="G87" i="5" s="1"/>
  <c r="G86" i="5" a="1"/>
  <c r="G86" i="5" s="1"/>
  <c r="G85" i="5" a="1"/>
  <c r="G85" i="5" s="1"/>
  <c r="G84" i="5" a="1"/>
  <c r="G84" i="5" s="1"/>
  <c r="G83" i="5" a="1"/>
  <c r="G83" i="5" s="1"/>
  <c r="G82" i="5" a="1"/>
  <c r="G82" i="5" s="1"/>
  <c r="G81" i="5" a="1"/>
  <c r="G81" i="5" s="1"/>
  <c r="G80" i="5" a="1"/>
  <c r="G80" i="5" s="1"/>
  <c r="G79" i="5" a="1"/>
  <c r="G79" i="5" s="1"/>
  <c r="G78" i="5" a="1"/>
  <c r="G78" i="5" s="1"/>
  <c r="G77" i="5" a="1"/>
  <c r="G77" i="5" s="1"/>
  <c r="G76" i="5" a="1"/>
  <c r="G76" i="5" s="1"/>
  <c r="G75" i="5" a="1"/>
  <c r="G75" i="5" s="1"/>
  <c r="G74" i="5" a="1"/>
  <c r="G74" i="5" s="1"/>
  <c r="G73" i="5" a="1"/>
  <c r="G73" i="5" s="1"/>
  <c r="G72" i="5" a="1"/>
  <c r="G72" i="5" s="1"/>
  <c r="G71" i="5" a="1"/>
  <c r="G71" i="5" s="1"/>
  <c r="G70" i="5" a="1"/>
  <c r="G70" i="5" s="1"/>
  <c r="G69" i="5" a="1"/>
  <c r="G69" i="5" s="1"/>
  <c r="G68" i="5" a="1"/>
  <c r="G68" i="5" s="1"/>
  <c r="G67" i="5" a="1"/>
  <c r="G67" i="5" s="1"/>
  <c r="G66" i="5" a="1"/>
  <c r="G66" i="5" s="1"/>
  <c r="G65" i="5" a="1"/>
  <c r="G65" i="5" s="1"/>
  <c r="G64" i="5" a="1"/>
  <c r="G64" i="5" s="1"/>
  <c r="G63" i="5" a="1"/>
  <c r="G63" i="5" s="1"/>
  <c r="G62" i="5" a="1"/>
  <c r="G62" i="5" s="1"/>
  <c r="G61" i="5" a="1"/>
  <c r="G61" i="5" s="1"/>
  <c r="G60" i="5" a="1"/>
  <c r="G60" i="5" s="1"/>
  <c r="G58" i="5" a="1"/>
  <c r="G58" i="5" s="1"/>
  <c r="G57" i="5" a="1"/>
  <c r="G57" i="5" s="1"/>
  <c r="G56" i="5" a="1"/>
  <c r="G56" i="5" s="1"/>
  <c r="G55" i="5" a="1"/>
  <c r="G55" i="5" s="1"/>
  <c r="G54" i="5" a="1"/>
  <c r="G54" i="5" s="1"/>
  <c r="G53" i="5" a="1"/>
  <c r="G53" i="5" s="1"/>
  <c r="G52" i="5" a="1"/>
  <c r="G52" i="5" s="1"/>
  <c r="G51" i="5" a="1"/>
  <c r="G51" i="5" s="1"/>
  <c r="G50" i="5" a="1"/>
  <c r="G50" i="5" s="1"/>
  <c r="G49" i="5" a="1"/>
  <c r="G49" i="5" s="1"/>
  <c r="G48" i="5" a="1"/>
  <c r="G48" i="5" s="1"/>
  <c r="G47" i="5" a="1"/>
  <c r="G47" i="5" s="1"/>
  <c r="G46" i="5" a="1"/>
  <c r="G46" i="5" s="1"/>
  <c r="G45" i="5" a="1"/>
  <c r="G45" i="5" s="1"/>
  <c r="G44" i="5" a="1"/>
  <c r="G44" i="5" s="1"/>
  <c r="G43" i="5" a="1"/>
  <c r="G43" i="5" s="1"/>
  <c r="G42" i="5" a="1"/>
  <c r="G42" i="5" s="1"/>
  <c r="G41" i="5" a="1"/>
  <c r="G41" i="5" s="1"/>
  <c r="G39" i="5" a="1"/>
  <c r="G39" i="5" s="1"/>
  <c r="G38" i="5" a="1"/>
  <c r="G38" i="5" s="1"/>
  <c r="G37" i="5" a="1"/>
  <c r="G37" i="5" s="1"/>
  <c r="G36" i="5" a="1"/>
  <c r="G36" i="5" s="1"/>
  <c r="G35" i="5" a="1"/>
  <c r="G35" i="5" s="1"/>
  <c r="G34" i="5" a="1"/>
  <c r="G34" i="5" s="1"/>
  <c r="G33" i="5" a="1"/>
  <c r="G33" i="5" s="1"/>
  <c r="G32" i="5" a="1"/>
  <c r="G32" i="5" s="1"/>
  <c r="G31" i="5" a="1"/>
  <c r="G31" i="5" s="1"/>
  <c r="G30" i="5" a="1"/>
  <c r="G30" i="5" s="1"/>
  <c r="G29" i="5" a="1"/>
  <c r="G29" i="5" s="1"/>
  <c r="G28" i="5" a="1"/>
  <c r="G28" i="5" s="1"/>
  <c r="G27" i="5" a="1"/>
  <c r="G27" i="5" s="1"/>
  <c r="G26" i="5" a="1"/>
  <c r="G26" i="5" s="1"/>
  <c r="G25" i="5" a="1"/>
  <c r="G25" i="5" s="1"/>
  <c r="G24" i="5" a="1"/>
  <c r="G24" i="5" s="1"/>
  <c r="G23" i="5" a="1"/>
  <c r="G23" i="5" s="1"/>
  <c r="G22" i="5" a="1"/>
  <c r="G22" i="5" s="1"/>
  <c r="G21" i="5" a="1"/>
  <c r="G21" i="5" s="1"/>
  <c r="G20" i="5" a="1"/>
  <c r="G20" i="5" s="1"/>
  <c r="G19" i="5" a="1"/>
  <c r="G19" i="5" s="1"/>
  <c r="G18" i="5" a="1"/>
  <c r="G18" i="5" s="1"/>
  <c r="G17" i="5" a="1"/>
  <c r="G17" i="5" s="1"/>
  <c r="G16" i="5" a="1"/>
  <c r="G16" i="5" s="1"/>
  <c r="G15" i="5" a="1"/>
  <c r="G15" i="5" s="1"/>
  <c r="G14" i="5" a="1"/>
  <c r="G14" i="5" s="1"/>
  <c r="G13" i="5" a="1"/>
  <c r="G13" i="5" s="1"/>
  <c r="G12" i="5" a="1"/>
  <c r="G12" i="5" s="1"/>
  <c r="G11" i="5" a="1"/>
  <c r="G11" i="5" s="1"/>
  <c r="G10" i="5" a="1"/>
  <c r="G10" i="5" s="1"/>
  <c r="G9" i="5" a="1"/>
  <c r="G9" i="5" s="1"/>
  <c r="G8" i="5" a="1"/>
  <c r="G8" i="5" s="1"/>
  <c r="G7" i="5" a="1"/>
  <c r="G7" i="5" s="1"/>
  <c r="G6" i="5" a="1"/>
  <c r="G6" i="5" s="1"/>
  <c r="G5" i="5" a="1"/>
  <c r="G5" i="5" s="1"/>
  <c r="G4" i="5" a="1"/>
  <c r="G4" i="5" s="1"/>
  <c r="D212" i="5" a="1"/>
  <c r="D212" i="5" s="1"/>
  <c r="D211" i="5" a="1"/>
  <c r="D211" i="5" s="1"/>
  <c r="D210" i="5" a="1"/>
  <c r="D210" i="5" s="1"/>
  <c r="D209" i="5" a="1"/>
  <c r="D209" i="5" s="1"/>
  <c r="D208" i="5" a="1"/>
  <c r="D208" i="5" s="1"/>
  <c r="D207" i="5" a="1"/>
  <c r="D207" i="5" s="1"/>
  <c r="D206" i="5" a="1"/>
  <c r="D206" i="5" s="1"/>
  <c r="D205" i="5" a="1"/>
  <c r="D205" i="5" s="1"/>
  <c r="D204" i="5" a="1"/>
  <c r="D204" i="5" s="1"/>
  <c r="D203" i="5" a="1"/>
  <c r="D203" i="5" s="1"/>
  <c r="D201" i="5" a="1"/>
  <c r="D201" i="5" s="1"/>
  <c r="D200" i="5" a="1"/>
  <c r="D200" i="5" s="1"/>
  <c r="D199" i="5" a="1"/>
  <c r="D199" i="5" s="1"/>
  <c r="D198" i="5" a="1"/>
  <c r="D198" i="5" s="1"/>
  <c r="D197" i="5" a="1"/>
  <c r="D197" i="5" s="1"/>
  <c r="D196" i="5" a="1"/>
  <c r="D196" i="5" s="1"/>
  <c r="D195" i="5" a="1"/>
  <c r="D195" i="5" s="1"/>
  <c r="D194" i="5" a="1"/>
  <c r="D194" i="5" s="1"/>
  <c r="D193" i="5" a="1"/>
  <c r="D193" i="5" s="1"/>
  <c r="D192" i="5" a="1"/>
  <c r="D192" i="5" s="1"/>
  <c r="D191" i="5" a="1"/>
  <c r="D191" i="5" s="1"/>
  <c r="D190" i="5" a="1"/>
  <c r="D190" i="5" s="1"/>
  <c r="D189" i="5" a="1"/>
  <c r="D189" i="5" s="1"/>
  <c r="D188" i="5" a="1"/>
  <c r="D188" i="5" s="1"/>
  <c r="D187" i="5" a="1"/>
  <c r="D187" i="5" s="1"/>
  <c r="D186" i="5" a="1"/>
  <c r="D186" i="5" s="1"/>
  <c r="D185" i="5" a="1"/>
  <c r="D185" i="5" s="1"/>
  <c r="D184" i="5" a="1"/>
  <c r="D184" i="5" s="1"/>
  <c r="D183" i="5" a="1"/>
  <c r="D183" i="5" s="1"/>
  <c r="D182" i="5" a="1"/>
  <c r="D182" i="5" s="1"/>
  <c r="D181" i="5" a="1"/>
  <c r="D181" i="5" s="1"/>
  <c r="D179" i="5" a="1"/>
  <c r="D179" i="5" s="1"/>
  <c r="D178" i="5" a="1"/>
  <c r="D178" i="5" s="1"/>
  <c r="D177" i="5" a="1"/>
  <c r="D177" i="5" s="1"/>
  <c r="D176" i="5" a="1"/>
  <c r="D176" i="5" s="1"/>
  <c r="D175" i="5" a="1"/>
  <c r="D175" i="5" s="1"/>
  <c r="D174" i="5" a="1"/>
  <c r="D174" i="5" s="1"/>
  <c r="D173" i="5" a="1"/>
  <c r="D173" i="5" s="1"/>
  <c r="D172" i="5" a="1"/>
  <c r="D172" i="5" s="1"/>
  <c r="D171" i="5" a="1"/>
  <c r="D171" i="5" s="1"/>
  <c r="D170" i="5" a="1"/>
  <c r="D170" i="5" s="1"/>
  <c r="D169" i="5" a="1"/>
  <c r="D169" i="5" s="1"/>
  <c r="D168" i="5" a="1"/>
  <c r="D168" i="5" s="1"/>
  <c r="D167" i="5" a="1"/>
  <c r="D167" i="5" s="1"/>
  <c r="D166" i="5" a="1"/>
  <c r="D166" i="5" s="1"/>
  <c r="D165" i="5" a="1"/>
  <c r="D165" i="5" s="1"/>
  <c r="D163" i="5" a="1"/>
  <c r="D163" i="5" s="1"/>
  <c r="D162" i="5" a="1"/>
  <c r="D162" i="5" s="1"/>
  <c r="D161" i="5" a="1"/>
  <c r="D161" i="5" s="1"/>
  <c r="D160" i="5" a="1"/>
  <c r="D160" i="5" s="1"/>
  <c r="D159" i="5" a="1"/>
  <c r="D159" i="5" s="1"/>
  <c r="D158" i="5" a="1"/>
  <c r="D158" i="5" s="1"/>
  <c r="D157" i="5" a="1"/>
  <c r="D157" i="5" s="1"/>
  <c r="D156" i="5" a="1"/>
  <c r="D156" i="5" s="1"/>
  <c r="D155" i="5" a="1"/>
  <c r="D155" i="5" s="1"/>
  <c r="D154" i="5" a="1"/>
  <c r="D154" i="5" s="1"/>
  <c r="D153" i="5" a="1"/>
  <c r="D153" i="5" s="1"/>
  <c r="D152" i="5" a="1"/>
  <c r="D152" i="5" s="1"/>
  <c r="D151" i="5" a="1"/>
  <c r="D151" i="5" s="1"/>
  <c r="D150" i="5" a="1"/>
  <c r="D150" i="5" s="1"/>
  <c r="D149" i="5" a="1"/>
  <c r="D149" i="5" s="1"/>
  <c r="D148" i="5" a="1"/>
  <c r="D148" i="5" s="1"/>
  <c r="D147" i="5" a="1"/>
  <c r="D147" i="5" s="1"/>
  <c r="D146" i="5" a="1"/>
  <c r="D146" i="5" s="1"/>
  <c r="D145" i="5" a="1"/>
  <c r="D145" i="5" s="1"/>
  <c r="D144" i="5" a="1"/>
  <c r="D144" i="5" s="1"/>
  <c r="D143" i="5" a="1"/>
  <c r="D143" i="5" s="1"/>
  <c r="D142" i="5" a="1"/>
  <c r="D142" i="5" s="1"/>
  <c r="D141" i="5" a="1"/>
  <c r="D141" i="5" s="1"/>
  <c r="D139" i="5" a="1"/>
  <c r="D139" i="5" s="1"/>
  <c r="D138" i="5" a="1"/>
  <c r="D138" i="5" s="1"/>
  <c r="D137" i="5" a="1"/>
  <c r="D137" i="5" s="1"/>
  <c r="D136" i="5" a="1"/>
  <c r="D136" i="5" s="1"/>
  <c r="D135" i="5" a="1"/>
  <c r="D135" i="5" s="1"/>
  <c r="D134" i="5" a="1"/>
  <c r="D134" i="5" s="1"/>
  <c r="D133" i="5" a="1"/>
  <c r="D133" i="5" s="1"/>
  <c r="D132" i="5" a="1"/>
  <c r="D132" i="5" s="1"/>
  <c r="D131" i="5" a="1"/>
  <c r="D131" i="5" s="1"/>
  <c r="D130" i="5" a="1"/>
  <c r="D130" i="5" s="1"/>
  <c r="D129" i="5" a="1"/>
  <c r="D129" i="5" s="1"/>
  <c r="D128" i="5" a="1"/>
  <c r="D128" i="5" s="1"/>
  <c r="D127" i="5" a="1"/>
  <c r="D127" i="5" s="1"/>
  <c r="D126" i="5" a="1"/>
  <c r="D126" i="5" s="1"/>
  <c r="D125" i="5" a="1"/>
  <c r="D125" i="5" s="1"/>
  <c r="D124" i="5" a="1"/>
  <c r="D124" i="5" s="1"/>
  <c r="D123" i="5" a="1"/>
  <c r="D123" i="5" s="1"/>
  <c r="D122" i="5" a="1"/>
  <c r="D122" i="5" s="1"/>
  <c r="D121" i="5" a="1"/>
  <c r="D121" i="5" s="1"/>
  <c r="D120" i="5" a="1"/>
  <c r="D120" i="5" s="1"/>
  <c r="D119" i="5" a="1"/>
  <c r="D119" i="5" s="1"/>
  <c r="D118" i="5" a="1"/>
  <c r="D118" i="5" s="1"/>
  <c r="D117" i="5" a="1"/>
  <c r="D117" i="5" s="1"/>
  <c r="D116" i="5" a="1"/>
  <c r="D116" i="5" s="1"/>
  <c r="D115" i="5" a="1"/>
  <c r="D115" i="5" s="1"/>
  <c r="D114" i="5" a="1"/>
  <c r="D114" i="5" s="1"/>
  <c r="D113" i="5" a="1"/>
  <c r="D113" i="5" s="1"/>
  <c r="D112" i="5" a="1"/>
  <c r="D112" i="5" s="1"/>
  <c r="D111" i="5" a="1"/>
  <c r="D111" i="5" s="1"/>
  <c r="D110" i="5" a="1"/>
  <c r="D110" i="5" s="1"/>
  <c r="D109" i="5" a="1"/>
  <c r="D109" i="5" s="1"/>
  <c r="D108" i="5" a="1"/>
  <c r="D108" i="5" s="1"/>
  <c r="D107" i="5" a="1"/>
  <c r="D107" i="5" s="1"/>
  <c r="D106" i="5" a="1"/>
  <c r="D106" i="5" s="1"/>
  <c r="D105" i="5" a="1"/>
  <c r="D105" i="5" s="1"/>
  <c r="D104" i="5" a="1"/>
  <c r="D104" i="5" s="1"/>
  <c r="D103" i="5" a="1"/>
  <c r="D103" i="5" s="1"/>
  <c r="D102" i="5" a="1"/>
  <c r="D102" i="5" s="1"/>
  <c r="D101" i="5" a="1"/>
  <c r="D101" i="5" s="1"/>
  <c r="D100" i="5" a="1"/>
  <c r="D100" i="5" s="1"/>
  <c r="D99" i="5" a="1"/>
  <c r="D99" i="5" s="1"/>
  <c r="D98" i="5" a="1"/>
  <c r="D98" i="5" s="1"/>
  <c r="D97" i="5" a="1"/>
  <c r="D97" i="5" s="1"/>
  <c r="D96" i="5" a="1"/>
  <c r="D96" i="5" s="1"/>
  <c r="D95" i="5" a="1"/>
  <c r="D95" i="5" s="1"/>
  <c r="D94" i="5" a="1"/>
  <c r="D94" i="5" s="1"/>
  <c r="D93" i="5" a="1"/>
  <c r="D93" i="5" s="1"/>
  <c r="D92" i="5" a="1"/>
  <c r="D92" i="5" s="1"/>
  <c r="D91" i="5" a="1"/>
  <c r="D91" i="5" s="1"/>
  <c r="D90" i="5" a="1"/>
  <c r="D90" i="5" s="1"/>
  <c r="D89" i="5" a="1"/>
  <c r="D89" i="5" s="1"/>
  <c r="D88" i="5" a="1"/>
  <c r="D88" i="5" s="1"/>
  <c r="D87" i="5" a="1"/>
  <c r="D87" i="5" s="1"/>
  <c r="D86" i="5" a="1"/>
  <c r="D86" i="5" s="1"/>
  <c r="D85" i="5" a="1"/>
  <c r="D85" i="5" s="1"/>
  <c r="D84" i="5" a="1"/>
  <c r="D84" i="5" s="1"/>
  <c r="D83" i="5" a="1"/>
  <c r="D83" i="5" s="1"/>
  <c r="D82" i="5" a="1"/>
  <c r="D82" i="5" s="1"/>
  <c r="D81" i="5" a="1"/>
  <c r="D81" i="5" s="1"/>
  <c r="D80" i="5" a="1"/>
  <c r="D80" i="5" s="1"/>
  <c r="D79" i="5" a="1"/>
  <c r="D79" i="5" s="1"/>
  <c r="D78" i="5" a="1"/>
  <c r="D78" i="5" s="1"/>
  <c r="D77" i="5" a="1"/>
  <c r="D77" i="5" s="1"/>
  <c r="D76" i="5" a="1"/>
  <c r="D76" i="5" s="1"/>
  <c r="D75" i="5" a="1"/>
  <c r="D75" i="5" s="1"/>
  <c r="D74" i="5" a="1"/>
  <c r="D74" i="5" s="1"/>
  <c r="D73" i="5" a="1"/>
  <c r="D73" i="5" s="1"/>
  <c r="D72" i="5" a="1"/>
  <c r="D72" i="5" s="1"/>
  <c r="D71" i="5" a="1"/>
  <c r="D71" i="5" s="1"/>
  <c r="D70" i="5" a="1"/>
  <c r="D70" i="5" s="1"/>
  <c r="D69" i="5" a="1"/>
  <c r="D69" i="5" s="1"/>
  <c r="D68" i="5" a="1"/>
  <c r="D68" i="5" s="1"/>
  <c r="D67" i="5" a="1"/>
  <c r="D67" i="5" s="1"/>
  <c r="D66" i="5" a="1"/>
  <c r="D66" i="5" s="1"/>
  <c r="D65" i="5" a="1"/>
  <c r="D65" i="5" s="1"/>
  <c r="D64" i="5" a="1"/>
  <c r="D64" i="5" s="1"/>
  <c r="D63" i="5" a="1"/>
  <c r="D63" i="5" s="1"/>
  <c r="D62" i="5" a="1"/>
  <c r="D62" i="5" s="1"/>
  <c r="D61" i="5" a="1"/>
  <c r="D61" i="5" s="1"/>
  <c r="D60" i="5" a="1"/>
  <c r="D60" i="5" s="1"/>
  <c r="D58" i="5" a="1"/>
  <c r="D58" i="5" s="1"/>
  <c r="D57" i="5" a="1"/>
  <c r="D57" i="5" s="1"/>
  <c r="D56" i="5" a="1"/>
  <c r="D56" i="5" s="1"/>
  <c r="D55" i="5" a="1"/>
  <c r="D55" i="5" s="1"/>
  <c r="D54" i="5" a="1"/>
  <c r="D54" i="5" s="1"/>
  <c r="D53" i="5" a="1"/>
  <c r="D53" i="5" s="1"/>
  <c r="D52" i="5" a="1"/>
  <c r="D52" i="5" s="1"/>
  <c r="D51" i="5" a="1"/>
  <c r="D51" i="5" s="1"/>
  <c r="D50" i="5" a="1"/>
  <c r="D50" i="5" s="1"/>
  <c r="D49" i="5" a="1"/>
  <c r="D49" i="5" s="1"/>
  <c r="D48" i="5" a="1"/>
  <c r="D48" i="5" s="1"/>
  <c r="D47" i="5" a="1"/>
  <c r="D47" i="5" s="1"/>
  <c r="D46" i="5" a="1"/>
  <c r="D46" i="5" s="1"/>
  <c r="D45" i="5" a="1"/>
  <c r="D45" i="5" s="1"/>
  <c r="D44" i="5" a="1"/>
  <c r="D44" i="5" s="1"/>
  <c r="D43" i="5" a="1"/>
  <c r="D43" i="5" s="1"/>
  <c r="D42" i="5" a="1"/>
  <c r="D42" i="5" s="1"/>
  <c r="D41" i="5" a="1"/>
  <c r="D41" i="5" s="1"/>
  <c r="D39" i="5" a="1"/>
  <c r="D39"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D21" i="5" a="1"/>
  <c r="D21" i="5" s="1"/>
  <c r="D20" i="5" a="1"/>
  <c r="D20" i="5" s="1"/>
  <c r="D19" i="5" a="1"/>
  <c r="D19" i="5" s="1"/>
  <c r="D18" i="5" a="1"/>
  <c r="D18" i="5" s="1"/>
  <c r="D17" i="5" a="1"/>
  <c r="D17" i="5" s="1"/>
  <c r="D16" i="5" a="1"/>
  <c r="D16" i="5" s="1"/>
  <c r="D15" i="5" a="1"/>
  <c r="D15" i="5" s="1"/>
  <c r="D14" i="5" a="1"/>
  <c r="D14" i="5" s="1"/>
  <c r="D13" i="5" a="1"/>
  <c r="D13" i="5" s="1"/>
  <c r="D12" i="5" a="1"/>
  <c r="D12" i="5" s="1"/>
  <c r="D11" i="5" a="1"/>
  <c r="D11" i="5" s="1"/>
  <c r="D10" i="5" a="1"/>
  <c r="D10" i="5" s="1"/>
  <c r="D9" i="5" a="1"/>
  <c r="D9" i="5" s="1"/>
  <c r="D8" i="5" a="1"/>
  <c r="D8" i="5" s="1"/>
  <c r="D7" i="5" a="1"/>
  <c r="D7" i="5" s="1"/>
  <c r="D6" i="5" a="1"/>
  <c r="D6" i="5" s="1"/>
  <c r="D5" i="5" a="1"/>
  <c r="D5" i="5" s="1"/>
  <c r="D4" i="5" a="1"/>
  <c r="D4" i="5" s="1"/>
  <c r="F212" i="5" a="1"/>
  <c r="F212" i="5" s="1"/>
  <c r="F211" i="5" a="1"/>
  <c r="F211" i="5" s="1"/>
  <c r="F210" i="5" a="1"/>
  <c r="F210" i="5" s="1"/>
  <c r="F209" i="5" a="1"/>
  <c r="F209" i="5" s="1"/>
  <c r="F208" i="5" a="1"/>
  <c r="F208" i="5" s="1"/>
  <c r="F207" i="5" a="1"/>
  <c r="F207" i="5" s="1"/>
  <c r="F206" i="5" a="1"/>
  <c r="F206" i="5" s="1"/>
  <c r="F205" i="5" a="1"/>
  <c r="F205" i="5" s="1"/>
  <c r="F204" i="5" a="1"/>
  <c r="F204" i="5" s="1"/>
  <c r="F203" i="5" a="1"/>
  <c r="F203" i="5" s="1"/>
  <c r="F201" i="5" a="1"/>
  <c r="F201" i="5" s="1"/>
  <c r="F200" i="5" a="1"/>
  <c r="F200" i="5" s="1"/>
  <c r="F199" i="5" a="1"/>
  <c r="F199" i="5" s="1"/>
  <c r="F198" i="5" a="1"/>
  <c r="F198" i="5" s="1"/>
  <c r="F197" i="5" a="1"/>
  <c r="F197" i="5" s="1"/>
  <c r="F196" i="5" a="1"/>
  <c r="F196" i="5" s="1"/>
  <c r="F195" i="5" a="1"/>
  <c r="F195" i="5" s="1"/>
  <c r="F194" i="5" a="1"/>
  <c r="F194" i="5" s="1"/>
  <c r="F193" i="5" a="1"/>
  <c r="F193" i="5" s="1"/>
  <c r="F192" i="5" a="1"/>
  <c r="F192" i="5" s="1"/>
  <c r="F191" i="5" a="1"/>
  <c r="F191" i="5" s="1"/>
  <c r="F190" i="5" a="1"/>
  <c r="F190" i="5" s="1"/>
  <c r="F189" i="5" a="1"/>
  <c r="F189" i="5" s="1"/>
  <c r="F188" i="5" a="1"/>
  <c r="F188" i="5" s="1"/>
  <c r="F187" i="5" a="1"/>
  <c r="F187" i="5" s="1"/>
  <c r="F186" i="5" a="1"/>
  <c r="F186" i="5" s="1"/>
  <c r="F185" i="5" a="1"/>
  <c r="F185" i="5" s="1"/>
  <c r="F184" i="5" a="1"/>
  <c r="F184" i="5" s="1"/>
  <c r="F183" i="5" a="1"/>
  <c r="F183" i="5" s="1"/>
  <c r="F182" i="5" a="1"/>
  <c r="F182" i="5" s="1"/>
  <c r="F181" i="5" a="1"/>
  <c r="F181" i="5" s="1"/>
  <c r="F179" i="5" a="1"/>
  <c r="F179" i="5" s="1"/>
  <c r="F178" i="5" a="1"/>
  <c r="F178" i="5" s="1"/>
  <c r="F177" i="5" a="1"/>
  <c r="F177" i="5" s="1"/>
  <c r="F176" i="5" a="1"/>
  <c r="F176" i="5" s="1"/>
  <c r="F175" i="5" a="1"/>
  <c r="F175" i="5" s="1"/>
  <c r="F174" i="5" a="1"/>
  <c r="F174" i="5" s="1"/>
  <c r="F173" i="5" a="1"/>
  <c r="F173" i="5" s="1"/>
  <c r="F172" i="5" a="1"/>
  <c r="F172" i="5" s="1"/>
  <c r="F171" i="5" a="1"/>
  <c r="F171" i="5" s="1"/>
  <c r="F170" i="5" a="1"/>
  <c r="F170" i="5" s="1"/>
  <c r="F169" i="5" a="1"/>
  <c r="F169" i="5" s="1"/>
  <c r="F168" i="5" a="1"/>
  <c r="F168" i="5" s="1"/>
  <c r="F167" i="5" a="1"/>
  <c r="F167" i="5" s="1"/>
  <c r="F166" i="5" a="1"/>
  <c r="F166" i="5" s="1"/>
  <c r="F165" i="5" a="1"/>
  <c r="F165" i="5" s="1"/>
  <c r="F163" i="5" a="1"/>
  <c r="F163" i="5" s="1"/>
  <c r="F162" i="5" a="1"/>
  <c r="F162" i="5" s="1"/>
  <c r="F161" i="5" a="1"/>
  <c r="F161" i="5" s="1"/>
  <c r="F160" i="5" a="1"/>
  <c r="F160" i="5" s="1"/>
  <c r="F159" i="5" a="1"/>
  <c r="F159" i="5" s="1"/>
  <c r="F158" i="5" a="1"/>
  <c r="F158" i="5" s="1"/>
  <c r="F157" i="5" a="1"/>
  <c r="F157" i="5" s="1"/>
  <c r="F156" i="5" a="1"/>
  <c r="F156" i="5" s="1"/>
  <c r="F155" i="5" a="1"/>
  <c r="F155" i="5" s="1"/>
  <c r="F154" i="5" a="1"/>
  <c r="F154" i="5" s="1"/>
  <c r="F153" i="5" a="1"/>
  <c r="F153" i="5" s="1"/>
  <c r="F152" i="5" a="1"/>
  <c r="F152" i="5" s="1"/>
  <c r="F151" i="5" a="1"/>
  <c r="F151" i="5" s="1"/>
  <c r="F150" i="5" a="1"/>
  <c r="F150" i="5" s="1"/>
  <c r="F149" i="5" a="1"/>
  <c r="F149" i="5" s="1"/>
  <c r="F148" i="5" a="1"/>
  <c r="F148" i="5" s="1"/>
  <c r="F147" i="5" a="1"/>
  <c r="F147" i="5" s="1"/>
  <c r="F146" i="5" a="1"/>
  <c r="F146" i="5" s="1"/>
  <c r="F145" i="5" a="1"/>
  <c r="F145" i="5" s="1"/>
  <c r="F144" i="5" a="1"/>
  <c r="F144" i="5" s="1"/>
  <c r="F143" i="5" a="1"/>
  <c r="F143" i="5" s="1"/>
  <c r="F142" i="5" a="1"/>
  <c r="F142" i="5" s="1"/>
  <c r="F141" i="5" a="1"/>
  <c r="F141" i="5" s="1"/>
  <c r="F139" i="5" a="1"/>
  <c r="F139" i="5" s="1"/>
  <c r="F138" i="5" a="1"/>
  <c r="F138" i="5" s="1"/>
  <c r="F137" i="5" a="1"/>
  <c r="F137" i="5" s="1"/>
  <c r="F136" i="5" a="1"/>
  <c r="F136" i="5" s="1"/>
  <c r="F135" i="5" a="1"/>
  <c r="F135" i="5" s="1"/>
  <c r="F134" i="5" a="1"/>
  <c r="F134" i="5" s="1"/>
  <c r="F133" i="5" a="1"/>
  <c r="F133" i="5" s="1"/>
  <c r="F132" i="5" a="1"/>
  <c r="F132" i="5" s="1"/>
  <c r="F131" i="5" a="1"/>
  <c r="F131" i="5" s="1"/>
  <c r="F130" i="5" a="1"/>
  <c r="F130" i="5" s="1"/>
  <c r="F129" i="5" a="1"/>
  <c r="F129" i="5" s="1"/>
  <c r="F128" i="5" a="1"/>
  <c r="F128" i="5" s="1"/>
  <c r="F127" i="5" a="1"/>
  <c r="F127" i="5" s="1"/>
  <c r="F126" i="5" a="1"/>
  <c r="F126" i="5" s="1"/>
  <c r="F125" i="5" a="1"/>
  <c r="F125" i="5" s="1"/>
  <c r="F124" i="5" a="1"/>
  <c r="F124" i="5" s="1"/>
  <c r="F123" i="5" a="1"/>
  <c r="F123" i="5" s="1"/>
  <c r="F122" i="5" a="1"/>
  <c r="F122" i="5" s="1"/>
  <c r="F121" i="5" a="1"/>
  <c r="F121" i="5" s="1"/>
  <c r="F120" i="5" a="1"/>
  <c r="F120" i="5" s="1"/>
  <c r="F119" i="5" a="1"/>
  <c r="F119" i="5" s="1"/>
  <c r="F118" i="5" a="1"/>
  <c r="F118" i="5" s="1"/>
  <c r="F117" i="5" a="1"/>
  <c r="F117" i="5" s="1"/>
  <c r="F116" i="5" a="1"/>
  <c r="F116" i="5" s="1"/>
  <c r="F115" i="5" a="1"/>
  <c r="F115" i="5" s="1"/>
  <c r="F114" i="5" a="1"/>
  <c r="F114" i="5" s="1"/>
  <c r="F113" i="5" a="1"/>
  <c r="F113" i="5" s="1"/>
  <c r="F112" i="5" a="1"/>
  <c r="F112" i="5" s="1"/>
  <c r="F111" i="5" a="1"/>
  <c r="F111" i="5" s="1"/>
  <c r="F110" i="5" a="1"/>
  <c r="F110" i="5" s="1"/>
  <c r="F109" i="5" a="1"/>
  <c r="F109" i="5" s="1"/>
  <c r="F108" i="5" a="1"/>
  <c r="F108" i="5" s="1"/>
  <c r="F107" i="5" a="1"/>
  <c r="F107" i="5" s="1"/>
  <c r="F106" i="5" a="1"/>
  <c r="F106" i="5" s="1"/>
  <c r="F105" i="5" a="1"/>
  <c r="F105" i="5" s="1"/>
  <c r="F104" i="5" a="1"/>
  <c r="F104" i="5" s="1"/>
  <c r="F103" i="5" a="1"/>
  <c r="F103" i="5" s="1"/>
  <c r="F102" i="5" a="1"/>
  <c r="F102" i="5" s="1"/>
  <c r="F101" i="5" a="1"/>
  <c r="F101" i="5" s="1"/>
  <c r="F100" i="5" a="1"/>
  <c r="F100" i="5" s="1"/>
  <c r="F99" i="5" a="1"/>
  <c r="F99" i="5" s="1"/>
  <c r="F98" i="5" a="1"/>
  <c r="F98" i="5" s="1"/>
  <c r="F97" i="5" a="1"/>
  <c r="F97" i="5" s="1"/>
  <c r="F96" i="5" a="1"/>
  <c r="F96" i="5" s="1"/>
  <c r="F95" i="5" a="1"/>
  <c r="F95" i="5" s="1"/>
  <c r="F94" i="5" a="1"/>
  <c r="F94" i="5" s="1"/>
  <c r="F93" i="5" a="1"/>
  <c r="F93" i="5" s="1"/>
  <c r="F92" i="5" a="1"/>
  <c r="F92" i="5" s="1"/>
  <c r="F91" i="5" a="1"/>
  <c r="F91" i="5" s="1"/>
  <c r="F90" i="5" a="1"/>
  <c r="F90" i="5" s="1"/>
  <c r="F89" i="5" a="1"/>
  <c r="F89" i="5" s="1"/>
  <c r="F88" i="5" a="1"/>
  <c r="F88" i="5" s="1"/>
  <c r="F87" i="5" a="1"/>
  <c r="F87" i="5" s="1"/>
  <c r="F86" i="5" a="1"/>
  <c r="F86" i="5" s="1"/>
  <c r="F85" i="5" a="1"/>
  <c r="F85" i="5" s="1"/>
  <c r="F84" i="5" a="1"/>
  <c r="F84" i="5" s="1"/>
  <c r="F83" i="5" a="1"/>
  <c r="F83" i="5" s="1"/>
  <c r="F82" i="5" a="1"/>
  <c r="F82" i="5" s="1"/>
  <c r="F81" i="5" a="1"/>
  <c r="F81" i="5" s="1"/>
  <c r="F80" i="5" a="1"/>
  <c r="F80" i="5" s="1"/>
  <c r="F79" i="5" a="1"/>
  <c r="F79" i="5" s="1"/>
  <c r="F78" i="5" a="1"/>
  <c r="F78" i="5" s="1"/>
  <c r="F77" i="5" a="1"/>
  <c r="F77" i="5" s="1"/>
  <c r="F76" i="5" a="1"/>
  <c r="F76" i="5" s="1"/>
  <c r="F75" i="5" a="1"/>
  <c r="F75" i="5" s="1"/>
  <c r="F74" i="5" a="1"/>
  <c r="F74" i="5" s="1"/>
  <c r="F73" i="5" a="1"/>
  <c r="F73" i="5" s="1"/>
  <c r="F72" i="5" a="1"/>
  <c r="F72" i="5" s="1"/>
  <c r="F71" i="5" a="1"/>
  <c r="F71" i="5" s="1"/>
  <c r="F70" i="5" a="1"/>
  <c r="F70" i="5" s="1"/>
  <c r="F69" i="5" a="1"/>
  <c r="F69" i="5" s="1"/>
  <c r="F68" i="5" a="1"/>
  <c r="F68" i="5" s="1"/>
  <c r="F67" i="5" a="1"/>
  <c r="F67" i="5" s="1"/>
  <c r="F66" i="5" a="1"/>
  <c r="F66" i="5" s="1"/>
  <c r="F65" i="5" a="1"/>
  <c r="F65" i="5" s="1"/>
  <c r="F64" i="5" a="1"/>
  <c r="F64" i="5" s="1"/>
  <c r="F63" i="5" a="1"/>
  <c r="F63" i="5" s="1"/>
  <c r="F62" i="5" a="1"/>
  <c r="F62" i="5" s="1"/>
  <c r="F61" i="5" a="1"/>
  <c r="F61" i="5" s="1"/>
  <c r="F60" i="5" a="1"/>
  <c r="F60" i="5" s="1"/>
  <c r="F58" i="5" a="1"/>
  <c r="F58" i="5" s="1"/>
  <c r="F57" i="5" a="1"/>
  <c r="F57" i="5" s="1"/>
  <c r="F56" i="5" a="1"/>
  <c r="F56" i="5" s="1"/>
  <c r="F55" i="5" a="1"/>
  <c r="F55" i="5" s="1"/>
  <c r="F54" i="5" a="1"/>
  <c r="F54" i="5" s="1"/>
  <c r="F53" i="5" a="1"/>
  <c r="F53" i="5" s="1"/>
  <c r="F52" i="5" a="1"/>
  <c r="F52" i="5" s="1"/>
  <c r="F51" i="5" a="1"/>
  <c r="F51" i="5" s="1"/>
  <c r="F50" i="5" a="1"/>
  <c r="F50" i="5" s="1"/>
  <c r="F49" i="5" a="1"/>
  <c r="F49" i="5" s="1"/>
  <c r="F48" i="5" a="1"/>
  <c r="F48" i="5" s="1"/>
  <c r="F47" i="5" a="1"/>
  <c r="F47" i="5" s="1"/>
  <c r="F46" i="5" a="1"/>
  <c r="F46" i="5" s="1"/>
  <c r="F45" i="5" a="1"/>
  <c r="F45" i="5" s="1"/>
  <c r="F44" i="5" a="1"/>
  <c r="F44" i="5" s="1"/>
  <c r="F43" i="5" a="1"/>
  <c r="F43" i="5" s="1"/>
  <c r="F42" i="5" a="1"/>
  <c r="F42" i="5" s="1"/>
  <c r="F41" i="5" a="1"/>
  <c r="F41" i="5" s="1"/>
  <c r="F39" i="5" a="1"/>
  <c r="F39" i="5" s="1"/>
  <c r="F38" i="5" a="1"/>
  <c r="F38" i="5" s="1"/>
  <c r="F37" i="5" a="1"/>
  <c r="F37" i="5" s="1"/>
  <c r="F36" i="5" a="1"/>
  <c r="F36" i="5" s="1"/>
  <c r="F35" i="5" a="1"/>
  <c r="F35" i="5" s="1"/>
  <c r="F34" i="5" a="1"/>
  <c r="F34" i="5" s="1"/>
  <c r="F33" i="5" a="1"/>
  <c r="F33" i="5" s="1"/>
  <c r="F32" i="5" a="1"/>
  <c r="F32" i="5" s="1"/>
  <c r="F31" i="5" a="1"/>
  <c r="F31" i="5" s="1"/>
  <c r="F30" i="5" a="1"/>
  <c r="F30" i="5" s="1"/>
  <c r="F29" i="5" a="1"/>
  <c r="F29" i="5" s="1"/>
  <c r="F28" i="5" a="1"/>
  <c r="F28" i="5" s="1"/>
  <c r="F27" i="5" a="1"/>
  <c r="F27" i="5" s="1"/>
  <c r="F26" i="5" a="1"/>
  <c r="F26" i="5" s="1"/>
  <c r="F25" i="5" a="1"/>
  <c r="F25" i="5" s="1"/>
  <c r="F24" i="5" a="1"/>
  <c r="F24" i="5" s="1"/>
  <c r="F23" i="5" a="1"/>
  <c r="F23" i="5" s="1"/>
  <c r="F22" i="5" a="1"/>
  <c r="F22" i="5" s="1"/>
  <c r="F21" i="5" a="1"/>
  <c r="F21" i="5" s="1"/>
  <c r="F20" i="5" a="1"/>
  <c r="F20" i="5" s="1"/>
  <c r="F19" i="5" a="1"/>
  <c r="F19" i="5" s="1"/>
  <c r="F18" i="5" a="1"/>
  <c r="F18" i="5" s="1"/>
  <c r="F17" i="5" a="1"/>
  <c r="F17" i="5" s="1"/>
  <c r="F16" i="5" a="1"/>
  <c r="F16" i="5" s="1"/>
  <c r="F15" i="5" a="1"/>
  <c r="F15" i="5" s="1"/>
  <c r="F14" i="5" a="1"/>
  <c r="F14" i="5" s="1"/>
  <c r="F13" i="5" a="1"/>
  <c r="F13" i="5" s="1"/>
  <c r="F12" i="5" a="1"/>
  <c r="F12" i="5" s="1"/>
  <c r="F11" i="5" a="1"/>
  <c r="F11" i="5" s="1"/>
  <c r="F10" i="5" a="1"/>
  <c r="F10" i="5" s="1"/>
  <c r="F9" i="5" a="1"/>
  <c r="F9" i="5" s="1"/>
  <c r="F8" i="5" a="1"/>
  <c r="F8" i="5" s="1"/>
  <c r="F7" i="5" a="1"/>
  <c r="F7" i="5" s="1"/>
  <c r="F6" i="5" a="1"/>
  <c r="F6" i="5" s="1"/>
  <c r="F5" i="5" a="1"/>
  <c r="F5" i="5" s="1"/>
  <c r="F4" i="5" a="1"/>
  <c r="F4" i="5" s="1"/>
  <c r="E212" i="5" a="1"/>
  <c r="E212" i="5" s="1"/>
  <c r="E211" i="5" a="1"/>
  <c r="E211" i="5" s="1"/>
  <c r="E210" i="5" a="1"/>
  <c r="E210" i="5" s="1"/>
  <c r="E209" i="5" a="1"/>
  <c r="E209" i="5" s="1"/>
  <c r="E208" i="5" a="1"/>
  <c r="E208" i="5" s="1"/>
  <c r="E207" i="5" a="1"/>
  <c r="E207" i="5" s="1"/>
  <c r="E206" i="5" a="1"/>
  <c r="E206" i="5" s="1"/>
  <c r="E205" i="5" a="1"/>
  <c r="E205" i="5" s="1"/>
  <c r="E204" i="5" a="1"/>
  <c r="E204" i="5" s="1"/>
  <c r="E203" i="5" a="1"/>
  <c r="E203" i="5" s="1"/>
  <c r="E201" i="5" a="1"/>
  <c r="E201" i="5" s="1"/>
  <c r="E200" i="5" a="1"/>
  <c r="E200" i="5" s="1"/>
  <c r="E199" i="5" a="1"/>
  <c r="E199" i="5" s="1"/>
  <c r="E198" i="5" a="1"/>
  <c r="E198" i="5" s="1"/>
  <c r="E197" i="5" a="1"/>
  <c r="E197" i="5" s="1"/>
  <c r="E196" i="5" a="1"/>
  <c r="E196" i="5" s="1"/>
  <c r="E195" i="5" a="1"/>
  <c r="E195" i="5" s="1"/>
  <c r="E194" i="5" a="1"/>
  <c r="E194" i="5" s="1"/>
  <c r="E193" i="5" a="1"/>
  <c r="E193" i="5" s="1"/>
  <c r="E192" i="5" a="1"/>
  <c r="E192" i="5" s="1"/>
  <c r="E191" i="5" a="1"/>
  <c r="E191" i="5" s="1"/>
  <c r="E190" i="5" a="1"/>
  <c r="E190" i="5" s="1"/>
  <c r="E189" i="5" a="1"/>
  <c r="E189" i="5" s="1"/>
  <c r="E188" i="5" a="1"/>
  <c r="E188" i="5" s="1"/>
  <c r="E187" i="5" a="1"/>
  <c r="E187" i="5" s="1"/>
  <c r="E186" i="5" a="1"/>
  <c r="E186" i="5" s="1"/>
  <c r="E185" i="5" a="1"/>
  <c r="E185" i="5" s="1"/>
  <c r="E184" i="5" a="1"/>
  <c r="E184" i="5" s="1"/>
  <c r="E183" i="5" a="1"/>
  <c r="E183" i="5" s="1"/>
  <c r="E182" i="5" a="1"/>
  <c r="E182" i="5" s="1"/>
  <c r="E181" i="5" a="1"/>
  <c r="E181" i="5" s="1"/>
  <c r="E179" i="5" a="1"/>
  <c r="E179" i="5" s="1"/>
  <c r="E178" i="5" a="1"/>
  <c r="E178" i="5" s="1"/>
  <c r="E177" i="5" a="1"/>
  <c r="E177" i="5" s="1"/>
  <c r="E176" i="5" a="1"/>
  <c r="E176" i="5" s="1"/>
  <c r="E175" i="5" a="1"/>
  <c r="E175" i="5" s="1"/>
  <c r="E174" i="5" a="1"/>
  <c r="E174" i="5" s="1"/>
  <c r="E173" i="5" a="1"/>
  <c r="E173" i="5" s="1"/>
  <c r="E172" i="5" a="1"/>
  <c r="E172" i="5" s="1"/>
  <c r="E171" i="5" a="1"/>
  <c r="E171" i="5" s="1"/>
  <c r="E170" i="5" a="1"/>
  <c r="E170" i="5" s="1"/>
  <c r="E169" i="5" a="1"/>
  <c r="E169" i="5" s="1"/>
  <c r="E168" i="5" a="1"/>
  <c r="E168" i="5" s="1"/>
  <c r="E167" i="5" a="1"/>
  <c r="E167" i="5" s="1"/>
  <c r="E166" i="5" a="1"/>
  <c r="E166" i="5" s="1"/>
  <c r="E165" i="5" a="1"/>
  <c r="E165" i="5" s="1"/>
  <c r="E163" i="5" a="1"/>
  <c r="E163" i="5" s="1"/>
  <c r="E162" i="5" a="1"/>
  <c r="E162" i="5" s="1"/>
  <c r="E161" i="5" a="1"/>
  <c r="E161" i="5" s="1"/>
  <c r="E160" i="5" a="1"/>
  <c r="E160" i="5" s="1"/>
  <c r="E159" i="5" a="1"/>
  <c r="E159" i="5" s="1"/>
  <c r="E158" i="5" a="1"/>
  <c r="E158" i="5" s="1"/>
  <c r="E157" i="5" a="1"/>
  <c r="E157" i="5" s="1"/>
  <c r="E156" i="5" a="1"/>
  <c r="E156" i="5" s="1"/>
  <c r="E155" i="5" a="1"/>
  <c r="E155" i="5" s="1"/>
  <c r="E154" i="5" a="1"/>
  <c r="E154" i="5" s="1"/>
  <c r="E153" i="5" a="1"/>
  <c r="E153" i="5" s="1"/>
  <c r="E152" i="5" a="1"/>
  <c r="E152" i="5" s="1"/>
  <c r="E151" i="5" a="1"/>
  <c r="E151" i="5" s="1"/>
  <c r="E150" i="5" a="1"/>
  <c r="E150" i="5" s="1"/>
  <c r="E149" i="5" a="1"/>
  <c r="E149" i="5" s="1"/>
  <c r="E148" i="5" a="1"/>
  <c r="E148" i="5" s="1"/>
  <c r="E147" i="5" a="1"/>
  <c r="E147" i="5" s="1"/>
  <c r="E146" i="5" a="1"/>
  <c r="E146" i="5" s="1"/>
  <c r="E145" i="5" a="1"/>
  <c r="E145" i="5" s="1"/>
  <c r="E144" i="5" a="1"/>
  <c r="E144" i="5" s="1"/>
  <c r="E143" i="5" a="1"/>
  <c r="E143" i="5" s="1"/>
  <c r="E142" i="5" a="1"/>
  <c r="E142" i="5" s="1"/>
  <c r="E141" i="5" a="1"/>
  <c r="E141" i="5" s="1"/>
  <c r="E139" i="5" a="1"/>
  <c r="E139" i="5" s="1"/>
  <c r="E138" i="5" a="1"/>
  <c r="E138" i="5" s="1"/>
  <c r="E137" i="5" a="1"/>
  <c r="E137" i="5" s="1"/>
  <c r="E136" i="5" a="1"/>
  <c r="E136" i="5" s="1"/>
  <c r="E135" i="5" a="1"/>
  <c r="E135" i="5" s="1"/>
  <c r="E134" i="5" a="1"/>
  <c r="E134" i="5" s="1"/>
  <c r="E133" i="5" a="1"/>
  <c r="E133" i="5" s="1"/>
  <c r="E132" i="5" a="1"/>
  <c r="E132" i="5" s="1"/>
  <c r="E131" i="5" a="1"/>
  <c r="E131" i="5" s="1"/>
  <c r="E130" i="5" a="1"/>
  <c r="E130" i="5" s="1"/>
  <c r="E129" i="5" a="1"/>
  <c r="E129" i="5" s="1"/>
  <c r="E128" i="5" a="1"/>
  <c r="E128" i="5" s="1"/>
  <c r="E127" i="5" a="1"/>
  <c r="E127" i="5" s="1"/>
  <c r="E126" i="5" a="1"/>
  <c r="E126" i="5" s="1"/>
  <c r="E125" i="5" a="1"/>
  <c r="E125" i="5" s="1"/>
  <c r="E124" i="5" a="1"/>
  <c r="E124" i="5" s="1"/>
  <c r="E123" i="5" a="1"/>
  <c r="E123" i="5" s="1"/>
  <c r="E122" i="5" a="1"/>
  <c r="E122" i="5" s="1"/>
  <c r="E121" i="5" a="1"/>
  <c r="E121" i="5" s="1"/>
  <c r="E120" i="5" a="1"/>
  <c r="E120" i="5" s="1"/>
  <c r="E119" i="5" a="1"/>
  <c r="E119" i="5" s="1"/>
  <c r="E118" i="5" a="1"/>
  <c r="E118" i="5" s="1"/>
  <c r="E117" i="5" a="1"/>
  <c r="E117" i="5" s="1"/>
  <c r="E116" i="5" a="1"/>
  <c r="E116" i="5" s="1"/>
  <c r="E115" i="5" a="1"/>
  <c r="E115" i="5" s="1"/>
  <c r="E114" i="5" a="1"/>
  <c r="E114" i="5" s="1"/>
  <c r="E113" i="5" a="1"/>
  <c r="E113" i="5" s="1"/>
  <c r="E112" i="5" a="1"/>
  <c r="E112" i="5" s="1"/>
  <c r="E111" i="5" a="1"/>
  <c r="E111" i="5" s="1"/>
  <c r="E110" i="5" a="1"/>
  <c r="E110" i="5" s="1"/>
  <c r="E109" i="5" a="1"/>
  <c r="E109" i="5" s="1"/>
  <c r="E108" i="5" a="1"/>
  <c r="E108" i="5" s="1"/>
  <c r="E107" i="5" a="1"/>
  <c r="E107" i="5" s="1"/>
  <c r="E106" i="5" a="1"/>
  <c r="E106" i="5" s="1"/>
  <c r="E105" i="5" a="1"/>
  <c r="E105" i="5" s="1"/>
  <c r="E104" i="5" a="1"/>
  <c r="E104" i="5" s="1"/>
  <c r="E103" i="5" a="1"/>
  <c r="E103" i="5" s="1"/>
  <c r="E102" i="5" a="1"/>
  <c r="E102" i="5" s="1"/>
  <c r="E101" i="5" a="1"/>
  <c r="E101" i="5" s="1"/>
  <c r="E100" i="5" a="1"/>
  <c r="E100" i="5" s="1"/>
  <c r="E99" i="5" a="1"/>
  <c r="E99" i="5" s="1"/>
  <c r="E98" i="5" a="1"/>
  <c r="E98" i="5" s="1"/>
  <c r="E97" i="5" a="1"/>
  <c r="E97" i="5" s="1"/>
  <c r="E96" i="5" a="1"/>
  <c r="E96" i="5" s="1"/>
  <c r="E95" i="5" a="1"/>
  <c r="E95" i="5" s="1"/>
  <c r="E94" i="5" a="1"/>
  <c r="E94" i="5" s="1"/>
  <c r="E93" i="5" a="1"/>
  <c r="E93" i="5" s="1"/>
  <c r="E92" i="5" a="1"/>
  <c r="E92" i="5" s="1"/>
  <c r="E91" i="5" a="1"/>
  <c r="E91" i="5" s="1"/>
  <c r="E90" i="5" a="1"/>
  <c r="E90" i="5" s="1"/>
  <c r="E89" i="5" a="1"/>
  <c r="E89" i="5" s="1"/>
  <c r="E88" i="5" a="1"/>
  <c r="E88" i="5" s="1"/>
  <c r="E87" i="5" a="1"/>
  <c r="E87" i="5" s="1"/>
  <c r="E86" i="5" a="1"/>
  <c r="E86" i="5" s="1"/>
  <c r="E85" i="5" a="1"/>
  <c r="E85" i="5" s="1"/>
  <c r="E84" i="5" a="1"/>
  <c r="E84" i="5" s="1"/>
  <c r="E83" i="5" a="1"/>
  <c r="E83" i="5" s="1"/>
  <c r="E82" i="5" a="1"/>
  <c r="E82" i="5" s="1"/>
  <c r="E81" i="5" a="1"/>
  <c r="E81" i="5" s="1"/>
  <c r="E80" i="5" a="1"/>
  <c r="E80" i="5" s="1"/>
  <c r="E79" i="5" a="1"/>
  <c r="E79" i="5" s="1"/>
  <c r="E78" i="5" a="1"/>
  <c r="E78" i="5" s="1"/>
  <c r="E77" i="5" a="1"/>
  <c r="E77" i="5" s="1"/>
  <c r="E76" i="5" a="1"/>
  <c r="E76" i="5" s="1"/>
  <c r="E75" i="5" a="1"/>
  <c r="E75" i="5" s="1"/>
  <c r="E74" i="5" a="1"/>
  <c r="E74" i="5" s="1"/>
  <c r="E73" i="5" a="1"/>
  <c r="E73" i="5" s="1"/>
  <c r="E72" i="5" a="1"/>
  <c r="E72" i="5" s="1"/>
  <c r="E71" i="5" a="1"/>
  <c r="E71" i="5" s="1"/>
  <c r="E70" i="5" a="1"/>
  <c r="E70" i="5" s="1"/>
  <c r="E69" i="5" a="1"/>
  <c r="E69" i="5" s="1"/>
  <c r="E68" i="5" a="1"/>
  <c r="E68" i="5" s="1"/>
  <c r="E67" i="5" a="1"/>
  <c r="E67" i="5" s="1"/>
  <c r="E66" i="5" a="1"/>
  <c r="E66" i="5" s="1"/>
  <c r="E65" i="5" a="1"/>
  <c r="E65" i="5" s="1"/>
  <c r="E64" i="5" a="1"/>
  <c r="E64" i="5" s="1"/>
  <c r="E63" i="5" a="1"/>
  <c r="E63" i="5" s="1"/>
  <c r="E62" i="5" a="1"/>
  <c r="E62" i="5" s="1"/>
  <c r="E61" i="5" a="1"/>
  <c r="E61" i="5" s="1"/>
  <c r="E60" i="5" a="1"/>
  <c r="E60" i="5" s="1"/>
  <c r="E58" i="5" a="1"/>
  <c r="E58" i="5" s="1"/>
  <c r="E57" i="5" a="1"/>
  <c r="E57" i="5" s="1"/>
  <c r="E56" i="5" a="1"/>
  <c r="E56" i="5" s="1"/>
  <c r="E55" i="5" a="1"/>
  <c r="E55" i="5" s="1"/>
  <c r="E54" i="5" a="1"/>
  <c r="E54" i="5" s="1"/>
  <c r="E53" i="5" a="1"/>
  <c r="E53" i="5" s="1"/>
  <c r="E52" i="5" a="1"/>
  <c r="E52" i="5" s="1"/>
  <c r="E51" i="5" a="1"/>
  <c r="E51" i="5" s="1"/>
  <c r="E50" i="5" a="1"/>
  <c r="E50" i="5" s="1"/>
  <c r="E49" i="5" a="1"/>
  <c r="E49" i="5" s="1"/>
  <c r="E48" i="5" a="1"/>
  <c r="E48" i="5" s="1"/>
  <c r="E47" i="5" a="1"/>
  <c r="E47" i="5" s="1"/>
  <c r="E46" i="5" a="1"/>
  <c r="E46" i="5" s="1"/>
  <c r="E45" i="5" a="1"/>
  <c r="E45" i="5" s="1"/>
  <c r="E44" i="5" a="1"/>
  <c r="E44" i="5" s="1"/>
  <c r="E43" i="5" a="1"/>
  <c r="E43" i="5" s="1"/>
  <c r="E42" i="5" a="1"/>
  <c r="E42" i="5" s="1"/>
  <c r="E41" i="5" a="1"/>
  <c r="E41" i="5" s="1"/>
  <c r="E39" i="5" a="1"/>
  <c r="E3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E21" i="5" a="1"/>
  <c r="E21" i="5" s="1"/>
  <c r="E20" i="5" a="1"/>
  <c r="E20" i="5" s="1"/>
  <c r="E19" i="5" a="1"/>
  <c r="E19" i="5" s="1"/>
  <c r="E18" i="5" a="1"/>
  <c r="E18" i="5" s="1"/>
  <c r="E17" i="5" a="1"/>
  <c r="E17" i="5" s="1"/>
  <c r="E16" i="5" a="1"/>
  <c r="E16" i="5" s="1"/>
  <c r="E15" i="5" a="1"/>
  <c r="E15" i="5" s="1"/>
  <c r="E14" i="5" a="1"/>
  <c r="E14" i="5" s="1"/>
  <c r="E13" i="5" a="1"/>
  <c r="E13" i="5" s="1"/>
  <c r="E12" i="5" a="1"/>
  <c r="E12" i="5" s="1"/>
  <c r="E11" i="5" a="1"/>
  <c r="E11" i="5" s="1"/>
  <c r="E10" i="5" a="1"/>
  <c r="E10" i="5" s="1"/>
  <c r="E9" i="5" a="1"/>
  <c r="E9" i="5" s="1"/>
  <c r="E8" i="5" a="1"/>
  <c r="E8" i="5" s="1"/>
  <c r="E7" i="5" a="1"/>
  <c r="E7" i="5" s="1"/>
  <c r="E6" i="5" a="1"/>
  <c r="E6" i="5" s="1"/>
  <c r="E5" i="5" a="1"/>
  <c r="E5" i="5" s="1"/>
  <c r="E4" i="5" a="1"/>
  <c r="E4" i="5" s="1"/>
  <c r="C207" i="5" a="1"/>
  <c r="C207" i="5" s="1"/>
  <c r="C203" i="5" a="1"/>
  <c r="C203" i="5" s="1"/>
  <c r="C197" i="5" a="1"/>
  <c r="C197" i="5" s="1"/>
  <c r="C193" i="5" a="1"/>
  <c r="C193" i="5" s="1"/>
  <c r="C181" i="5" a="1"/>
  <c r="C181" i="5" s="1"/>
  <c r="C174" i="5" a="1"/>
  <c r="C174" i="5" s="1"/>
  <c r="C154" i="5" a="1"/>
  <c r="C154" i="5" s="1"/>
  <c r="C146" i="5" a="1"/>
  <c r="C146" i="5" s="1"/>
  <c r="C141" i="5" a="1"/>
  <c r="C141" i="5" s="1"/>
  <c r="C134" i="5" a="1"/>
  <c r="C134" i="5" s="1"/>
  <c r="C125" i="5" a="1"/>
  <c r="C125" i="5" s="1"/>
  <c r="C117" i="5" a="1"/>
  <c r="C117" i="5" s="1"/>
  <c r="C113" i="5" a="1"/>
  <c r="C113" i="5" s="1"/>
  <c r="C108" i="5" a="1"/>
  <c r="C108" i="5" s="1"/>
  <c r="C102" i="5" a="1"/>
  <c r="C102" i="5" s="1"/>
  <c r="C92" i="5" a="1"/>
  <c r="C92" i="5" s="1"/>
  <c r="C86" i="5" a="1"/>
  <c r="C86" i="5" s="1"/>
  <c r="C82" i="5" a="1"/>
  <c r="C82" i="5" s="1"/>
  <c r="C67" i="5" a="1"/>
  <c r="C67" i="5" s="1"/>
  <c r="C62" i="5" a="1"/>
  <c r="C62" i="5" s="1"/>
  <c r="C57" i="5" a="1"/>
  <c r="C57" i="5" s="1"/>
  <c r="C49" i="5" a="1"/>
  <c r="C49" i="5" s="1"/>
  <c r="C41" i="5" a="1"/>
  <c r="C41" i="5" s="1"/>
  <c r="C30" i="5" a="1"/>
  <c r="C30" i="5" s="1"/>
  <c r="C25" i="5" a="1"/>
  <c r="C25" i="5" s="1"/>
  <c r="C23" i="5" a="1"/>
  <c r="C23" i="5" s="1"/>
  <c r="C18" i="5" a="1"/>
  <c r="C18" i="5" s="1"/>
  <c r="C3" i="5" a="1"/>
  <c r="C3" i="5" s="1"/>
  <c r="C9" i="5" a="1"/>
  <c r="C9" i="5" s="1"/>
  <c r="C132" i="5" l="1" a="1"/>
  <c r="C132" i="5" s="1"/>
  <c r="C131" i="5" a="1"/>
  <c r="C131" i="5" s="1"/>
  <c r="C101" i="5" l="1" a="1"/>
  <c r="C101" i="5" s="1"/>
  <c r="C212" i="5" a="1"/>
  <c r="C212" i="5" s="1"/>
  <c r="C211" i="5" a="1"/>
  <c r="C211" i="5" s="1"/>
  <c r="C210" i="5" a="1"/>
  <c r="C210" i="5" s="1"/>
  <c r="C209" i="5" a="1"/>
  <c r="C209" i="5" s="1"/>
  <c r="C208" i="5" a="1"/>
  <c r="C208" i="5" s="1"/>
  <c r="C78" i="5" a="1"/>
  <c r="C78" i="5" s="1"/>
  <c r="C159" i="5" a="1"/>
  <c r="C159" i="5" s="1"/>
  <c r="C77" i="5" a="1"/>
  <c r="C77" i="5" s="1"/>
  <c r="C66" i="5" a="1"/>
  <c r="C66" i="5" s="1"/>
  <c r="C161" i="5" a="1"/>
  <c r="C161" i="5" s="1"/>
  <c r="C163" i="5" a="1"/>
  <c r="C163" i="5" s="1"/>
  <c r="C158" i="5" a="1"/>
  <c r="C158" i="5" s="1"/>
  <c r="AL380" i="1" l="1"/>
  <c r="AL383" i="1"/>
  <c r="AL346" i="1"/>
  <c r="AL107" i="1"/>
  <c r="AL108" i="1"/>
  <c r="AL272" i="1"/>
  <c r="AL381" i="1"/>
  <c r="AL382" i="1"/>
  <c r="AL384" i="1"/>
  <c r="AL349" i="1"/>
  <c r="AL95" i="1"/>
  <c r="B489" i="1"/>
  <c r="AK488" i="1" s="1"/>
  <c r="B488" i="1"/>
  <c r="AK487" i="1" s="1"/>
  <c r="B487" i="1"/>
  <c r="AK486" i="1" s="1"/>
  <c r="B486" i="1"/>
  <c r="AK485" i="1" s="1"/>
  <c r="B485" i="1"/>
  <c r="AK484" i="1" s="1"/>
  <c r="B484" i="1"/>
  <c r="AK483" i="1" s="1"/>
  <c r="B483" i="1"/>
  <c r="AK482" i="1" s="1"/>
  <c r="B482" i="1"/>
  <c r="B481" i="1"/>
  <c r="AK481" i="1" s="1"/>
  <c r="B480" i="1"/>
  <c r="AK480" i="1" s="1"/>
  <c r="B479" i="1"/>
  <c r="AK479" i="1" s="1"/>
  <c r="B478" i="1"/>
  <c r="AK478" i="1" s="1"/>
  <c r="C206" i="5" a="1"/>
  <c r="C206" i="5" s="1"/>
  <c r="C205" i="5" a="1"/>
  <c r="C205" i="5" s="1"/>
  <c r="C204" i="5" a="1"/>
  <c r="C204" i="5" s="1"/>
  <c r="C201" i="5" a="1"/>
  <c r="C201" i="5" s="1"/>
  <c r="C200" i="5" a="1"/>
  <c r="C200" i="5" s="1"/>
  <c r="C199" i="5" a="1"/>
  <c r="C199" i="5" s="1"/>
  <c r="C198" i="5" a="1"/>
  <c r="C198" i="5" s="1"/>
  <c r="C196" i="5" a="1"/>
  <c r="C196" i="5" s="1"/>
  <c r="C195" i="5" a="1"/>
  <c r="C195" i="5" s="1"/>
  <c r="C194" i="5" a="1"/>
  <c r="C194" i="5" s="1"/>
  <c r="C192" i="5" a="1"/>
  <c r="C192" i="5" s="1"/>
  <c r="C191" i="5" a="1"/>
  <c r="C191" i="5" s="1"/>
  <c r="C190" i="5" a="1"/>
  <c r="C190" i="5" s="1"/>
  <c r="C189" i="5" a="1"/>
  <c r="C189" i="5" s="1"/>
  <c r="C188" i="5" a="1"/>
  <c r="C188" i="5" s="1"/>
  <c r="C187" i="5" a="1"/>
  <c r="C187" i="5" s="1"/>
  <c r="C186" i="5" a="1"/>
  <c r="C186" i="5" s="1"/>
  <c r="C185" i="5" a="1"/>
  <c r="C185" i="5" s="1"/>
  <c r="C184" i="5" a="1"/>
  <c r="C184" i="5" s="1"/>
  <c r="C183" i="5" a="1"/>
  <c r="C183" i="5" s="1"/>
  <c r="C182" i="5" a="1"/>
  <c r="C182" i="5" s="1"/>
  <c r="C179" i="5" a="1"/>
  <c r="C179" i="5" s="1"/>
  <c r="C178" i="5" a="1"/>
  <c r="C178" i="5" s="1"/>
  <c r="C177" i="5" a="1"/>
  <c r="C177" i="5" s="1"/>
  <c r="C176" i="5" a="1"/>
  <c r="C176" i="5" s="1"/>
  <c r="C175" i="5" a="1"/>
  <c r="C175" i="5" s="1"/>
  <c r="C173" i="5" a="1"/>
  <c r="C173" i="5" s="1"/>
  <c r="C172" i="5" a="1"/>
  <c r="C172" i="5" s="1"/>
  <c r="C171" i="5" a="1"/>
  <c r="C171" i="5" s="1"/>
  <c r="C170" i="5" a="1"/>
  <c r="C170" i="5" s="1"/>
  <c r="C169" i="5" a="1"/>
  <c r="C169" i="5" s="1"/>
  <c r="C168" i="5" a="1"/>
  <c r="C168" i="5" s="1"/>
  <c r="C167" i="5" a="1"/>
  <c r="C167" i="5" s="1"/>
  <c r="C166" i="5" a="1"/>
  <c r="C166" i="5" s="1"/>
  <c r="C165" i="5" a="1"/>
  <c r="C165" i="5" s="1"/>
  <c r="C162" i="5" a="1"/>
  <c r="C162" i="5" s="1"/>
  <c r="C160" i="5" a="1"/>
  <c r="C160" i="5" s="1"/>
  <c r="C157" i="5" a="1"/>
  <c r="C157" i="5" s="1"/>
  <c r="C156" i="5" a="1"/>
  <c r="C156" i="5" s="1"/>
  <c r="C155" i="5" a="1"/>
  <c r="C155" i="5" s="1"/>
  <c r="C148" i="5" a="1"/>
  <c r="C148" i="5" s="1"/>
  <c r="C153" i="5" a="1"/>
  <c r="C153" i="5" s="1"/>
  <c r="C152" i="5" a="1"/>
  <c r="C152" i="5" s="1"/>
  <c r="C151" i="5" a="1"/>
  <c r="C151" i="5" s="1"/>
  <c r="C150" i="5" a="1"/>
  <c r="C150" i="5" s="1"/>
  <c r="C149" i="5" a="1"/>
  <c r="C149" i="5" s="1"/>
  <c r="C147" i="5" a="1"/>
  <c r="C147" i="5" s="1"/>
  <c r="C145" i="5" a="1"/>
  <c r="C145" i="5" s="1"/>
  <c r="C144" i="5" a="1"/>
  <c r="C144" i="5" s="1"/>
  <c r="C143" i="5" a="1"/>
  <c r="C143" i="5" s="1"/>
  <c r="C142" i="5" a="1"/>
  <c r="C142" i="5" s="1"/>
  <c r="C139" i="5" a="1"/>
  <c r="C139" i="5" s="1"/>
  <c r="C138" i="5" a="1"/>
  <c r="C138" i="5" s="1"/>
  <c r="C137" i="5" a="1"/>
  <c r="C137" i="5" s="1"/>
  <c r="C136" i="5" a="1"/>
  <c r="C136" i="5" s="1"/>
  <c r="C135" i="5" a="1"/>
  <c r="C135" i="5" s="1"/>
  <c r="C133" i="5" a="1"/>
  <c r="C133" i="5" s="1"/>
  <c r="C130" i="5" a="1"/>
  <c r="C130" i="5" s="1"/>
  <c r="C129" i="5" a="1"/>
  <c r="C129" i="5" s="1"/>
  <c r="C128" i="5" a="1"/>
  <c r="C128" i="5" s="1"/>
  <c r="C127" i="5" a="1"/>
  <c r="C127" i="5" s="1"/>
  <c r="C126" i="5" a="1"/>
  <c r="C126" i="5" s="1"/>
  <c r="C124" i="5" a="1"/>
  <c r="C124" i="5" s="1"/>
  <c r="C123" i="5" a="1"/>
  <c r="C123" i="5" s="1"/>
  <c r="C122" i="5" a="1"/>
  <c r="C122" i="5" s="1"/>
  <c r="C121" i="5" a="1"/>
  <c r="C121" i="5" s="1"/>
  <c r="C120" i="5" a="1"/>
  <c r="C120" i="5" s="1"/>
  <c r="C119" i="5" a="1"/>
  <c r="C119" i="5" s="1"/>
  <c r="C118" i="5" a="1"/>
  <c r="C118" i="5" s="1"/>
  <c r="C116" i="5" a="1"/>
  <c r="C116" i="5" s="1"/>
  <c r="C115" i="5" a="1"/>
  <c r="C115" i="5" s="1"/>
  <c r="C114" i="5" a="1"/>
  <c r="C114" i="5" s="1"/>
  <c r="C112" i="5" a="1"/>
  <c r="C112" i="5" s="1"/>
  <c r="C111" i="5" a="1"/>
  <c r="C111" i="5" s="1"/>
  <c r="C110" i="5" a="1"/>
  <c r="C110" i="5" s="1"/>
  <c r="C109" i="5" a="1"/>
  <c r="C109" i="5" s="1"/>
  <c r="C107" i="5" a="1"/>
  <c r="C107" i="5" s="1"/>
  <c r="C106" i="5" a="1"/>
  <c r="C106" i="5" s="1"/>
  <c r="C105" i="5" a="1"/>
  <c r="C105" i="5" s="1"/>
  <c r="C104" i="5" a="1"/>
  <c r="C104" i="5" s="1"/>
  <c r="C103" i="5" a="1"/>
  <c r="C103" i="5" s="1"/>
  <c r="C100" i="5" a="1"/>
  <c r="C100" i="5" s="1"/>
  <c r="C99" i="5" a="1"/>
  <c r="C99" i="5" s="1"/>
  <c r="C98" i="5" a="1"/>
  <c r="C98" i="5" s="1"/>
  <c r="C97" i="5" a="1"/>
  <c r="C97" i="5" s="1"/>
  <c r="C96" i="5" a="1"/>
  <c r="C96" i="5" s="1"/>
  <c r="C95" i="5" a="1"/>
  <c r="C95" i="5" s="1"/>
  <c r="C94" i="5" a="1"/>
  <c r="C94" i="5" s="1"/>
  <c r="C93" i="5" a="1"/>
  <c r="C93" i="5" s="1"/>
  <c r="C91" i="5" a="1"/>
  <c r="C91" i="5" s="1"/>
  <c r="C90" i="5" a="1"/>
  <c r="C90" i="5" s="1"/>
  <c r="C89" i="5" a="1"/>
  <c r="C89" i="5" s="1"/>
  <c r="C88" i="5" a="1"/>
  <c r="C88" i="5" s="1"/>
  <c r="C87" i="5" a="1"/>
  <c r="C87" i="5" s="1"/>
  <c r="C85" i="5" a="1"/>
  <c r="C85" i="5" s="1"/>
  <c r="C84" i="5" a="1"/>
  <c r="C84" i="5" s="1"/>
  <c r="C83" i="5" a="1"/>
  <c r="C83" i="5" s="1"/>
  <c r="C81" i="5" a="1"/>
  <c r="C81" i="5" s="1"/>
  <c r="C80" i="5" a="1"/>
  <c r="C80" i="5" s="1"/>
  <c r="C79" i="5" a="1"/>
  <c r="C79" i="5" s="1"/>
  <c r="C76" i="5" a="1"/>
  <c r="C76" i="5" s="1"/>
  <c r="C75" i="5" a="1"/>
  <c r="C75" i="5" s="1"/>
  <c r="C74" i="5" a="1"/>
  <c r="C74" i="5" s="1"/>
  <c r="C73" i="5" a="1"/>
  <c r="C73" i="5" s="1"/>
  <c r="C72" i="5" a="1"/>
  <c r="C72" i="5" s="1"/>
  <c r="C71" i="5" a="1"/>
  <c r="C71" i="5" s="1"/>
  <c r="C70" i="5" a="1"/>
  <c r="C70" i="5" s="1"/>
  <c r="C69" i="5" a="1"/>
  <c r="C69" i="5" s="1"/>
  <c r="C68" i="5" a="1"/>
  <c r="C68" i="5" s="1"/>
  <c r="C65" i="5" a="1"/>
  <c r="C65" i="5" s="1"/>
  <c r="C64" i="5" a="1"/>
  <c r="C64" i="5" s="1"/>
  <c r="C63" i="5" a="1"/>
  <c r="C63" i="5" s="1"/>
  <c r="C61" i="5" a="1"/>
  <c r="C61" i="5" s="1"/>
  <c r="C58" i="5" a="1"/>
  <c r="C58" i="5" s="1"/>
  <c r="C56" i="5" a="1"/>
  <c r="C56" i="5" s="1"/>
  <c r="C55" i="5" a="1"/>
  <c r="C55" i="5" s="1"/>
  <c r="C54" i="5" a="1"/>
  <c r="C54" i="5" s="1"/>
  <c r="C53" i="5" a="1"/>
  <c r="C53" i="5" s="1"/>
  <c r="C52" i="5" a="1"/>
  <c r="C52" i="5" s="1"/>
  <c r="C51" i="5" a="1"/>
  <c r="C51" i="5" s="1"/>
  <c r="C50" i="5" a="1"/>
  <c r="C50" i="5" s="1"/>
  <c r="C48" i="5" a="1"/>
  <c r="C48" i="5" s="1"/>
  <c r="C47" i="5" a="1"/>
  <c r="C47" i="5" s="1"/>
  <c r="C46" i="5" a="1"/>
  <c r="C46" i="5" s="1"/>
  <c r="C45" i="5" a="1"/>
  <c r="C45" i="5" s="1"/>
  <c r="C44" i="5" a="1"/>
  <c r="C44" i="5" s="1"/>
  <c r="C43" i="5" a="1"/>
  <c r="C43" i="5" s="1"/>
  <c r="C42" i="5" a="1"/>
  <c r="C42" i="5" s="1"/>
  <c r="C37" i="5" a="1"/>
  <c r="C37" i="5" s="1"/>
  <c r="C36" i="5" a="1"/>
  <c r="C36" i="5" s="1"/>
  <c r="C35" i="5" a="1"/>
  <c r="C35" i="5" s="1"/>
  <c r="C34" i="5" a="1"/>
  <c r="C34" i="5" s="1"/>
  <c r="C33" i="5" a="1"/>
  <c r="C33" i="5" s="1"/>
  <c r="C32" i="5" a="1"/>
  <c r="C32" i="5" s="1"/>
  <c r="C31" i="5" a="1"/>
  <c r="C31" i="5" s="1"/>
  <c r="C29" i="5" a="1"/>
  <c r="C29" i="5" s="1"/>
  <c r="C28" i="5" a="1"/>
  <c r="C28" i="5" s="1"/>
  <c r="C27" i="5" a="1"/>
  <c r="C27" i="5" s="1"/>
  <c r="C26" i="5" a="1"/>
  <c r="C26" i="5" s="1"/>
  <c r="C24" i="5" a="1"/>
  <c r="C24" i="5" s="1"/>
  <c r="C22" i="5" a="1"/>
  <c r="C22" i="5" s="1"/>
  <c r="C21" i="5" a="1"/>
  <c r="C21" i="5" s="1"/>
  <c r="C20" i="5" a="1"/>
  <c r="C20" i="5" s="1"/>
  <c r="C19" i="5" a="1"/>
  <c r="C19" i="5" s="1"/>
  <c r="C17" i="5" a="1"/>
  <c r="C17" i="5" s="1"/>
  <c r="C16" i="5" a="1"/>
  <c r="C16" i="5" s="1"/>
  <c r="C15" i="5" a="1"/>
  <c r="C15" i="5" s="1"/>
  <c r="C14" i="5" a="1"/>
  <c r="C14" i="5" s="1"/>
  <c r="C13" i="5" a="1"/>
  <c r="C13" i="5" s="1"/>
  <c r="C12" i="5" a="1"/>
  <c r="C12" i="5" s="1"/>
  <c r="C11" i="5" a="1"/>
  <c r="C11" i="5" s="1"/>
  <c r="C10" i="5" a="1"/>
  <c r="C10" i="5" s="1"/>
  <c r="C8" i="5" a="1"/>
  <c r="C8" i="5" s="1"/>
  <c r="C7" i="5" a="1"/>
  <c r="C7" i="5" s="1"/>
  <c r="C6" i="5" a="1"/>
  <c r="C6" i="5" s="1"/>
  <c r="C5" i="5" a="1"/>
  <c r="C5" i="5" s="1"/>
  <c r="BA383" i="1"/>
  <c r="BA272" i="1"/>
  <c r="BA382" i="1"/>
  <c r="BA107" i="1"/>
  <c r="BA346" i="1"/>
  <c r="BA384" i="1"/>
  <c r="BA108" i="1"/>
  <c r="BA95" i="1"/>
  <c r="BA433" i="1"/>
  <c r="BA349" i="1"/>
  <c r="BA381" i="1"/>
  <c r="C38" i="5" l="1" a="1"/>
  <c r="C38" i="5" s="1"/>
  <c r="C60" i="5" a="1"/>
  <c r="C60" i="5" s="1"/>
  <c r="C59" i="5" a="1"/>
  <c r="C59" i="5" s="1"/>
  <c r="C39" i="5" a="1"/>
  <c r="C39" i="5" s="1"/>
  <c r="C40" i="5" a="1"/>
  <c r="C40" i="5" s="1"/>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2" i="3"/>
  <c r="B1" i="3"/>
  <c r="AM233" i="2" l="1"/>
  <c r="AE233" i="2"/>
  <c r="P233" i="2"/>
  <c r="M233" i="2"/>
  <c r="L233" i="2"/>
  <c r="B233" i="2"/>
  <c r="B385" i="2"/>
  <c r="B383" i="2"/>
  <c r="B382" i="2"/>
  <c r="B381" i="2"/>
  <c r="B380" i="2"/>
  <c r="B379" i="2"/>
  <c r="B378" i="2"/>
  <c r="B375" i="2"/>
  <c r="B374"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391" i="2"/>
  <c r="B384" i="2"/>
  <c r="B390" i="2"/>
  <c r="B389" i="2"/>
  <c r="B388" i="2"/>
  <c r="B377" i="2"/>
  <c r="B376" i="2"/>
  <c r="B387" i="2"/>
  <c r="B386" i="2"/>
  <c r="B282" i="2"/>
  <c r="B281" i="2"/>
  <c r="B280" i="2"/>
  <c r="B279" i="2"/>
  <c r="B278"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2" i="2"/>
  <c r="B231" i="2"/>
  <c r="B286" i="2"/>
  <c r="B285" i="2"/>
  <c r="B284" i="2"/>
  <c r="B283" i="2"/>
  <c r="B104" i="2"/>
  <c r="B103" i="2"/>
  <c r="B102" i="2"/>
  <c r="B101" i="2"/>
  <c r="B100" i="2"/>
  <c r="B99"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5" i="2"/>
  <c r="B184" i="2"/>
  <c r="B183" i="2"/>
  <c r="B187" i="2"/>
  <c r="B186" i="2"/>
  <c r="B182" i="2"/>
  <c r="B181" i="2"/>
  <c r="B180" i="2"/>
  <c r="B175" i="2"/>
  <c r="B179" i="2"/>
  <c r="B178" i="2"/>
  <c r="B177" i="2"/>
  <c r="B176" i="2"/>
  <c r="B170" i="2"/>
  <c r="B174" i="2"/>
  <c r="B173" i="2"/>
  <c r="B172" i="2"/>
  <c r="B171"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6" i="2"/>
  <c r="B127" i="2"/>
  <c r="B117" i="2"/>
  <c r="B116" i="2"/>
  <c r="B115" i="2"/>
  <c r="B114" i="2"/>
  <c r="B113" i="2"/>
  <c r="B112" i="2"/>
  <c r="B111" i="2"/>
  <c r="B110" i="2"/>
  <c r="B109" i="2"/>
  <c r="B108" i="2"/>
  <c r="B107" i="2"/>
  <c r="B106" i="2"/>
  <c r="B105" i="2"/>
  <c r="B98" i="2"/>
  <c r="B97" i="2"/>
  <c r="B96" i="2"/>
  <c r="B95" i="2"/>
  <c r="B94" i="2"/>
  <c r="B93" i="2"/>
  <c r="B92" i="2"/>
  <c r="B91" i="2"/>
  <c r="B82" i="2"/>
  <c r="B31" i="2"/>
  <c r="B30" i="2"/>
  <c r="B29" i="2"/>
  <c r="B28" i="2"/>
  <c r="B27" i="2"/>
  <c r="B122" i="2"/>
  <c r="B121" i="2"/>
  <c r="B119" i="2"/>
  <c r="B124" i="2"/>
  <c r="B120" i="2"/>
  <c r="B123" i="2"/>
  <c r="B125" i="2"/>
  <c r="B118" i="2"/>
  <c r="B55" i="2"/>
  <c r="B54" i="2"/>
  <c r="B53" i="2"/>
  <c r="B52" i="2"/>
  <c r="B90" i="2"/>
  <c r="B89" i="2"/>
  <c r="B88" i="2"/>
  <c r="B87" i="2"/>
  <c r="B86" i="2"/>
  <c r="B85" i="2"/>
  <c r="B84" i="2"/>
  <c r="B83" i="2"/>
  <c r="B51" i="2"/>
  <c r="B50" i="2"/>
  <c r="B48" i="2"/>
  <c r="B47" i="2"/>
  <c r="B49" i="2"/>
  <c r="B46" i="2"/>
  <c r="B79" i="2"/>
  <c r="B57" i="2"/>
  <c r="B56" i="2"/>
  <c r="B59" i="2"/>
  <c r="B34" i="2"/>
  <c r="AE385" i="2"/>
  <c r="AE383" i="2"/>
  <c r="AE382" i="2"/>
  <c r="AE381" i="2"/>
  <c r="AE380" i="2"/>
  <c r="AE379" i="2"/>
  <c r="AE378" i="2"/>
  <c r="AE375" i="2"/>
  <c r="AE374"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391" i="2"/>
  <c r="AE384" i="2"/>
  <c r="AE390" i="2"/>
  <c r="AE389" i="2"/>
  <c r="AE388" i="2"/>
  <c r="AE377" i="2"/>
  <c r="AE376" i="2"/>
  <c r="AE387" i="2"/>
  <c r="AE386" i="2"/>
  <c r="AE282" i="2"/>
  <c r="AE281" i="2"/>
  <c r="AE280" i="2"/>
  <c r="AE279" i="2"/>
  <c r="AE278"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2" i="2"/>
  <c r="AE231" i="2"/>
  <c r="AE286" i="2"/>
  <c r="AE285" i="2"/>
  <c r="AE284" i="2"/>
  <c r="AE283" i="2"/>
  <c r="AE104" i="2"/>
  <c r="AE103" i="2"/>
  <c r="AE102" i="2"/>
  <c r="AE101" i="2"/>
  <c r="AE100" i="2"/>
  <c r="AE99"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5" i="2"/>
  <c r="AE184" i="2"/>
  <c r="AE183" i="2"/>
  <c r="AE187" i="2"/>
  <c r="AE186" i="2"/>
  <c r="AE182" i="2"/>
  <c r="AE181" i="2"/>
  <c r="AE180" i="2"/>
  <c r="AE175" i="2"/>
  <c r="AE179" i="2"/>
  <c r="AE178" i="2"/>
  <c r="AE177" i="2"/>
  <c r="AE176" i="2"/>
  <c r="AE170" i="2"/>
  <c r="AE174" i="2"/>
  <c r="AE173" i="2"/>
  <c r="AE172" i="2"/>
  <c r="AE171"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6" i="2"/>
  <c r="AE127" i="2"/>
  <c r="AE117" i="2"/>
  <c r="AE116" i="2"/>
  <c r="AE115" i="2"/>
  <c r="AE114" i="2"/>
  <c r="AE113" i="2"/>
  <c r="AE112" i="2"/>
  <c r="AE111" i="2"/>
  <c r="AE110" i="2"/>
  <c r="AE109" i="2"/>
  <c r="AE108" i="2"/>
  <c r="AE107" i="2"/>
  <c r="AE106" i="2"/>
  <c r="AE105" i="2"/>
  <c r="AE98" i="2"/>
  <c r="AE97" i="2"/>
  <c r="AE96" i="2"/>
  <c r="AE95" i="2"/>
  <c r="AE94" i="2"/>
  <c r="AE93" i="2"/>
  <c r="AE92" i="2"/>
  <c r="AE91" i="2"/>
  <c r="AE82" i="2"/>
  <c r="AE77" i="2"/>
  <c r="AE76" i="2"/>
  <c r="AE74" i="2"/>
  <c r="AE73" i="2"/>
  <c r="AE70" i="2"/>
  <c r="AE69" i="2"/>
  <c r="AE75" i="2"/>
  <c r="AE81" i="2"/>
  <c r="AE80" i="2"/>
  <c r="AE72" i="2"/>
  <c r="AE71" i="2"/>
  <c r="AE68" i="2"/>
  <c r="AE78" i="2"/>
  <c r="AE79" i="2"/>
  <c r="AE56" i="2"/>
  <c r="AE31" i="2"/>
  <c r="AE30" i="2"/>
  <c r="AE29" i="2"/>
  <c r="AE28" i="2"/>
  <c r="AE27" i="2"/>
  <c r="AE122" i="2"/>
  <c r="AE121" i="2"/>
  <c r="AE119" i="2"/>
  <c r="AE124" i="2"/>
  <c r="AE120" i="2"/>
  <c r="AE123" i="2"/>
  <c r="AE125" i="2"/>
  <c r="AE118" i="2"/>
  <c r="AE55" i="2"/>
  <c r="AE54" i="2"/>
  <c r="AE53" i="2"/>
  <c r="AE52" i="2"/>
  <c r="AE90" i="2"/>
  <c r="AE89" i="2"/>
  <c r="AE88" i="2"/>
  <c r="AE87" i="2"/>
  <c r="AE86" i="2"/>
  <c r="AE85" i="2"/>
  <c r="AE84" i="2"/>
  <c r="AE83" i="2"/>
  <c r="AE51" i="2"/>
  <c r="AE50" i="2"/>
  <c r="AE48" i="2"/>
  <c r="AE47" i="2"/>
  <c r="AE49" i="2"/>
  <c r="AE46" i="2"/>
  <c r="AE67" i="2"/>
  <c r="AE66" i="2"/>
  <c r="AE65" i="2"/>
  <c r="AE64" i="2"/>
  <c r="AE63" i="2"/>
  <c r="AE62" i="2"/>
  <c r="AE61" i="2"/>
  <c r="AE60" i="2"/>
  <c r="AE59" i="2"/>
  <c r="AE58" i="2"/>
  <c r="AE57" i="2"/>
  <c r="AE45" i="2"/>
  <c r="AE44" i="2"/>
  <c r="AE43" i="2"/>
  <c r="AE42" i="2"/>
  <c r="AE41" i="2"/>
  <c r="AE40" i="2"/>
  <c r="AE39" i="2"/>
  <c r="AE36" i="2"/>
  <c r="AE38" i="2"/>
  <c r="AE34" i="2"/>
  <c r="AE37" i="2"/>
  <c r="AE35" i="2"/>
  <c r="AE33" i="2"/>
  <c r="AE32" i="2"/>
  <c r="P385" i="2"/>
  <c r="P383" i="2"/>
  <c r="P382" i="2"/>
  <c r="P381" i="2"/>
  <c r="P380" i="2"/>
  <c r="P379" i="2"/>
  <c r="P378" i="2"/>
  <c r="P375" i="2"/>
  <c r="P374"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391" i="2"/>
  <c r="P384" i="2"/>
  <c r="P390" i="2"/>
  <c r="P389" i="2"/>
  <c r="P388" i="2"/>
  <c r="P377" i="2"/>
  <c r="P376" i="2"/>
  <c r="P387" i="2"/>
  <c r="P386" i="2"/>
  <c r="P282" i="2"/>
  <c r="P281" i="2"/>
  <c r="P280" i="2"/>
  <c r="P279" i="2"/>
  <c r="P278"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2" i="2"/>
  <c r="P231" i="2"/>
  <c r="P286" i="2"/>
  <c r="P285" i="2"/>
  <c r="P284" i="2"/>
  <c r="P283" i="2"/>
  <c r="P104" i="2"/>
  <c r="P103" i="2"/>
  <c r="P102" i="2"/>
  <c r="P101" i="2"/>
  <c r="P100" i="2"/>
  <c r="P99"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5" i="2"/>
  <c r="P184" i="2"/>
  <c r="P183" i="2"/>
  <c r="P187" i="2"/>
  <c r="P186" i="2"/>
  <c r="P182" i="2"/>
  <c r="P181" i="2"/>
  <c r="P180" i="2"/>
  <c r="P175" i="2"/>
  <c r="P179" i="2"/>
  <c r="P178" i="2"/>
  <c r="P177" i="2"/>
  <c r="P176" i="2"/>
  <c r="P170" i="2"/>
  <c r="P174" i="2"/>
  <c r="P173" i="2"/>
  <c r="P172" i="2"/>
  <c r="P171"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6" i="2"/>
  <c r="P127" i="2"/>
  <c r="P117" i="2"/>
  <c r="P116" i="2"/>
  <c r="P115" i="2"/>
  <c r="P114" i="2"/>
  <c r="P113" i="2"/>
  <c r="P112" i="2"/>
  <c r="P111" i="2"/>
  <c r="P110" i="2"/>
  <c r="P109" i="2"/>
  <c r="P108" i="2"/>
  <c r="P107" i="2"/>
  <c r="P106" i="2"/>
  <c r="P105" i="2"/>
  <c r="P98" i="2"/>
  <c r="P97" i="2"/>
  <c r="P96" i="2"/>
  <c r="P95" i="2"/>
  <c r="P94" i="2"/>
  <c r="P93" i="2"/>
  <c r="P92" i="2"/>
  <c r="P91" i="2"/>
  <c r="P82" i="2"/>
  <c r="P77" i="2"/>
  <c r="P76" i="2"/>
  <c r="P74" i="2"/>
  <c r="P73" i="2"/>
  <c r="P70" i="2"/>
  <c r="P69" i="2"/>
  <c r="P75" i="2"/>
  <c r="P81" i="2"/>
  <c r="P80" i="2"/>
  <c r="P72" i="2"/>
  <c r="P71" i="2"/>
  <c r="P68" i="2"/>
  <c r="P78" i="2"/>
  <c r="P79" i="2"/>
  <c r="P56" i="2"/>
  <c r="P31" i="2"/>
  <c r="P30" i="2"/>
  <c r="P29" i="2"/>
  <c r="P28" i="2"/>
  <c r="P27" i="2"/>
  <c r="P122" i="2"/>
  <c r="P121" i="2"/>
  <c r="P119" i="2"/>
  <c r="P124" i="2"/>
  <c r="P120" i="2"/>
  <c r="P123" i="2"/>
  <c r="P125" i="2"/>
  <c r="P118" i="2"/>
  <c r="P55" i="2"/>
  <c r="P54" i="2"/>
  <c r="P53" i="2"/>
  <c r="P52" i="2"/>
  <c r="P90" i="2"/>
  <c r="P89" i="2"/>
  <c r="P88" i="2"/>
  <c r="P87" i="2"/>
  <c r="P86" i="2"/>
  <c r="P85" i="2"/>
  <c r="P84" i="2"/>
  <c r="P83" i="2"/>
  <c r="P51" i="2"/>
  <c r="P50" i="2"/>
  <c r="P48" i="2"/>
  <c r="P47" i="2"/>
  <c r="P49" i="2"/>
  <c r="P46" i="2"/>
  <c r="P67" i="2"/>
  <c r="P66" i="2"/>
  <c r="P65" i="2"/>
  <c r="P64" i="2"/>
  <c r="P63" i="2"/>
  <c r="P62" i="2"/>
  <c r="P61" i="2"/>
  <c r="P60" i="2"/>
  <c r="P59" i="2"/>
  <c r="P58" i="2"/>
  <c r="P57" i="2"/>
  <c r="P45" i="2"/>
  <c r="P44" i="2"/>
  <c r="P43" i="2"/>
  <c r="P42" i="2"/>
  <c r="P41" i="2"/>
  <c r="P40" i="2"/>
  <c r="P39" i="2"/>
  <c r="P36" i="2"/>
  <c r="P38" i="2"/>
  <c r="P34" i="2"/>
  <c r="P37" i="2"/>
  <c r="P35" i="2"/>
  <c r="P33" i="2"/>
  <c r="P32" i="2"/>
  <c r="L385" i="2"/>
  <c r="L383" i="2"/>
  <c r="L382" i="2"/>
  <c r="L381" i="2"/>
  <c r="L380" i="2"/>
  <c r="L379" i="2"/>
  <c r="L378" i="2"/>
  <c r="L375" i="2"/>
  <c r="L374"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391" i="2"/>
  <c r="L384" i="2"/>
  <c r="L390" i="2"/>
  <c r="L389" i="2"/>
  <c r="L388" i="2"/>
  <c r="L377" i="2"/>
  <c r="L376" i="2"/>
  <c r="L387" i="2"/>
  <c r="L386" i="2"/>
  <c r="L282" i="2"/>
  <c r="L281" i="2"/>
  <c r="L280" i="2"/>
  <c r="L279" i="2"/>
  <c r="L278"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2" i="2"/>
  <c r="L231" i="2"/>
  <c r="L286" i="2"/>
  <c r="L285" i="2"/>
  <c r="L284" i="2"/>
  <c r="L283" i="2"/>
  <c r="L104" i="2"/>
  <c r="L103" i="2"/>
  <c r="L102" i="2"/>
  <c r="L101" i="2"/>
  <c r="L100" i="2"/>
  <c r="L99"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5" i="2"/>
  <c r="L184" i="2"/>
  <c r="L183" i="2"/>
  <c r="L187" i="2"/>
  <c r="L186" i="2"/>
  <c r="L182" i="2"/>
  <c r="L181" i="2"/>
  <c r="L180" i="2"/>
  <c r="L175" i="2"/>
  <c r="L179" i="2"/>
  <c r="L178" i="2"/>
  <c r="L177" i="2"/>
  <c r="L176" i="2"/>
  <c r="L170" i="2"/>
  <c r="L174" i="2"/>
  <c r="L173" i="2"/>
  <c r="L172" i="2"/>
  <c r="L171"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6" i="2"/>
  <c r="L127" i="2"/>
  <c r="L117" i="2"/>
  <c r="L116" i="2"/>
  <c r="L115" i="2"/>
  <c r="L114" i="2"/>
  <c r="L113" i="2"/>
  <c r="L112" i="2"/>
  <c r="L111" i="2"/>
  <c r="L110" i="2"/>
  <c r="L109" i="2"/>
  <c r="L108" i="2"/>
  <c r="L107" i="2"/>
  <c r="L106" i="2"/>
  <c r="L105" i="2"/>
  <c r="L98" i="2"/>
  <c r="L97" i="2"/>
  <c r="L96" i="2"/>
  <c r="L95" i="2"/>
  <c r="L94" i="2"/>
  <c r="L93" i="2"/>
  <c r="L92" i="2"/>
  <c r="L91" i="2"/>
  <c r="L82" i="2"/>
  <c r="L77" i="2"/>
  <c r="L76" i="2"/>
  <c r="L74" i="2"/>
  <c r="L73" i="2"/>
  <c r="L70" i="2"/>
  <c r="L69" i="2"/>
  <c r="L75" i="2"/>
  <c r="L81" i="2"/>
  <c r="L80" i="2"/>
  <c r="L72" i="2"/>
  <c r="L71" i="2"/>
  <c r="L68" i="2"/>
  <c r="L78" i="2"/>
  <c r="L79" i="2"/>
  <c r="L56" i="2"/>
  <c r="L31" i="2"/>
  <c r="L30" i="2"/>
  <c r="L29" i="2"/>
  <c r="L28" i="2"/>
  <c r="L27" i="2"/>
  <c r="L122" i="2"/>
  <c r="L121" i="2"/>
  <c r="L119" i="2"/>
  <c r="L124" i="2"/>
  <c r="L120" i="2"/>
  <c r="L123" i="2"/>
  <c r="L125" i="2"/>
  <c r="L118" i="2"/>
  <c r="L55" i="2"/>
  <c r="L54" i="2"/>
  <c r="L53" i="2"/>
  <c r="L52" i="2"/>
  <c r="L90" i="2"/>
  <c r="L89" i="2"/>
  <c r="L88" i="2"/>
  <c r="L87" i="2"/>
  <c r="L86" i="2"/>
  <c r="L85" i="2"/>
  <c r="L84" i="2"/>
  <c r="L83" i="2"/>
  <c r="L51" i="2"/>
  <c r="L50" i="2"/>
  <c r="L48" i="2"/>
  <c r="L47" i="2"/>
  <c r="L49" i="2"/>
  <c r="L46" i="2"/>
  <c r="L67" i="2"/>
  <c r="L66" i="2"/>
  <c r="L65" i="2"/>
  <c r="L64" i="2"/>
  <c r="L63" i="2"/>
  <c r="L62" i="2"/>
  <c r="L61" i="2"/>
  <c r="L60" i="2"/>
  <c r="L59" i="2"/>
  <c r="L58" i="2"/>
  <c r="L57" i="2"/>
  <c r="L45" i="2"/>
  <c r="L44" i="2"/>
  <c r="L43" i="2"/>
  <c r="L42" i="2"/>
  <c r="L41" i="2"/>
  <c r="L40" i="2"/>
  <c r="L39" i="2"/>
  <c r="L36" i="2"/>
  <c r="L38" i="2"/>
  <c r="L34" i="2"/>
  <c r="L37" i="2"/>
  <c r="L35" i="2"/>
  <c r="L33" i="2"/>
  <c r="L32" i="2"/>
  <c r="M385" i="2"/>
  <c r="M383" i="2"/>
  <c r="M382" i="2"/>
  <c r="M381" i="2"/>
  <c r="M380" i="2"/>
  <c r="M379" i="2"/>
  <c r="M378" i="2"/>
  <c r="M375" i="2"/>
  <c r="M374"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391" i="2"/>
  <c r="M384" i="2"/>
  <c r="M390" i="2"/>
  <c r="M389" i="2"/>
  <c r="M388" i="2"/>
  <c r="M377" i="2"/>
  <c r="M376" i="2"/>
  <c r="M387" i="2"/>
  <c r="M386" i="2"/>
  <c r="M282" i="2"/>
  <c r="M281" i="2"/>
  <c r="M280" i="2"/>
  <c r="M279" i="2"/>
  <c r="M278"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2" i="2"/>
  <c r="M231" i="2"/>
  <c r="M286" i="2"/>
  <c r="M285" i="2"/>
  <c r="M284" i="2"/>
  <c r="M283" i="2"/>
  <c r="M104" i="2"/>
  <c r="M103" i="2"/>
  <c r="M102" i="2"/>
  <c r="M101" i="2"/>
  <c r="M100" i="2"/>
  <c r="M99"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5" i="2"/>
  <c r="M184" i="2"/>
  <c r="M183" i="2"/>
  <c r="M187" i="2"/>
  <c r="M186" i="2"/>
  <c r="M182" i="2"/>
  <c r="M181" i="2"/>
  <c r="M180" i="2"/>
  <c r="M175" i="2"/>
  <c r="M179" i="2"/>
  <c r="M178" i="2"/>
  <c r="M177" i="2"/>
  <c r="M176" i="2"/>
  <c r="M170" i="2"/>
  <c r="M174" i="2"/>
  <c r="M173" i="2"/>
  <c r="M172" i="2"/>
  <c r="M171"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6" i="2"/>
  <c r="M127" i="2"/>
  <c r="M117" i="2"/>
  <c r="M116" i="2"/>
  <c r="M115" i="2"/>
  <c r="M114" i="2"/>
  <c r="M113" i="2"/>
  <c r="M112" i="2"/>
  <c r="M111" i="2"/>
  <c r="M110" i="2"/>
  <c r="M109" i="2"/>
  <c r="M108" i="2"/>
  <c r="M107" i="2"/>
  <c r="M106" i="2"/>
  <c r="M105" i="2"/>
  <c r="M98" i="2"/>
  <c r="M97" i="2"/>
  <c r="M96" i="2"/>
  <c r="M95" i="2"/>
  <c r="M94" i="2"/>
  <c r="M93" i="2"/>
  <c r="M92" i="2"/>
  <c r="M91" i="2"/>
  <c r="M82" i="2"/>
  <c r="M77" i="2"/>
  <c r="M76" i="2"/>
  <c r="M74" i="2"/>
  <c r="M73" i="2"/>
  <c r="M70" i="2"/>
  <c r="M69" i="2"/>
  <c r="M75" i="2"/>
  <c r="M81" i="2"/>
  <c r="M80" i="2"/>
  <c r="M72" i="2"/>
  <c r="M71" i="2"/>
  <c r="M68" i="2"/>
  <c r="M78" i="2"/>
  <c r="M79" i="2"/>
  <c r="M56" i="2"/>
  <c r="M31" i="2"/>
  <c r="M30" i="2"/>
  <c r="M29" i="2"/>
  <c r="M28" i="2"/>
  <c r="M27" i="2"/>
  <c r="M122" i="2"/>
  <c r="M121" i="2"/>
  <c r="M119" i="2"/>
  <c r="M124" i="2"/>
  <c r="M120" i="2"/>
  <c r="M123" i="2"/>
  <c r="M125" i="2"/>
  <c r="M118" i="2"/>
  <c r="M55" i="2"/>
  <c r="M54" i="2"/>
  <c r="M53" i="2"/>
  <c r="M52" i="2"/>
  <c r="M90" i="2"/>
  <c r="M89" i="2"/>
  <c r="M88" i="2"/>
  <c r="M87" i="2"/>
  <c r="M86" i="2"/>
  <c r="M85" i="2"/>
  <c r="M84" i="2"/>
  <c r="M83" i="2"/>
  <c r="M51" i="2"/>
  <c r="M50" i="2"/>
  <c r="M48" i="2"/>
  <c r="M47" i="2"/>
  <c r="M49" i="2"/>
  <c r="M46" i="2"/>
  <c r="M67" i="2"/>
  <c r="M66" i="2"/>
  <c r="M65" i="2"/>
  <c r="M64" i="2"/>
  <c r="M63" i="2"/>
  <c r="M62" i="2"/>
  <c r="M61" i="2"/>
  <c r="M60" i="2"/>
  <c r="M59" i="2"/>
  <c r="M58" i="2"/>
  <c r="M57" i="2"/>
  <c r="M45" i="2"/>
  <c r="M44" i="2"/>
  <c r="M43" i="2"/>
  <c r="M42" i="2"/>
  <c r="M41" i="2"/>
  <c r="M40" i="2"/>
  <c r="M39" i="2"/>
  <c r="M36" i="2"/>
  <c r="M38" i="2"/>
  <c r="M34" i="2"/>
  <c r="M37" i="2"/>
  <c r="M35" i="2"/>
  <c r="M33" i="2"/>
  <c r="M32" i="2"/>
  <c r="C26" i="2"/>
  <c r="B26" i="2"/>
  <c r="AM385" i="2"/>
  <c r="AM383" i="2"/>
  <c r="AM382" i="2"/>
  <c r="AM381" i="2"/>
  <c r="AM380" i="2"/>
  <c r="AM379" i="2"/>
  <c r="AM378" i="2"/>
  <c r="AM375" i="2"/>
  <c r="AM374"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391" i="2"/>
  <c r="AM384" i="2"/>
  <c r="AM390" i="2"/>
  <c r="AM389" i="2"/>
  <c r="AM388" i="2"/>
  <c r="AM377" i="2"/>
  <c r="AM376" i="2"/>
  <c r="AM387" i="2"/>
  <c r="AM386" i="2"/>
  <c r="AM282" i="2"/>
  <c r="AM281" i="2"/>
  <c r="AM280" i="2"/>
  <c r="AM279" i="2"/>
  <c r="AM278"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2" i="2"/>
  <c r="AM231" i="2"/>
  <c r="AM286" i="2"/>
  <c r="AM285" i="2"/>
  <c r="AM284" i="2"/>
  <c r="AM283" i="2"/>
  <c r="AM104" i="2"/>
  <c r="AM103" i="2"/>
  <c r="AM102" i="2"/>
  <c r="AM101" i="2"/>
  <c r="AM100" i="2"/>
  <c r="AM99"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5" i="2"/>
  <c r="AM184" i="2"/>
  <c r="AM183" i="2"/>
  <c r="AM187" i="2"/>
  <c r="AM186" i="2"/>
  <c r="AM182" i="2"/>
  <c r="AM181" i="2"/>
  <c r="AM180" i="2"/>
  <c r="AM175" i="2"/>
  <c r="AM179" i="2"/>
  <c r="AM178" i="2"/>
  <c r="AM177" i="2"/>
  <c r="AM176" i="2"/>
  <c r="AM170" i="2"/>
  <c r="AM174" i="2"/>
  <c r="AM173" i="2"/>
  <c r="AM172" i="2"/>
  <c r="AM171"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6" i="2"/>
  <c r="AM127" i="2"/>
  <c r="AM117" i="2"/>
  <c r="AM116" i="2"/>
  <c r="AM115" i="2"/>
  <c r="AM114" i="2"/>
  <c r="AM113" i="2"/>
  <c r="AM112" i="2"/>
  <c r="AM111" i="2"/>
  <c r="AM110" i="2"/>
  <c r="AM109" i="2"/>
  <c r="AM108" i="2"/>
  <c r="AM107" i="2"/>
  <c r="AM106" i="2"/>
  <c r="AM105" i="2"/>
  <c r="AM98" i="2"/>
  <c r="AM97" i="2"/>
  <c r="AM96" i="2"/>
  <c r="AM95" i="2"/>
  <c r="AM94" i="2"/>
  <c r="AM93" i="2"/>
  <c r="AM92" i="2"/>
  <c r="AM91" i="2"/>
  <c r="AM82" i="2"/>
  <c r="AM77" i="2"/>
  <c r="AM76" i="2"/>
  <c r="AM74" i="2"/>
  <c r="AM73" i="2"/>
  <c r="AM70" i="2"/>
  <c r="AM69" i="2"/>
  <c r="AM75" i="2"/>
  <c r="AM81" i="2"/>
  <c r="AM80" i="2"/>
  <c r="AM72" i="2"/>
  <c r="AM71" i="2"/>
  <c r="AM68" i="2"/>
  <c r="AM78" i="2"/>
  <c r="AM79" i="2"/>
  <c r="AM56" i="2"/>
  <c r="AM31" i="2"/>
  <c r="AM30" i="2"/>
  <c r="AM29" i="2"/>
  <c r="AM28" i="2"/>
  <c r="AM27" i="2"/>
  <c r="AM122" i="2"/>
  <c r="AM121" i="2"/>
  <c r="AM119" i="2"/>
  <c r="AM124" i="2"/>
  <c r="AM120" i="2"/>
  <c r="AM123" i="2"/>
  <c r="AM125" i="2"/>
  <c r="AM118" i="2"/>
  <c r="AM55" i="2"/>
  <c r="AM54" i="2"/>
  <c r="AM53" i="2"/>
  <c r="AM52" i="2"/>
  <c r="AM90" i="2"/>
  <c r="AM89" i="2"/>
  <c r="AM88" i="2"/>
  <c r="AM87" i="2"/>
  <c r="AM86" i="2"/>
  <c r="AM85" i="2"/>
  <c r="AM84" i="2"/>
  <c r="AM83" i="2"/>
  <c r="AM51" i="2"/>
  <c r="AM50" i="2"/>
  <c r="AM48" i="2"/>
  <c r="AM47" i="2"/>
  <c r="AM49" i="2"/>
  <c r="AM46" i="2"/>
  <c r="AM67" i="2"/>
  <c r="AM66" i="2"/>
  <c r="AM65" i="2"/>
  <c r="AM64" i="2"/>
  <c r="AM63" i="2"/>
  <c r="AM62" i="2"/>
  <c r="AM61" i="2"/>
  <c r="AM60" i="2"/>
  <c r="AM59" i="2"/>
  <c r="AM58" i="2"/>
  <c r="AM57" i="2"/>
  <c r="AM45" i="2"/>
  <c r="AM44" i="2"/>
  <c r="AM43" i="2"/>
  <c r="AM42" i="2"/>
  <c r="AM41" i="2"/>
  <c r="AM40" i="2"/>
  <c r="AM39" i="2"/>
  <c r="AM36" i="2"/>
  <c r="AM38" i="2"/>
  <c r="AM34" i="2"/>
  <c r="AM37" i="2"/>
  <c r="AM35" i="2"/>
  <c r="AM33" i="2"/>
  <c r="B33" i="2"/>
  <c r="AM32" i="2"/>
  <c r="B32" i="2"/>
  <c r="AY3" i="2"/>
  <c r="B78" i="2" l="1"/>
  <c r="B58" i="2"/>
  <c r="B35" i="2"/>
  <c r="B60" i="2"/>
  <c r="AM26" i="2"/>
  <c r="B4" i="2"/>
  <c r="C4" i="2"/>
  <c r="AM4" i="2" s="1"/>
  <c r="AY26" i="2"/>
  <c r="B68" i="2" l="1"/>
  <c r="B36" i="2"/>
  <c r="B61" i="2"/>
  <c r="B5" i="2"/>
  <c r="C5" i="2"/>
  <c r="AM5" i="2" s="1"/>
  <c r="AY4" i="2"/>
  <c r="B37" i="2" l="1"/>
  <c r="B62" i="2"/>
  <c r="B6" i="2"/>
  <c r="E6" i="2"/>
  <c r="C6" i="2" s="1"/>
  <c r="AM6" i="2" s="1"/>
  <c r="AY5" i="2"/>
  <c r="B71" i="2" l="1"/>
  <c r="B38" i="2"/>
  <c r="B63" i="2"/>
  <c r="B7" i="2"/>
  <c r="E7" i="2"/>
  <c r="C7" i="2" s="1"/>
  <c r="AM7" i="2" s="1"/>
  <c r="AY6" i="2"/>
  <c r="B72" i="2" l="1"/>
  <c r="B39" i="2"/>
  <c r="B64" i="2"/>
  <c r="B8" i="2"/>
  <c r="E8" i="2"/>
  <c r="C8" i="2" s="1"/>
  <c r="AM8" i="2" s="1"/>
  <c r="AY7" i="2"/>
  <c r="B80" i="2" l="1"/>
  <c r="B40" i="2"/>
  <c r="B65" i="2"/>
  <c r="B9" i="2"/>
  <c r="C9" i="2"/>
  <c r="AM9" i="2" s="1"/>
  <c r="AY8" i="2"/>
  <c r="B81" i="2" l="1"/>
  <c r="B41" i="2"/>
  <c r="B66" i="2"/>
  <c r="B10" i="2"/>
  <c r="E10" i="2"/>
  <c r="C10" i="2" s="1"/>
  <c r="AM10" i="2" s="1"/>
  <c r="AY9" i="2"/>
  <c r="B75" i="2" l="1"/>
  <c r="B42" i="2"/>
  <c r="B67" i="2"/>
  <c r="B11" i="2"/>
  <c r="E11" i="2"/>
  <c r="C11" i="2" s="1"/>
  <c r="AM11" i="2" s="1"/>
  <c r="AY10" i="2"/>
  <c r="B69" i="2" l="1"/>
  <c r="B43" i="2"/>
  <c r="B12" i="2"/>
  <c r="E12" i="2"/>
  <c r="C12" i="2" s="1"/>
  <c r="AM12" i="2" s="1"/>
  <c r="AY11" i="2"/>
  <c r="B70" i="2" l="1"/>
  <c r="B44" i="2"/>
  <c r="B13" i="2"/>
  <c r="E13" i="2"/>
  <c r="C13" i="2" s="1"/>
  <c r="AM13" i="2" s="1"/>
  <c r="AY12" i="2"/>
  <c r="B14" i="2" l="1"/>
  <c r="E14" i="2"/>
  <c r="C14" i="2" s="1"/>
  <c r="AM14" i="2" s="1"/>
  <c r="AY13" i="2"/>
  <c r="B15" i="2" l="1"/>
  <c r="E15" i="2"/>
  <c r="C15" i="2" s="1"/>
  <c r="AM15" i="2" s="1"/>
  <c r="AY14" i="2"/>
  <c r="B73" i="2" l="1"/>
  <c r="B45" i="2"/>
  <c r="B16" i="2"/>
  <c r="E16" i="2"/>
  <c r="C16" i="2" s="1"/>
  <c r="AM16" i="2" s="1"/>
  <c r="AY15" i="2"/>
  <c r="B17" i="2" l="1"/>
  <c r="C17" i="2"/>
  <c r="AM17" i="2" s="1"/>
  <c r="AY16" i="2"/>
  <c r="B18" i="2" l="1"/>
  <c r="E18" i="2"/>
  <c r="C18" i="2" s="1"/>
  <c r="AM18" i="2" s="1"/>
  <c r="AY17" i="2"/>
  <c r="B74" i="2" l="1"/>
  <c r="B19" i="2"/>
  <c r="E19" i="2"/>
  <c r="C19" i="2" s="1"/>
  <c r="AM19" i="2" s="1"/>
  <c r="AY18" i="2"/>
  <c r="B76" i="2" l="1"/>
  <c r="B20" i="2"/>
  <c r="E20" i="2"/>
  <c r="C20" i="2" s="1"/>
  <c r="AM20" i="2" s="1"/>
  <c r="AY19" i="2"/>
  <c r="B21" i="2" l="1"/>
  <c r="C21" i="2"/>
  <c r="AM21" i="2" s="1"/>
  <c r="AY20" i="2"/>
  <c r="B22" i="2" l="1"/>
  <c r="C22" i="2"/>
  <c r="AM22" i="2" s="1"/>
  <c r="AY21" i="2"/>
  <c r="B23" i="2" l="1"/>
  <c r="E23" i="2"/>
  <c r="C23" i="2" s="1"/>
  <c r="AM23" i="2" s="1"/>
  <c r="AY22" i="2"/>
  <c r="B77" i="2" l="1"/>
  <c r="B24" i="2"/>
  <c r="E24" i="2"/>
  <c r="C24" i="2" s="1"/>
  <c r="AM24" i="2" s="1"/>
  <c r="B25" i="2"/>
  <c r="AY23" i="2"/>
  <c r="E25" i="2" l="1"/>
  <c r="C25" i="2" s="1"/>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AY24" i="2"/>
  <c r="AM25" i="2" l="1"/>
  <c r="AY25" i="2"/>
  <c r="AZ489" i="1" l="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1" i="1" l="1"/>
  <c r="BA441" i="1"/>
  <c r="AZ439" i="1"/>
  <c r="BA439" i="1"/>
  <c r="AZ436" i="1"/>
  <c r="BA436" i="1"/>
  <c r="AZ442" i="1"/>
  <c r="BA442" i="1"/>
  <c r="AZ434" i="1"/>
  <c r="BA434" i="1"/>
  <c r="AZ440" i="1"/>
  <c r="BA440" i="1"/>
  <c r="AZ437" i="1"/>
  <c r="BA437" i="1"/>
  <c r="AZ435" i="1"/>
  <c r="BA435" i="1"/>
  <c r="AZ438" i="1"/>
  <c r="BA438" i="1"/>
  <c r="AL376" i="1"/>
  <c r="BA376" i="1"/>
  <c r="AL219" i="1" l="1"/>
  <c r="AL377" i="1"/>
  <c r="AL378" i="1"/>
  <c r="AL110" i="1"/>
  <c r="BA219" i="1"/>
  <c r="BA378" i="1"/>
  <c r="BA110" i="1"/>
  <c r="BA377" i="1"/>
  <c r="AL179" i="1" l="1"/>
  <c r="AL56" i="1"/>
  <c r="BA179" i="1"/>
  <c r="BA56" i="1"/>
  <c r="AL41" i="1" l="1"/>
  <c r="BA41" i="1"/>
  <c r="AL324" i="1" l="1"/>
  <c r="AL323" i="1"/>
  <c r="BA324" i="1"/>
  <c r="BA323" i="1"/>
  <c r="AL350" i="1" l="1"/>
  <c r="BA350" i="1"/>
  <c r="AL336" i="1" l="1"/>
  <c r="AL271" i="1"/>
  <c r="AL354" i="1"/>
  <c r="AL431" i="1"/>
  <c r="AL417" i="1"/>
  <c r="AL416" i="1"/>
  <c r="AL347" i="1"/>
  <c r="AL345" i="1"/>
  <c r="AL344" i="1"/>
  <c r="AL339" i="1"/>
  <c r="AL338" i="1"/>
  <c r="AL335" i="1"/>
  <c r="AL334" i="1"/>
  <c r="AL326" i="1"/>
  <c r="AL325" i="1"/>
  <c r="AL322" i="1"/>
  <c r="AL321" i="1"/>
  <c r="AL320" i="1"/>
  <c r="AL313" i="1"/>
  <c r="AL307" i="1"/>
  <c r="AL306" i="1"/>
  <c r="AL305" i="1"/>
  <c r="AL304" i="1"/>
  <c r="AL297" i="1"/>
  <c r="AL296" i="1"/>
  <c r="AL295" i="1"/>
  <c r="AL294" i="1"/>
  <c r="AL293" i="1"/>
  <c r="AL285" i="1"/>
  <c r="AL284" i="1"/>
  <c r="AL283" i="1"/>
  <c r="AL282" i="1"/>
  <c r="AL281" i="1"/>
  <c r="AL280" i="1"/>
  <c r="AL249" i="1"/>
  <c r="AL248" i="1"/>
  <c r="AL228" i="1"/>
  <c r="AL270" i="1"/>
  <c r="AL269" i="1"/>
  <c r="AL268" i="1"/>
  <c r="AL215" i="1"/>
  <c r="AL217" i="1"/>
  <c r="AL178" i="1"/>
  <c r="AL173" i="1"/>
  <c r="AL172" i="1"/>
  <c r="AL164" i="1"/>
  <c r="AL163" i="1"/>
  <c r="AL162" i="1"/>
  <c r="AL109" i="1"/>
  <c r="AL106" i="1"/>
  <c r="AL105" i="1"/>
  <c r="AL104" i="1"/>
  <c r="AL103" i="1"/>
  <c r="AL102" i="1"/>
  <c r="AL94" i="1"/>
  <c r="AL93" i="1"/>
  <c r="AL92" i="1"/>
  <c r="AL91" i="1"/>
  <c r="AL80" i="1"/>
  <c r="AL78" i="1"/>
  <c r="AL77" i="1"/>
  <c r="AL73" i="1"/>
  <c r="AL72" i="1"/>
  <c r="AL71" i="1"/>
  <c r="AL69" i="1"/>
  <c r="AL68" i="1"/>
  <c r="AL67" i="1"/>
  <c r="AL66" i="1"/>
  <c r="AL65" i="1"/>
  <c r="AL55" i="1"/>
  <c r="AL54" i="1"/>
  <c r="AL53" i="1"/>
  <c r="AL52" i="1"/>
  <c r="AL51" i="1"/>
  <c r="AL50" i="1"/>
  <c r="AL49" i="1"/>
  <c r="AL42" i="1"/>
  <c r="AL40" i="1"/>
  <c r="AL38" i="1"/>
  <c r="AL37" i="1"/>
  <c r="AL36" i="1"/>
  <c r="AL35" i="1"/>
  <c r="AL34" i="1"/>
  <c r="AL33" i="1"/>
  <c r="AL32" i="1"/>
  <c r="AL31" i="1"/>
  <c r="AL30" i="1"/>
  <c r="AL29" i="1"/>
  <c r="AL28" i="1"/>
  <c r="AL27" i="1"/>
  <c r="AL26" i="1"/>
  <c r="AL25" i="1"/>
  <c r="AL24" i="1"/>
  <c r="AL23" i="1"/>
  <c r="AL22" i="1"/>
  <c r="AL21" i="1"/>
  <c r="AL20" i="1"/>
  <c r="AL18" i="1"/>
  <c r="AL17" i="1"/>
  <c r="AL16" i="1"/>
  <c r="AL15" i="1"/>
  <c r="AL14" i="1"/>
  <c r="AL13" i="1"/>
  <c r="AL12" i="1"/>
  <c r="AL11" i="1"/>
  <c r="AL10" i="1"/>
  <c r="AL8" i="1"/>
  <c r="AL6" i="1"/>
  <c r="AL7" i="1"/>
  <c r="AL5" i="1"/>
  <c r="AL4" i="1"/>
  <c r="B4" i="1"/>
  <c r="AK4" i="1" s="1"/>
  <c r="BA38" i="1"/>
  <c r="BA306" i="1"/>
  <c r="BA269" i="1"/>
  <c r="BA68" i="1"/>
  <c r="BA13" i="1"/>
  <c r="BA8" i="1"/>
  <c r="BA50" i="1"/>
  <c r="BA66" i="1"/>
  <c r="BA215" i="1"/>
  <c r="BA322" i="1"/>
  <c r="BA92" i="1"/>
  <c r="BA105" i="1"/>
  <c r="BA109" i="1"/>
  <c r="BA338" i="1"/>
  <c r="BA37" i="1"/>
  <c r="BA283" i="1"/>
  <c r="BA23" i="1"/>
  <c r="BA30" i="1"/>
  <c r="BA36" i="1"/>
  <c r="BA77" i="1"/>
  <c r="BA31" i="1"/>
  <c r="BA28" i="1"/>
  <c r="BA271" i="1"/>
  <c r="BA106" i="1"/>
  <c r="BA26" i="1"/>
  <c r="BA21" i="1"/>
  <c r="BA17" i="1"/>
  <c r="BA29" i="1"/>
  <c r="BA4" i="1"/>
  <c r="BA248" i="1"/>
  <c r="BA12" i="1"/>
  <c r="BA18" i="1"/>
  <c r="BA71" i="1"/>
  <c r="BA173" i="1"/>
  <c r="BA307" i="1"/>
  <c r="BA163" i="1"/>
  <c r="BA5" i="1"/>
  <c r="BA53" i="1"/>
  <c r="BA16" i="1"/>
  <c r="BA51" i="1"/>
  <c r="BA72" i="1"/>
  <c r="BA217" i="1"/>
  <c r="BA162" i="1"/>
  <c r="BA270" i="1"/>
  <c r="BA305" i="1"/>
  <c r="BA55" i="1"/>
  <c r="BA339" i="1"/>
  <c r="BA296" i="1"/>
  <c r="BA335" i="1"/>
  <c r="BA321" i="1"/>
  <c r="BA178" i="1"/>
  <c r="BA325" i="1"/>
  <c r="BA326" i="1"/>
  <c r="BA164" i="1"/>
  <c r="BA94" i="1"/>
  <c r="BA336" i="1"/>
  <c r="BA15" i="1"/>
  <c r="BA93" i="1"/>
  <c r="BA249" i="1"/>
  <c r="BA11" i="1"/>
  <c r="BA104" i="1"/>
  <c r="BA7" i="1"/>
  <c r="BA69" i="1"/>
  <c r="BA35" i="1"/>
  <c r="BA14" i="1"/>
  <c r="BA294" i="1"/>
  <c r="BA78" i="1"/>
  <c r="BA54" i="1"/>
  <c r="BA347" i="1"/>
  <c r="BA268" i="1"/>
  <c r="BA42" i="1"/>
  <c r="BA297" i="1"/>
  <c r="BA284" i="1"/>
  <c r="BA80" i="1"/>
  <c r="BA281" i="1"/>
  <c r="BA73" i="1"/>
  <c r="BA52" i="1"/>
  <c r="BA67" i="1"/>
  <c r="BA40" i="1"/>
  <c r="BA103" i="1"/>
  <c r="BA285" i="1"/>
  <c r="BA295" i="1"/>
  <c r="BA24" i="1"/>
  <c r="BA6" i="1"/>
  <c r="BA228" i="1"/>
  <c r="BA282" i="1"/>
  <c r="BA22" i="1"/>
  <c r="C4" i="5" l="1"/>
  <c r="BA3" i="1"/>
  <c r="AL337" i="1" l="1"/>
  <c r="BA337" i="1"/>
  <c r="BA34" i="1"/>
  <c r="BA345" i="1"/>
  <c r="AO33" i="1"/>
  <c r="AO320" i="1"/>
  <c r="AO345" i="1"/>
  <c r="AS33" i="1"/>
  <c r="AS320" i="1"/>
  <c r="AS345" i="1"/>
  <c r="AQ33" i="1"/>
  <c r="AQ320" i="1"/>
  <c r="AQ345" i="1"/>
  <c r="AR345" i="1"/>
  <c r="AR320" i="1"/>
  <c r="AR33" i="1"/>
  <c r="AW345" i="1"/>
  <c r="AW320" i="1"/>
  <c r="AW33" i="1"/>
  <c r="AV33" i="1"/>
  <c r="AV320" i="1"/>
  <c r="AV345" i="1"/>
  <c r="AT345" i="1"/>
  <c r="AT320" i="1"/>
  <c r="AT33" i="1"/>
  <c r="AU33" i="1"/>
  <c r="AU320" i="1"/>
  <c r="AU345" i="1"/>
  <c r="AP345" i="1"/>
  <c r="AP320" i="1"/>
  <c r="AP33" i="1"/>
  <c r="AN345" i="1"/>
  <c r="AN320" i="1"/>
  <c r="AN33" i="1"/>
  <c r="BA320" i="1"/>
  <c r="AX345" i="1"/>
  <c r="AX320" i="1"/>
  <c r="AX33" i="1"/>
  <c r="BA3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<sst xmlns="http://schemas.openxmlformats.org/spreadsheetml/2006/main" count="21228" uniqueCount="3359">
  <si>
    <t>PJT_ID</t>
  </si>
  <si>
    <t>SITE_ID</t>
  </si>
  <si>
    <t>MENU_ID</t>
  </si>
  <si>
    <t>MENU_NM</t>
  </si>
  <si>
    <t>MENU_NM_ENGLH</t>
  </si>
  <si>
    <t>MENU_NM_CHI</t>
  </si>
  <si>
    <t>MENU_NM_JPNS</t>
  </si>
  <si>
    <t>MENU_NM_ETC</t>
  </si>
  <si>
    <t>MENU_GB</t>
  </si>
  <si>
    <t>TREE_EXPN_YN</t>
  </si>
  <si>
    <t>LAST_MODL_YN</t>
  </si>
  <si>
    <t>MODL_ID</t>
  </si>
  <si>
    <t>MODL_NM</t>
  </si>
  <si>
    <t>INQ_USE_YN</t>
  </si>
  <si>
    <t>INPT_USE_YN</t>
  </si>
  <si>
    <t>UPT_USE_YN</t>
  </si>
  <si>
    <t>DEL_USE_YN</t>
  </si>
  <si>
    <t>PRT_USE_YN</t>
  </si>
  <si>
    <t>EXPT_USE_YN</t>
  </si>
  <si>
    <t>AUTH_GB</t>
  </si>
  <si>
    <t>BASE_MENU_USE_YN</t>
  </si>
  <si>
    <t>HQ_USE_YN</t>
  </si>
  <si>
    <t>DM_USE_YN</t>
  </si>
  <si>
    <t>BRANCH_USE_YN</t>
  </si>
  <si>
    <t>DEV_USR_PER</t>
  </si>
  <si>
    <t>PERF_RT</t>
  </si>
  <si>
    <t>OLD_VER_MENU</t>
  </si>
  <si>
    <t>OLD_VER_MENU_NM</t>
  </si>
  <si>
    <t>admin_use</t>
  </si>
  <si>
    <t>USR_MEMO</t>
  </si>
  <si>
    <t>SYS_MEMO</t>
  </si>
  <si>
    <t>PRNT_ID</t>
  </si>
  <si>
    <t>ROW_LVL</t>
  </si>
  <si>
    <t>ROW_ORD</t>
  </si>
  <si>
    <t>ROW_STS</t>
  </si>
  <si>
    <t>ROW_CLOS</t>
  </si>
  <si>
    <t>FIND_NM</t>
  </si>
  <si>
    <t>UPT_USR_NM</t>
  </si>
  <si>
    <t>UPT_IP</t>
  </si>
  <si>
    <t>UPT_DTTM</t>
  </si>
  <si>
    <t>UPT_ID</t>
  </si>
  <si>
    <t>UPT_UI</t>
  </si>
  <si>
    <t>CRT_USR_NM</t>
  </si>
  <si>
    <t>CRT_IP</t>
  </si>
  <si>
    <t>CRT_DTTM</t>
  </si>
  <si>
    <t>CRT_ID</t>
  </si>
  <si>
    <t>CRT_UI</t>
  </si>
  <si>
    <t>14821</t>
  </si>
  <si>
    <t xml:space="preserve"> </t>
  </si>
  <si>
    <t>1</t>
  </si>
  <si>
    <t>0</t>
  </si>
  <si>
    <t>N</t>
  </si>
  <si>
    <t>2</t>
  </si>
  <si>
    <t>쿼리 관리자</t>
  </si>
  <si>
    <t>project</t>
  </si>
  <si>
    <t>QueryMaker</t>
  </si>
  <si>
    <t>Y</t>
  </si>
  <si>
    <t>기준정보관리</t>
  </si>
  <si>
    <t>기초코드관리</t>
  </si>
  <si>
    <t>basic</t>
  </si>
  <si>
    <t>명칭코드 관리</t>
  </si>
  <si>
    <t>user</t>
  </si>
  <si>
    <t>DeptInfo</t>
  </si>
  <si>
    <t>사용자 코드 관리</t>
  </si>
  <si>
    <t>UserInfo</t>
  </si>
  <si>
    <t>직급 코드 관리</t>
  </si>
  <si>
    <t>사용자관리</t>
  </si>
  <si>
    <t>UserMast</t>
  </si>
  <si>
    <t>WkrnMast</t>
  </si>
  <si>
    <t>메뉴별 사용 권한 관리</t>
  </si>
  <si>
    <t>MenuAuth</t>
  </si>
  <si>
    <t>사용자 메뉴 권한 관리</t>
  </si>
  <si>
    <t>UserAuth</t>
  </si>
  <si>
    <t>BaseMast</t>
  </si>
  <si>
    <t>SscdMast</t>
  </si>
  <si>
    <t>부서 코드 관리</t>
  </si>
  <si>
    <t>DeptMast</t>
  </si>
  <si>
    <t>Server Manage</t>
  </si>
  <si>
    <t xml:space="preserve">Server Network </t>
  </si>
  <si>
    <t>HostInfo</t>
  </si>
  <si>
    <t>Server Daemon</t>
  </si>
  <si>
    <t>DaemonInfo</t>
  </si>
  <si>
    <t>Data Base Connection</t>
  </si>
  <si>
    <t>HostDdns</t>
  </si>
  <si>
    <t>Domain 관리</t>
  </si>
  <si>
    <t>DomainManager</t>
  </si>
  <si>
    <t>WIS MES System</t>
  </si>
  <si>
    <t>contr</t>
  </si>
  <si>
    <t>BonsaInfo</t>
  </si>
  <si>
    <t>9</t>
  </si>
  <si>
    <t>BonsaMenu</t>
  </si>
  <si>
    <t>StoreInfo</t>
  </si>
  <si>
    <t>ProjMenu</t>
  </si>
  <si>
    <t>계정 관리</t>
  </si>
  <si>
    <t>사용자 계정 관리</t>
  </si>
  <si>
    <t>사용자 부서 관리</t>
  </si>
  <si>
    <t>사용자 권한 관리</t>
  </si>
  <si>
    <t>관제센터</t>
  </si>
  <si>
    <t>기초 코드 관리(System)</t>
  </si>
  <si>
    <t>Module 관리</t>
  </si>
  <si>
    <t>ModuleInfo</t>
  </si>
  <si>
    <t>ProjSite</t>
  </si>
  <si>
    <t>고객사 Module 등록</t>
  </si>
  <si>
    <t>고객사 메뉴 관리</t>
  </si>
  <si>
    <t>고객사 연동 정보 관리</t>
  </si>
  <si>
    <t>고객 본사 정보 관리</t>
  </si>
  <si>
    <t>고객 매장 정보관리</t>
  </si>
  <si>
    <t>테이블 내역 관리</t>
  </si>
  <si>
    <t>TableManager</t>
  </si>
  <si>
    <t>스크립트 작성</t>
  </si>
  <si>
    <t>RndTool</t>
  </si>
  <si>
    <t>3</t>
    <phoneticPr fontId="1" type="noConversion"/>
  </si>
  <si>
    <t>4</t>
    <phoneticPr fontId="1" type="noConversion"/>
  </si>
  <si>
    <t>5</t>
    <phoneticPr fontId="1" type="noConversion"/>
  </si>
  <si>
    <t>100000</t>
    <phoneticPr fontId="1" type="noConversion"/>
  </si>
  <si>
    <t>110000</t>
    <phoneticPr fontId="1" type="noConversion"/>
  </si>
  <si>
    <t>120000</t>
    <phoneticPr fontId="1" type="noConversion"/>
  </si>
  <si>
    <t>130000</t>
    <phoneticPr fontId="1" type="noConversion"/>
  </si>
  <si>
    <t>140000</t>
    <phoneticPr fontId="1" type="noConversion"/>
  </si>
  <si>
    <t>150000</t>
    <phoneticPr fontId="1" type="noConversion"/>
  </si>
  <si>
    <t>200000</t>
    <phoneticPr fontId="1" type="noConversion"/>
  </si>
  <si>
    <t>210000</t>
    <phoneticPr fontId="1" type="noConversion"/>
  </si>
  <si>
    <t>220000</t>
    <phoneticPr fontId="1" type="noConversion"/>
  </si>
  <si>
    <t>영업관리</t>
    <phoneticPr fontId="1" type="noConversion"/>
  </si>
  <si>
    <t>230000</t>
    <phoneticPr fontId="1" type="noConversion"/>
  </si>
  <si>
    <t>영업오더관리</t>
    <phoneticPr fontId="1" type="noConversion"/>
  </si>
  <si>
    <t>견적서관리</t>
    <phoneticPr fontId="1" type="noConversion"/>
  </si>
  <si>
    <t>table명</t>
    <phoneticPr fontId="1" type="noConversion"/>
  </si>
  <si>
    <t>module_mst</t>
    <phoneticPr fontId="1" type="noConversion"/>
  </si>
  <si>
    <t>EstiMast</t>
    <phoneticPr fontId="1" type="noConversion"/>
  </si>
  <si>
    <t>출하지시</t>
    <phoneticPr fontId="1" type="noConversion"/>
  </si>
  <si>
    <t>SaleOrder</t>
    <phoneticPr fontId="1" type="noConversion"/>
  </si>
  <si>
    <t>SaleOrder2</t>
    <phoneticPr fontId="1" type="noConversion"/>
  </si>
  <si>
    <t>SptsMast</t>
    <phoneticPr fontId="1" type="noConversion"/>
  </si>
  <si>
    <t>주문잔량현황</t>
    <phoneticPr fontId="1" type="noConversion"/>
  </si>
  <si>
    <t>자재관리</t>
    <phoneticPr fontId="1" type="noConversion"/>
  </si>
  <si>
    <t>240000</t>
    <phoneticPr fontId="1" type="noConversion"/>
  </si>
  <si>
    <t>구매</t>
    <phoneticPr fontId="1" type="noConversion"/>
  </si>
  <si>
    <t>구매발주관리</t>
    <phoneticPr fontId="1" type="noConversion"/>
  </si>
  <si>
    <t>PurcOrdr</t>
    <phoneticPr fontId="1" type="noConversion"/>
  </si>
  <si>
    <t>PurcOrdrList</t>
    <phoneticPr fontId="1" type="noConversion"/>
  </si>
  <si>
    <t>SlorList1</t>
    <phoneticPr fontId="1" type="noConversion"/>
  </si>
  <si>
    <t>발주잔량리스트</t>
    <phoneticPr fontId="1" type="noConversion"/>
  </si>
  <si>
    <t>품목정보관리</t>
    <phoneticPr fontId="1" type="noConversion"/>
  </si>
  <si>
    <t>품목코드관리</t>
    <phoneticPr fontId="1" type="noConversion"/>
  </si>
  <si>
    <t>item</t>
    <phoneticPr fontId="1" type="noConversion"/>
  </si>
  <si>
    <t>ItemMast</t>
    <phoneticPr fontId="1" type="noConversion"/>
  </si>
  <si>
    <t>단위코드관리</t>
    <phoneticPr fontId="1" type="noConversion"/>
  </si>
  <si>
    <t>품목분류코드관리</t>
    <phoneticPr fontId="1" type="noConversion"/>
  </si>
  <si>
    <t>품목리스트</t>
    <phoneticPr fontId="1" type="noConversion"/>
  </si>
  <si>
    <t>ItemList</t>
    <phoneticPr fontId="1" type="noConversion"/>
  </si>
  <si>
    <t>UnitMast</t>
    <phoneticPr fontId="1" type="noConversion"/>
  </si>
  <si>
    <t>ItemClass</t>
    <phoneticPr fontId="1" type="noConversion"/>
  </si>
  <si>
    <t>거래처정보관리</t>
    <phoneticPr fontId="1" type="noConversion"/>
  </si>
  <si>
    <t>거래처코드관리</t>
    <phoneticPr fontId="1" type="noConversion"/>
  </si>
  <si>
    <t>거래처리스트</t>
    <phoneticPr fontId="1" type="noConversion"/>
  </si>
  <si>
    <t>cust</t>
    <phoneticPr fontId="1" type="noConversion"/>
  </si>
  <si>
    <t>창고코드 관리</t>
    <phoneticPr fontId="1" type="noConversion"/>
  </si>
  <si>
    <t>WrhsMast</t>
    <phoneticPr fontId="1" type="noConversion"/>
  </si>
  <si>
    <t>FuncWrhsMast</t>
    <phoneticPr fontId="1" type="noConversion"/>
  </si>
  <si>
    <t>EcoMast</t>
    <phoneticPr fontId="1" type="noConversion"/>
  </si>
  <si>
    <t>BOM List</t>
    <phoneticPr fontId="1" type="noConversion"/>
  </si>
  <si>
    <t>BomList</t>
    <phoneticPr fontId="1" type="noConversion"/>
  </si>
  <si>
    <t>250000</t>
    <phoneticPr fontId="1" type="noConversion"/>
  </si>
  <si>
    <t>251000</t>
    <phoneticPr fontId="1" type="noConversion"/>
  </si>
  <si>
    <t>영업기초</t>
    <phoneticPr fontId="1" type="noConversion"/>
  </si>
  <si>
    <t>계약사항 관리</t>
    <phoneticPr fontId="1" type="noConversion"/>
  </si>
  <si>
    <t>252000</t>
    <phoneticPr fontId="1" type="noConversion"/>
  </si>
  <si>
    <t>260000</t>
    <phoneticPr fontId="1" type="noConversion"/>
  </si>
  <si>
    <t>261000</t>
    <phoneticPr fontId="1" type="noConversion"/>
  </si>
  <si>
    <t>구매기준</t>
    <phoneticPr fontId="1" type="noConversion"/>
  </si>
  <si>
    <t>262000</t>
    <phoneticPr fontId="1" type="noConversion"/>
  </si>
  <si>
    <t>재고관리</t>
    <phoneticPr fontId="1" type="noConversion"/>
  </si>
  <si>
    <t>270000</t>
    <phoneticPr fontId="1" type="noConversion"/>
  </si>
  <si>
    <t>271000</t>
    <phoneticPr fontId="1" type="noConversion"/>
  </si>
  <si>
    <t>기타출고관리</t>
    <phoneticPr fontId="1" type="noConversion"/>
  </si>
  <si>
    <t>기타입고관리</t>
    <phoneticPr fontId="1" type="noConversion"/>
  </si>
  <si>
    <t>생산출고관리</t>
    <phoneticPr fontId="1" type="noConversion"/>
  </si>
  <si>
    <t>출고대기현황</t>
    <phoneticPr fontId="1" type="noConversion"/>
  </si>
  <si>
    <t>입출고관리</t>
    <phoneticPr fontId="1" type="noConversion"/>
  </si>
  <si>
    <t>수불마감</t>
    <phoneticPr fontId="1" type="noConversion"/>
  </si>
  <si>
    <t>272000</t>
    <phoneticPr fontId="1" type="noConversion"/>
  </si>
  <si>
    <t>자재재고현황</t>
    <phoneticPr fontId="1" type="noConversion"/>
  </si>
  <si>
    <t>제품재고현황</t>
    <phoneticPr fontId="1" type="noConversion"/>
  </si>
  <si>
    <t>월수불마감</t>
    <phoneticPr fontId="1" type="noConversion"/>
  </si>
  <si>
    <t>수불대장</t>
    <phoneticPr fontId="1" type="noConversion"/>
  </si>
  <si>
    <t>MtrlStockList</t>
    <phoneticPr fontId="1" type="noConversion"/>
  </si>
  <si>
    <t>GoodsStockList</t>
    <phoneticPr fontId="1" type="noConversion"/>
  </si>
  <si>
    <t>StockClose</t>
    <phoneticPr fontId="1" type="noConversion"/>
  </si>
  <si>
    <t>Lot수불</t>
    <phoneticPr fontId="1" type="noConversion"/>
  </si>
  <si>
    <t>Lot재고현황</t>
    <phoneticPr fontId="1" type="noConversion"/>
  </si>
  <si>
    <t>Lot수불대장</t>
    <phoneticPr fontId="1" type="noConversion"/>
  </si>
  <si>
    <t>Lot 조정 등록</t>
    <phoneticPr fontId="1" type="noConversion"/>
  </si>
  <si>
    <t>LotlStockList</t>
    <phoneticPr fontId="1" type="noConversion"/>
  </si>
  <si>
    <t>LotChange</t>
    <phoneticPr fontId="1" type="noConversion"/>
  </si>
  <si>
    <t>273000</t>
    <phoneticPr fontId="1" type="noConversion"/>
  </si>
  <si>
    <t>생산관리</t>
    <phoneticPr fontId="1" type="noConversion"/>
  </si>
  <si>
    <t>280000</t>
    <phoneticPr fontId="1" type="noConversion"/>
  </si>
  <si>
    <t>기준정보관리</t>
    <phoneticPr fontId="1" type="noConversion"/>
  </si>
  <si>
    <t>281000</t>
    <phoneticPr fontId="1" type="noConversion"/>
  </si>
  <si>
    <t>공정코드 관리</t>
    <phoneticPr fontId="1" type="noConversion"/>
  </si>
  <si>
    <t>생산라인관리</t>
    <phoneticPr fontId="1" type="noConversion"/>
  </si>
  <si>
    <t>생산라인별 작업순서</t>
    <phoneticPr fontId="1" type="noConversion"/>
  </si>
  <si>
    <t>basic</t>
    <phoneticPr fontId="1" type="noConversion"/>
  </si>
  <si>
    <t>WkctMast</t>
    <phoneticPr fontId="1" type="noConversion"/>
  </si>
  <si>
    <t>ProdLineMast</t>
    <phoneticPr fontId="1" type="noConversion"/>
  </si>
  <si>
    <t>ProdLineRoute</t>
    <phoneticPr fontId="1" type="noConversion"/>
  </si>
  <si>
    <t>생산계획</t>
    <phoneticPr fontId="1" type="noConversion"/>
  </si>
  <si>
    <t>생산계획 관리</t>
    <phoneticPr fontId="1" type="noConversion"/>
  </si>
  <si>
    <t>예비생산오더관리</t>
    <phoneticPr fontId="1" type="noConversion"/>
  </si>
  <si>
    <t>계획대비실적</t>
    <phoneticPr fontId="1" type="noConversion"/>
  </si>
  <si>
    <t>282000</t>
    <phoneticPr fontId="1" type="noConversion"/>
  </si>
  <si>
    <t>ProdPlan</t>
    <phoneticPr fontId="1" type="noConversion"/>
  </si>
  <si>
    <t>RsvdOrder</t>
    <phoneticPr fontId="1" type="noConversion"/>
  </si>
  <si>
    <t>PlanAnalList</t>
    <phoneticPr fontId="1" type="noConversion"/>
  </si>
  <si>
    <t>생산지시실적관리</t>
    <phoneticPr fontId="1" type="noConversion"/>
  </si>
  <si>
    <t>생산지시등록</t>
    <phoneticPr fontId="1" type="noConversion"/>
  </si>
  <si>
    <t>생산실적모니터링</t>
    <phoneticPr fontId="1" type="noConversion"/>
  </si>
  <si>
    <t>생산실적 관리</t>
    <phoneticPr fontId="1" type="noConversion"/>
  </si>
  <si>
    <t>283000</t>
    <phoneticPr fontId="1" type="noConversion"/>
  </si>
  <si>
    <t>생산설비관리</t>
    <phoneticPr fontId="1" type="noConversion"/>
  </si>
  <si>
    <t>생산설비등록</t>
    <phoneticPr fontId="1" type="noConversion"/>
  </si>
  <si>
    <t>생산설비현황</t>
    <phoneticPr fontId="1" type="noConversion"/>
  </si>
  <si>
    <t>생산설비점검</t>
    <phoneticPr fontId="1" type="noConversion"/>
  </si>
  <si>
    <t>생산설비모니터링</t>
    <phoneticPr fontId="1" type="noConversion"/>
  </si>
  <si>
    <t>금형관리</t>
    <phoneticPr fontId="1" type="noConversion"/>
  </si>
  <si>
    <t>CvicMast</t>
    <phoneticPr fontId="1" type="noConversion"/>
  </si>
  <si>
    <t>CvicList</t>
    <phoneticPr fontId="1" type="noConversion"/>
  </si>
  <si>
    <t>CvicCheck</t>
    <phoneticPr fontId="1" type="noConversion"/>
  </si>
  <si>
    <t>CvicMonitring</t>
    <phoneticPr fontId="1" type="noConversion"/>
  </si>
  <si>
    <t>금형등록</t>
    <phoneticPr fontId="1" type="noConversion"/>
  </si>
  <si>
    <t>금형현황</t>
    <phoneticPr fontId="1" type="noConversion"/>
  </si>
  <si>
    <t>금형Shot관리</t>
    <phoneticPr fontId="1" type="noConversion"/>
  </si>
  <si>
    <t>MoldMast</t>
    <phoneticPr fontId="1" type="noConversion"/>
  </si>
  <si>
    <t>생산일보</t>
    <phoneticPr fontId="1" type="noConversion"/>
  </si>
  <si>
    <t>생산설비가동율</t>
    <phoneticPr fontId="1" type="noConversion"/>
  </si>
  <si>
    <t>지그관리</t>
    <phoneticPr fontId="1" type="noConversion"/>
  </si>
  <si>
    <t>지그등록</t>
    <phoneticPr fontId="1" type="noConversion"/>
  </si>
  <si>
    <t>지그현황</t>
    <phoneticPr fontId="1" type="noConversion"/>
  </si>
  <si>
    <t>지그점검수리</t>
    <phoneticPr fontId="1" type="noConversion"/>
  </si>
  <si>
    <t>284000</t>
    <phoneticPr fontId="1" type="noConversion"/>
  </si>
  <si>
    <t>285000</t>
    <phoneticPr fontId="1" type="noConversion"/>
  </si>
  <si>
    <t>286000</t>
    <phoneticPr fontId="1" type="noConversion"/>
  </si>
  <si>
    <t>274000</t>
    <phoneticPr fontId="1" type="noConversion"/>
  </si>
  <si>
    <t>재고실사</t>
    <phoneticPr fontId="1" type="noConversion"/>
  </si>
  <si>
    <t>품질관리</t>
    <phoneticPr fontId="1" type="noConversion"/>
  </si>
  <si>
    <t>290000</t>
    <phoneticPr fontId="1" type="noConversion"/>
  </si>
  <si>
    <t>291000</t>
    <phoneticPr fontId="1" type="noConversion"/>
  </si>
  <si>
    <t>검사유형관리</t>
    <phoneticPr fontId="1" type="noConversion"/>
  </si>
  <si>
    <t>검사유형별검사항목</t>
    <phoneticPr fontId="1" type="noConversion"/>
  </si>
  <si>
    <t>품목검사기준관리</t>
    <phoneticPr fontId="1" type="noConversion"/>
  </si>
  <si>
    <t>ProdOrder</t>
    <phoneticPr fontId="1" type="noConversion"/>
  </si>
  <si>
    <t>ProdMonitering</t>
    <phoneticPr fontId="1" type="noConversion"/>
  </si>
  <si>
    <t>WorkBook</t>
    <phoneticPr fontId="1" type="noConversion"/>
  </si>
  <si>
    <t>InspType</t>
    <phoneticPr fontId="1" type="noConversion"/>
  </si>
  <si>
    <t>InspTypeItem</t>
    <phoneticPr fontId="1" type="noConversion"/>
  </si>
  <si>
    <t>ItemInspStd</t>
    <phoneticPr fontId="1" type="noConversion"/>
  </si>
  <si>
    <t>고객사 정보관리</t>
    <phoneticPr fontId="1" type="noConversion"/>
  </si>
  <si>
    <t>검사실적관리</t>
    <phoneticPr fontId="1" type="noConversion"/>
  </si>
  <si>
    <t>의뢰품입고검사</t>
    <phoneticPr fontId="1" type="noConversion"/>
  </si>
  <si>
    <t>공정검사(초중종)</t>
    <phoneticPr fontId="1" type="noConversion"/>
  </si>
  <si>
    <t>292000</t>
    <phoneticPr fontId="1" type="noConversion"/>
  </si>
  <si>
    <t>검사실적 분석</t>
    <phoneticPr fontId="1" type="noConversion"/>
  </si>
  <si>
    <t>불량현황 분석</t>
    <phoneticPr fontId="1" type="noConversion"/>
  </si>
  <si>
    <t>X-R 관리도</t>
    <phoneticPr fontId="1" type="noConversion"/>
  </si>
  <si>
    <t>생산투입현황</t>
    <phoneticPr fontId="1" type="noConversion"/>
  </si>
  <si>
    <t>생산포장현황</t>
    <phoneticPr fontId="1" type="noConversion"/>
  </si>
  <si>
    <t>생산불량현황</t>
    <phoneticPr fontId="1" type="noConversion"/>
  </si>
  <si>
    <t>InspList2</t>
    <phoneticPr fontId="1" type="noConversion"/>
  </si>
  <si>
    <t>InspXrList</t>
    <phoneticPr fontId="1" type="noConversion"/>
  </si>
  <si>
    <t>InspEntry1</t>
    <phoneticPr fontId="1" type="noConversion"/>
  </si>
  <si>
    <t>InspEntry2</t>
    <phoneticPr fontId="1" type="noConversion"/>
  </si>
  <si>
    <t>InspEntry3</t>
  </si>
  <si>
    <t>InspEntry5</t>
  </si>
  <si>
    <t>PackingList</t>
    <phoneticPr fontId="1" type="noConversion"/>
  </si>
  <si>
    <t>ProdNotList</t>
    <phoneticPr fontId="1" type="noConversion"/>
  </si>
  <si>
    <t>WorkEntry</t>
    <phoneticPr fontId="1" type="noConversion"/>
  </si>
  <si>
    <t>시스템환경설정</t>
    <phoneticPr fontId="1" type="noConversion"/>
  </si>
  <si>
    <t>SystemOption</t>
    <phoneticPr fontId="1" type="noConversion"/>
  </si>
  <si>
    <t>실시간 생산현황</t>
    <phoneticPr fontId="1" type="noConversion"/>
  </si>
  <si>
    <t>ProdRealTime</t>
    <phoneticPr fontId="1" type="noConversion"/>
  </si>
  <si>
    <t>재고 이동 관리</t>
    <phoneticPr fontId="1" type="noConversion"/>
  </si>
  <si>
    <t>기능창고 관리</t>
    <phoneticPr fontId="1" type="noConversion"/>
  </si>
  <si>
    <t>휴일정보 관리</t>
    <phoneticPr fontId="1" type="noConversion"/>
  </si>
  <si>
    <t>검사일보</t>
    <phoneticPr fontId="1" type="noConversion"/>
  </si>
  <si>
    <t>CSscdMast</t>
    <phoneticPr fontId="1" type="noConversion"/>
  </si>
  <si>
    <t>4</t>
    <phoneticPr fontId="1" type="noConversion"/>
  </si>
  <si>
    <t>DdilMake</t>
    <phoneticPr fontId="1" type="noConversion"/>
  </si>
  <si>
    <t>LotDdillEntry</t>
    <phoneticPr fontId="1" type="noConversion"/>
  </si>
  <si>
    <t>CvicAnal</t>
    <phoneticPr fontId="1" type="noConversion"/>
  </si>
  <si>
    <t>MoldShot</t>
    <phoneticPr fontId="1" type="noConversion"/>
  </si>
  <si>
    <t>ItemSales</t>
    <phoneticPr fontId="1" type="noConversion"/>
  </si>
  <si>
    <t>prod.cvic</t>
    <phoneticPr fontId="1" type="noConversion"/>
  </si>
  <si>
    <t>prod.mold</t>
    <phoneticPr fontId="1" type="noConversion"/>
  </si>
  <si>
    <t>prod.jig</t>
    <phoneticPr fontId="1" type="noConversion"/>
  </si>
  <si>
    <t>JigMast</t>
    <phoneticPr fontId="1" type="noConversion"/>
  </si>
  <si>
    <t>MoldList</t>
    <phoneticPr fontId="1" type="noConversion"/>
  </si>
  <si>
    <t>MoldCheck</t>
    <phoneticPr fontId="1" type="noConversion"/>
  </si>
  <si>
    <t>JigList</t>
    <phoneticPr fontId="1" type="noConversion"/>
  </si>
  <si>
    <t>JigCheck</t>
    <phoneticPr fontId="1" type="noConversion"/>
  </si>
  <si>
    <t>qc.basic</t>
    <phoneticPr fontId="1" type="noConversion"/>
  </si>
  <si>
    <t>qc.insp</t>
    <phoneticPr fontId="1" type="noConversion"/>
  </si>
  <si>
    <t>qc.anal</t>
    <phoneticPr fontId="1" type="noConversion"/>
  </si>
  <si>
    <t>sale.order</t>
    <phoneticPr fontId="1" type="noConversion"/>
  </si>
  <si>
    <t>sale.basic</t>
    <phoneticPr fontId="1" type="noConversion"/>
  </si>
  <si>
    <t>sale.spts</t>
    <phoneticPr fontId="1" type="noConversion"/>
  </si>
  <si>
    <t>EtcIsttWork</t>
    <phoneticPr fontId="1" type="noConversion"/>
  </si>
  <si>
    <t>EtcOsttWork</t>
    <phoneticPr fontId="1" type="noConversion"/>
  </si>
  <si>
    <t>ProdOsttWork</t>
    <phoneticPr fontId="1" type="noConversion"/>
  </si>
  <si>
    <t>ProdOsttWait</t>
    <phoneticPr fontId="1" type="noConversion"/>
  </si>
  <si>
    <t>GoodsOsttWork</t>
    <phoneticPr fontId="1" type="noConversion"/>
  </si>
  <si>
    <t>MoveWork</t>
    <phoneticPr fontId="1" type="noConversion"/>
  </si>
  <si>
    <t>stock.isos</t>
    <phoneticPr fontId="1" type="noConversion"/>
  </si>
  <si>
    <t>IsosList</t>
    <phoneticPr fontId="1" type="noConversion"/>
  </si>
  <si>
    <t>prod.basic</t>
    <phoneticPr fontId="1" type="noConversion"/>
  </si>
  <si>
    <t>stock.close</t>
    <phoneticPr fontId="1" type="noConversion"/>
  </si>
  <si>
    <t>stock.lot</t>
    <phoneticPr fontId="1" type="noConversion"/>
  </si>
  <si>
    <t>stock.ddil</t>
    <phoneticPr fontId="1" type="noConversion"/>
  </si>
  <si>
    <t>mtrl.po</t>
    <phoneticPr fontId="1" type="noConversion"/>
  </si>
  <si>
    <t>공정별 설비 관리</t>
    <phoneticPr fontId="1" type="noConversion"/>
  </si>
  <si>
    <t>WkctCvicMast</t>
    <phoneticPr fontId="1" type="noConversion"/>
  </si>
  <si>
    <t>공정별 작업자 관리</t>
    <phoneticPr fontId="1" type="noConversion"/>
  </si>
  <si>
    <t>WkctUserMast</t>
    <phoneticPr fontId="1" type="noConversion"/>
  </si>
  <si>
    <t>사업장 정보 관리</t>
    <phoneticPr fontId="1" type="noConversion"/>
  </si>
  <si>
    <t>BzplMast</t>
    <phoneticPr fontId="1" type="noConversion"/>
  </si>
  <si>
    <t>CstmMast</t>
    <phoneticPr fontId="1" type="noConversion"/>
  </si>
  <si>
    <t>CstmList</t>
    <phoneticPr fontId="1" type="noConversion"/>
  </si>
  <si>
    <t>prod.plan</t>
    <phoneticPr fontId="1" type="noConversion"/>
  </si>
  <si>
    <t>prod.order</t>
    <phoneticPr fontId="1" type="noConversion"/>
  </si>
  <si>
    <t>HldyMast</t>
    <phoneticPr fontId="1" type="noConversion"/>
  </si>
  <si>
    <t>LotIsttOsttList</t>
    <phoneticPr fontId="1" type="noConversion"/>
  </si>
  <si>
    <t>재고실사관리</t>
    <phoneticPr fontId="1" type="noConversion"/>
  </si>
  <si>
    <t>LOT재고실사관리</t>
    <phoneticPr fontId="1" type="noConversion"/>
  </si>
  <si>
    <t>프로젝트관리</t>
    <phoneticPr fontId="1" type="noConversion"/>
  </si>
  <si>
    <t>PrjtMast</t>
    <phoneticPr fontId="1" type="noConversion"/>
  </si>
  <si>
    <t>PrjtProcess</t>
    <phoneticPr fontId="1" type="noConversion"/>
  </si>
  <si>
    <t>PrjtWorkEntry</t>
    <phoneticPr fontId="1" type="noConversion"/>
  </si>
  <si>
    <t>PrjtWorkList</t>
    <phoneticPr fontId="1" type="noConversion"/>
  </si>
  <si>
    <t>매출등록</t>
    <phoneticPr fontId="1" type="noConversion"/>
  </si>
  <si>
    <t>육성 보고</t>
    <phoneticPr fontId="1" type="noConversion"/>
  </si>
  <si>
    <t>육성 리스트</t>
    <phoneticPr fontId="1" type="noConversion"/>
  </si>
  <si>
    <t>TestProd</t>
    <phoneticPr fontId="1" type="noConversion"/>
  </si>
  <si>
    <t>RemkWork</t>
    <phoneticPr fontId="1" type="noConversion"/>
  </si>
  <si>
    <t>RemkList</t>
    <phoneticPr fontId="1" type="noConversion"/>
  </si>
  <si>
    <t>sale.project</t>
    <phoneticPr fontId="1" type="noConversion"/>
  </si>
  <si>
    <t>mtrl.project</t>
    <phoneticPr fontId="1" type="noConversion"/>
  </si>
  <si>
    <t>prod.project</t>
    <phoneticPr fontId="1" type="noConversion"/>
  </si>
  <si>
    <t>qc.project</t>
    <phoneticPr fontId="1" type="noConversion"/>
  </si>
  <si>
    <t>PrjtPurcOrder</t>
    <phoneticPr fontId="1" type="noConversion"/>
  </si>
  <si>
    <t>수주상담관리</t>
    <phoneticPr fontId="1" type="noConversion"/>
  </si>
  <si>
    <t>PrjtWork</t>
    <phoneticPr fontId="1" type="noConversion"/>
  </si>
  <si>
    <t>설계변경 관리</t>
    <phoneticPr fontId="1" type="noConversion"/>
  </si>
  <si>
    <t>PrjtChange</t>
    <phoneticPr fontId="1" type="noConversion"/>
  </si>
  <si>
    <t>261000</t>
    <phoneticPr fontId="1" type="noConversion"/>
  </si>
  <si>
    <t>Module 정보 관리</t>
    <phoneticPr fontId="1" type="noConversion"/>
  </si>
  <si>
    <t>252000</t>
    <phoneticPr fontId="1" type="noConversion"/>
  </si>
  <si>
    <t>260000</t>
    <phoneticPr fontId="1" type="noConversion"/>
  </si>
  <si>
    <t>262000</t>
    <phoneticPr fontId="1" type="noConversion"/>
  </si>
  <si>
    <t>270000</t>
    <phoneticPr fontId="1" type="noConversion"/>
  </si>
  <si>
    <t>280000</t>
    <phoneticPr fontId="1" type="noConversion"/>
  </si>
  <si>
    <t>281000</t>
    <phoneticPr fontId="1" type="noConversion"/>
  </si>
  <si>
    <t>285000</t>
    <phoneticPr fontId="1" type="noConversion"/>
  </si>
  <si>
    <t>286000</t>
    <phoneticPr fontId="1" type="noConversion"/>
  </si>
  <si>
    <t>300000</t>
    <phoneticPr fontId="1" type="noConversion"/>
  </si>
  <si>
    <t>설계 관리</t>
    <phoneticPr fontId="1" type="noConversion"/>
  </si>
  <si>
    <t>대일정계획 관리</t>
    <phoneticPr fontId="1" type="noConversion"/>
  </si>
  <si>
    <t>세부일정계획 관리</t>
    <phoneticPr fontId="1" type="noConversion"/>
  </si>
  <si>
    <t>DsigPlan1</t>
    <phoneticPr fontId="1" type="noConversion"/>
  </si>
  <si>
    <t>DsigWork</t>
    <phoneticPr fontId="1" type="noConversion"/>
  </si>
  <si>
    <t>임원정보</t>
    <phoneticPr fontId="1" type="noConversion"/>
  </si>
  <si>
    <t>종합현황</t>
    <phoneticPr fontId="1" type="noConversion"/>
  </si>
  <si>
    <t>AR List</t>
    <phoneticPr fontId="1" type="noConversion"/>
  </si>
  <si>
    <t>불량현황</t>
    <phoneticPr fontId="1" type="noConversion"/>
  </si>
  <si>
    <t>Load / Capa 현황</t>
    <phoneticPr fontId="1" type="noConversion"/>
  </si>
  <si>
    <t>eis.project</t>
    <phoneticPr fontId="1" type="noConversion"/>
  </si>
  <si>
    <t>ARList</t>
    <phoneticPr fontId="1" type="noConversion"/>
  </si>
  <si>
    <t>PoorReport</t>
    <phoneticPr fontId="1" type="noConversion"/>
  </si>
  <si>
    <t>LoadCapaList</t>
    <phoneticPr fontId="1" type="noConversion"/>
  </si>
  <si>
    <t>대일정계획</t>
    <phoneticPr fontId="1" type="noConversion"/>
  </si>
  <si>
    <t>세부일정계획</t>
    <phoneticPr fontId="1" type="noConversion"/>
  </si>
  <si>
    <t>PrjtProdPlan1</t>
    <phoneticPr fontId="1" type="noConversion"/>
  </si>
  <si>
    <t>PrjtProdPlan2</t>
    <phoneticPr fontId="1" type="noConversion"/>
  </si>
  <si>
    <t>설계작업일지관리</t>
    <phoneticPr fontId="1" type="noConversion"/>
  </si>
  <si>
    <t>작업진행현황</t>
    <phoneticPr fontId="1" type="noConversion"/>
  </si>
  <si>
    <t>PrjtWorkReport</t>
    <phoneticPr fontId="1" type="noConversion"/>
  </si>
  <si>
    <t>시험생산보고</t>
    <phoneticPr fontId="1" type="noConversion"/>
  </si>
  <si>
    <t>시험생산</t>
    <phoneticPr fontId="1" type="noConversion"/>
  </si>
  <si>
    <t>293000</t>
    <phoneticPr fontId="1" type="noConversion"/>
  </si>
  <si>
    <t>294000</t>
    <phoneticPr fontId="1" type="noConversion"/>
  </si>
  <si>
    <t>DsigPlan2</t>
    <phoneticPr fontId="1" type="noConversion"/>
  </si>
  <si>
    <t>EisReport</t>
    <phoneticPr fontId="1" type="noConversion"/>
  </si>
  <si>
    <t>design.project</t>
    <phoneticPr fontId="1" type="noConversion"/>
  </si>
  <si>
    <t>delete from module_mst;</t>
    <phoneticPr fontId="1" type="noConversion"/>
  </si>
  <si>
    <t>ProdInput</t>
    <phoneticPr fontId="1" type="noConversion"/>
  </si>
  <si>
    <t>임율정보 관리</t>
    <phoneticPr fontId="1" type="noConversion"/>
  </si>
  <si>
    <t>LaboRate</t>
    <phoneticPr fontId="1" type="noConversion"/>
  </si>
  <si>
    <t>InspReport</t>
    <phoneticPr fontId="1" type="noConversion"/>
  </si>
  <si>
    <t>PurcIsttWork</t>
    <phoneticPr fontId="1" type="noConversion"/>
  </si>
  <si>
    <t>ERP System</t>
    <phoneticPr fontId="1" type="noConversion"/>
  </si>
  <si>
    <t xml:space="preserve"> 0</t>
  </si>
  <si>
    <t xml:space="preserve"> 1</t>
  </si>
  <si>
    <t>0</t>
    <phoneticPr fontId="5" type="noConversion"/>
  </si>
  <si>
    <t xml:space="preserve"> 9</t>
  </si>
  <si>
    <t xml:space="preserve"> 10001</t>
  </si>
  <si>
    <t xml:space="preserve"> basic</t>
  </si>
  <si>
    <t xml:space="preserve"> epo</t>
  </si>
  <si>
    <t xml:space="preserve"> item</t>
  </si>
  <si>
    <t xml:space="preserve"> user</t>
  </si>
  <si>
    <t xml:space="preserve"> cust</t>
  </si>
  <si>
    <t xml:space="preserve"> vend</t>
  </si>
  <si>
    <t xml:space="preserve"> 10138</t>
  </si>
  <si>
    <t xml:space="preserve"> 10210</t>
  </si>
  <si>
    <t xml:space="preserve"> board</t>
  </si>
  <si>
    <t xml:space="preserve"> 10144</t>
  </si>
  <si>
    <t xml:space="preserve"> 10149</t>
  </si>
  <si>
    <t xml:space="preserve"> zreport</t>
  </si>
  <si>
    <t xml:space="preserve"> 10152</t>
  </si>
  <si>
    <t xml:space="preserve"> report</t>
  </si>
  <si>
    <t xml:space="preserve"> edi</t>
  </si>
  <si>
    <t xml:space="preserve"> recv</t>
  </si>
  <si>
    <t xml:space="preserve"> sale</t>
  </si>
  <si>
    <t xml:space="preserve"> account</t>
  </si>
  <si>
    <t xml:space="preserve"> logi</t>
  </si>
  <si>
    <t xml:space="preserve"> namdemoon</t>
  </si>
  <si>
    <t xml:space="preserve"> salesanddistribution</t>
  </si>
  <si>
    <t xml:space="preserve"> crm</t>
  </si>
  <si>
    <t xml:space="preserve"> pos</t>
  </si>
  <si>
    <t xml:space="preserve"> stock</t>
  </si>
  <si>
    <t xml:space="preserve"> move</t>
  </si>
  <si>
    <t xml:space="preserve"> plan</t>
  </si>
  <si>
    <t xml:space="preserve"> eis</t>
  </si>
  <si>
    <t xml:space="preserve"> erp</t>
  </si>
  <si>
    <t xml:space="preserve"> scm</t>
  </si>
  <si>
    <t xml:space="preserve"> shop</t>
  </si>
  <si>
    <t xml:space="preserve"> bill</t>
  </si>
  <si>
    <t>CodeInfo</t>
  </si>
  <si>
    <t>BaseInfo</t>
  </si>
  <si>
    <t>BankInfo</t>
  </si>
  <si>
    <t>TackbaeNoWork</t>
  </si>
  <si>
    <t>ChainInfo</t>
  </si>
  <si>
    <t>ChainOpen</t>
  </si>
  <si>
    <t>ChainSetupInfo</t>
  </si>
  <si>
    <t>EpoCourse</t>
  </si>
  <si>
    <t>SalesAccount</t>
  </si>
  <si>
    <t>ModiReason</t>
  </si>
  <si>
    <t>ItemZone</t>
  </si>
  <si>
    <t>ItemClass</t>
  </si>
  <si>
    <t>ItemUnit</t>
  </si>
  <si>
    <t>ItemBrand</t>
  </si>
  <si>
    <t>ItemMfg</t>
  </si>
  <si>
    <t>ItemOrigine</t>
  </si>
  <si>
    <t>ItemNotice</t>
  </si>
  <si>
    <t>ItemBarcode</t>
  </si>
  <si>
    <t>ItemKeymap</t>
  </si>
  <si>
    <t>ItemKeymapDetail</t>
  </si>
  <si>
    <t>RankInfo</t>
  </si>
  <si>
    <t>CustBaseInfo</t>
  </si>
  <si>
    <t>CustClass1</t>
  </si>
  <si>
    <t>CustClass2</t>
  </si>
  <si>
    <t>CustClass3</t>
  </si>
  <si>
    <t>CustClass4</t>
  </si>
  <si>
    <t>CustClass6</t>
  </si>
  <si>
    <t>CustClass5</t>
  </si>
  <si>
    <t>InvoiceClose</t>
  </si>
  <si>
    <t>MonthlySaleClose</t>
  </si>
  <si>
    <t>CloseControl</t>
  </si>
  <si>
    <t>VendClass3</t>
  </si>
  <si>
    <t>VendClass1</t>
  </si>
  <si>
    <t>VendClass4</t>
  </si>
  <si>
    <t>VendClass2</t>
  </si>
  <si>
    <t>VendBaseInfo</t>
  </si>
  <si>
    <t>VendClass5</t>
  </si>
  <si>
    <t>VendClass6</t>
  </si>
  <si>
    <t>TotalNotice</t>
  </si>
  <si>
    <t>NoticeViewer</t>
  </si>
  <si>
    <t>ChainNoticeBoard</t>
  </si>
  <si>
    <t>WebManager</t>
  </si>
  <si>
    <t>CustShare</t>
  </si>
  <si>
    <t>CustStore</t>
  </si>
  <si>
    <t>CustArList</t>
  </si>
  <si>
    <t>LongTermArList</t>
  </si>
  <si>
    <t>MonthlyArRpt</t>
  </si>
  <si>
    <t>CustSaleControlWork</t>
  </si>
  <si>
    <t>CustSaleControl</t>
  </si>
  <si>
    <t>PointAddon</t>
  </si>
  <si>
    <t>PointReport</t>
  </si>
  <si>
    <t>CustOrderRpt</t>
  </si>
  <si>
    <t>CustClassOrderRpt</t>
  </si>
  <si>
    <t>CustPersonRpt</t>
  </si>
  <si>
    <t>CustSaleRpt</t>
  </si>
  <si>
    <t>CustClassSaleRpt</t>
  </si>
  <si>
    <t>CustItemRpt</t>
  </si>
  <si>
    <t>CustLedgerRpt</t>
  </si>
  <si>
    <t>VendScm</t>
  </si>
  <si>
    <t>VendStore</t>
  </si>
  <si>
    <t>VendorInfo</t>
  </si>
  <si>
    <t>EdiBookMark</t>
  </si>
  <si>
    <t>EdiWork</t>
  </si>
  <si>
    <t>EdiOrderWork</t>
  </si>
  <si>
    <t>EdiPromotion</t>
  </si>
  <si>
    <t>EdiRecvList</t>
  </si>
  <si>
    <t>EdiRetReq</t>
  </si>
  <si>
    <t>EdiBook</t>
  </si>
  <si>
    <t>PoWork</t>
  </si>
  <si>
    <t>PoConfirm</t>
  </si>
  <si>
    <t>RecvScmList</t>
  </si>
  <si>
    <t>PoStsList</t>
  </si>
  <si>
    <t>EdiRecvRetWork</t>
  </si>
  <si>
    <t>PoList</t>
  </si>
  <si>
    <t>RecvCheck</t>
  </si>
  <si>
    <t>RecvWork</t>
  </si>
  <si>
    <t>RecvList</t>
  </si>
  <si>
    <t>RecvRetWork</t>
  </si>
  <si>
    <t>ApWork</t>
  </si>
  <si>
    <t>ApList</t>
  </si>
  <si>
    <t>RecvTaxList</t>
  </si>
  <si>
    <t>RecvLedger</t>
  </si>
  <si>
    <t>RecvStoreRpt</t>
  </si>
  <si>
    <t>RecvVendorRpt</t>
  </si>
  <si>
    <t>RecvUserRpt</t>
  </si>
  <si>
    <t>RecvItemRpt</t>
  </si>
  <si>
    <t>RecvItemMfgRpt</t>
  </si>
  <si>
    <t>RecvAnalysisRpt</t>
  </si>
  <si>
    <t>RecvVendorTotal</t>
  </si>
  <si>
    <t>EstiWork</t>
  </si>
  <si>
    <t>EstiList</t>
  </si>
  <si>
    <t>OrderAcceptor</t>
  </si>
  <si>
    <t>OrderWork</t>
  </si>
  <si>
    <t>OrderList</t>
  </si>
  <si>
    <t>OnlineOrderList</t>
  </si>
  <si>
    <t>ReturnWork</t>
  </si>
  <si>
    <t>OrderRegi</t>
  </si>
  <si>
    <t>SaleCheck</t>
  </si>
  <si>
    <t>DeliveryClose</t>
  </si>
  <si>
    <t>TempSaleList</t>
  </si>
  <si>
    <t>SaleWork</t>
  </si>
  <si>
    <t>SaleNotList</t>
  </si>
  <si>
    <t>PreArWork</t>
  </si>
  <si>
    <t>SaleReportPrint</t>
  </si>
  <si>
    <t>ArWork</t>
  </si>
  <si>
    <t>ArList</t>
  </si>
  <si>
    <t>SaleTaxWork</t>
  </si>
  <si>
    <t>SaleTaxList</t>
  </si>
  <si>
    <t>EtcSaleWork</t>
  </si>
  <si>
    <t>AccountMgr</t>
  </si>
  <si>
    <t>AdvancesManage</t>
  </si>
  <si>
    <t>AdvancesAnalysis</t>
  </si>
  <si>
    <t>OrderStoreRpt</t>
  </si>
  <si>
    <t>OrderUserRpt</t>
  </si>
  <si>
    <t>OrderAreaRpt</t>
  </si>
  <si>
    <t>OrderItemRpt</t>
  </si>
  <si>
    <t>OrderItemClassRpt</t>
  </si>
  <si>
    <t>OrderItemMfgRpt</t>
  </si>
  <si>
    <t>OrderVendorRpt</t>
  </si>
  <si>
    <t>OrderBrandRpt</t>
  </si>
  <si>
    <t>OrderDailyRpt</t>
  </si>
  <si>
    <t>OrderCustRpt</t>
  </si>
  <si>
    <t>PromoWork</t>
  </si>
  <si>
    <t>ProjectItem</t>
  </si>
  <si>
    <t>ProjectCust</t>
  </si>
  <si>
    <t>PoSale</t>
  </si>
  <si>
    <t>TackbaeNoPrint</t>
  </si>
  <si>
    <t>TackbaeSaleWork</t>
  </si>
  <si>
    <t>TackbaePrintList</t>
  </si>
  <si>
    <t>FaxDetail</t>
  </si>
  <si>
    <t>SaleStoreRpt</t>
  </si>
  <si>
    <t>SaleSalesmanRpt</t>
  </si>
  <si>
    <t>SaleAreaRpt</t>
  </si>
  <si>
    <t>SaleItemRpt</t>
  </si>
  <si>
    <t>SaleItemClassRpt</t>
  </si>
  <si>
    <t>SaleItemMfgRpt</t>
  </si>
  <si>
    <t>SaleVendorRpt</t>
  </si>
  <si>
    <t>SaleBrandRpt</t>
  </si>
  <si>
    <t>SaleDailyRpt</t>
  </si>
  <si>
    <t>SaleCustRpt</t>
  </si>
  <si>
    <t>SaleMonthRpt</t>
  </si>
  <si>
    <t>ChainSalebenefitRate</t>
  </si>
  <si>
    <t>MonthCustSaleRpt</t>
  </si>
  <si>
    <t>GeneralSaleRpt</t>
  </si>
  <si>
    <t>SaleList</t>
  </si>
  <si>
    <t>SaleSumList</t>
  </si>
  <si>
    <t>ChainReport</t>
  </si>
  <si>
    <t>CsWork</t>
  </si>
  <si>
    <t>ComAccept</t>
  </si>
  <si>
    <t>JungsanReport</t>
  </si>
  <si>
    <t>PaygateReport</t>
  </si>
  <si>
    <t>StockList</t>
  </si>
  <si>
    <t>StockSummaryList</t>
  </si>
  <si>
    <t>StockSummaryBalance</t>
  </si>
  <si>
    <t>StockTurnoverRate</t>
  </si>
  <si>
    <t>StockTrackingList</t>
  </si>
  <si>
    <t>EtcOutWork</t>
  </si>
  <si>
    <t>EtcOutList</t>
  </si>
  <si>
    <t>StockCheckWork</t>
  </si>
  <si>
    <t>StockUploadExcel</t>
  </si>
  <si>
    <t>StockCountManager</t>
  </si>
  <si>
    <t>StockCountWork</t>
  </si>
  <si>
    <t>StockCountConfirm</t>
  </si>
  <si>
    <t>StockCountPartManager</t>
  </si>
  <si>
    <t>StockCountPartWork</t>
  </si>
  <si>
    <t>StockModiWork</t>
  </si>
  <si>
    <t>StockModiList</t>
  </si>
  <si>
    <t>SubulMonthWork</t>
  </si>
  <si>
    <t>SubulMonthSumPrint</t>
  </si>
  <si>
    <t>SubulMonthLedgerPrint</t>
  </si>
  <si>
    <t>SubulYearWork</t>
  </si>
  <si>
    <t>SubulYearSumPrint</t>
  </si>
  <si>
    <t>SubulYearLedgerPrint</t>
  </si>
  <si>
    <t>MoveReqWork</t>
  </si>
  <si>
    <t>MoveReqList</t>
  </si>
  <si>
    <t>MoveSaleWork</t>
  </si>
  <si>
    <t>MoveSaleList</t>
  </si>
  <si>
    <t>MoveRecvWork</t>
  </si>
  <si>
    <t>MoveRecvList</t>
  </si>
  <si>
    <t>MoveSaleCheck</t>
  </si>
  <si>
    <t>MoveRecvCheck</t>
  </si>
  <si>
    <t>MoveSaleStoreRpt</t>
  </si>
  <si>
    <t>MoveSaleUserRpt</t>
  </si>
  <si>
    <t>MoveSaleItemRpt</t>
  </si>
  <si>
    <t>MoveRecvstoreRpt</t>
  </si>
  <si>
    <t>MoveRecvUserRpt</t>
  </si>
  <si>
    <t>MoveRecvItemRpt</t>
  </si>
  <si>
    <t>MoveInOutRpt</t>
  </si>
  <si>
    <t>YearPlanWork</t>
  </si>
  <si>
    <t>YearPlanList</t>
  </si>
  <si>
    <t>SaleActSum</t>
  </si>
  <si>
    <t>PlanAnalysis</t>
  </si>
  <si>
    <t>QuickRpt</t>
  </si>
  <si>
    <t>SaleAnalysis</t>
  </si>
  <si>
    <t>SaleChannelAnalysis</t>
  </si>
  <si>
    <t>GmsCustSaleAnalysis</t>
  </si>
  <si>
    <t>GmsVendRecvAnalysis</t>
  </si>
  <si>
    <t>CustMonthSaleRpt</t>
  </si>
  <si>
    <t>ChainSaleAnalysis</t>
  </si>
  <si>
    <t>SaleMonthAnalysis</t>
  </si>
  <si>
    <t>RecvAnalysis</t>
  </si>
  <si>
    <t>RecvMonthAnalysis</t>
  </si>
  <si>
    <t>ArMonthAnalysis</t>
  </si>
  <si>
    <t>StockMonthAnalysis</t>
  </si>
  <si>
    <t>ApAnalysis</t>
  </si>
  <si>
    <t>GmsClose</t>
  </si>
  <si>
    <t>SaleStockReport</t>
  </si>
  <si>
    <t>ScmVendorInfo</t>
  </si>
  <si>
    <t>ScmOrderList</t>
  </si>
  <si>
    <t>ScmOrderWork</t>
  </si>
  <si>
    <t>ScmSaleWork</t>
  </si>
  <si>
    <t>ScmSaleList</t>
  </si>
  <si>
    <t>ScmBillStandby</t>
  </si>
  <si>
    <t>ShopInfo</t>
  </si>
  <si>
    <t>ShopUserInfo</t>
  </si>
  <si>
    <t>ShopAccount</t>
  </si>
  <si>
    <t>ShopStore</t>
  </si>
  <si>
    <t>BrandInfo</t>
  </si>
  <si>
    <t>BoardInfo</t>
  </si>
  <si>
    <t>ShopJoinChannel</t>
  </si>
  <si>
    <t>ShopLeaveReason</t>
  </si>
  <si>
    <t>ShopCancelReason</t>
  </si>
  <si>
    <t>ShopZipcode</t>
  </si>
  <si>
    <t>ShopZipFee</t>
  </si>
  <si>
    <t>ShopOrder</t>
  </si>
  <si>
    <t>ShopDeposit</t>
  </si>
  <si>
    <t>ShopRefund</t>
  </si>
  <si>
    <t>BankStatement</t>
  </si>
  <si>
    <t>ShopNotice</t>
  </si>
  <si>
    <t>ShopFAQ</t>
  </si>
  <si>
    <t>ShopVOC</t>
  </si>
  <si>
    <t>ShopQuestion</t>
  </si>
  <si>
    <t>ShopItemQA</t>
  </si>
  <si>
    <t>ShopJoinReq</t>
  </si>
  <si>
    <t>ShopReqEsti</t>
  </si>
  <si>
    <t>ShopReqItem</t>
  </si>
  <si>
    <t>ShopCatalogue</t>
  </si>
  <si>
    <t>ShopCallVisit</t>
  </si>
  <si>
    <t>ShopPopup</t>
  </si>
  <si>
    <t>ShopEvent</t>
  </si>
  <si>
    <t>ShopEventCust</t>
  </si>
  <si>
    <t>ShopPromotion</t>
  </si>
  <si>
    <t>CateInfo</t>
  </si>
  <si>
    <t>CateItem</t>
  </si>
  <si>
    <t>ItemCate</t>
  </si>
  <si>
    <t>CateItemMd</t>
  </si>
  <si>
    <t>ShopItemHits</t>
  </si>
  <si>
    <t>TonerItem</t>
  </si>
  <si>
    <t>ItemToner</t>
  </si>
  <si>
    <t>StoreCateInfo</t>
  </si>
  <si>
    <t>StoreCateItem</t>
  </si>
  <si>
    <t>StoreItemCate</t>
  </si>
  <si>
    <t>StorePopup</t>
  </si>
  <si>
    <t>StoreEvent</t>
  </si>
  <si>
    <t>StoreEventCust</t>
  </si>
  <si>
    <t>StorePromotion</t>
  </si>
  <si>
    <t>ShopCustConfirm</t>
  </si>
  <si>
    <t>ShopCustMemb</t>
  </si>
  <si>
    <t>ShopCustGroup</t>
  </si>
  <si>
    <t>ShopCustInfo</t>
  </si>
  <si>
    <t>ShopCustItem</t>
  </si>
  <si>
    <t>B2BCustGroup</t>
  </si>
  <si>
    <t>B2BCustInfo</t>
  </si>
  <si>
    <t>ShopItemInfo</t>
  </si>
  <si>
    <t>DirectSaleWork</t>
  </si>
  <si>
    <t>SaleStsList</t>
  </si>
  <si>
    <t>StandByList</t>
  </si>
  <si>
    <t>기준정보 관리</t>
    <phoneticPr fontId="1" type="noConversion"/>
  </si>
  <si>
    <t>기초코드</t>
    <phoneticPr fontId="1" type="noConversion"/>
  </si>
  <si>
    <t>기초 코드 관리</t>
    <phoneticPr fontId="1" type="noConversion"/>
  </si>
  <si>
    <t>명칭코드 관리</t>
    <phoneticPr fontId="1" type="noConversion"/>
  </si>
  <si>
    <t>시스템 코드 관리</t>
  </si>
  <si>
    <t>사업장 정보 관리</t>
  </si>
  <si>
    <t>은행 계좌 관리</t>
  </si>
  <si>
    <t>택배 송장 관리</t>
  </si>
  <si>
    <t>체인점 정보 관리</t>
  </si>
  <si>
    <t>체인점 개설정보 관리</t>
  </si>
  <si>
    <t>체인점 설치코드 관리</t>
  </si>
  <si>
    <t>EDI발주 코스 관리</t>
  </si>
  <si>
    <t>매출 계정 관리</t>
  </si>
  <si>
    <t>기타 출고 구분</t>
  </si>
  <si>
    <t>보관 위치 코드 관리</t>
  </si>
  <si>
    <t>상품 분류 코드 관리</t>
  </si>
  <si>
    <t>상품 단위 코드 관리</t>
  </si>
  <si>
    <t>상품 브랜드 코드 관리</t>
  </si>
  <si>
    <t>상품 제조사 코드 관리</t>
  </si>
  <si>
    <t>상품 원산지 코드 관리</t>
  </si>
  <si>
    <t>상품 고시 코드 관리</t>
  </si>
  <si>
    <t>바코드 출력 작업</t>
  </si>
  <si>
    <t>키맵 분류</t>
  </si>
  <si>
    <t>키맵 메뉴</t>
  </si>
  <si>
    <t>고객 기초 코드 관리</t>
  </si>
  <si>
    <t>고객 분류1 코드 관리</t>
  </si>
  <si>
    <t>고객 분류2 코드 관리</t>
  </si>
  <si>
    <t>고객 분류3 코드 관리</t>
  </si>
  <si>
    <t>수금 기일 코드 관리</t>
  </si>
  <si>
    <t>배달 경로 코드 관리</t>
  </si>
  <si>
    <t>수금 방법 코드 관리</t>
  </si>
  <si>
    <t>마감 통제</t>
  </si>
  <si>
    <t>매출 마감</t>
  </si>
  <si>
    <t>마감통제(삭제)</t>
  </si>
  <si>
    <t>매입사 기초</t>
  </si>
  <si>
    <t>매입사 분류3 코드 관리</t>
  </si>
  <si>
    <t>매입사 분류1 코드 관리</t>
  </si>
  <si>
    <t>매입사 지급 기일 코드 관리</t>
  </si>
  <si>
    <t>매입사 분류2 코드 관리</t>
  </si>
  <si>
    <t>매입사 기초 코드 관리</t>
  </si>
  <si>
    <t>매입사 지급 방법 코드 관리</t>
  </si>
  <si>
    <t>매입사 배달 경로 코드 관리</t>
  </si>
  <si>
    <t>공지사항</t>
  </si>
  <si>
    <t>전체 공지사항</t>
  </si>
  <si>
    <t>체인점 게시판</t>
  </si>
  <si>
    <t>웹관리자</t>
  </si>
  <si>
    <t>상품 공통 키맵관리</t>
  </si>
  <si>
    <t>직영점 고객 정보 관리</t>
  </si>
  <si>
    <t>사업장 고객 정보 관리</t>
  </si>
  <si>
    <t>미수 고객 현황</t>
  </si>
  <si>
    <t>장기 미수 고객 현황</t>
  </si>
  <si>
    <t>월별 미수금 보고서</t>
  </si>
  <si>
    <t>출하통제관리</t>
  </si>
  <si>
    <t>출하통제현황</t>
  </si>
  <si>
    <t>포인트 적립현황 및 수기적립</t>
  </si>
  <si>
    <t>고객 포인트 적립 현황</t>
  </si>
  <si>
    <t>고객별 주문 현황</t>
  </si>
  <si>
    <t>고객분류별 주문 현황</t>
  </si>
  <si>
    <t>매출유형별 주문 현황</t>
  </si>
  <si>
    <t>고객별 매출 현황</t>
  </si>
  <si>
    <t>고객분류별 매출 현황</t>
  </si>
  <si>
    <t>상품별 고객분류별 매출 현황</t>
  </si>
  <si>
    <t>고객별 거래원장</t>
  </si>
  <si>
    <t>직납사 정보 관리</t>
  </si>
  <si>
    <t>매입처 정보 관리</t>
  </si>
  <si>
    <t>다중 매장 매입처 정보 관리</t>
  </si>
  <si>
    <t>EDI 품목 정보</t>
  </si>
  <si>
    <t>EDI 주문 등록</t>
  </si>
  <si>
    <t>EDI 주문 현황</t>
  </si>
  <si>
    <t>EDI 프로모션 주문</t>
  </si>
  <si>
    <t>EDI 매입 대기 현황</t>
  </si>
  <si>
    <t>반품 요청 등록</t>
  </si>
  <si>
    <t>거래원장</t>
  </si>
  <si>
    <t>발주 요청</t>
  </si>
  <si>
    <t>발주 승인</t>
  </si>
  <si>
    <t>직납 매입 대기 현황</t>
  </si>
  <si>
    <t>납품 진행 현황</t>
  </si>
  <si>
    <t>EDI 발주 반품 관리</t>
  </si>
  <si>
    <t>발주 현황</t>
  </si>
  <si>
    <t>입고 검수</t>
  </si>
  <si>
    <t>입고 관리</t>
  </si>
  <si>
    <t>입고 현황</t>
  </si>
  <si>
    <t>입고 반품 관리</t>
  </si>
  <si>
    <t>EDI 입고 반품 관리</t>
  </si>
  <si>
    <t>지급관리</t>
  </si>
  <si>
    <t>지급현황</t>
  </si>
  <si>
    <t>매입 세금계산서 발행 현황</t>
  </si>
  <si>
    <t>매입 거래원장</t>
  </si>
  <si>
    <t>사업장별 매입현황</t>
  </si>
  <si>
    <t>매입처별 매입현황</t>
  </si>
  <si>
    <t>구매담당별 매입현황</t>
  </si>
  <si>
    <t>상품별 매입 현황</t>
  </si>
  <si>
    <t>제조사별 매입 현황</t>
  </si>
  <si>
    <t>공급사별 매입 현황</t>
  </si>
  <si>
    <t>매입실적 분석(최저가분석)</t>
  </si>
  <si>
    <t>사업장별 매입현황 총괄표</t>
  </si>
  <si>
    <t>견적 관리</t>
  </si>
  <si>
    <t>견적 현황</t>
  </si>
  <si>
    <t>주문서 접수</t>
  </si>
  <si>
    <t>주문서 관리</t>
  </si>
  <si>
    <t>주문서 현황</t>
  </si>
  <si>
    <t>온라인 주문 현황</t>
  </si>
  <si>
    <t>반품 주문서 관리</t>
  </si>
  <si>
    <t>주문서 등록</t>
  </si>
  <si>
    <t>주문 매출 검수</t>
  </si>
  <si>
    <t>배송(매출)완료 현황</t>
  </si>
  <si>
    <t>가매출 현황</t>
  </si>
  <si>
    <t>매출 작업</t>
  </si>
  <si>
    <t>미출고 현황</t>
  </si>
  <si>
    <t>선수금 결제 확정</t>
  </si>
  <si>
    <t>거래명세서 임의 발행</t>
  </si>
  <si>
    <t>수금 관리</t>
  </si>
  <si>
    <t>수금 현황</t>
  </si>
  <si>
    <t>세금계산서 발행</t>
  </si>
  <si>
    <t>세금계산서 현황</t>
  </si>
  <si>
    <t>기타매출 관리</t>
  </si>
  <si>
    <t>매출 수금 기표</t>
  </si>
  <si>
    <t>선수금 관리</t>
  </si>
  <si>
    <t>선수금 상세</t>
  </si>
  <si>
    <t>사업장별 주문 현황</t>
  </si>
  <si>
    <t>영업담당별 주문 현황</t>
  </si>
  <si>
    <t>지역별 주문 현황</t>
  </si>
  <si>
    <t>상품별 주문 현황</t>
  </si>
  <si>
    <t>상품 분류별 주문 현황</t>
  </si>
  <si>
    <t>제조사별 주문 현황</t>
  </si>
  <si>
    <t>매입처별 주문 현황</t>
  </si>
  <si>
    <t>브랜드별 주문 현황</t>
  </si>
  <si>
    <t>일자별 주문집계 현황</t>
  </si>
  <si>
    <t>주문 고객별 매출현황</t>
  </si>
  <si>
    <t>EDI발주 프로모션 관리</t>
  </si>
  <si>
    <t>행사출고 기획</t>
  </si>
  <si>
    <t>행사출고 대상 선별</t>
  </si>
  <si>
    <t>정책출고관리</t>
  </si>
  <si>
    <t>택배 송장 발행</t>
  </si>
  <si>
    <t>택배출고관리</t>
  </si>
  <si>
    <t>송장발행내역</t>
  </si>
  <si>
    <t>FAX 전송 현황</t>
  </si>
  <si>
    <t>사업장별 매출 현황</t>
  </si>
  <si>
    <t>영업담당별 매출 현황</t>
  </si>
  <si>
    <t>지역별 매출 현황</t>
  </si>
  <si>
    <t>상품별 매출 현황</t>
  </si>
  <si>
    <t>상품 분류별 매출 현황</t>
  </si>
  <si>
    <t>제조사별 매출 현황</t>
  </si>
  <si>
    <t>매입처별 매출 현황</t>
  </si>
  <si>
    <t>브랜드별 매출 현황</t>
  </si>
  <si>
    <t>일자별 매출 집계 현황</t>
  </si>
  <si>
    <t>월별 매출 현황</t>
  </si>
  <si>
    <t>체인점 매출 이익율 보고서</t>
  </si>
  <si>
    <t>월별 고객 매출 현황</t>
  </si>
  <si>
    <t>매출 현황</t>
  </si>
  <si>
    <t>매출명세서 조회</t>
  </si>
  <si>
    <t>매출 집계표 조회</t>
  </si>
  <si>
    <t>체인점관리일지</t>
  </si>
  <si>
    <t>고객통화관리</t>
  </si>
  <si>
    <t>고객 상담 현황</t>
  </si>
  <si>
    <t>체인점정보관리</t>
  </si>
  <si>
    <t>포스 마감/정산 리포트</t>
  </si>
  <si>
    <t>현금/카드 승인 리포트</t>
  </si>
  <si>
    <t>재고 현황</t>
  </si>
  <si>
    <t>종합 수불현황 보고서</t>
  </si>
  <si>
    <t>재고 회전율 분석</t>
  </si>
  <si>
    <t>전사 재고 총괄표</t>
  </si>
  <si>
    <t>재고 위치 추적 현황</t>
  </si>
  <si>
    <t>출고 현황</t>
  </si>
  <si>
    <t>기타 출고/소모품 관리</t>
  </si>
  <si>
    <t>기타 출고/소모품 현황</t>
  </si>
  <si>
    <t>재고실사 관리</t>
  </si>
  <si>
    <t>재고실사 엑셀 업로드</t>
  </si>
  <si>
    <t>재고실사관리(Manager)</t>
  </si>
  <si>
    <t>재고 실사 계획 관리</t>
  </si>
  <si>
    <t>재고 실사 등록</t>
  </si>
  <si>
    <t>재고 실사 ?확정</t>
  </si>
  <si>
    <t>부분 실사 계획 관리</t>
  </si>
  <si>
    <t>부분 실사 등록</t>
  </si>
  <si>
    <t>결합 해체 관리</t>
  </si>
  <si>
    <t>재고 조정 현황</t>
  </si>
  <si>
    <t>월 수불금액 정산</t>
  </si>
  <si>
    <t>월 수불 집계표 발행</t>
  </si>
  <si>
    <t>월 수불대장 발행</t>
  </si>
  <si>
    <t>년 수불금액 정산</t>
  </si>
  <si>
    <t>년 수불 집계표 발행</t>
  </si>
  <si>
    <t>년 수불대장 발행</t>
  </si>
  <si>
    <t>재고 이동 요청 관리</t>
  </si>
  <si>
    <t>재고 이동 요청 현황</t>
  </si>
  <si>
    <t>재고 이동 출고 관리</t>
  </si>
  <si>
    <t>재고 이동 출고 현황</t>
  </si>
  <si>
    <t>재고 이동 입고 관리</t>
  </si>
  <si>
    <t>재고 이동 입고 현황</t>
  </si>
  <si>
    <t>재고 이동 출고 검수</t>
  </si>
  <si>
    <t>재고 이동 입고 검수</t>
  </si>
  <si>
    <t>이동현황 보고서</t>
  </si>
  <si>
    <t>사업장별 이동 출고현황</t>
  </si>
  <si>
    <t>담당별 이동 출고 현황</t>
  </si>
  <si>
    <t>상품별 이동 출고 현황</t>
  </si>
  <si>
    <t>지점별 이동 입고 현황</t>
  </si>
  <si>
    <t>담당별 이동 입고 현황</t>
  </si>
  <si>
    <t>상품별 이동 입고 현황</t>
  </si>
  <si>
    <t>내부거래 출/입고 집계 현황</t>
  </si>
  <si>
    <t/>
  </si>
  <si>
    <t>년간 사업계획 관리</t>
  </si>
  <si>
    <t>사업계획 조회</t>
  </si>
  <si>
    <t>영업실적 집계</t>
  </si>
  <si>
    <t>계획대비 실적 분석</t>
  </si>
  <si>
    <t>경영속보</t>
  </si>
  <si>
    <t>사업장별 매출현황 보고서</t>
  </si>
  <si>
    <t>매출처별 매출 현황</t>
  </si>
  <si>
    <t>매입처별 매입 현황</t>
  </si>
  <si>
    <t>고객별 월별 매출현황</t>
  </si>
  <si>
    <t>체인점별 전년대비 매출분석현황</t>
  </si>
  <si>
    <t>매출 분석</t>
  </si>
  <si>
    <t>매입 현황</t>
  </si>
  <si>
    <t>매입 분석</t>
  </si>
  <si>
    <t>미수현황</t>
  </si>
  <si>
    <t>재고현황</t>
  </si>
  <si>
    <t>재고 증감 리포트</t>
  </si>
  <si>
    <t>월 매입/매출 마감현황</t>
  </si>
  <si>
    <t>본사 미지급 정보</t>
  </si>
  <si>
    <t>마감작업</t>
  </si>
  <si>
    <t>미회전 상품 현황</t>
  </si>
  <si>
    <t>더존 회계 연동 등록</t>
  </si>
  <si>
    <t>더존 회계 연동 조회</t>
  </si>
  <si>
    <t>자동 분개 메뉴 관리</t>
  </si>
  <si>
    <t>직배 업체 상품 관리</t>
  </si>
  <si>
    <t>발주 잔량 조회</t>
  </si>
  <si>
    <t>직배 매입/매출 확정</t>
  </si>
  <si>
    <t>납품관리</t>
  </si>
  <si>
    <t>납품현황</t>
  </si>
  <si>
    <t>정산 대기 현황</t>
  </si>
  <si>
    <t>쇼핑몰 정보 관리</t>
  </si>
  <si>
    <t>쇼핑몰 계정 관리</t>
  </si>
  <si>
    <t>쇼핑몰 계좌 관리</t>
  </si>
  <si>
    <t>사업장 옵션 관리</t>
  </si>
  <si>
    <t>브랜드 로고 관리</t>
  </si>
  <si>
    <t>게시판 정보 관리</t>
  </si>
  <si>
    <t>회원 가입 경로 관리</t>
  </si>
  <si>
    <t>회원 탈퇴 사유 관리</t>
  </si>
  <si>
    <t>취소/반품 사유 관리</t>
  </si>
  <si>
    <t>쇼핑몰 배송권역 관리</t>
  </si>
  <si>
    <t>도서지역 배송비 관리</t>
  </si>
  <si>
    <t>쇼핑몰 주문 현황</t>
  </si>
  <si>
    <t>계좌 입금 작업</t>
  </si>
  <si>
    <t>계좌 환불 처리</t>
  </si>
  <si>
    <t>계좌 입금/환불 현황</t>
  </si>
  <si>
    <t>공지 사항</t>
  </si>
  <si>
    <t>FAQ</t>
  </si>
  <si>
    <t>고객의 소리</t>
  </si>
  <si>
    <t>1:1 문의 게시판</t>
  </si>
  <si>
    <t>상품 문의 게시판</t>
  </si>
  <si>
    <t>입점 문의 게시판</t>
  </si>
  <si>
    <t>대량 견적 문의 게시판</t>
  </si>
  <si>
    <t>구매대행 요청 게시판</t>
  </si>
  <si>
    <t>카다로그 신청 게시판</t>
  </si>
  <si>
    <t>영업사원 방문 신청 게시판</t>
  </si>
  <si>
    <t>팝업 이벤트 관리</t>
  </si>
  <si>
    <t>배너 이벤트 관리</t>
  </si>
  <si>
    <t>참여 이벤트 관리</t>
  </si>
  <si>
    <t>할인 프로모션 관리</t>
  </si>
  <si>
    <t>쇼핑몰 전시 분류 코드 관리</t>
  </si>
  <si>
    <t>쇼핑몰 전시 분류 상품 관리</t>
  </si>
  <si>
    <t>쇼핑몰 전시 분류 상품 현황</t>
  </si>
  <si>
    <t>쇼핑몰 전시 분류 MD 추천</t>
  </si>
  <si>
    <t>판매 순위별 상품 전시 관리</t>
  </si>
  <si>
    <t>잉크/토너 카테고리 상품 관리</t>
  </si>
  <si>
    <t>잉크/토너 카테고리 상품 현황</t>
  </si>
  <si>
    <t>독립몰 전시 분류 코드 관리</t>
  </si>
  <si>
    <t>독립몰 전시 분류 상품 관리</t>
  </si>
  <si>
    <t>독립몰 전시 분류 상품 현황</t>
  </si>
  <si>
    <t>독립몰 팝업 이벤트 관리</t>
  </si>
  <si>
    <t>독립몰 배너 이벤트 관리</t>
  </si>
  <si>
    <t>독립몰 참여 이벤트 관리</t>
  </si>
  <si>
    <t>독립몰 할인 이벤트 관리</t>
  </si>
  <si>
    <t>승인 대기 회원 관리</t>
  </si>
  <si>
    <t>통합 회원 코드 관리</t>
  </si>
  <si>
    <t>기업 회원 그룹 관리</t>
  </si>
  <si>
    <t>기업 회원 코드 관리</t>
  </si>
  <si>
    <t>기업 회원 상품 관리</t>
  </si>
  <si>
    <t>B2B 계약 그룹 관리</t>
  </si>
  <si>
    <t>B2B 계약 고객 관리</t>
  </si>
  <si>
    <t>쇼핑몰 전시 상품 관리</t>
  </si>
  <si>
    <t>납품 관리</t>
  </si>
  <si>
    <t>납품 현황</t>
  </si>
  <si>
    <t>직접 배송 관리</t>
  </si>
  <si>
    <t>정산 현황</t>
  </si>
  <si>
    <t xml:space="preserve"> </t>
    <phoneticPr fontId="1" type="noConversion"/>
  </si>
  <si>
    <t xml:space="preserve"> 0</t>
    <phoneticPr fontId="1" type="noConversion"/>
  </si>
  <si>
    <t xml:space="preserve"> 1</t>
    <phoneticPr fontId="1" type="noConversion"/>
  </si>
  <si>
    <t>0</t>
    <phoneticPr fontId="1" type="noConversion"/>
  </si>
  <si>
    <t>상품정보 관리</t>
    <phoneticPr fontId="1" type="noConversion"/>
  </si>
  <si>
    <t>고객정보 관리</t>
    <phoneticPr fontId="1" type="noConversion"/>
  </si>
  <si>
    <t>공지사항열람</t>
    <phoneticPr fontId="1" type="noConversion"/>
  </si>
  <si>
    <t>2000000</t>
    <phoneticPr fontId="1" type="noConversion"/>
  </si>
  <si>
    <t>2110100</t>
    <phoneticPr fontId="1" type="noConversion"/>
  </si>
  <si>
    <t>2110200</t>
    <phoneticPr fontId="1" type="noConversion"/>
  </si>
  <si>
    <t>2010101</t>
    <phoneticPr fontId="1" type="noConversion"/>
  </si>
  <si>
    <t>2010102</t>
    <phoneticPr fontId="1" type="noConversion"/>
  </si>
  <si>
    <t>2010103</t>
  </si>
  <si>
    <t>2010104</t>
  </si>
  <si>
    <t>2010105</t>
  </si>
  <si>
    <t>2010106</t>
  </si>
  <si>
    <t>2010107</t>
  </si>
  <si>
    <t>2010108</t>
  </si>
  <si>
    <t>2010109</t>
  </si>
  <si>
    <t>2010110</t>
  </si>
  <si>
    <t>2010111</t>
  </si>
  <si>
    <t>2010112</t>
  </si>
  <si>
    <t>2010100</t>
    <phoneticPr fontId="1" type="noConversion"/>
  </si>
  <si>
    <t>2010000</t>
    <phoneticPr fontId="1" type="noConversion"/>
  </si>
  <si>
    <t>2020000</t>
    <phoneticPr fontId="1" type="noConversion"/>
  </si>
  <si>
    <t>2020100</t>
    <phoneticPr fontId="1" type="noConversion"/>
  </si>
  <si>
    <t>2030100</t>
    <phoneticPr fontId="1" type="noConversion"/>
  </si>
  <si>
    <t>2030200</t>
    <phoneticPr fontId="1" type="noConversion"/>
  </si>
  <si>
    <t>2030300</t>
    <phoneticPr fontId="1" type="noConversion"/>
  </si>
  <si>
    <t>사용자 관리</t>
    <phoneticPr fontId="1" type="noConversion"/>
  </si>
  <si>
    <t>마감</t>
    <phoneticPr fontId="1" type="noConversion"/>
  </si>
  <si>
    <t>2010201</t>
    <phoneticPr fontId="1" type="noConversion"/>
  </si>
  <si>
    <t>2010202</t>
    <phoneticPr fontId="1" type="noConversion"/>
  </si>
  <si>
    <t>2010203</t>
  </si>
  <si>
    <t>2010204</t>
  </si>
  <si>
    <t>2010205</t>
  </si>
  <si>
    <t>2010200</t>
    <phoneticPr fontId="1" type="noConversion"/>
  </si>
  <si>
    <t>2010301</t>
    <phoneticPr fontId="1" type="noConversion"/>
  </si>
  <si>
    <t>2010302</t>
    <phoneticPr fontId="1" type="noConversion"/>
  </si>
  <si>
    <t>2010303</t>
    <phoneticPr fontId="1" type="noConversion"/>
  </si>
  <si>
    <t>2010300</t>
    <phoneticPr fontId="1" type="noConversion"/>
  </si>
  <si>
    <t>2020101</t>
    <phoneticPr fontId="1" type="noConversion"/>
  </si>
  <si>
    <t>2020102</t>
    <phoneticPr fontId="1" type="noConversion"/>
  </si>
  <si>
    <t>2020103</t>
  </si>
  <si>
    <t>2020104</t>
  </si>
  <si>
    <t>2020105</t>
  </si>
  <si>
    <t>2020106</t>
  </si>
  <si>
    <t>2020107</t>
  </si>
  <si>
    <t>2020108</t>
  </si>
  <si>
    <t>2020109</t>
  </si>
  <si>
    <t>2020110</t>
  </si>
  <si>
    <t>2020111</t>
  </si>
  <si>
    <t>상품 기초</t>
    <phoneticPr fontId="1" type="noConversion"/>
  </si>
  <si>
    <t>공통 상품 정보 관리</t>
    <phoneticPr fontId="1" type="noConversion"/>
  </si>
  <si>
    <t xml:space="preserve"> item</t>
    <phoneticPr fontId="1" type="noConversion"/>
  </si>
  <si>
    <t>ItemBonsa</t>
    <phoneticPr fontId="1" type="noConversion"/>
  </si>
  <si>
    <t>상품 코드 정보 관리</t>
    <phoneticPr fontId="1" type="noConversion"/>
  </si>
  <si>
    <t>ItemStore</t>
    <phoneticPr fontId="1" type="noConversion"/>
  </si>
  <si>
    <t>상품가격 변경 품의</t>
    <phoneticPr fontId="1" type="noConversion"/>
  </si>
  <si>
    <t>ItemPriceRequest</t>
    <phoneticPr fontId="1" type="noConversion"/>
  </si>
  <si>
    <t>상품가격 변경 승인</t>
    <phoneticPr fontId="1" type="noConversion"/>
  </si>
  <si>
    <t>ItemPriceConfirm</t>
    <phoneticPr fontId="1" type="noConversion"/>
  </si>
  <si>
    <t>상품 정보 수신 관리</t>
    <phoneticPr fontId="1" type="noConversion"/>
  </si>
  <si>
    <t>ItemRecv</t>
    <phoneticPr fontId="1" type="noConversion"/>
  </si>
  <si>
    <t>지점 상품 가격 변경</t>
    <phoneticPr fontId="1" type="noConversion"/>
  </si>
  <si>
    <t>ItemStorePriceChange</t>
    <phoneticPr fontId="1" type="noConversion"/>
  </si>
  <si>
    <t>사업장 상품 가격 정보</t>
    <phoneticPr fontId="1" type="noConversion"/>
  </si>
  <si>
    <t>ItemStoreInfo</t>
    <phoneticPr fontId="1" type="noConversion"/>
  </si>
  <si>
    <t>사업장별 EDI 상품관리</t>
    <phoneticPr fontId="1" type="noConversion"/>
  </si>
  <si>
    <t>EpoItemStore</t>
    <phoneticPr fontId="1" type="noConversion"/>
  </si>
  <si>
    <t>그룹 상품 정보 관리</t>
    <phoneticPr fontId="1" type="noConversion"/>
  </si>
  <si>
    <t>ItemGroup</t>
    <phoneticPr fontId="1" type="noConversion"/>
  </si>
  <si>
    <t>세트 상품 정보 관리</t>
    <phoneticPr fontId="1" type="noConversion"/>
  </si>
  <si>
    <t>ItemBunch</t>
    <phoneticPr fontId="1" type="noConversion"/>
  </si>
  <si>
    <t>다중 매장 상품코드 관리</t>
    <phoneticPr fontId="1" type="noConversion"/>
  </si>
  <si>
    <t>ItemStoreGroup</t>
    <phoneticPr fontId="1" type="noConversion"/>
  </si>
  <si>
    <t>미사용 상품 리스트</t>
    <phoneticPr fontId="1" type="noConversion"/>
  </si>
  <si>
    <t>ItemNoActList</t>
    <phoneticPr fontId="1" type="noConversion"/>
  </si>
  <si>
    <t>상품코드 정리</t>
    <phoneticPr fontId="1" type="noConversion"/>
  </si>
  <si>
    <t>ItemClean</t>
    <phoneticPr fontId="1" type="noConversion"/>
  </si>
  <si>
    <t>고객 기초</t>
    <phoneticPr fontId="1" type="noConversion"/>
  </si>
  <si>
    <t>고객정보</t>
    <phoneticPr fontId="1" type="noConversion"/>
  </si>
  <si>
    <t>고객지원</t>
    <phoneticPr fontId="1" type="noConversion"/>
  </si>
  <si>
    <t>포인트</t>
    <phoneticPr fontId="1" type="noConversion"/>
  </si>
  <si>
    <t>현황 보고서</t>
    <phoneticPr fontId="1" type="noConversion"/>
  </si>
  <si>
    <t>2030101</t>
    <phoneticPr fontId="1" type="noConversion"/>
  </si>
  <si>
    <t>2030102</t>
    <phoneticPr fontId="1" type="noConversion"/>
  </si>
  <si>
    <t>2030103</t>
  </si>
  <si>
    <t>2030104</t>
  </si>
  <si>
    <t>2030105</t>
  </si>
  <si>
    <t>2030106</t>
  </si>
  <si>
    <t>2030107</t>
  </si>
  <si>
    <t>2030201</t>
    <phoneticPr fontId="1" type="noConversion"/>
  </si>
  <si>
    <t>2030202</t>
    <phoneticPr fontId="1" type="noConversion"/>
  </si>
  <si>
    <t>2030203</t>
  </si>
  <si>
    <t>2030204</t>
  </si>
  <si>
    <t>2030205</t>
  </si>
  <si>
    <t>2030206</t>
  </si>
  <si>
    <t>2030207</t>
  </si>
  <si>
    <t>2030301</t>
    <phoneticPr fontId="1" type="noConversion"/>
  </si>
  <si>
    <t>2030302</t>
    <phoneticPr fontId="1" type="noConversion"/>
  </si>
  <si>
    <t>2030303</t>
  </si>
  <si>
    <t>2030304</t>
  </si>
  <si>
    <t>2030305</t>
  </si>
  <si>
    <t>2030401</t>
    <phoneticPr fontId="1" type="noConversion"/>
  </si>
  <si>
    <t>2030402</t>
    <phoneticPr fontId="1" type="noConversion"/>
  </si>
  <si>
    <t>2030400</t>
    <phoneticPr fontId="1" type="noConversion"/>
  </si>
  <si>
    <t>2030501</t>
    <phoneticPr fontId="1" type="noConversion"/>
  </si>
  <si>
    <t>2030502</t>
    <phoneticPr fontId="1" type="noConversion"/>
  </si>
  <si>
    <t>2030503</t>
  </si>
  <si>
    <t>2030504</t>
  </si>
  <si>
    <t>2030505</t>
  </si>
  <si>
    <t>2030506</t>
  </si>
  <si>
    <t>2030507</t>
  </si>
  <si>
    <t>2030500</t>
    <phoneticPr fontId="1" type="noConversion"/>
  </si>
  <si>
    <t>2040100</t>
    <phoneticPr fontId="1" type="noConversion"/>
  </si>
  <si>
    <t>2040101</t>
    <phoneticPr fontId="1" type="noConversion"/>
  </si>
  <si>
    <t>204010101</t>
    <phoneticPr fontId="1" type="noConversion"/>
  </si>
  <si>
    <t>204010102</t>
    <phoneticPr fontId="1" type="noConversion"/>
  </si>
  <si>
    <t>204010103</t>
  </si>
  <si>
    <t>204010104</t>
  </si>
  <si>
    <t>204010105</t>
  </si>
  <si>
    <t>204010106</t>
  </si>
  <si>
    <t>204010107</t>
  </si>
  <si>
    <t>2040102</t>
    <phoneticPr fontId="1" type="noConversion"/>
  </si>
  <si>
    <t>2040103</t>
    <phoneticPr fontId="1" type="noConversion"/>
  </si>
  <si>
    <t>2040104</t>
    <phoneticPr fontId="1" type="noConversion"/>
  </si>
  <si>
    <t>2040000</t>
    <phoneticPr fontId="1" type="noConversion"/>
  </si>
  <si>
    <t>매입처</t>
    <phoneticPr fontId="1" type="noConversion"/>
  </si>
  <si>
    <t>EDI 발주</t>
    <phoneticPr fontId="1" type="noConversion"/>
  </si>
  <si>
    <t>2040201</t>
    <phoneticPr fontId="1" type="noConversion"/>
  </si>
  <si>
    <t>2040202</t>
    <phoneticPr fontId="1" type="noConversion"/>
  </si>
  <si>
    <t>2040203</t>
  </si>
  <si>
    <t>2040204</t>
  </si>
  <si>
    <t>2040205</t>
  </si>
  <si>
    <t>2040206</t>
  </si>
  <si>
    <t>2040207</t>
  </si>
  <si>
    <t>2040200</t>
    <phoneticPr fontId="1" type="noConversion"/>
  </si>
  <si>
    <t>발주</t>
    <phoneticPr fontId="1" type="noConversion"/>
  </si>
  <si>
    <t>2040301</t>
    <phoneticPr fontId="1" type="noConversion"/>
  </si>
  <si>
    <t>2040302</t>
    <phoneticPr fontId="1" type="noConversion"/>
  </si>
  <si>
    <t>2040303</t>
  </si>
  <si>
    <t>2040304</t>
  </si>
  <si>
    <t>2040305</t>
  </si>
  <si>
    <t>2040300</t>
    <phoneticPr fontId="1" type="noConversion"/>
  </si>
  <si>
    <t>입고</t>
    <phoneticPr fontId="1" type="noConversion"/>
  </si>
  <si>
    <t>2040401</t>
    <phoneticPr fontId="1" type="noConversion"/>
  </si>
  <si>
    <t>2040402</t>
    <phoneticPr fontId="1" type="noConversion"/>
  </si>
  <si>
    <t>2040403</t>
  </si>
  <si>
    <t>2040404</t>
  </si>
  <si>
    <t>2040405</t>
  </si>
  <si>
    <t>2040406</t>
  </si>
  <si>
    <t>2040400</t>
    <phoneticPr fontId="1" type="noConversion"/>
  </si>
  <si>
    <t>지급</t>
    <phoneticPr fontId="1" type="noConversion"/>
  </si>
  <si>
    <t>매입 현황 보고서</t>
    <phoneticPr fontId="1" type="noConversion"/>
  </si>
  <si>
    <t>2040501</t>
    <phoneticPr fontId="1" type="noConversion"/>
  </si>
  <si>
    <t>2040502</t>
    <phoneticPr fontId="1" type="noConversion"/>
  </si>
  <si>
    <t>2040503</t>
  </si>
  <si>
    <t>2040504</t>
  </si>
  <si>
    <t>2040500</t>
    <phoneticPr fontId="1" type="noConversion"/>
  </si>
  <si>
    <t>2040601</t>
    <phoneticPr fontId="1" type="noConversion"/>
  </si>
  <si>
    <t>2040602</t>
    <phoneticPr fontId="1" type="noConversion"/>
  </si>
  <si>
    <t>2040603</t>
  </si>
  <si>
    <t>2040604</t>
  </si>
  <si>
    <t>2040605</t>
  </si>
  <si>
    <t>2040606</t>
  </si>
  <si>
    <t>2040607</t>
  </si>
  <si>
    <t>2040608</t>
  </si>
  <si>
    <t>2040600</t>
    <phoneticPr fontId="1" type="noConversion"/>
  </si>
  <si>
    <t>영업</t>
    <phoneticPr fontId="1" type="noConversion"/>
  </si>
  <si>
    <t>2050100</t>
    <phoneticPr fontId="1" type="noConversion"/>
  </si>
  <si>
    <t>2050102</t>
    <phoneticPr fontId="1" type="noConversion"/>
  </si>
  <si>
    <t>2050101</t>
    <phoneticPr fontId="1" type="noConversion"/>
  </si>
  <si>
    <t>견적</t>
    <phoneticPr fontId="1" type="noConversion"/>
  </si>
  <si>
    <t>주문</t>
    <phoneticPr fontId="1" type="noConversion"/>
  </si>
  <si>
    <t>2050201</t>
    <phoneticPr fontId="1" type="noConversion"/>
  </si>
  <si>
    <t>2050202</t>
    <phoneticPr fontId="1" type="noConversion"/>
  </si>
  <si>
    <t>2050203</t>
  </si>
  <si>
    <t>2050204</t>
  </si>
  <si>
    <t>2050205</t>
  </si>
  <si>
    <t>2050206</t>
  </si>
  <si>
    <t>2050207</t>
  </si>
  <si>
    <t>2050208</t>
  </si>
  <si>
    <t>2050209</t>
  </si>
  <si>
    <t>2050210</t>
  </si>
  <si>
    <t>2050211</t>
  </si>
  <si>
    <t>2050212</t>
  </si>
  <si>
    <t>2050213</t>
  </si>
  <si>
    <t>2050200</t>
    <phoneticPr fontId="1" type="noConversion"/>
  </si>
  <si>
    <t>수금</t>
    <phoneticPr fontId="1" type="noConversion"/>
  </si>
  <si>
    <t>선수금</t>
    <phoneticPr fontId="1" type="noConversion"/>
  </si>
  <si>
    <t>주문보고서</t>
    <phoneticPr fontId="1" type="noConversion"/>
  </si>
  <si>
    <t>프로모션관리</t>
    <phoneticPr fontId="1" type="noConversion"/>
  </si>
  <si>
    <t>택배 및 FAX</t>
    <phoneticPr fontId="1" type="noConversion"/>
  </si>
  <si>
    <t>매출 보고서</t>
    <phoneticPr fontId="1" type="noConversion"/>
  </si>
  <si>
    <t>2050301</t>
    <phoneticPr fontId="1" type="noConversion"/>
  </si>
  <si>
    <t>2050302</t>
    <phoneticPr fontId="1" type="noConversion"/>
  </si>
  <si>
    <t>2050303</t>
  </si>
  <si>
    <t>2050304</t>
  </si>
  <si>
    <t>2050305</t>
  </si>
  <si>
    <t>2050306</t>
  </si>
  <si>
    <t>2050300</t>
    <phoneticPr fontId="1" type="noConversion"/>
  </si>
  <si>
    <t>2050401</t>
    <phoneticPr fontId="1" type="noConversion"/>
  </si>
  <si>
    <t>2050402</t>
    <phoneticPr fontId="1" type="noConversion"/>
  </si>
  <si>
    <t>2050400</t>
    <phoneticPr fontId="1" type="noConversion"/>
  </si>
  <si>
    <t>2050501</t>
    <phoneticPr fontId="1" type="noConversion"/>
  </si>
  <si>
    <t>2050502</t>
    <phoneticPr fontId="1" type="noConversion"/>
  </si>
  <si>
    <t>2050503</t>
  </si>
  <si>
    <t>2050504</t>
  </si>
  <si>
    <t>2050505</t>
  </si>
  <si>
    <t>2050506</t>
  </si>
  <si>
    <t>2050507</t>
  </si>
  <si>
    <t>2050508</t>
  </si>
  <si>
    <t>2050509</t>
  </si>
  <si>
    <t>2050510</t>
  </si>
  <si>
    <t>2050500</t>
    <phoneticPr fontId="1" type="noConversion"/>
  </si>
  <si>
    <t>2050601</t>
    <phoneticPr fontId="1" type="noConversion"/>
  </si>
  <si>
    <t>2050602</t>
    <phoneticPr fontId="1" type="noConversion"/>
  </si>
  <si>
    <t>2050603</t>
  </si>
  <si>
    <t>2050604</t>
  </si>
  <si>
    <t>2050600</t>
    <phoneticPr fontId="1" type="noConversion"/>
  </si>
  <si>
    <t>2050701</t>
    <phoneticPr fontId="1" type="noConversion"/>
  </si>
  <si>
    <t>2050702</t>
    <phoneticPr fontId="1" type="noConversion"/>
  </si>
  <si>
    <t>2050703</t>
  </si>
  <si>
    <t>2050704</t>
  </si>
  <si>
    <t>2050700</t>
    <phoneticPr fontId="1" type="noConversion"/>
  </si>
  <si>
    <t>2050801</t>
    <phoneticPr fontId="1" type="noConversion"/>
  </si>
  <si>
    <t>2050802</t>
    <phoneticPr fontId="1" type="noConversion"/>
  </si>
  <si>
    <t>2050803</t>
  </si>
  <si>
    <t>2050804</t>
  </si>
  <si>
    <t>2050805</t>
  </si>
  <si>
    <t>2050806</t>
  </si>
  <si>
    <t>2050807</t>
  </si>
  <si>
    <t>2050808</t>
  </si>
  <si>
    <t>2050809</t>
  </si>
  <si>
    <t>2050810</t>
  </si>
  <si>
    <t>2050811</t>
  </si>
  <si>
    <t>2050812</t>
  </si>
  <si>
    <t>2050813</t>
  </si>
  <si>
    <t>2050814</t>
  </si>
  <si>
    <t>2050800</t>
    <phoneticPr fontId="1" type="noConversion"/>
  </si>
  <si>
    <t>2050900</t>
    <phoneticPr fontId="1" type="noConversion"/>
  </si>
  <si>
    <t>2050901</t>
    <phoneticPr fontId="1" type="noConversion"/>
  </si>
  <si>
    <t>2050902</t>
    <phoneticPr fontId="1" type="noConversion"/>
  </si>
  <si>
    <t>매출마감</t>
    <phoneticPr fontId="1" type="noConversion"/>
  </si>
  <si>
    <t>재고</t>
    <phoneticPr fontId="1" type="noConversion"/>
  </si>
  <si>
    <t>2060100</t>
    <phoneticPr fontId="1" type="noConversion"/>
  </si>
  <si>
    <t>2060101</t>
    <phoneticPr fontId="1" type="noConversion"/>
  </si>
  <si>
    <t>2060102</t>
    <phoneticPr fontId="1" type="noConversion"/>
  </si>
  <si>
    <t>2060103</t>
  </si>
  <si>
    <t>2060104</t>
  </si>
  <si>
    <t>2060105</t>
  </si>
  <si>
    <t>재고 현황</t>
    <phoneticPr fontId="1" type="noConversion"/>
  </si>
  <si>
    <t>기타 출고</t>
    <phoneticPr fontId="1" type="noConversion"/>
  </si>
  <si>
    <t>재고 실사</t>
    <phoneticPr fontId="1" type="noConversion"/>
  </si>
  <si>
    <t>재고 조정</t>
    <phoneticPr fontId="1" type="noConversion"/>
  </si>
  <si>
    <t>월수불 마감</t>
    <phoneticPr fontId="1" type="noConversion"/>
  </si>
  <si>
    <t>이동관리</t>
    <phoneticPr fontId="1" type="noConversion"/>
  </si>
  <si>
    <t>2060201</t>
    <phoneticPr fontId="1" type="noConversion"/>
  </si>
  <si>
    <t>2060202</t>
    <phoneticPr fontId="1" type="noConversion"/>
  </si>
  <si>
    <t>2060203</t>
  </si>
  <si>
    <t>2060200</t>
    <phoneticPr fontId="1" type="noConversion"/>
  </si>
  <si>
    <t>2060301</t>
    <phoneticPr fontId="1" type="noConversion"/>
  </si>
  <si>
    <t>2060302</t>
    <phoneticPr fontId="1" type="noConversion"/>
  </si>
  <si>
    <t>2060303</t>
  </si>
  <si>
    <t>2060304</t>
  </si>
  <si>
    <t>2060305</t>
  </si>
  <si>
    <t>2060306</t>
  </si>
  <si>
    <t>2060307</t>
  </si>
  <si>
    <t>2060308</t>
  </si>
  <si>
    <t>2060300</t>
    <phoneticPr fontId="1" type="noConversion"/>
  </si>
  <si>
    <t>2060401</t>
    <phoneticPr fontId="1" type="noConversion"/>
  </si>
  <si>
    <t>2060402</t>
    <phoneticPr fontId="1" type="noConversion"/>
  </si>
  <si>
    <t>2060400</t>
    <phoneticPr fontId="1" type="noConversion"/>
  </si>
  <si>
    <t>2060501</t>
    <phoneticPr fontId="1" type="noConversion"/>
  </si>
  <si>
    <t>2060502</t>
    <phoneticPr fontId="1" type="noConversion"/>
  </si>
  <si>
    <t>2060503</t>
  </si>
  <si>
    <t>2060504</t>
  </si>
  <si>
    <t>2060505</t>
  </si>
  <si>
    <t>2060506</t>
  </si>
  <si>
    <t>2060500</t>
    <phoneticPr fontId="1" type="noConversion"/>
  </si>
  <si>
    <t>2060601</t>
    <phoneticPr fontId="1" type="noConversion"/>
  </si>
  <si>
    <t>2060602</t>
    <phoneticPr fontId="1" type="noConversion"/>
  </si>
  <si>
    <t>2060603</t>
  </si>
  <si>
    <t>2060604</t>
  </si>
  <si>
    <t>2060605</t>
  </si>
  <si>
    <t>2060606</t>
  </si>
  <si>
    <t>2060607</t>
  </si>
  <si>
    <t>2060608</t>
  </si>
  <si>
    <t>2060609</t>
  </si>
  <si>
    <t>206060901</t>
    <phoneticPr fontId="1" type="noConversion"/>
  </si>
  <si>
    <t>206060902</t>
    <phoneticPr fontId="1" type="noConversion"/>
  </si>
  <si>
    <t>206060903</t>
  </si>
  <si>
    <t>206060904</t>
  </si>
  <si>
    <t>206060905</t>
  </si>
  <si>
    <t>206060906</t>
  </si>
  <si>
    <t>206060907</t>
  </si>
  <si>
    <t>2060600</t>
    <phoneticPr fontId="1" type="noConversion"/>
  </si>
  <si>
    <t>2060609</t>
    <phoneticPr fontId="1" type="noConversion"/>
  </si>
  <si>
    <t>2070000</t>
    <phoneticPr fontId="1" type="noConversion"/>
  </si>
  <si>
    <t>2070101</t>
    <phoneticPr fontId="1" type="noConversion"/>
  </si>
  <si>
    <t>2070100</t>
    <phoneticPr fontId="1" type="noConversion"/>
  </si>
  <si>
    <t>2070102</t>
    <phoneticPr fontId="1" type="noConversion"/>
  </si>
  <si>
    <t>2070103</t>
    <phoneticPr fontId="1" type="noConversion"/>
  </si>
  <si>
    <t>ERP 연동</t>
    <phoneticPr fontId="1" type="noConversion"/>
  </si>
  <si>
    <t>회계연동</t>
    <phoneticPr fontId="1" type="noConversion"/>
  </si>
  <si>
    <t>포스</t>
    <phoneticPr fontId="1" type="noConversion"/>
  </si>
  <si>
    <t>정산 리포트</t>
    <phoneticPr fontId="1" type="noConversion"/>
  </si>
  <si>
    <t>2080101</t>
    <phoneticPr fontId="1" type="noConversion"/>
  </si>
  <si>
    <t>2080102</t>
    <phoneticPr fontId="1" type="noConversion"/>
  </si>
  <si>
    <t>2080100</t>
    <phoneticPr fontId="1" type="noConversion"/>
  </si>
  <si>
    <t>쇼핑몰</t>
    <phoneticPr fontId="1" type="noConversion"/>
  </si>
  <si>
    <t>쇼핑몰 기초</t>
    <phoneticPr fontId="1" type="noConversion"/>
  </si>
  <si>
    <t>쇼핑몰 주문</t>
    <phoneticPr fontId="1" type="noConversion"/>
  </si>
  <si>
    <t>게시글 관리</t>
    <phoneticPr fontId="1" type="noConversion"/>
  </si>
  <si>
    <t>이벤트 관리</t>
    <phoneticPr fontId="1" type="noConversion"/>
  </si>
  <si>
    <t>쇼핑몰 전시</t>
    <phoneticPr fontId="1" type="noConversion"/>
  </si>
  <si>
    <t>독립몰 전시</t>
    <phoneticPr fontId="1" type="noConversion"/>
  </si>
  <si>
    <t>독립몰이벤트 관리</t>
    <phoneticPr fontId="1" type="noConversion"/>
  </si>
  <si>
    <t>쇼핑몰 고객</t>
    <phoneticPr fontId="1" type="noConversion"/>
  </si>
  <si>
    <t>쇼핑몰 상품</t>
    <phoneticPr fontId="1" type="noConversion"/>
  </si>
  <si>
    <t>임원정보(EIS)</t>
    <phoneticPr fontId="1" type="noConversion"/>
  </si>
  <si>
    <t>사업계획</t>
    <phoneticPr fontId="1" type="noConversion"/>
  </si>
  <si>
    <t>실적관리</t>
    <phoneticPr fontId="1" type="noConversion"/>
  </si>
  <si>
    <t>EIS 보고서</t>
    <phoneticPr fontId="1" type="noConversion"/>
  </si>
  <si>
    <t>SCM</t>
    <phoneticPr fontId="1" type="noConversion"/>
  </si>
  <si>
    <t>배송</t>
    <phoneticPr fontId="1" type="noConversion"/>
  </si>
  <si>
    <t>정산</t>
    <phoneticPr fontId="1" type="noConversion"/>
  </si>
  <si>
    <t>직배</t>
    <phoneticPr fontId="1" type="noConversion"/>
  </si>
  <si>
    <t>출고</t>
    <phoneticPr fontId="1" type="noConversion"/>
  </si>
  <si>
    <t>2090101</t>
    <phoneticPr fontId="1" type="noConversion"/>
  </si>
  <si>
    <t>2090102</t>
    <phoneticPr fontId="1" type="noConversion"/>
  </si>
  <si>
    <t>2090103</t>
  </si>
  <si>
    <t>2090104</t>
  </si>
  <si>
    <t>2090105</t>
  </si>
  <si>
    <t>2090106</t>
  </si>
  <si>
    <t>2090107</t>
  </si>
  <si>
    <t>2090108</t>
  </si>
  <si>
    <t>2090109</t>
  </si>
  <si>
    <t>2090110</t>
  </si>
  <si>
    <t>2090111</t>
  </si>
  <si>
    <t>2090100</t>
    <phoneticPr fontId="1" type="noConversion"/>
  </si>
  <si>
    <t>2090201</t>
    <phoneticPr fontId="1" type="noConversion"/>
  </si>
  <si>
    <t>2090202</t>
    <phoneticPr fontId="1" type="noConversion"/>
  </si>
  <si>
    <t>2090203</t>
  </si>
  <si>
    <t>2090204</t>
  </si>
  <si>
    <t>2090200</t>
    <phoneticPr fontId="1" type="noConversion"/>
  </si>
  <si>
    <t>2090301</t>
    <phoneticPr fontId="1" type="noConversion"/>
  </si>
  <si>
    <t>2090302</t>
    <phoneticPr fontId="1" type="noConversion"/>
  </si>
  <si>
    <t>2090303</t>
  </si>
  <si>
    <t>2090304</t>
  </si>
  <si>
    <t>2090305</t>
  </si>
  <si>
    <t>2090306</t>
  </si>
  <si>
    <t>2090307</t>
  </si>
  <si>
    <t>2090308</t>
  </si>
  <si>
    <t>2090309</t>
  </si>
  <si>
    <t>2090310</t>
  </si>
  <si>
    <t>2090300</t>
    <phoneticPr fontId="1" type="noConversion"/>
  </si>
  <si>
    <t>2090401</t>
    <phoneticPr fontId="1" type="noConversion"/>
  </si>
  <si>
    <t>2090402</t>
    <phoneticPr fontId="1" type="noConversion"/>
  </si>
  <si>
    <t>2090403</t>
  </si>
  <si>
    <t>2090404</t>
  </si>
  <si>
    <t>2090400</t>
    <phoneticPr fontId="1" type="noConversion"/>
  </si>
  <si>
    <t>2090501</t>
    <phoneticPr fontId="1" type="noConversion"/>
  </si>
  <si>
    <t>2090502</t>
    <phoneticPr fontId="1" type="noConversion"/>
  </si>
  <si>
    <t>2090503</t>
  </si>
  <si>
    <t>2090504</t>
  </si>
  <si>
    <t>2090505</t>
  </si>
  <si>
    <t>2090506</t>
  </si>
  <si>
    <t>2090507</t>
  </si>
  <si>
    <t>2090500</t>
    <phoneticPr fontId="1" type="noConversion"/>
  </si>
  <si>
    <t>2090601</t>
    <phoneticPr fontId="1" type="noConversion"/>
  </si>
  <si>
    <t>2090602</t>
    <phoneticPr fontId="1" type="noConversion"/>
  </si>
  <si>
    <t>2090603</t>
    <phoneticPr fontId="1" type="noConversion"/>
  </si>
  <si>
    <t>2090600</t>
    <phoneticPr fontId="1" type="noConversion"/>
  </si>
  <si>
    <t>2090701</t>
    <phoneticPr fontId="1" type="noConversion"/>
  </si>
  <si>
    <t>2090702</t>
    <phoneticPr fontId="1" type="noConversion"/>
  </si>
  <si>
    <t>2090703</t>
  </si>
  <si>
    <t>2090704</t>
  </si>
  <si>
    <t>2090700</t>
    <phoneticPr fontId="1" type="noConversion"/>
  </si>
  <si>
    <t>2090801</t>
    <phoneticPr fontId="1" type="noConversion"/>
  </si>
  <si>
    <t>2090802</t>
    <phoneticPr fontId="1" type="noConversion"/>
  </si>
  <si>
    <t>2090803</t>
  </si>
  <si>
    <t>2090804</t>
  </si>
  <si>
    <t>2090805</t>
  </si>
  <si>
    <t>2090806</t>
  </si>
  <si>
    <t>2090807</t>
  </si>
  <si>
    <t>2090800</t>
    <phoneticPr fontId="1" type="noConversion"/>
  </si>
  <si>
    <t>2090901</t>
    <phoneticPr fontId="1" type="noConversion"/>
  </si>
  <si>
    <t>2090900</t>
    <phoneticPr fontId="1" type="noConversion"/>
  </si>
  <si>
    <t>2100102</t>
    <phoneticPr fontId="1" type="noConversion"/>
  </si>
  <si>
    <t>2100101</t>
    <phoneticPr fontId="1" type="noConversion"/>
  </si>
  <si>
    <t>2100100</t>
    <phoneticPr fontId="1" type="noConversion"/>
  </si>
  <si>
    <t>2100201</t>
    <phoneticPr fontId="1" type="noConversion"/>
  </si>
  <si>
    <t>2100202</t>
    <phoneticPr fontId="1" type="noConversion"/>
  </si>
  <si>
    <t>2100200</t>
    <phoneticPr fontId="1" type="noConversion"/>
  </si>
  <si>
    <t>2100301</t>
    <phoneticPr fontId="1" type="noConversion"/>
  </si>
  <si>
    <t>2100302</t>
    <phoneticPr fontId="1" type="noConversion"/>
  </si>
  <si>
    <t>2100303</t>
  </si>
  <si>
    <t>2100304</t>
  </si>
  <si>
    <t>2100305</t>
  </si>
  <si>
    <t>2100306</t>
  </si>
  <si>
    <t>2100307</t>
  </si>
  <si>
    <t>2100308</t>
  </si>
  <si>
    <t>2100309</t>
  </si>
  <si>
    <t>2100310</t>
  </si>
  <si>
    <t>2100311</t>
  </si>
  <si>
    <t>2100312</t>
  </si>
  <si>
    <t>2100313</t>
  </si>
  <si>
    <t>2100314</t>
  </si>
  <si>
    <t>2100315</t>
  </si>
  <si>
    <t>2100316</t>
  </si>
  <si>
    <t>2100317</t>
  </si>
  <si>
    <t>2100318</t>
  </si>
  <si>
    <t>2100300</t>
    <phoneticPr fontId="1" type="noConversion"/>
  </si>
  <si>
    <t>2110101</t>
    <phoneticPr fontId="1" type="noConversion"/>
  </si>
  <si>
    <t>2110102</t>
    <phoneticPr fontId="1" type="noConversion"/>
  </si>
  <si>
    <t>2110201</t>
    <phoneticPr fontId="1" type="noConversion"/>
  </si>
  <si>
    <t>2110202</t>
    <phoneticPr fontId="1" type="noConversion"/>
  </si>
  <si>
    <t>2110203</t>
  </si>
  <si>
    <t>2110204</t>
  </si>
  <si>
    <t>2110301</t>
    <phoneticPr fontId="1" type="noConversion"/>
  </si>
  <si>
    <t>2110302</t>
    <phoneticPr fontId="1" type="noConversion"/>
  </si>
  <si>
    <t>2110300</t>
    <phoneticPr fontId="1" type="noConversion"/>
  </si>
  <si>
    <t>2110401</t>
    <phoneticPr fontId="1" type="noConversion"/>
  </si>
  <si>
    <t>2110400</t>
    <phoneticPr fontId="1" type="noConversion"/>
  </si>
  <si>
    <t>2110501</t>
    <phoneticPr fontId="1" type="noConversion"/>
  </si>
  <si>
    <t>2110502</t>
    <phoneticPr fontId="1" type="noConversion"/>
  </si>
  <si>
    <t>2110500</t>
    <phoneticPr fontId="1" type="noConversion"/>
  </si>
  <si>
    <t xml:space="preserve"> 30000</t>
  </si>
  <si>
    <t xml:space="preserve"> 포스 실적 분석</t>
  </si>
  <si>
    <t xml:space="preserve"> 14821</t>
  </si>
  <si>
    <t xml:space="preserve"> 14821/포스 실적 분석//</t>
  </si>
  <si>
    <t xml:space="preserve"> null</t>
  </si>
  <si>
    <t xml:space="preserve"> 20171019144853</t>
  </si>
  <si>
    <t xml:space="preserve"> null);</t>
  </si>
  <si>
    <t xml:space="preserve"> 14882</t>
  </si>
  <si>
    <t xml:space="preserve"> 공지관리</t>
  </si>
  <si>
    <t xml:space="preserve"> 14821/공지관리//</t>
  </si>
  <si>
    <t xml:space="preserve"> 48</t>
  </si>
  <si>
    <t xml:space="preserve"> 판매관리</t>
  </si>
  <si>
    <t xml:space="preserve"> 2</t>
  </si>
  <si>
    <t xml:space="preserve"> 14821/판매관리//</t>
  </si>
  <si>
    <t xml:space="preserve"> 30049</t>
  </si>
  <si>
    <t xml:space="preserve"> 반품 등록</t>
  </si>
  <si>
    <t xml:space="preserve"> cham</t>
  </si>
  <si>
    <t xml:space="preserve"> EpoReturnWork</t>
  </si>
  <si>
    <t xml:space="preserve"> 14821/반품 등록/cham/EpoReturnWork</t>
  </si>
  <si>
    <t xml:space="preserve"> 20170517150836</t>
  </si>
  <si>
    <t xml:space="preserve"> 30050</t>
  </si>
  <si>
    <t xml:space="preserve"> 반품 내역 조회</t>
  </si>
  <si>
    <t xml:space="preserve"> EpoReturnList</t>
  </si>
  <si>
    <t xml:space="preserve"> 14821/반품 내역 조회/cham/EpoReturnList</t>
  </si>
  <si>
    <t xml:space="preserve"> 30051</t>
  </si>
  <si>
    <t xml:space="preserve"> 매장 반품 확정</t>
  </si>
  <si>
    <t xml:space="preserve"> EpoReturnFix</t>
  </si>
  <si>
    <t xml:space="preserve"> 3</t>
  </si>
  <si>
    <t xml:space="preserve"> 14821/매장 반품 확정/cham/EpoReturnFix</t>
  </si>
  <si>
    <t xml:space="preserve"> 14872</t>
  </si>
  <si>
    <t xml:space="preserve"> 고개별 판매 분석</t>
  </si>
  <si>
    <t xml:space="preserve"> 8</t>
  </si>
  <si>
    <t xml:space="preserve"> 14821/고개별 판매 분석//</t>
  </si>
  <si>
    <t xml:space="preserve"> 14873</t>
  </si>
  <si>
    <t xml:space="preserve"> 고객 객층별 판매 분석</t>
  </si>
  <si>
    <t xml:space="preserve"> MembAgeAnal</t>
  </si>
  <si>
    <t xml:space="preserve"> 14821/고객 객층별 판매 분석/cham/MembAgeAnal</t>
  </si>
  <si>
    <t xml:space="preserve"> 49</t>
  </si>
  <si>
    <t xml:space="preserve"> 일 판매내역 조회</t>
  </si>
  <si>
    <t xml:space="preserve"> SaleDay</t>
  </si>
  <si>
    <t xml:space="preserve"> 14821/일 판매내역 조회/cham/SaleDay</t>
  </si>
  <si>
    <t xml:space="preserve"> 20170517150833</t>
  </si>
  <si>
    <t xml:space="preserve"> 50</t>
  </si>
  <si>
    <t xml:space="preserve"> 일 세부내역 조회</t>
  </si>
  <si>
    <t xml:space="preserve"> SaleDayDtl</t>
  </si>
  <si>
    <t xml:space="preserve"> 14821/일 세부내역 조회/cham/SaleDayDtl</t>
  </si>
  <si>
    <t xml:space="preserve"> 52</t>
  </si>
  <si>
    <t xml:space="preserve"> 실시간판매관리</t>
  </si>
  <si>
    <t xml:space="preserve"> 58</t>
  </si>
  <si>
    <t xml:space="preserve"> 기간별 판매조회</t>
  </si>
  <si>
    <t xml:space="preserve"> SaleTerm</t>
  </si>
  <si>
    <t xml:space="preserve"> 14821/기간별 판매조회/cham/SaleTerm/</t>
  </si>
  <si>
    <t xml:space="preserve"> 59</t>
  </si>
  <si>
    <t xml:space="preserve"> 기간별 분석</t>
  </si>
  <si>
    <t xml:space="preserve"> 5</t>
  </si>
  <si>
    <t xml:space="preserve"> 14821/기간별 분석//</t>
  </si>
  <si>
    <t>'14821'</t>
  </si>
  <si>
    <t xml:space="preserve"> '94'</t>
  </si>
  <si>
    <t xml:space="preserve"> '브랜드 기간별 분석'</t>
  </si>
  <si>
    <t xml:space="preserve"> 'cham'</t>
  </si>
  <si>
    <t xml:space="preserve"> 'SaleTermAnal'</t>
  </si>
  <si>
    <t xml:space="preserve"> '6'</t>
  </si>
  <si>
    <t xml:space="preserve"> '0'</t>
  </si>
  <si>
    <t xml:space="preserve"> '1'</t>
  </si>
  <si>
    <t xml:space="preserve"> ''</t>
  </si>
  <si>
    <t xml:space="preserve"> '14821/브랜드 기간별 분석/cham/SaleTermAnal'</t>
  </si>
  <si>
    <t xml:space="preserve"> '20171019144853'</t>
  </si>
  <si>
    <t xml:space="preserve"> '20170517150835'</t>
  </si>
  <si>
    <t xml:space="preserve"> 30068</t>
  </si>
  <si>
    <t xml:space="preserve"> 배송분류별 매장</t>
  </si>
  <si>
    <t xml:space="preserve"> DeliSetClassStore</t>
  </si>
  <si>
    <t xml:space="preserve"> 14821/배송분류별 매장/cham/DeliSetClassStore</t>
  </si>
  <si>
    <t xml:space="preserve"> 30070</t>
  </si>
  <si>
    <t xml:space="preserve"> 배송분류별 품목 등록</t>
  </si>
  <si>
    <t xml:space="preserve"> DeliSetItemWork</t>
  </si>
  <si>
    <t xml:space="preserve"> 14821/배송분류별 품목 등록/cham/DeliSetItemWork</t>
  </si>
  <si>
    <t xml:space="preserve"> 20170517150837</t>
  </si>
  <si>
    <t xml:space="preserve"> 30071</t>
  </si>
  <si>
    <t xml:space="preserve"> 배송 구분 등록</t>
  </si>
  <si>
    <t xml:space="preserve"> DeliSetClassWork</t>
  </si>
  <si>
    <t xml:space="preserve"> 14821/배송 구분 등록/cham/DeliSetClassWork</t>
  </si>
  <si>
    <t xml:space="preserve"> 60</t>
  </si>
  <si>
    <t xml:space="preserve"> 기간별 판매분석</t>
  </si>
  <si>
    <t xml:space="preserve"> SaleTermAnal</t>
  </si>
  <si>
    <t xml:space="preserve"> 14821/기간별 판매분석/cham/SaleTermAnal</t>
  </si>
  <si>
    <t xml:space="preserve"> 61</t>
  </si>
  <si>
    <t xml:space="preserve"> 매장별 판매조회</t>
  </si>
  <si>
    <t xml:space="preserve"> SaleTermStor</t>
  </si>
  <si>
    <t xml:space="preserve"> 14821/매장별 판매조회/cham/SaleTermStor</t>
  </si>
  <si>
    <t xml:space="preserve"> 62</t>
  </si>
  <si>
    <t xml:space="preserve"> 매장별 판매분석</t>
  </si>
  <si>
    <t xml:space="preserve"> SaleTermStorAnal</t>
  </si>
  <si>
    <t xml:space="preserve"> 14821/매장별 판매분석/cham/SaleTermStorAnal</t>
  </si>
  <si>
    <t xml:space="preserve"> 63</t>
  </si>
  <si>
    <t xml:space="preserve"> 일자단위별 판매조회</t>
  </si>
  <si>
    <t xml:space="preserve"> SaleTermDay</t>
  </si>
  <si>
    <t xml:space="preserve"> 4</t>
  </si>
  <si>
    <t xml:space="preserve"> 14821/일자단위별 판매조회/cham/SaleTermDay</t>
  </si>
  <si>
    <t xml:space="preserve"> 64</t>
  </si>
  <si>
    <t xml:space="preserve"> 시간단위별 판매조회</t>
  </si>
  <si>
    <t xml:space="preserve"> SaleTermTime</t>
  </si>
  <si>
    <t xml:space="preserve"> 14821/시간단위별 판매조회/cham/SaleTermTime</t>
  </si>
  <si>
    <t xml:space="preserve"> 65</t>
  </si>
  <si>
    <t xml:space="preserve"> 상품 판매분석</t>
  </si>
  <si>
    <t xml:space="preserve"> 6</t>
  </si>
  <si>
    <t xml:space="preserve"> 14821/상품 판매분석///</t>
  </si>
  <si>
    <t xml:space="preserve"> 66</t>
  </si>
  <si>
    <t xml:space="preserve"> 상품판매조회</t>
  </si>
  <si>
    <t xml:space="preserve"> SaleTermItem</t>
  </si>
  <si>
    <t xml:space="preserve"> 14821/상품판매조회/cham/SaleTermItem</t>
  </si>
  <si>
    <t xml:space="preserve"> 67</t>
  </si>
  <si>
    <t xml:space="preserve"> 상품 분류별 판매조회</t>
  </si>
  <si>
    <t xml:space="preserve"> SaleTermClass</t>
  </si>
  <si>
    <t xml:space="preserve"> 14821/상품 분류별 판매조회/cham/SaleTermClass</t>
  </si>
  <si>
    <t xml:space="preserve"> 68</t>
  </si>
  <si>
    <t xml:space="preserve"> 기간별 상품 판매분석</t>
  </si>
  <si>
    <t xml:space="preserve"> SaleTermItemAnal</t>
  </si>
  <si>
    <t xml:space="preserve"> 14821/기간별 상품 판매분석/cham/SaleTermItemAnal</t>
  </si>
  <si>
    <t xml:space="preserve"> 20170517151038</t>
  </si>
  <si>
    <t xml:space="preserve"> 69</t>
  </si>
  <si>
    <t xml:space="preserve"> 매장별 상품 판매분석</t>
  </si>
  <si>
    <t xml:space="preserve"> 14821/매장별 상품 판매분석/cham/SaleTermStorAnal/</t>
  </si>
  <si>
    <t xml:space="preserve"> 20170517151317</t>
  </si>
  <si>
    <t xml:space="preserve"> 72</t>
  </si>
  <si>
    <t xml:space="preserve"> 할인 분석</t>
  </si>
  <si>
    <t xml:space="preserve"> 7</t>
  </si>
  <si>
    <t xml:space="preserve"> 14821/할인 분석///</t>
  </si>
  <si>
    <t xml:space="preserve"> 73</t>
  </si>
  <si>
    <t xml:space="preserve"> 서비스/할인 내역 조회</t>
  </si>
  <si>
    <t xml:space="preserve"> ServiceNdscnt</t>
  </si>
  <si>
    <t xml:space="preserve"> 14821/서비스/할인 내역 조회/cham/ServiceNdscnt</t>
  </si>
  <si>
    <t xml:space="preserve"> 74</t>
  </si>
  <si>
    <t xml:space="preserve"> 할인내역 조회</t>
  </si>
  <si>
    <t xml:space="preserve"> DscntList</t>
  </si>
  <si>
    <t xml:space="preserve"> 14821/할인내역 조회/cham/DscntList</t>
  </si>
  <si>
    <t xml:space="preserve"> 75</t>
  </si>
  <si>
    <t xml:space="preserve"> 서비스내역 조회</t>
  </si>
  <si>
    <t xml:space="preserve"> ServiceList</t>
  </si>
  <si>
    <t xml:space="preserve"> 14821/서비스내역 조회/cham/ServiceList</t>
  </si>
  <si>
    <t xml:space="preserve"> 30081</t>
  </si>
  <si>
    <t xml:space="preserve"> 고객정보 동의 내역</t>
  </si>
  <si>
    <t xml:space="preserve"> chamcrm</t>
  </si>
  <si>
    <t xml:space="preserve"> MemberInfoAgree</t>
  </si>
  <si>
    <t xml:space="preserve"> 14821/고객정보 동의 내역/chamcrm/MemberInfoAgree</t>
  </si>
  <si>
    <t xml:space="preserve"> 87</t>
  </si>
  <si>
    <t xml:space="preserve"> 고객 포인트 통합내역 조회</t>
  </si>
  <si>
    <t xml:space="preserve"> MemberPointList</t>
  </si>
  <si>
    <t xml:space="preserve"> 12</t>
  </si>
  <si>
    <t xml:space="preserve"> 14821/고객 포인트 통합내역 조회/chamcrm/MemberPointList</t>
  </si>
  <si>
    <t xml:space="preserve"> 20170517150835</t>
  </si>
  <si>
    <t xml:space="preserve"> 88</t>
  </si>
  <si>
    <t xml:space="preserve"> 고객 포인트 소멸 내역</t>
  </si>
  <si>
    <t xml:space="preserve"> MemberPointMinusList</t>
  </si>
  <si>
    <t xml:space="preserve"> 13</t>
  </si>
  <si>
    <t xml:space="preserve"> 14821/고객 포인트 소멸 내역/chamcrm/MemberPointMinusList</t>
  </si>
  <si>
    <t xml:space="preserve"> 90</t>
  </si>
  <si>
    <t xml:space="preserve"> 고객 외상 관리</t>
  </si>
  <si>
    <t xml:space="preserve"> 15</t>
  </si>
  <si>
    <t xml:space="preserve"> 14821/고객 외상 관리//</t>
  </si>
  <si>
    <t xml:space="preserve"> 89</t>
  </si>
  <si>
    <t xml:space="preserve"> 고객 외상 내역 관리</t>
  </si>
  <si>
    <t xml:space="preserve"> MemberArWork</t>
  </si>
  <si>
    <t xml:space="preserve"> 14821/고객 외상 내역 관리/chamcrm/MemberArWork</t>
  </si>
  <si>
    <t xml:space="preserve"> 91</t>
  </si>
  <si>
    <t xml:space="preserve"> 고객 외상 내역 조회</t>
  </si>
  <si>
    <t xml:space="preserve"> MemberArList</t>
  </si>
  <si>
    <t xml:space="preserve"> 14821/고객 외상 내역 조회/chamcrm/MemberArList</t>
  </si>
  <si>
    <t xml:space="preserve"> 92</t>
  </si>
  <si>
    <t xml:space="preserve"> 매장별 고객관리</t>
  </si>
  <si>
    <t xml:space="preserve"> MemberWorkStore</t>
  </si>
  <si>
    <t xml:space="preserve"> 16</t>
  </si>
  <si>
    <t xml:space="preserve"> 14821/매장별 고객관리/chamcrm/MemberWorkStore</t>
  </si>
  <si>
    <t xml:space="preserve"> 93</t>
  </si>
  <si>
    <t xml:space="preserve"> 고객 기초 정보 등록</t>
  </si>
  <si>
    <t xml:space="preserve"> MemberCodeWork</t>
  </si>
  <si>
    <t xml:space="preserve"> 17</t>
  </si>
  <si>
    <t xml:space="preserve"> 14821/고객 기초 정보 등록/chamcrm/MemberCodeWork</t>
  </si>
  <si>
    <t xml:space="preserve"> 76</t>
  </si>
  <si>
    <t xml:space="preserve"> 결제 분석</t>
  </si>
  <si>
    <t xml:space="preserve"> 14821/결제 분석///</t>
  </si>
  <si>
    <t xml:space="preserve"> 77</t>
  </si>
  <si>
    <t xml:space="preserve"> 결제유형별 조회</t>
  </si>
  <si>
    <t xml:space="preserve"> IncomeClass</t>
  </si>
  <si>
    <t xml:space="preserve"> 14821/결제유형별 조회/cham/IncomeClass</t>
  </si>
  <si>
    <t xml:space="preserve"> 78</t>
  </si>
  <si>
    <t xml:space="preserve"> 신용 승인내역 분석</t>
  </si>
  <si>
    <t xml:space="preserve"> CardOkAnal</t>
  </si>
  <si>
    <t xml:space="preserve"> 14821/신용 승인내역 분석/cham/CardOkAnal</t>
  </si>
  <si>
    <t xml:space="preserve"> 79</t>
  </si>
  <si>
    <t xml:space="preserve"> 상품권 결제 분석</t>
  </si>
  <si>
    <t xml:space="preserve"> Coupon</t>
  </si>
  <si>
    <t xml:space="preserve"> 14821/상품권 결제 분석/cham/Coupon</t>
  </si>
  <si>
    <t xml:space="preserve"> 80</t>
  </si>
  <si>
    <t xml:space="preserve"> 취소 분석</t>
  </si>
  <si>
    <t xml:space="preserve"> 14821/취소 분석///</t>
  </si>
  <si>
    <t xml:space="preserve"> 81</t>
  </si>
  <si>
    <t xml:space="preserve"> 취소 내역 조회</t>
  </si>
  <si>
    <t xml:space="preserve"> CancelList</t>
  </si>
  <si>
    <t xml:space="preserve"> 14821/취소 내역 조회/cham/CancelList</t>
  </si>
  <si>
    <t xml:space="preserve"> 82</t>
  </si>
  <si>
    <t xml:space="preserve"> 매장 취소 내역</t>
  </si>
  <si>
    <t xml:space="preserve"> StoreCancel</t>
  </si>
  <si>
    <t xml:space="preserve"> 14821/매장 취소 내역/cham/StoreCancel</t>
  </si>
  <si>
    <t xml:space="preserve"> 83</t>
  </si>
  <si>
    <t xml:space="preserve"> 반품관리</t>
  </si>
  <si>
    <t xml:space="preserve"> 10</t>
  </si>
  <si>
    <t xml:space="preserve"> 14821/반품관리///</t>
  </si>
  <si>
    <t xml:space="preserve"> 86</t>
  </si>
  <si>
    <t xml:space="preserve"> 실시간 판매 정보</t>
  </si>
  <si>
    <t xml:space="preserve"> RealTimeSale</t>
  </si>
  <si>
    <t xml:space="preserve"> 14821/실시간 판매 정보/cham/RealTimeSale/</t>
  </si>
  <si>
    <t xml:space="preserve"> 84</t>
  </si>
  <si>
    <t xml:space="preserve"> 수발주 관리</t>
  </si>
  <si>
    <t xml:space="preserve"> 14821/수발주 관리//</t>
  </si>
  <si>
    <t xml:space="preserve"> 14874</t>
  </si>
  <si>
    <t xml:space="preserve"> 수발주 내역 조회</t>
  </si>
  <si>
    <t xml:space="preserve"> EpoList</t>
  </si>
  <si>
    <t xml:space="preserve"> 30</t>
  </si>
  <si>
    <t xml:space="preserve"> 수발주내역 조회</t>
  </si>
  <si>
    <t xml:space="preserve"> 14821/수발주내역 조회//</t>
  </si>
  <si>
    <t xml:space="preserve"> 20170517150832</t>
  </si>
  <si>
    <t xml:space="preserve"> 14875</t>
  </si>
  <si>
    <t xml:space="preserve"> 수발주 현황</t>
  </si>
  <si>
    <t xml:space="preserve"> EpoListDtl</t>
  </si>
  <si>
    <t xml:space="preserve"> 14821/수발주 현황/cham/EpoListDtl</t>
  </si>
  <si>
    <t xml:space="preserve"> 14876</t>
  </si>
  <si>
    <t xml:space="preserve"> 매장별 수발주 조회</t>
  </si>
  <si>
    <t xml:space="preserve"> EpoListStr</t>
  </si>
  <si>
    <t xml:space="preserve"> 14821/매장별 수발주 조회/cham/EpoListStr</t>
  </si>
  <si>
    <t xml:space="preserve"> 14877</t>
  </si>
  <si>
    <t xml:space="preserve"> 품목별 수발주 조회</t>
  </si>
  <si>
    <t xml:space="preserve"> EpoListItem</t>
  </si>
  <si>
    <t xml:space="preserve"> 14821/품목별 수발주 조회/cham/EpoListItem</t>
  </si>
  <si>
    <t xml:space="preserve"> 31</t>
  </si>
  <si>
    <t xml:space="preserve"> 14821/수발주 내역 조회/cham/EpoList</t>
  </si>
  <si>
    <t xml:space="preserve"> 30040</t>
  </si>
  <si>
    <t xml:space="preserve"> 생산 제품 분배</t>
  </si>
  <si>
    <t xml:space="preserve"> EpoGoodsWork</t>
  </si>
  <si>
    <t xml:space="preserve"> 14821/생산 제품 분배/cham/EpoGoodsWork</t>
  </si>
  <si>
    <t xml:space="preserve"> 30047</t>
  </si>
  <si>
    <t xml:space="preserve"> 수발주 상품 옵션 관리</t>
  </si>
  <si>
    <t xml:space="preserve"> EpoItemOption</t>
  </si>
  <si>
    <t xml:space="preserve"> 14821/수발주 상품 옵션 관리/cham/EpoItemOption</t>
  </si>
  <si>
    <t xml:space="preserve"> 30052</t>
  </si>
  <si>
    <t xml:space="preserve"> BOM을 통한 수불 분석</t>
  </si>
  <si>
    <t xml:space="preserve"> EpoBomAnal</t>
  </si>
  <si>
    <t xml:space="preserve"> 14821/BOM을 통한 수불 분석/cham/EpoBomAnal</t>
  </si>
  <si>
    <t xml:space="preserve"> 30060</t>
  </si>
  <si>
    <t xml:space="preserve"> 수발주 내역 검증</t>
  </si>
  <si>
    <t xml:space="preserve"> EpInspWork</t>
  </si>
  <si>
    <t xml:space="preserve"> 19</t>
  </si>
  <si>
    <t xml:space="preserve"> 14821/수발주 내역 검증/cham/EpInspWork</t>
  </si>
  <si>
    <t xml:space="preserve"> 30061</t>
  </si>
  <si>
    <t xml:space="preserve"> 수발주 패턴 관리</t>
  </si>
  <si>
    <t xml:space="preserve"> EpoPattern</t>
  </si>
  <si>
    <t xml:space="preserve"> 14821/수발주 패턴 관리/cham/EpoPattern</t>
  </si>
  <si>
    <t xml:space="preserve"> 32</t>
  </si>
  <si>
    <t xml:space="preserve"> 단일 발주 등록</t>
  </si>
  <si>
    <t xml:space="preserve"> EpoSingle</t>
  </si>
  <si>
    <t xml:space="preserve"> 14821/단일 발주 등록/cham/EpoSingle</t>
  </si>
  <si>
    <t xml:space="preserve"> 33</t>
  </si>
  <si>
    <t xml:space="preserve"> 그룹 발주 등록</t>
  </si>
  <si>
    <t xml:space="preserve"> EpoGroup</t>
  </si>
  <si>
    <t xml:space="preserve"> 14821/그룹 발주 등록/cham/EpoGroup</t>
  </si>
  <si>
    <t xml:space="preserve"> 34</t>
  </si>
  <si>
    <t xml:space="preserve"> 수주 등록</t>
  </si>
  <si>
    <t xml:space="preserve"> EpoOrderWork</t>
  </si>
  <si>
    <t xml:space="preserve"> 14821/수주 등록/cham/EpoOrderWork</t>
  </si>
  <si>
    <t xml:space="preserve"> 36</t>
  </si>
  <si>
    <t xml:space="preserve"> 출고 등록</t>
  </si>
  <si>
    <t xml:space="preserve"> EpoOstWork</t>
  </si>
  <si>
    <t xml:space="preserve"> 14821/출고 등록/cham/EpoOstWork</t>
  </si>
  <si>
    <t xml:space="preserve"> 37</t>
  </si>
  <si>
    <t xml:space="preserve"> 매장 입고 등록</t>
  </si>
  <si>
    <t xml:space="preserve"> EpoStoreIstWork</t>
  </si>
  <si>
    <t xml:space="preserve"> 14821/매장 입고 등록/cham/EpoStoreIstWork</t>
  </si>
  <si>
    <t xml:space="preserve"> 38</t>
  </si>
  <si>
    <t xml:space="preserve"> 마감 등록</t>
  </si>
  <si>
    <t xml:space="preserve"> EpoClose</t>
  </si>
  <si>
    <t xml:space="preserve"> 14821/마감 등록/cham/EpoClose</t>
  </si>
  <si>
    <t xml:space="preserve"> 39</t>
  </si>
  <si>
    <t xml:space="preserve"> 자주쓰는 수발주 품목 등록</t>
  </si>
  <si>
    <t xml:space="preserve"> EpoBookMark</t>
  </si>
  <si>
    <t xml:space="preserve"> 14821/자주쓰는 수발주 품목 등록/cham/EpoBookMark</t>
  </si>
  <si>
    <t xml:space="preserve"> 41</t>
  </si>
  <si>
    <t xml:space="preserve"> 배송관리</t>
  </si>
  <si>
    <t xml:space="preserve"> 11</t>
  </si>
  <si>
    <t xml:space="preserve"> 14821/배송관리//</t>
  </si>
  <si>
    <t xml:space="preserve"> 42</t>
  </si>
  <si>
    <t xml:space="preserve"> 배송 내역 관리</t>
  </si>
  <si>
    <t xml:space="preserve"> EpoDeliWork</t>
  </si>
  <si>
    <t xml:space="preserve"> 14821/배송 내역 관리/cham/EpoDeliWork</t>
  </si>
  <si>
    <t xml:space="preserve"> 43</t>
  </si>
  <si>
    <t xml:space="preserve"> 배송 지시서[통합배송]</t>
  </si>
  <si>
    <t xml:space="preserve"> EpoPickingTotal</t>
  </si>
  <si>
    <t xml:space="preserve"> 14821/배송 지시서[통합배송]/cham/EpoPickingTotal</t>
  </si>
  <si>
    <t xml:space="preserve"> 44</t>
  </si>
  <si>
    <t xml:space="preserve"> 물류 구분별 배송[다중 배송]</t>
  </si>
  <si>
    <t xml:space="preserve"> EpoPickingMulti</t>
  </si>
  <si>
    <t xml:space="preserve"> 14821/물류 구분별 배송[다중 배송]/cham/EpoPickingMulti</t>
  </si>
  <si>
    <t xml:space="preserve"> 45</t>
  </si>
  <si>
    <t xml:space="preserve"> Digital Packing System(DPS)</t>
  </si>
  <si>
    <t xml:space="preserve"> EpoDigitalPacking</t>
  </si>
  <si>
    <t xml:space="preserve"> 14821/Digital Packing System(DPS)/cham/EpoDigitalPacking</t>
  </si>
  <si>
    <t xml:space="preserve"> 53</t>
  </si>
  <si>
    <t xml:space="preserve"> 수발주 미수금 관리</t>
  </si>
  <si>
    <t xml:space="preserve"> 14821/수발주 미수금 관리//</t>
  </si>
  <si>
    <t xml:space="preserve"> 30057</t>
  </si>
  <si>
    <t xml:space="preserve"> 매장별 영업 분석</t>
  </si>
  <si>
    <t xml:space="preserve"> EpoStoreSalesAnal</t>
  </si>
  <si>
    <t xml:space="preserve"> 14821/매장별 영업 분석/cham/EpoStoreSalesAnal</t>
  </si>
  <si>
    <t xml:space="preserve"> 54</t>
  </si>
  <si>
    <t xml:space="preserve"> 수금 내역 등록</t>
  </si>
  <si>
    <t xml:space="preserve"> EpoColtWork</t>
  </si>
  <si>
    <t xml:space="preserve"> 14821/수금 내역 등록/cham/EpoColtWork</t>
  </si>
  <si>
    <t xml:space="preserve"> 55</t>
  </si>
  <si>
    <t xml:space="preserve"> 수금 내역 조회</t>
  </si>
  <si>
    <t xml:space="preserve"> EpoColtList</t>
  </si>
  <si>
    <t xml:space="preserve"> 14821/수금 내역 조회/cham/EpoColtList</t>
  </si>
  <si>
    <t xml:space="preserve"> 56</t>
  </si>
  <si>
    <t xml:space="preserve"> 미수금 관리</t>
  </si>
  <si>
    <t xml:space="preserve"> EpoArWork</t>
  </si>
  <si>
    <t xml:space="preserve"> 14821/미수금 관리/cham/EpoArWork</t>
  </si>
  <si>
    <t xml:space="preserve"> 46</t>
  </si>
  <si>
    <t xml:space="preserve"> 수발주 내역 관리</t>
  </si>
  <si>
    <t xml:space="preserve"> EpoWork</t>
  </si>
  <si>
    <t xml:space="preserve"> 14821/수발주 내역 관리/cham/EpoWork</t>
  </si>
  <si>
    <t xml:space="preserve"> 70</t>
  </si>
  <si>
    <t xml:space="preserve"> 고객별 판매분석</t>
  </si>
  <si>
    <t xml:space="preserve"> 71</t>
  </si>
  <si>
    <t xml:space="preserve"> 객층별 판매분석</t>
  </si>
  <si>
    <t xml:space="preserve"> SaleCustGubun</t>
  </si>
  <si>
    <t xml:space="preserve"> 85</t>
  </si>
  <si>
    <t xml:space="preserve"> 기초자료</t>
  </si>
  <si>
    <t xml:space="preserve"> 14821/기초자료//</t>
  </si>
  <si>
    <t xml:space="preserve"> 30086</t>
  </si>
  <si>
    <t xml:space="preserve"> 고객 이벤트 등록</t>
  </si>
  <si>
    <t xml:space="preserve"> MemberEventWork</t>
  </si>
  <si>
    <t xml:space="preserve"> 14821/고객 이벤트 등록/chamcrm/MemberEventWork</t>
  </si>
  <si>
    <t xml:space="preserve"> 20170517175610</t>
  </si>
  <si>
    <t xml:space="preserve"> 14878</t>
  </si>
  <si>
    <t xml:space="preserve"> 매장 관리</t>
  </si>
  <si>
    <t xml:space="preserve"> 14821/매장 관리//</t>
  </si>
  <si>
    <t xml:space="preserve"> 14879</t>
  </si>
  <si>
    <t xml:space="preserve"> 매장 등록</t>
  </si>
  <si>
    <t xml:space="preserve"> StoreInfo</t>
  </si>
  <si>
    <t xml:space="preserve"> 14821/매장 등록/cham/StoreInfo</t>
  </si>
  <si>
    <t xml:space="preserve"> 14880</t>
  </si>
  <si>
    <t xml:space="preserve"> 상품정보관리</t>
  </si>
  <si>
    <t xml:space="preserve"> 14821/상품정보관리//</t>
  </si>
  <si>
    <t xml:space="preserve"> 14881</t>
  </si>
  <si>
    <t xml:space="preserve"> 상품정보 조회</t>
  </si>
  <si>
    <t xml:space="preserve"> CmdtInfo</t>
  </si>
  <si>
    <t xml:space="preserve"> 14821/상품정보 조회/cham/CmdtInfo</t>
  </si>
  <si>
    <t xml:space="preserve"> 10007</t>
  </si>
  <si>
    <t xml:space="preserve"> 메뉴 코드 관리</t>
  </si>
  <si>
    <t xml:space="preserve"> contr</t>
  </si>
  <si>
    <t xml:space="preserve"> MenuInfo</t>
  </si>
  <si>
    <t xml:space="preserve"> 10004</t>
  </si>
  <si>
    <t xml:space="preserve"> 10009</t>
  </si>
  <si>
    <t xml:space="preserve"> 기초 코드 관리</t>
  </si>
  <si>
    <t xml:space="preserve"> CodeInfo</t>
  </si>
  <si>
    <t xml:space="preserve"> 10012</t>
  </si>
  <si>
    <t xml:space="preserve"> 단어 코드 관리</t>
  </si>
  <si>
    <t xml:space="preserve"> WordInfo</t>
  </si>
  <si>
    <t xml:space="preserve"> 10015</t>
  </si>
  <si>
    <t xml:space="preserve"> 우편 번호 관리</t>
  </si>
  <si>
    <t xml:space="preserve"> ZipInfo</t>
  </si>
  <si>
    <t xml:space="preserve"> 10046</t>
  </si>
  <si>
    <t xml:space="preserve"> 계정 정보 관리</t>
  </si>
  <si>
    <t xml:space="preserve"> VendInfo</t>
  </si>
  <si>
    <t xml:space="preserve"> 10039</t>
  </si>
  <si>
    <t xml:space="preserve"> 10047</t>
  </si>
  <si>
    <t xml:space="preserve"> 상품 정보 관리</t>
  </si>
  <si>
    <t xml:space="preserve"> ItemInfo</t>
  </si>
  <si>
    <t xml:space="preserve"> 1054</t>
  </si>
  <si>
    <t xml:space="preserve"> 계정 관리</t>
  </si>
  <si>
    <t xml:space="preserve"> 1091</t>
  </si>
  <si>
    <t xml:space="preserve"> 14821/계정 관리//</t>
  </si>
  <si>
    <t xml:space="preserve"> 334</t>
  </si>
  <si>
    <t xml:space="preserve"> 사용자 부서 관리</t>
  </si>
  <si>
    <t xml:space="preserve"> DeptInfo</t>
  </si>
  <si>
    <t xml:space="preserve"> 14821/사용자 부서 관리/user/DeptInfo</t>
  </si>
  <si>
    <t xml:space="preserve"> 40</t>
  </si>
  <si>
    <t xml:space="preserve"> 권한 관리</t>
  </si>
  <si>
    <t xml:space="preserve"> 47</t>
  </si>
  <si>
    <t xml:space="preserve"> 사용자 계정 관리</t>
  </si>
  <si>
    <t xml:space="preserve"> UserInfo</t>
  </si>
  <si>
    <t xml:space="preserve"> 14821/사용자 계정 관리/user/UserInfo</t>
  </si>
  <si>
    <t xml:space="preserve"> 1053</t>
  </si>
  <si>
    <t xml:space="preserve"> 사용자 권한 관리</t>
  </si>
  <si>
    <t xml:space="preserve"> UserAuth</t>
  </si>
  <si>
    <t xml:space="preserve"> 14821/사용자 권한 관리/user/UserAuth</t>
  </si>
  <si>
    <t xml:space="preserve"> 1095</t>
  </si>
  <si>
    <t xml:space="preserve"> 서버 관리</t>
  </si>
  <si>
    <t xml:space="preserve"> 14725</t>
  </si>
  <si>
    <t xml:space="preserve"> 기초 코드 관리(System)</t>
  </si>
  <si>
    <t xml:space="preserve"> project</t>
  </si>
  <si>
    <t xml:space="preserve"> 14821/기초 코드 관리(System)/project/CodeInfo</t>
  </si>
  <si>
    <t xml:space="preserve"> 322</t>
  </si>
  <si>
    <t xml:space="preserve"> 인증 관리</t>
  </si>
  <si>
    <t xml:space="preserve"> 14883</t>
  </si>
  <si>
    <t xml:space="preserve"> 공지사항 조회</t>
  </si>
  <si>
    <t xml:space="preserve"> NoticeViewer</t>
  </si>
  <si>
    <t xml:space="preserve"> 14821/공지사항 조회/cham/NoticeViewer</t>
  </si>
  <si>
    <t xml:space="preserve"> 14884</t>
  </si>
  <si>
    <t xml:space="preserve"> Home</t>
  </si>
  <si>
    <t xml:space="preserve"> HomeViewer</t>
  </si>
  <si>
    <t xml:space="preserve"> 14821/Home/cham/HomeViewer</t>
  </si>
  <si>
    <t>InspEntry4</t>
    <phoneticPr fontId="1" type="noConversion"/>
  </si>
  <si>
    <t>기본</t>
    <phoneticPr fontId="1" type="noConversion"/>
  </si>
  <si>
    <t>사출</t>
    <phoneticPr fontId="1" type="noConversion"/>
  </si>
  <si>
    <t>프로젝트</t>
    <phoneticPr fontId="1" type="noConversion"/>
  </si>
  <si>
    <t>일반제조</t>
    <phoneticPr fontId="1" type="noConversion"/>
  </si>
  <si>
    <t>관제</t>
    <phoneticPr fontId="1" type="noConversion"/>
  </si>
  <si>
    <t>Y</t>
    <phoneticPr fontId="1" type="noConversion"/>
  </si>
  <si>
    <t>특이사항</t>
    <phoneticPr fontId="1" type="noConversion"/>
  </si>
  <si>
    <t>원청 업체의 신제품 개발 프로젝트 관련 정보를 관리</t>
    <phoneticPr fontId="1" type="noConversion"/>
  </si>
  <si>
    <t>프로젝트 수주건의 수주전 정보 관리 및 수주 확정, Amend 정보 관리</t>
    <phoneticPr fontId="1" type="noConversion"/>
  </si>
  <si>
    <t>수주건의 설계 변경 사항을 관리, 수주금액 및 수금일정 변경 가능</t>
    <phoneticPr fontId="1" type="noConversion"/>
  </si>
  <si>
    <t>수주건별, 작업일정, 설계일정, 작업일보, 수금현황… 등을 종합적으로 조회</t>
    <phoneticPr fontId="1" type="noConversion"/>
  </si>
  <si>
    <t>견적서 등록 및 견적서 발행, 수주 확정 처리…</t>
    <phoneticPr fontId="1" type="noConversion"/>
  </si>
  <si>
    <t>For 두인 , 사출업체 수주 등록, 엑셀 업로드, 품목코드 등록 로직 특이</t>
    <phoneticPr fontId="1" type="noConversion"/>
  </si>
  <si>
    <t>일반 수주 등록 기능</t>
    <phoneticPr fontId="1" type="noConversion"/>
  </si>
  <si>
    <t>수주건별 미출고 잔량을 조회</t>
    <phoneticPr fontId="1" type="noConversion"/>
  </si>
  <si>
    <t>생산 완료된 수주건의 출고 지시 처리</t>
    <phoneticPr fontId="1" type="noConversion"/>
  </si>
  <si>
    <t>매출현황</t>
    <phoneticPr fontId="1" type="noConversion"/>
  </si>
  <si>
    <t>발주단가, 납기일자, 묶음단위.. 등 정보를 관리</t>
    <phoneticPr fontId="1" type="noConversion"/>
  </si>
  <si>
    <t>설계 담당자가 지정한 구매품목을 조회하고, 구매업체 및 납기일자, 단가를 결정 등록</t>
    <phoneticPr fontId="1" type="noConversion"/>
  </si>
  <si>
    <t>기타 입고사항을 등록 관리(정상적인 발주품목 입고와 분리하여 관리 함.)</t>
    <phoneticPr fontId="1" type="noConversion"/>
  </si>
  <si>
    <t>기타 출고사항을 등록(생산출고와 분리하여 관리 함)</t>
    <phoneticPr fontId="1" type="noConversion"/>
  </si>
  <si>
    <t>생산에 소요되는 출고 전표를 등록한다.(소요량 계산에 의하여 등록하여야 하나, 작업지시 번호별로 직접 입력하고 있음)</t>
    <phoneticPr fontId="1" type="noConversion"/>
  </si>
  <si>
    <t>생산 소요량 관리 기능 없으므로 현재 무의미한 메뉴</t>
    <phoneticPr fontId="1" type="noConversion"/>
  </si>
  <si>
    <t>제품 출고 전표 등록 관리</t>
    <phoneticPr fontId="1" type="noConversion"/>
  </si>
  <si>
    <t>창고간 이동 전표 등록</t>
    <phoneticPr fontId="1" type="noConversion"/>
  </si>
  <si>
    <t>제품 재고 현황 조회</t>
    <phoneticPr fontId="1" type="noConversion"/>
  </si>
  <si>
    <t>자재 및 제품의 수불내역을 품목별, LOT별로 집계하여 수불집계 테이블 생성</t>
    <phoneticPr fontId="1" type="noConversion"/>
  </si>
  <si>
    <t>수불 품목별 수불 대장을 조회</t>
    <phoneticPr fontId="1" type="noConversion"/>
  </si>
  <si>
    <t>품목별 lot별 재고 현황 조회</t>
    <phoneticPr fontId="1" type="noConversion"/>
  </si>
  <si>
    <t>품목별 LOT별 수불 현황 조회</t>
    <phoneticPr fontId="1" type="noConversion"/>
  </si>
  <si>
    <t>LOT별 재고 조정 전표를 등록</t>
    <phoneticPr fontId="1" type="noConversion"/>
  </si>
  <si>
    <t>자재 재고 현황 조회</t>
    <phoneticPr fontId="1" type="noConversion"/>
  </si>
  <si>
    <t>품목별 재고 실사 자료 관리(재고실사 자료 작성 및 결과 등록 포함)</t>
    <phoneticPr fontId="1" type="noConversion"/>
  </si>
  <si>
    <t>LOT별 재고 실사 자료 관리(재고실사 자료 작성 및 결과 등록 기능 포함)</t>
    <phoneticPr fontId="1" type="noConversion"/>
  </si>
  <si>
    <t>WORK CENTER 정보를 등록(소속부서 및 공정명, 검사여부 및 외주공정일 경우 외주업체 정보 등)</t>
    <phoneticPr fontId="1" type="noConversion"/>
  </si>
  <si>
    <t>공정별 운영 설비 등록(사전에 설비코드 등록되어 있어야 함)</t>
    <phoneticPr fontId="1" type="noConversion"/>
  </si>
  <si>
    <t>투입공수를 이용하여 가공비를 계산하기 위한 임율 등록(사용자 관리와 연계 됨)</t>
    <phoneticPr fontId="1" type="noConversion"/>
  </si>
  <si>
    <t>판매, 구매, 수출, 외주 등 각종 거래처 정보를 등록</t>
    <phoneticPr fontId="1" type="noConversion"/>
  </si>
  <si>
    <t>거래처 리스트 조회</t>
    <phoneticPr fontId="1" type="noConversion"/>
  </si>
  <si>
    <t>사원정보 및 log In 정보, 개인별 임율 정보, 국적… 등 관리</t>
    <phoneticPr fontId="1" type="noConversion"/>
  </si>
  <si>
    <t>사원별 메뉴 권한 등록(메뉴별 사용 권한 관리와 동일 테이블 사용)</t>
    <phoneticPr fontId="1" type="noConversion"/>
  </si>
  <si>
    <t>메뉴별 사용자 사용권한 등록(사용자별 메뉴권한 관리와 동일 테이블 사용)</t>
    <phoneticPr fontId="1" type="noConversion"/>
  </si>
  <si>
    <t>부서 편재 코드를 등록하고, 조회</t>
    <phoneticPr fontId="1" type="noConversion"/>
  </si>
  <si>
    <t xml:space="preserve">사원별 직급 현황을 파악하기 위한 코드를 등록 </t>
    <phoneticPr fontId="1" type="noConversion"/>
  </si>
  <si>
    <t>각 테이블 필드 중 bacd 항목의 정보를 관리(sscd_mast에서 종류를 등록한다)</t>
    <phoneticPr fontId="1" type="noConversion"/>
  </si>
  <si>
    <t>sscd mast 내용을 조회하고 수정 입력</t>
    <phoneticPr fontId="1" type="noConversion"/>
  </si>
  <si>
    <t>창고 코드 정보 관리</t>
    <phoneticPr fontId="1" type="noConversion"/>
  </si>
  <si>
    <t>기능창고 정보 관리</t>
    <phoneticPr fontId="1" type="noConversion"/>
  </si>
  <si>
    <t>사업장 정보(명칭, 주소.. 등) 관리</t>
    <phoneticPr fontId="1" type="noConversion"/>
  </si>
  <si>
    <t>생산 Schdule 관리를 위한 휴일 정보 관리</t>
    <phoneticPr fontId="1" type="noConversion"/>
  </si>
  <si>
    <t>적용 회사별 환경 설정</t>
    <phoneticPr fontId="1" type="noConversion"/>
  </si>
  <si>
    <t>수불 단위코드 정보 관리</t>
    <phoneticPr fontId="1" type="noConversion"/>
  </si>
  <si>
    <t>품목의 대중소 분류 코드 관리</t>
    <phoneticPr fontId="1" type="noConversion"/>
  </si>
  <si>
    <t>제품, 자재, 공정 재공품 정보를 등록(기본 정보와 추가 정보 등으로 구분하여 관리 함)</t>
    <phoneticPr fontId="1" type="noConversion"/>
  </si>
  <si>
    <t>품목코드 조회</t>
    <phoneticPr fontId="1" type="noConversion"/>
  </si>
  <si>
    <t>BOM 수정 자료 등록 및 승인 입력</t>
    <phoneticPr fontId="1" type="noConversion"/>
  </si>
  <si>
    <t>BOM List 조회</t>
    <phoneticPr fontId="1" type="noConversion"/>
  </si>
  <si>
    <t>업체별 판매 조건 , 담보사항 등을 관리</t>
    <phoneticPr fontId="1" type="noConversion"/>
  </si>
  <si>
    <t>외주작업지시</t>
    <phoneticPr fontId="1" type="noConversion"/>
  </si>
  <si>
    <t>작업공정 = 외주인 생산계획에 대한 발주 처리, 구매발주 대장에 등록한다.</t>
    <phoneticPr fontId="1" type="noConversion"/>
  </si>
  <si>
    <t>일반 생산계획 관리</t>
    <phoneticPr fontId="1" type="noConversion"/>
  </si>
  <si>
    <t>for 두인 , 사출업체 생산계획 등록</t>
    <phoneticPr fontId="1" type="noConversion"/>
  </si>
  <si>
    <t>(두인)</t>
    <phoneticPr fontId="1" type="noConversion"/>
  </si>
  <si>
    <t>(프로젝트)</t>
    <phoneticPr fontId="1" type="noConversion"/>
  </si>
  <si>
    <t>초중종</t>
    <phoneticPr fontId="1" type="noConversion"/>
  </si>
  <si>
    <t>주문오더관리</t>
    <phoneticPr fontId="1" type="noConversion"/>
  </si>
  <si>
    <t>설계 개략 일정 계획 등록</t>
    <phoneticPr fontId="1" type="noConversion"/>
  </si>
  <si>
    <t>확정된 상세 설계 일정 계획 관리</t>
    <phoneticPr fontId="1" type="noConversion"/>
  </si>
  <si>
    <t>설계 작업 실적 등록(일정계획을 근거로)</t>
    <phoneticPr fontId="1" type="noConversion"/>
  </si>
  <si>
    <t>수금 일정 계획 대비 입금 실적 조회</t>
    <phoneticPr fontId="1" type="noConversion"/>
  </si>
  <si>
    <t>생산 설비 또는 생산 공정별 생산 능력 대비 작업량 분석</t>
    <phoneticPr fontId="1" type="noConversion"/>
  </si>
  <si>
    <t>일자별, 공정별, 불량 요소별 불량 발생현황 조회</t>
    <phoneticPr fontId="1" type="noConversion"/>
  </si>
  <si>
    <t>공정별 근무중인 작업자 관리</t>
    <phoneticPr fontId="1" type="noConversion"/>
  </si>
  <si>
    <t>WorkEntryV2</t>
    <phoneticPr fontId="1" type="noConversion"/>
  </si>
  <si>
    <t>ProdOrderV2</t>
    <phoneticPr fontId="1" type="noConversion"/>
  </si>
  <si>
    <t>ProdPlanV2</t>
    <phoneticPr fontId="1" type="noConversion"/>
  </si>
  <si>
    <t>ProdMoniteringV2</t>
    <phoneticPr fontId="1" type="noConversion"/>
  </si>
  <si>
    <t>거래처 방문일지</t>
    <phoneticPr fontId="1" type="noConversion"/>
  </si>
  <si>
    <t>CstmVist</t>
    <phoneticPr fontId="1" type="noConversion"/>
  </si>
  <si>
    <t>SlorList2</t>
    <phoneticPr fontId="1" type="noConversion"/>
  </si>
  <si>
    <t>SaleList3</t>
    <phoneticPr fontId="1" type="noConversion"/>
  </si>
  <si>
    <t>생산지시현황</t>
    <phoneticPr fontId="1" type="noConversion"/>
  </si>
  <si>
    <t>ProdOrderList</t>
    <phoneticPr fontId="1" type="noConversion"/>
  </si>
  <si>
    <t>생산 지시서 현황 조회</t>
    <phoneticPr fontId="1" type="noConversion"/>
  </si>
  <si>
    <t>생산계획을 참조하여 생산 지시 등록(공정별 작업지시 내용 생성)</t>
    <phoneticPr fontId="1" type="noConversion"/>
  </si>
  <si>
    <t>납기 준수율</t>
    <phoneticPr fontId="1" type="noConversion"/>
  </si>
  <si>
    <t>SlorList5</t>
    <phoneticPr fontId="1" type="noConversion"/>
  </si>
  <si>
    <t>거래처, 품목별, 품목분류별 납기 준수율 분석 통계 자료 조회</t>
    <phoneticPr fontId="1" type="noConversion"/>
  </si>
  <si>
    <t>거래처별, 품목별, 납기일자별 수주 현황 조회</t>
    <phoneticPr fontId="1" type="noConversion"/>
  </si>
  <si>
    <t>적용회사</t>
    <phoneticPr fontId="1" type="noConversion"/>
  </si>
  <si>
    <t>910000</t>
    <phoneticPr fontId="1" type="noConversion"/>
  </si>
  <si>
    <t>공지사항 관리</t>
    <phoneticPr fontId="1" type="noConversion"/>
  </si>
  <si>
    <t>공지사항 등록</t>
    <phoneticPr fontId="1" type="noConversion"/>
  </si>
  <si>
    <t>공지사항 확인</t>
    <phoneticPr fontId="1" type="noConversion"/>
  </si>
  <si>
    <t>notice</t>
    <phoneticPr fontId="1" type="noConversion"/>
  </si>
  <si>
    <t>NoticeWork</t>
    <phoneticPr fontId="1" type="noConversion"/>
  </si>
  <si>
    <t>NoticeView</t>
    <phoneticPr fontId="1" type="noConversion"/>
  </si>
  <si>
    <t>공지사항 등록 및 대상자 선별 입력</t>
    <phoneticPr fontId="1" type="noConversion"/>
  </si>
  <si>
    <t>대상자 본인의 공지사항 조회</t>
    <phoneticPr fontId="1" type="noConversion"/>
  </si>
  <si>
    <t>920000</t>
    <phoneticPr fontId="1" type="noConversion"/>
  </si>
  <si>
    <t>외주 입출고 관리</t>
    <phoneticPr fontId="1" type="noConversion"/>
  </si>
  <si>
    <t>OtodWork</t>
    <phoneticPr fontId="1" type="noConversion"/>
  </si>
  <si>
    <t>외주 가공 오더별 소요자재의 출고 및 입고 실적 등록</t>
    <phoneticPr fontId="1" type="noConversion"/>
  </si>
  <si>
    <t>공정별 작업 일보를 등록(작업 실적 및 유실공수, 자재투입, 설비 가동)</t>
    <phoneticPr fontId="1" type="noConversion"/>
  </si>
  <si>
    <t>작업 일지 조회</t>
    <phoneticPr fontId="1" type="noConversion"/>
  </si>
  <si>
    <t>시사출 생산 실적을 보고</t>
    <phoneticPr fontId="1" type="noConversion"/>
  </si>
  <si>
    <t>육성 작업일지를 보고</t>
    <phoneticPr fontId="1" type="noConversion"/>
  </si>
  <si>
    <t>육성 작업일지 조회</t>
    <phoneticPr fontId="1" type="noConversion"/>
  </si>
  <si>
    <t>생산계획 수립없이 주문대장을 이용하여 생산 지시서 발행</t>
    <phoneticPr fontId="1" type="noConversion"/>
  </si>
  <si>
    <t>CvicCheckType</t>
    <phoneticPr fontId="1" type="noConversion"/>
  </si>
  <si>
    <t>CvicCheckTypeItem</t>
    <phoneticPr fontId="1" type="noConversion"/>
  </si>
  <si>
    <t>설비점검유형관리</t>
    <phoneticPr fontId="1" type="noConversion"/>
  </si>
  <si>
    <t>설비점검항목관리</t>
    <phoneticPr fontId="1" type="noConversion"/>
  </si>
  <si>
    <t>B</t>
    <phoneticPr fontId="1" type="noConversion"/>
  </si>
  <si>
    <t>S</t>
    <phoneticPr fontId="1" type="noConversion"/>
  </si>
  <si>
    <t>M</t>
    <phoneticPr fontId="1" type="noConversion"/>
  </si>
  <si>
    <t>W</t>
    <phoneticPr fontId="1" type="noConversion"/>
  </si>
  <si>
    <t>P</t>
    <phoneticPr fontId="1" type="noConversion"/>
  </si>
  <si>
    <t>Q</t>
    <phoneticPr fontId="1" type="noConversion"/>
  </si>
  <si>
    <t>D</t>
    <phoneticPr fontId="1" type="noConversion"/>
  </si>
  <si>
    <t>N</t>
    <phoneticPr fontId="1" type="noConversion"/>
  </si>
  <si>
    <t>E</t>
    <phoneticPr fontId="1" type="noConversion"/>
  </si>
  <si>
    <t>고유번호</t>
    <phoneticPr fontId="1" type="noConversion"/>
  </si>
  <si>
    <t>분류</t>
    <phoneticPr fontId="1" type="noConversion"/>
  </si>
  <si>
    <t>개발자</t>
    <phoneticPr fontId="1" type="noConversion"/>
  </si>
  <si>
    <t>김재현</t>
    <phoneticPr fontId="1" type="noConversion"/>
  </si>
  <si>
    <t>장우영</t>
    <phoneticPr fontId="1" type="noConversion"/>
  </si>
  <si>
    <t>임수찬</t>
    <phoneticPr fontId="1" type="noConversion"/>
  </si>
  <si>
    <t>10/10 : 에디터 일부 내용 위치 조정,  주요일정 텝명 주요일정/견적금액으로 수정,
        유무상 구분 기본 값 : 유상 , 수금액 --&gt; 예정금액 으로 조정
        주요일정 항목 조정 필요, 품목코드 --&gt; 금형코드, 품명--&gt; 금형명으로 조정</t>
    <phoneticPr fontId="1" type="noConversion"/>
  </si>
  <si>
    <t>개발 Note</t>
    <phoneticPr fontId="1" type="noConversion"/>
  </si>
  <si>
    <t>주문현황</t>
    <phoneticPr fontId="1" type="noConversion"/>
  </si>
  <si>
    <t>10/10 : 출고 수량 및 미출고 수량 필드 삭제</t>
    <phoneticPr fontId="1" type="noConversion"/>
  </si>
  <si>
    <t>완료</t>
    <phoneticPr fontId="1" type="noConversion"/>
  </si>
  <si>
    <t>미</t>
    <phoneticPr fontId="1" type="noConversion"/>
  </si>
  <si>
    <t>10/10일 coding 시작</t>
    <phoneticPr fontId="1" type="noConversion"/>
  </si>
  <si>
    <t>생산 완료된 수주건의 출고 지시 처리
생산 완료된 수주 오더 목록을 화면에 표시하고, 출하 지시 버튼에 의해 출하지시서를 작성 함</t>
    <phoneticPr fontId="1" type="noConversion"/>
  </si>
  <si>
    <t>생산에 소요되는 출고 전표를 등록한다.
(소요량 계산에 의하여 등록하여야 하나, 작업지시 번호별로 직접 입력하고 있음)</t>
    <phoneticPr fontId="1" type="noConversion"/>
  </si>
  <si>
    <t xml:space="preserve">1. 품목별 발주잔량 리스트 : 
2. 거래처별 발주잔량 리스트 : 
3. 납기일자순 발주잔량 리스트 : 
4. 담당자별 발주잔량 리스트 : </t>
    <phoneticPr fontId="1" type="noConversion"/>
  </si>
  <si>
    <t>10/10 입고처리 버튼 추가 (auto_item_rcpt 프로시져 호출)</t>
    <phoneticPr fontId="1" type="noConversion"/>
  </si>
  <si>
    <t>10/10 : 개발 착수</t>
    <phoneticPr fontId="1" type="noConversion"/>
  </si>
  <si>
    <t>박병진</t>
    <phoneticPr fontId="1" type="noConversion"/>
  </si>
  <si>
    <t>BOM 등록</t>
    <phoneticPr fontId="1" type="noConversion"/>
  </si>
  <si>
    <t>BomWork</t>
    <phoneticPr fontId="1" type="noConversion"/>
  </si>
  <si>
    <t>제작에 필요한 BOM 등록</t>
    <phoneticPr fontId="1" type="noConversion"/>
  </si>
  <si>
    <t>도장, 도금 업체에 한하여 사용하는 기능
의뢰품을 생산 현장에 투입하기 전 실시하는 검사</t>
    <phoneticPr fontId="1" type="noConversion"/>
  </si>
  <si>
    <t>품목코드 등록 기능과 중복된 기능
단, 편의성을 위하여 존재하는 기능 임
검사 유형별 품목 리스트를 조회하고, 추가하는 기능
선택 및 선택해제 하는 버튼을 이용하여 간편하게 검사 기준을 등록</t>
    <phoneticPr fontId="1" type="noConversion"/>
  </si>
  <si>
    <t xml:space="preserve">공정 검사 실적을 입력한다. 
검사구분에 따라 초물, 종물, 종물 및 자주 검사로 구분된다. </t>
    <phoneticPr fontId="1" type="noConversion"/>
  </si>
  <si>
    <t xml:space="preserve">뉴볼텍 사업계획서 포함 내용
거래처별 일자별 방문 기록 </t>
    <phoneticPr fontId="1" type="noConversion"/>
  </si>
  <si>
    <t>지그를 사용하고 관리하는 업체를 대상으로 보급하는 기능</t>
    <phoneticPr fontId="1" type="noConversion"/>
  </si>
  <si>
    <t>지그 정보를 등록한다. (기본정보 및 점검 주기, 구매 및 제조사 정보, 생산품목, 첨부파일)</t>
    <phoneticPr fontId="1" type="noConversion"/>
  </si>
  <si>
    <t>관리부서별,구매처별 지그 목록 검색</t>
    <phoneticPr fontId="1" type="noConversion"/>
  </si>
  <si>
    <t>10/11 : 검색 조건 항목 추가
        금형코드, 금형명, 관리부서</t>
    <phoneticPr fontId="1" type="noConversion"/>
  </si>
  <si>
    <r>
      <rPr>
        <strike/>
        <sz val="10"/>
        <rFont val="D2Coding"/>
        <family val="3"/>
        <charset val="129"/>
      </rPr>
      <t>10/10 : 에디터 내용 조정 및 마스터 타이틀 조정 지시</t>
    </r>
    <r>
      <rPr>
        <sz val="10"/>
        <rFont val="D2Coding"/>
        <family val="3"/>
        <charset val="129"/>
      </rPr>
      <t xml:space="preserve">
</t>
    </r>
    <r>
      <rPr>
        <strike/>
        <sz val="10"/>
        <rFont val="맑은 고딕"/>
        <family val="3"/>
        <charset val="129"/>
        <scheme val="minor"/>
      </rPr>
      <t>10/10 : 수금구분 코드 추가 필요(박병진)</t>
    </r>
    <r>
      <rPr>
        <sz val="10"/>
        <rFont val="D2Coding"/>
        <family val="3"/>
        <charset val="129"/>
      </rPr>
      <t xml:space="preserve">
</t>
    </r>
    <r>
      <rPr>
        <strike/>
        <sz val="10"/>
        <rFont val="D2Coding"/>
        <family val="3"/>
        <charset val="129"/>
      </rPr>
      <t>10/11 : 주요일정 --&gt; 주요일정 및 견적금액
        내수/수출 기본값 적용 : 내수(0)
        영업담당 기본값 적용 : 로그인 사용자</t>
    </r>
    <phoneticPr fontId="1" type="noConversion"/>
  </si>
  <si>
    <t>10/10 : 그리드에서 비밀번호 삭제할 것
          순번 = 0 인 것 제외할 것(양쪽 그리드에서 순번 삭제할 것)
10/15 : 열람자 목록 그리드 추가</t>
    <phoneticPr fontId="1" type="noConversion"/>
  </si>
  <si>
    <t>10/15 : coding 착수</t>
    <phoneticPr fontId="1" type="noConversion"/>
  </si>
  <si>
    <t>10/10 : 검사시간을 현재 시간으로 setting 할 것</t>
    <phoneticPr fontId="1" type="noConversion"/>
  </si>
  <si>
    <t>금형수리</t>
    <phoneticPr fontId="1" type="noConversion"/>
  </si>
  <si>
    <t>10/11 : 검색조건 추가 필요
        지그명, 관리부서, 지그 종류, 구매처 --&gt;임수찬 작업중</t>
    <phoneticPr fontId="1" type="noConversion"/>
  </si>
  <si>
    <t>10/15 : 작업중</t>
    <phoneticPr fontId="1" type="noConversion"/>
  </si>
  <si>
    <r>
      <rPr>
        <strike/>
        <sz val="10"/>
        <rFont val="D2Coding"/>
        <family val="3"/>
        <charset val="129"/>
      </rPr>
      <t xml:space="preserve">10/10 : 조회되지 않은 상태에서 upload 파일 선택 불가하도록 </t>
    </r>
    <r>
      <rPr>
        <sz val="10"/>
        <rFont val="D2Coding"/>
        <family val="3"/>
        <charset val="129"/>
      </rPr>
      <t xml:space="preserve">
</t>
    </r>
    <r>
      <rPr>
        <strike/>
        <sz val="10"/>
        <rFont val="D2Coding"/>
        <family val="3"/>
        <charset val="129"/>
      </rPr>
      <t>10/10 : 출하지시 작업 끝나고 알림 메시지 보여줄 것
10/10 : setInvoice에서 미등록 품목일 경우 품목 정보에 추가(엑셀 업로드시에는 
이미 적용되어 있음)  --&gt; 취소(품목코드가 등록되지 않았으면 등록할 수 없으므로..)</t>
    </r>
    <phoneticPr fontId="1" type="noConversion"/>
  </si>
  <si>
    <t>10/17 : Coding 착수
        설계서의 마지막 텝은 개발 보류 지시(품목별 검사기준 등록)</t>
    <phoneticPr fontId="1" type="noConversion"/>
  </si>
  <si>
    <t>10/16 : Coding 착수</t>
    <phoneticPr fontId="1" type="noConversion"/>
  </si>
  <si>
    <t>10/17 : Lot 번호 Popup 선택한 후 팝업 접기되지 않음</t>
    <phoneticPr fontId="1" type="noConversion"/>
  </si>
  <si>
    <t>10/17 : 상단 좌측에 수주목록, 상단 우측에 시험 생산 내역 표시
        하단에 육성 작업 보고 내용 그리드 추가하고 육성보고 입력 창 새로 만듬</t>
    <phoneticPr fontId="1" type="noConversion"/>
  </si>
  <si>
    <t>육성 작업일지를 보고
육성일지란 시험 생산한 품질결과를 입력하고, 불량 발생시 원인과 조치 사항을 기록</t>
    <phoneticPr fontId="1" type="noConversion"/>
  </si>
  <si>
    <t>금형검사기준관리</t>
    <phoneticPr fontId="1" type="noConversion"/>
  </si>
  <si>
    <t>MoldInspStd</t>
    <phoneticPr fontId="1" type="noConversion"/>
  </si>
  <si>
    <t xml:space="preserve">검사기준을 특성별로 정리한 코드로 검사 유형은 품목 또는 금형 정보와 Link하여 사용한다. 
품목별 검사 특성을 표준화 하여 관리할 수 있다. </t>
    <phoneticPr fontId="1" type="noConversion"/>
  </si>
  <si>
    <t xml:space="preserve">검사유형 코드별 검사 항목 정보로, 항목별 상하한치 값, 사용 검사 장비, 검사 방법, 검사 시 참조 
사항등을 관리한다. </t>
    <phoneticPr fontId="1" type="noConversion"/>
  </si>
  <si>
    <t xml:space="preserve">10/10 : 검사유형별 검사항목 등록 입력 항목 사이즈 조절(지시하지 않음)
        항목명을 늘리고, 검사수준, LOT판정기준 줄일 것        
        기본 값 적용 : 입력구분 -&gt; 숫자 , 검사방법 -&gt; Sampling 
           CTQ항목 -&gt; 아니오  --&gt; 김재현 착수        </t>
    <phoneticPr fontId="1" type="noConversion"/>
  </si>
  <si>
    <t>금형코드 등록 기능과 중복된 기능
단, 편의성을 위하여 존재하는 기능 임
검사 유형별 금형 리스트를 조회하고, 추가하는 기능
선택 및 선택해제 하는 버튼을 이용하여 간편하게 검사 기준을 등록</t>
    <phoneticPr fontId="1" type="noConversion"/>
  </si>
  <si>
    <t>10/17 : Coding 착수
        설계서의 마지막 텝은 개발 보류 지시(금형별 검사기준 등록)</t>
    <phoneticPr fontId="1" type="noConversion"/>
  </si>
  <si>
    <t>입고접수</t>
    <phoneticPr fontId="1" type="noConversion"/>
  </si>
  <si>
    <t>원청 업체의 신제품 개발 프로젝트 관련 정보를 관리
10/22 : 이만재 부장 요청에 의하여 메뉴에서 삭제 처리 함</t>
    <phoneticPr fontId="1" type="noConversion"/>
  </si>
  <si>
    <t>10/18 : 수입검사 현황에 입고처리, 입고취소 버튼을 추가할 것
        입고처리 버튼을 클릭하면 ?
10/21 : 조회 기능 개선 지시(검사성적 조회 및 입력을 위한 구분 쿼리 작성 미필)</t>
    <phoneticPr fontId="1" type="noConversion"/>
  </si>
  <si>
    <t>1. 자재 발주내역을 등록하고, 승인 처리
2. 구매 발주서 발행
3. 입고 처리(버튼으로 발주 단위) -- auto_item_rcpt(발주번호, 자동합격(No))</t>
    <phoneticPr fontId="1" type="noConversion"/>
  </si>
  <si>
    <t>1. 검사 리스트 조회
2. 검사 성적 입력
3. 합격처리 버튼 : auto_item_rcpt(검사번호, 자동합격(Y)) 프로시져 호출
수정된 자료의 재고 반영 : setBook(검사번호, 항번(0), "구매입고" --&gt; 
     실제 호출 프로시져 : auto_isos_booking(검사번호, "구매입고")</t>
    <phoneticPr fontId="1" type="noConversion"/>
  </si>
  <si>
    <t>1. 입고내역(입고접수)을 조회한다. 
2. 발주서를 화면에 표시하고 입고 수량을 입력하여 입고처리 한다. 
   단, 환경 설정 테이블에 등록된 옵션에 따라 수입 검사 없이 입고 처리 가능
3. 수정된 자료의 재고 반영 : setBook(검사번호, 항번(0), "구매입고" --&gt; 
     실제 호출 프로시져 : auto_isos_booking(검사번호, "구매입고")</t>
    <phoneticPr fontId="1" type="noConversion"/>
  </si>
  <si>
    <t>기능명</t>
    <phoneticPr fontId="1" type="noConversion"/>
  </si>
  <si>
    <t>10/22 : 조회 기능만 일부 작성 완료</t>
    <phoneticPr fontId="1" type="noConversion"/>
  </si>
  <si>
    <t>프로젝트 수주건의 수주전 정보 관리 및 수주 확정, Amend 정보 관리
 Amend 처리 : auto_project_amend
 주문서 복사 : auto_project_copy</t>
    <phoneticPr fontId="1" type="noConversion"/>
  </si>
  <si>
    <t>보관위치 정보</t>
    <phoneticPr fontId="1" type="noConversion"/>
  </si>
  <si>
    <t>WrhsZone</t>
    <phoneticPr fontId="1" type="noConversion"/>
  </si>
  <si>
    <t>확정된 상세 설계 일정 계획 관리
대일정계획 가져오기 : auto_project_plan_copy</t>
    <phoneticPr fontId="1" type="noConversion"/>
  </si>
  <si>
    <t xml:space="preserve">등록된 프로젝트 수주건에 대한 대일정계획을 수립하여 입력한다. </t>
    <phoneticPr fontId="1" type="noConversion"/>
  </si>
  <si>
    <t>승인된 대일정계획을 참조하여 세부 일정 계획을 수립하여 입력한다.
대일정계획 가져오기 : auto_project_plan_copy</t>
    <phoneticPr fontId="1" type="noConversion"/>
  </si>
  <si>
    <t>창고별, 보관 구역 코드 관리(렉, 층, 칸)</t>
    <phoneticPr fontId="1" type="noConversion"/>
  </si>
  <si>
    <t>10/10 : 입고 처리된 후에도 미납잔량을 변경되지 않는다. 
        입고내역 등록 시 logic 오류 발생
10/11 : 입고 등록 그리드에 발주 항번 추가 표시
        상세검색 항상 표시할 것
10/22 : 환경 설정 테이블에 의거 자동 입고 처리 기능 추가 개발 필요</t>
    <phoneticPr fontId="1" type="noConversion"/>
  </si>
  <si>
    <r>
      <t xml:space="preserve">10/17 : DB에 저장하는 Logic 오류 (판매출고내역 및 판매출고 정보 등록 누락)
</t>
    </r>
    <r>
      <rPr>
        <strike/>
        <sz val="10"/>
        <rFont val="D2Coding"/>
        <family val="3"/>
        <charset val="129"/>
      </rPr>
      <t xml:space="preserve">        조회 조건 수정(거래처 코드 추가(반드시 입력하여야 함)
        그리드 내용 일부 조정</t>
    </r>
    <r>
      <rPr>
        <sz val="10"/>
        <rFont val="D2Coding"/>
        <family val="3"/>
        <charset val="129"/>
      </rPr>
      <t xml:space="preserve">
10/24 : 출고와 관련된 재고 수불대장 정리 프로시져 추가 필요</t>
    </r>
    <phoneticPr fontId="1" type="noConversion"/>
  </si>
  <si>
    <t>10/24 : 보관 위치간 이동 기능 추가</t>
    <phoneticPr fontId="1" type="noConversion"/>
  </si>
  <si>
    <t>10/24 : 보관 위치 정보 추가</t>
    <phoneticPr fontId="1" type="noConversion"/>
  </si>
  <si>
    <t>생산 공정도 코드 관리</t>
    <phoneticPr fontId="1" type="noConversion"/>
  </si>
  <si>
    <t>생산 공정도별 작업 공정 순서 및 목록을 관리</t>
    <phoneticPr fontId="1" type="noConversion"/>
  </si>
  <si>
    <t>금형 정보 및 이동 사항 등록</t>
    <phoneticPr fontId="1" type="noConversion"/>
  </si>
  <si>
    <t>10/24 : 점검 예상기간 및 잔여 Shot 수를 검색 조건에 추가
        하단 금형 정보 사항 표시 내용 수정(등록 화면 기준)  --&gt; 임수찬 작업 중</t>
    <phoneticPr fontId="1" type="noConversion"/>
  </si>
  <si>
    <r>
      <t xml:space="preserve">10/11 : 검색 조건 항목 추가
        금형코드, 금형명, 관리부서
</t>
    </r>
    <r>
      <rPr>
        <sz val="10"/>
        <rFont val="D2Coding"/>
        <family val="3"/>
        <charset val="129"/>
      </rPr>
      <t>10/24 : 금형 이동 관련(창고 및 보관 위치 정보 추가)&lt;-- 임수찬 작업 중</t>
    </r>
    <phoneticPr fontId="1" type="noConversion"/>
  </si>
  <si>
    <t>10/25 : 검색조건 거래구분을 없애고, 매출, 매입, 수출, 수입, 기타 Combobox로 대체
        여러 개 항목을 선택할 수 있도록 
        그리드 항목을 클릭하여 Sort하면 오류 발생 
        수정 모드에서 담당자만 추가하고 저장 버튼을 누르면 변경내용이 없다고
        표시된다.
        수정 버튼을 누른 상태에서 조회 버튼을 누르면 오류 발생</t>
    <phoneticPr fontId="1" type="noConversion"/>
  </si>
  <si>
    <r>
      <t xml:space="preserve">10/12 : 착수, 개발완료
</t>
    </r>
    <r>
      <rPr>
        <sz val="10"/>
        <rFont val="D2Coding"/>
        <family val="3"/>
        <charset val="129"/>
      </rPr>
      <t xml:space="preserve">10/25 : 검색조건 거래구분을 없애고, 매출, 매입, 수출, 수입, 기타 Combobox로 대체
        여러 개 항목을 선택할 수 있도록 
        그리드 항목을 클릭하여 Sort하면 오류 발생 </t>
    </r>
    <phoneticPr fontId="1" type="noConversion"/>
  </si>
  <si>
    <t xml:space="preserve">10/25 : 하단 Editor 에서 저장 및 취소 버튼 없앨 것
        거래처 코드 관리에서 등록해 둔 담당자 목록이 표시되지 않음
        (거래처 코드 관리 화면에서는 이상없음)
10/25 : 검색조건 거래구분을 없애고, 매출, 매입, 수출, 수입, 기타 Combobox로 대체
        여러 개 항목을 선택할 수 있도록 
        그리드 항목을 클릭하여 Sort하면 오류 발생 </t>
    <phoneticPr fontId="1" type="noConversion"/>
  </si>
  <si>
    <t>10/25 : 그리드 항목을 클릭하여 Sort 하면 오류 발생</t>
    <phoneticPr fontId="1" type="noConversion"/>
  </si>
  <si>
    <t>10/25 : 자료 수정 중 Editor외 다른 항목 클릭 불가능하게 조정</t>
    <phoneticPr fontId="1" type="noConversion"/>
  </si>
  <si>
    <t>거래처분류기준</t>
    <phoneticPr fontId="1" type="noConversion"/>
  </si>
  <si>
    <t>CstmClass</t>
    <phoneticPr fontId="1" type="noConversion"/>
  </si>
  <si>
    <t>생산 소요량 관리 기능 없으므로 현재 무의미한 메뉴
제품 출고 대기 현황이라면 의미 있음….</t>
    <phoneticPr fontId="1" type="noConversion"/>
  </si>
  <si>
    <t>WorkEntryV3</t>
    <phoneticPr fontId="1" type="noConversion"/>
  </si>
  <si>
    <r>
      <t xml:space="preserve">10/10 : 조회기간을 1개월 전일 부터 금일까지 자동 적용할 것
</t>
    </r>
    <r>
      <rPr>
        <sz val="10"/>
        <rFont val="D2Coding"/>
        <family val="3"/>
        <charset val="129"/>
      </rPr>
      <t>두인 요청 : 품목별 텝에 현재고 수량 추가</t>
    </r>
    <phoneticPr fontId="1" type="noConversion"/>
  </si>
  <si>
    <r>
      <t xml:space="preserve">10:10 출하지시 작업 결과 안내
</t>
    </r>
    <r>
      <rPr>
        <sz val="10"/>
        <rFont val="D2Coding"/>
        <family val="3"/>
        <charset val="129"/>
      </rPr>
      <t>두인요청 : 출하지시 취소 가능하도록 개선&lt;-- 11/07   김재현 착수</t>
    </r>
    <phoneticPr fontId="1" type="noConversion"/>
  </si>
  <si>
    <t>금형점검</t>
    <phoneticPr fontId="1" type="noConversion"/>
  </si>
  <si>
    <t>MoldDailyCheck</t>
    <phoneticPr fontId="1" type="noConversion"/>
  </si>
  <si>
    <t>공정별 작업 일보를 등록(작업 실적 및 유실공수, 자재투입, 설비 가동)
TV화면을 통한 생산실적 입력</t>
    <phoneticPr fontId="1" type="noConversion"/>
  </si>
  <si>
    <t>재고재공할당</t>
    <phoneticPr fontId="1" type="noConversion"/>
  </si>
  <si>
    <t>수주목록 중 신규 추가된 자료에 재고 또는 재공 할당량을 입력한다. 
추가 생산할 수량 = 수주량 - 재고할당량 - 재공할당량</t>
    <phoneticPr fontId="1" type="noConversion"/>
  </si>
  <si>
    <t>WorkBookV2</t>
    <phoneticPr fontId="1" type="noConversion"/>
  </si>
  <si>
    <t>400000</t>
    <phoneticPr fontId="1" type="noConversion"/>
  </si>
  <si>
    <t>표준원가 관리</t>
    <phoneticPr fontId="1" type="noConversion"/>
  </si>
  <si>
    <t>품목별 원가 조회</t>
    <phoneticPr fontId="1" type="noConversion"/>
  </si>
  <si>
    <t>cost</t>
    <phoneticPr fontId="1" type="noConversion"/>
  </si>
  <si>
    <t>StndCost</t>
    <phoneticPr fontId="1" type="noConversion"/>
  </si>
  <si>
    <t>CostList</t>
    <phoneticPr fontId="1" type="noConversion"/>
  </si>
  <si>
    <t>(두인) 생산일지와 품목별 표준원가를 적용하여 이익율 조회</t>
    <phoneticPr fontId="1" type="noConversion"/>
  </si>
  <si>
    <t>(두인) 품목별 표준원가를 등록</t>
    <phoneticPr fontId="1" type="noConversion"/>
  </si>
  <si>
    <t>BOP 관리</t>
    <phoneticPr fontId="1" type="noConversion"/>
  </si>
  <si>
    <t>BopWork</t>
    <phoneticPr fontId="1" type="noConversion"/>
  </si>
  <si>
    <t>BomListV2</t>
    <phoneticPr fontId="1" type="noConversion"/>
  </si>
  <si>
    <t>ADPT_CMPY_NAME</t>
    <phoneticPr fontId="1" type="noConversion"/>
  </si>
  <si>
    <t>BASE</t>
    <phoneticPr fontId="1" type="noConversion"/>
  </si>
  <si>
    <t>CNTR</t>
    <phoneticPr fontId="1" type="noConversion"/>
  </si>
  <si>
    <t>EJAC</t>
    <phoneticPr fontId="1" type="noConversion"/>
  </si>
  <si>
    <t>PRJT</t>
    <phoneticPr fontId="1" type="noConversion"/>
  </si>
  <si>
    <t>SMLI</t>
    <phoneticPr fontId="1" type="noConversion"/>
  </si>
  <si>
    <t>CLSS</t>
    <phoneticPr fontId="1" type="noConversion"/>
  </si>
  <si>
    <t>CHAR_NUMB</t>
    <phoneticPr fontId="1" type="noConversion"/>
  </si>
  <si>
    <t>GNRL</t>
    <phoneticPr fontId="1" type="noConversion"/>
  </si>
  <si>
    <t>PCMT</t>
    <phoneticPr fontId="1" type="noConversion"/>
  </si>
  <si>
    <t>진행관리</t>
    <phoneticPr fontId="1" type="noConversion"/>
  </si>
  <si>
    <t>발주관리</t>
    <phoneticPr fontId="1" type="noConversion"/>
  </si>
  <si>
    <t>작업일지보고</t>
    <phoneticPr fontId="1" type="noConversion"/>
  </si>
  <si>
    <t>작업현황</t>
    <phoneticPr fontId="1" type="noConversion"/>
  </si>
  <si>
    <t>현장 TV 화면을 통해 입력하기로 협의함에 따라 본 기능은 사용하지 않음</t>
    <phoneticPr fontId="1" type="noConversion"/>
  </si>
  <si>
    <t>장우영 작업 진행 중</t>
    <phoneticPr fontId="1" type="noConversion"/>
  </si>
  <si>
    <t>원가 현황</t>
    <phoneticPr fontId="1" type="noConversion"/>
  </si>
  <si>
    <t>CostReport</t>
    <phoneticPr fontId="1" type="noConversion"/>
  </si>
  <si>
    <t>프로젝트별 원가내역을 조회</t>
    <phoneticPr fontId="1" type="noConversion"/>
  </si>
  <si>
    <t>설계자료 관리</t>
    <phoneticPr fontId="1" type="noConversion"/>
  </si>
  <si>
    <t>DsigFile</t>
    <phoneticPr fontId="1" type="noConversion"/>
  </si>
  <si>
    <t>설계도면 자료 관리</t>
    <phoneticPr fontId="1" type="noConversion"/>
  </si>
  <si>
    <t>PrjtOtodWork</t>
    <phoneticPr fontId="1" type="noConversion"/>
  </si>
  <si>
    <t>PrjtTestOrdr</t>
    <phoneticPr fontId="1" type="noConversion"/>
  </si>
  <si>
    <t>시사출 생산 지시 사항 등록</t>
    <phoneticPr fontId="1" type="noConversion"/>
  </si>
  <si>
    <t>(뉴볼텍)</t>
    <phoneticPr fontId="1" type="noConversion"/>
  </si>
  <si>
    <t>WorkBookV3</t>
    <phoneticPr fontId="1" type="noConversion"/>
  </si>
  <si>
    <t>사원정보 및 log In 정보, 개인별 임율 정보, 국적… 등 관리
사원별 업무 권한 등록</t>
  </si>
  <si>
    <t>사원 직급, 설비코드, 공정별 임율을 등록하여 원가계산 작업에 활용</t>
  </si>
  <si>
    <t>등록 또는 수정 권한이 없는 사용자의 품목코드 조회</t>
  </si>
  <si>
    <t>등록 또는 수정 권한이 없는 사용자의 품목코드 조회</t>
    <phoneticPr fontId="1" type="noConversion"/>
  </si>
  <si>
    <t>거래처 분류 기준을 등록</t>
  </si>
  <si>
    <t>거래처 분류 기준을 등록</t>
    <phoneticPr fontId="1" type="noConversion"/>
  </si>
  <si>
    <t>영업 담당자의 거래처 방문일지를 보고 등록</t>
    <phoneticPr fontId="1" type="noConversion"/>
  </si>
  <si>
    <t>출고 실적을 근거로 매출 세금계산서 발급</t>
    <phoneticPr fontId="1" type="noConversion"/>
  </si>
  <si>
    <t>매출 현황을 조회(거래처별, 품목별, 영업담당별, 일자별)</t>
    <phoneticPr fontId="1" type="noConversion"/>
  </si>
  <si>
    <t>품목별, 거래처별, 납기일자별 발주 수량 및 입고 현황을 조회</t>
  </si>
  <si>
    <t>품목별, 거래처별, 납기일자별 발주 수량 및 입고 현황을 조회</t>
    <phoneticPr fontId="1" type="noConversion"/>
  </si>
  <si>
    <t>구매 발주서를 추가 또는 수정, 발주서 승인 처리, 발주서 발행
입고되는 발주서의 입고 처리</t>
  </si>
  <si>
    <t>구매 발주서를 조회하고, 납품 거래명세표를 등록</t>
  </si>
  <si>
    <t>구매 발주서를 조회하고, 납품 거래명세표를 등록</t>
    <phoneticPr fontId="1" type="noConversion"/>
  </si>
  <si>
    <t>생산 공정도 코드를 등록</t>
    <phoneticPr fontId="1" type="noConversion"/>
  </si>
  <si>
    <t>생산 공정도별 공정 배치 등록</t>
    <phoneticPr fontId="1" type="noConversion"/>
  </si>
  <si>
    <t>생산 현장에 운영 중인 생산 설비를 등록 또는 조회, 수정</t>
  </si>
  <si>
    <t>생산 현장에 운영 중인 생산 설비를 등록 또는 조회, 수정</t>
    <phoneticPr fontId="1" type="noConversion"/>
  </si>
  <si>
    <t>생산 설비 현황 조회</t>
  </si>
  <si>
    <t>생산 설비 현황 조회</t>
    <phoneticPr fontId="1" type="noConversion"/>
  </si>
  <si>
    <t>생산 설비 점검 유형 코드를 추가 또는 수정</t>
  </si>
  <si>
    <t>생산 설비 점검 유형 코드를 추가 또는 수정</t>
    <phoneticPr fontId="1" type="noConversion"/>
  </si>
  <si>
    <t>검검 유형별 점검 항목을 등록</t>
  </si>
  <si>
    <t>검검 유형별 점검 항목을 등록</t>
    <phoneticPr fontId="1" type="noConversion"/>
  </si>
  <si>
    <t>생산 설비 점검 사항을 보고</t>
  </si>
  <si>
    <t>생산 설비 점검 사항을 보고</t>
    <phoneticPr fontId="1" type="noConversion"/>
  </si>
  <si>
    <t>실시간 생산 설비의 가동 현황 모니터링</t>
  </si>
  <si>
    <t>실시간 생산 설비의 가동 현황 모니터링</t>
    <phoneticPr fontId="1" type="noConversion"/>
  </si>
  <si>
    <t>주간, 월간 생산 설비의 가동율 분석</t>
  </si>
  <si>
    <t>주간, 월간 생산 설비의 가동율 분석</t>
    <phoneticPr fontId="1" type="noConversion"/>
  </si>
  <si>
    <t>생산에 사용하는 금형의 변동사항을 등록, 수정</t>
    <phoneticPr fontId="1" type="noConversion"/>
  </si>
  <si>
    <t>금형 보관 현황 조회</t>
    <phoneticPr fontId="1" type="noConversion"/>
  </si>
  <si>
    <t>금형 수리 사항 등록 관리</t>
    <phoneticPr fontId="1" type="noConversion"/>
  </si>
  <si>
    <t>금형별, 일자별 Shot 현황을 조회하고, 수정 Shot 수를 조정 입력</t>
    <phoneticPr fontId="1" type="noConversion"/>
  </si>
  <si>
    <t>정기 또는 수시 금형 점검 사항을 등록 관리</t>
    <phoneticPr fontId="1" type="noConversion"/>
  </si>
  <si>
    <t>생산을 위하여 사용하는 지그의 변동사항을 등록 관리</t>
    <phoneticPr fontId="1" type="noConversion"/>
  </si>
  <si>
    <t>생산에 사용하는 지그 보유 현황을 조회</t>
    <phoneticPr fontId="1" type="noConversion"/>
  </si>
  <si>
    <t>지그 검검 사항 보고, 등록</t>
    <phoneticPr fontId="1" type="noConversion"/>
  </si>
  <si>
    <t>재고 확보를 위하여 생산 지시할 자체 영업 오더를 생성</t>
  </si>
  <si>
    <t>재고 확보를 위하여 생산 지시할 자체 영업 오더를 생성</t>
    <phoneticPr fontId="1" type="noConversion"/>
  </si>
  <si>
    <t>생산 계획 대비 실적을 비교 분석</t>
  </si>
  <si>
    <t>생산 계획 대비 실적을 비교 분석</t>
    <phoneticPr fontId="1" type="noConversion"/>
  </si>
  <si>
    <t>프로젝트 수주의 개략 일정 계획을 등록 관리</t>
    <phoneticPr fontId="1" type="noConversion"/>
  </si>
  <si>
    <t>프로젝트 수주의 상세 일정 계획을 등록 관리</t>
    <phoneticPr fontId="1" type="noConversion"/>
  </si>
  <si>
    <t>실시간 생산 실적 현황 조회</t>
  </si>
  <si>
    <t>for 두인 생산 실적 등록 관리</t>
    <phoneticPr fontId="1" type="noConversion"/>
  </si>
  <si>
    <t>현장 생산 실적 등록</t>
  </si>
  <si>
    <t>현장 생산 실적 등록</t>
    <phoneticPr fontId="1" type="noConversion"/>
  </si>
  <si>
    <t>일자별 생산현황 리스트</t>
  </si>
  <si>
    <t>일자별 생산현황 리스트</t>
    <phoneticPr fontId="1" type="noConversion"/>
  </si>
  <si>
    <t>for 두인 일자별 생산현황 리스트</t>
    <phoneticPr fontId="1" type="noConversion"/>
  </si>
  <si>
    <t>특정 일자의 생산 라인 투입 현황</t>
  </si>
  <si>
    <t>특정 일자의 생산 라인 투입 현황</t>
    <phoneticPr fontId="1" type="noConversion"/>
  </si>
  <si>
    <t>특정 일자별 생산 불량 발생현황 리스트</t>
  </si>
  <si>
    <t>특정 일자별 생산 불량 발생현황 리스트</t>
    <phoneticPr fontId="1" type="noConversion"/>
  </si>
  <si>
    <t xml:space="preserve">조회 시점 현재의 생산 현황 리스트 </t>
  </si>
  <si>
    <t xml:space="preserve">조회 시점 현재의 생산 현황 리스트 </t>
    <phoneticPr fontId="1" type="noConversion"/>
  </si>
  <si>
    <t>for 뉴볼텍 현장 작업 실적 등록 관리</t>
    <phoneticPr fontId="1" type="noConversion"/>
  </si>
  <si>
    <t>검사 특성별 코드 등록 관리</t>
  </si>
  <si>
    <t>검사 특성별 코드 등록 관리</t>
    <phoneticPr fontId="1" type="noConversion"/>
  </si>
  <si>
    <t>검사 특성별 검사항목 등록 관리</t>
  </si>
  <si>
    <t>검사 특성별 검사항목 등록 관리</t>
    <phoneticPr fontId="1" type="noConversion"/>
  </si>
  <si>
    <t>특별 품목의 검사 기준 등록 관리</t>
    <phoneticPr fontId="1" type="noConversion"/>
  </si>
  <si>
    <t>for 두인 생산 금형별 검사 기준을 등록 관리(두인은 검사유형을 제품 대신 금형에 연결하여 관리한다. )</t>
    <phoneticPr fontId="1" type="noConversion"/>
  </si>
  <si>
    <t>외주 가공 업체인 경우 발주처로 부터 인수 받은 품목의 품질검사 내용을 등록 관리</t>
    <phoneticPr fontId="1" type="noConversion"/>
  </si>
  <si>
    <t>공정 수시 검사 등록 관리</t>
  </si>
  <si>
    <t>공정 수시 검사 등록 관리</t>
    <phoneticPr fontId="1" type="noConversion"/>
  </si>
  <si>
    <t>입고 처리 전 구매발주 품목의 수입 검사 결과 등록 관리</t>
  </si>
  <si>
    <t>입고 처리 전 구매발주 품목의 수입 검사 결과 등록 관리</t>
    <phoneticPr fontId="1" type="noConversion"/>
  </si>
  <si>
    <t>완제품 출고 전 최종적으로 실시하는 검사 실적을 등록 관리</t>
    <phoneticPr fontId="1" type="noConversion"/>
  </si>
  <si>
    <t>출하 담당자의 검사 성적을 등록 관리</t>
  </si>
  <si>
    <t>출하 담당자의 검사 성적을 등록 관리</t>
    <phoneticPr fontId="1" type="noConversion"/>
  </si>
  <si>
    <t>검사 내용을 확인할 수 있는 검사일보를 조회</t>
  </si>
  <si>
    <t>검사 내용을 확인할 수 있는 검사일보를 조회</t>
    <phoneticPr fontId="1" type="noConversion"/>
  </si>
  <si>
    <t>불량 현황 조회</t>
  </si>
  <si>
    <t>불량 현황 조회</t>
    <phoneticPr fontId="1" type="noConversion"/>
  </si>
  <si>
    <t>X-R 관리도조회</t>
  </si>
  <si>
    <t>X-R 관리도조회</t>
    <phoneticPr fontId="1" type="noConversion"/>
  </si>
  <si>
    <t>각 테이블 필드 중 bacd 항목의 정보를 관리(sscd_mast에서 종류를 등록한다)</t>
  </si>
  <si>
    <t>sscd mast 내용을 조회하고 수정 입력</t>
  </si>
  <si>
    <t>창고코드 관리</t>
  </si>
  <si>
    <t>창고 코드 정보 관리</t>
  </si>
  <si>
    <t>보관위치 정보</t>
  </si>
  <si>
    <t>창고별 보관 위치 관리</t>
  </si>
  <si>
    <t>사업장 정보(명칭, 주소.. 등) 관리</t>
  </si>
  <si>
    <t>휴일정보 관리</t>
  </si>
  <si>
    <t>생산 Schdule 관리를 위한 휴일 정보 관리</t>
  </si>
  <si>
    <t>시스템환경설정</t>
  </si>
  <si>
    <t>적용 회사별 환경 설정</t>
  </si>
  <si>
    <t>부서 편재 코드를 등록하고, 조회</t>
  </si>
  <si>
    <t xml:space="preserve">사원별 직급 현황을 파악하기 위한 코드를 등록 </t>
  </si>
  <si>
    <t>메뉴별 사용자 사용권한 등록(사용자별 메뉴권한 관리와 동일 테이블 사용)</t>
  </si>
  <si>
    <t>사원별 메뉴 권한 등록(메뉴별 사용 권한 관리와 동일 테이블 사용)</t>
  </si>
  <si>
    <t>임율정보 관리</t>
  </si>
  <si>
    <t>단위코드관리</t>
  </si>
  <si>
    <t>수불 단위코드 정보 관리</t>
  </si>
  <si>
    <t>품목분류코드관리</t>
  </si>
  <si>
    <t>품목의 대중소 분류 코드 관리</t>
  </si>
  <si>
    <t>품목코드관리</t>
  </si>
  <si>
    <t>제품, 자재, 공정 재공품 정보를 등록(기본 정보와 추가 정보 등으로 구분하여 관리 함)</t>
  </si>
  <si>
    <t>품목리스트</t>
  </si>
  <si>
    <t>ECO관리</t>
  </si>
  <si>
    <t>BOM 수정 자료 등록 및 승인 입력</t>
  </si>
  <si>
    <t>BOM List</t>
  </si>
  <si>
    <t>BOM List 조회</t>
  </si>
  <si>
    <t>거래처분류기준</t>
  </si>
  <si>
    <t>거래처코드관리</t>
  </si>
  <si>
    <t>판매, 구매, 수출, 외주 등 각종 거래처 정보를 등록</t>
  </si>
  <si>
    <t>거래처리스트</t>
  </si>
  <si>
    <t>거래처 리스트 조회</t>
  </si>
  <si>
    <t>계약사항 관리</t>
  </si>
  <si>
    <t>업체별 판매 조건 , 담보사항 등을 관리</t>
  </si>
  <si>
    <t>견적서관리</t>
  </si>
  <si>
    <t>견적서 등록 및 견적서 발행, 수주 확정 처리…</t>
  </si>
  <si>
    <t>수주건별, 작업일정, 설계일정, 작업일보, 수금현황… 등을 종합적으로 조회</t>
  </si>
  <si>
    <t>주문오더관리</t>
  </si>
  <si>
    <t>일반 수주 등록 기능</t>
  </si>
  <si>
    <t>주문잔량현황</t>
  </si>
  <si>
    <t>수주건별 미출고 잔량을 조회</t>
  </si>
  <si>
    <t>주문현황</t>
  </si>
  <si>
    <t>거래처별, 품목별, 납기일자별 수주 현황 조회</t>
  </si>
  <si>
    <t>납기 준수율</t>
  </si>
  <si>
    <t>거래처, 품목별, 품목분류별 납기 준수율 분석 통계 자료 조회</t>
  </si>
  <si>
    <t>출하지시</t>
  </si>
  <si>
    <t>생산 완료된 수주건의 출고 지시 처리</t>
  </si>
  <si>
    <t>발주단가, 납기일자, 묶음단위.. 등 정보를 관리</t>
  </si>
  <si>
    <t>구매발주관리</t>
  </si>
  <si>
    <t>발주잔량리스트</t>
  </si>
  <si>
    <t>입고접수</t>
  </si>
  <si>
    <t>기타입고관리</t>
  </si>
  <si>
    <t>기타 입고사항을 등록 관리(정상적인 발주품목 입고와 분리하여 관리 함.)</t>
  </si>
  <si>
    <t>기타출고관리</t>
  </si>
  <si>
    <t>기타 출고사항을 등록(생산출고와 분리하여 관리 함)</t>
  </si>
  <si>
    <t>생산출고관리</t>
  </si>
  <si>
    <t>생산에 소요되는 출고 전표를 등록한다.(소요량 계산에 의하여 등록하여야 하나, 작업지시 번호별로 직접 입력하고 있음)</t>
  </si>
  <si>
    <t>출고대기현황</t>
  </si>
  <si>
    <t>생산 소요량 관리 기능 없으므로 현재 무의미한 메뉴</t>
  </si>
  <si>
    <t>제품출하관리</t>
  </si>
  <si>
    <t>제품 출고 전표 등록 관리</t>
  </si>
  <si>
    <t>재고 이동 관리</t>
  </si>
  <si>
    <t>창고간 이동 전표 등록</t>
  </si>
  <si>
    <t>외주 입출고 관리</t>
  </si>
  <si>
    <t>외주 가공 오더별 소요자재의 출고 및 입고 실적 등록</t>
  </si>
  <si>
    <t>자재재고현황</t>
  </si>
  <si>
    <t>자재 재고 현황 조회</t>
  </si>
  <si>
    <t>제품재고현황</t>
  </si>
  <si>
    <t>제품 재고 현황 조회</t>
  </si>
  <si>
    <t>월수불마감</t>
  </si>
  <si>
    <t>자재 및 제품의 수불내역을 품목별, LOT별로 집계하여 수불집계 테이블 생성</t>
  </si>
  <si>
    <t>수불대장</t>
  </si>
  <si>
    <t>수불 품목별 수불 대장을 조회</t>
  </si>
  <si>
    <t>재고실사관리</t>
  </si>
  <si>
    <t>품목별 재고 실사 자료 관리(재고실사 자료 작성 및 결과 등록 포함)</t>
  </si>
  <si>
    <t>LOT재고실사관리</t>
  </si>
  <si>
    <t>LOT별 재고 실사 자료 관리(재고실사 자료 작성 및 결과 등록 기능 포함)</t>
  </si>
  <si>
    <t>공정코드 관리</t>
  </si>
  <si>
    <t>WORK CENTER 정보를 등록(소속부서 및 공정명, 검사여부 및 외주공정일 경우 외주업체 정보 등)</t>
  </si>
  <si>
    <t>공정별 설비 관리</t>
  </si>
  <si>
    <t>공정별 운영 설비 등록(사전에 설비코드 등록되어 있어야 함)</t>
  </si>
  <si>
    <t>공정별 작업자 관리</t>
  </si>
  <si>
    <t>공정별 근무중인 작업자 관리</t>
  </si>
  <si>
    <t>생산설비등록</t>
  </si>
  <si>
    <t>생산설비현황</t>
  </si>
  <si>
    <t>설비점검유형관리</t>
  </si>
  <si>
    <t>설비점검항목관리</t>
  </si>
  <si>
    <t>생산설비점검</t>
  </si>
  <si>
    <t>생산설비모니터링</t>
  </si>
  <si>
    <t>생산설비가동율</t>
  </si>
  <si>
    <t>생산계획 관리</t>
  </si>
  <si>
    <t>일반 생산계획 관리</t>
  </si>
  <si>
    <t>예비생산오더관리</t>
  </si>
  <si>
    <t>계획대비실적</t>
  </si>
  <si>
    <t>재고재공할당</t>
  </si>
  <si>
    <t>생산지시등록</t>
  </si>
  <si>
    <t>생산계획 수립없이 주문대장을 이용하여 생산 지시서 발행</t>
  </si>
  <si>
    <t>생산지시현황</t>
  </si>
  <si>
    <t>생산 지시서 현황 조회</t>
  </si>
  <si>
    <t>생산실적모니터링</t>
  </si>
  <si>
    <t>생산실적 관리</t>
  </si>
  <si>
    <t>생산일보</t>
  </si>
  <si>
    <t>생산투입현황</t>
  </si>
  <si>
    <t>생산불량현황</t>
  </si>
  <si>
    <t>실시간 생산현황</t>
  </si>
  <si>
    <t>검사유형관리</t>
  </si>
  <si>
    <t>검사유형별검사항목</t>
  </si>
  <si>
    <t>공정검사(초중종)</t>
  </si>
  <si>
    <t>수입검사</t>
  </si>
  <si>
    <t>출하검사</t>
  </si>
  <si>
    <t>검사일보</t>
  </si>
  <si>
    <t>불량현황 분석</t>
  </si>
  <si>
    <t>X-R 관리도</t>
  </si>
  <si>
    <t>공지사항 등록</t>
  </si>
  <si>
    <t>공지사항 등록 및 대상자 선별 입력</t>
  </si>
  <si>
    <t>공지사항 확인</t>
  </si>
  <si>
    <t>대상자 본인의 공지사항 조회</t>
  </si>
  <si>
    <t>종합현황</t>
  </si>
  <si>
    <t>불량현황</t>
  </si>
  <si>
    <t>일자별, 공정별, 불량 요소별 불량 발생현황 조회</t>
  </si>
  <si>
    <t>대분류</t>
    <phoneticPr fontId="1" type="noConversion"/>
  </si>
  <si>
    <t>중분류</t>
    <phoneticPr fontId="1" type="noConversion"/>
  </si>
  <si>
    <t>기능 설명</t>
    <phoneticPr fontId="1" type="noConversion"/>
  </si>
  <si>
    <t>기준 정보 관리</t>
    <phoneticPr fontId="1" type="noConversion"/>
  </si>
  <si>
    <t>품목정보 관리</t>
    <phoneticPr fontId="1" type="noConversion"/>
  </si>
  <si>
    <t>거래처 정보 관리</t>
    <phoneticPr fontId="1" type="noConversion"/>
  </si>
  <si>
    <t>영업오더 관리</t>
    <phoneticPr fontId="1" type="noConversion"/>
  </si>
  <si>
    <t>기초 코드</t>
    <phoneticPr fontId="1" type="noConversion"/>
  </si>
  <si>
    <t>입출고 관리</t>
    <phoneticPr fontId="1" type="noConversion"/>
  </si>
  <si>
    <t>생산설비 관리</t>
    <phoneticPr fontId="1" type="noConversion"/>
  </si>
  <si>
    <t>생산지시 실적</t>
    <phoneticPr fontId="1" type="noConversion"/>
  </si>
  <si>
    <t>검사실적 관리</t>
    <phoneticPr fontId="1" type="noConversion"/>
  </si>
  <si>
    <t>금형대장</t>
    <phoneticPr fontId="1" type="noConversion"/>
  </si>
  <si>
    <t>PrjtList</t>
    <phoneticPr fontId="1" type="noConversion"/>
  </si>
  <si>
    <t>승인 완료된 금형 리스트 조회</t>
    <phoneticPr fontId="1" type="noConversion"/>
  </si>
  <si>
    <t>설계변경 리스트</t>
    <phoneticPr fontId="1" type="noConversion"/>
  </si>
  <si>
    <t>PrjtChangeList</t>
    <phoneticPr fontId="1" type="noConversion"/>
  </si>
  <si>
    <t>설계변경 리스트 조회</t>
    <phoneticPr fontId="1" type="noConversion"/>
  </si>
  <si>
    <t>출하검사Ⅱ</t>
    <phoneticPr fontId="1" type="noConversion"/>
  </si>
  <si>
    <t>InspEntry51</t>
    <phoneticPr fontId="1" type="noConversion"/>
  </si>
  <si>
    <t>수주목록을 근거로 출하 검사 실시</t>
    <phoneticPr fontId="1" type="noConversion"/>
  </si>
  <si>
    <t>모니터링#1</t>
    <phoneticPr fontId="1" type="noConversion"/>
  </si>
  <si>
    <r>
      <rPr>
        <sz val="11"/>
        <rFont val="맑은 고딕"/>
        <family val="3"/>
        <charset val="129"/>
      </rPr>
      <t>모니터링</t>
    </r>
    <r>
      <rPr>
        <sz val="11"/>
        <rFont val="Calibri"/>
        <family val="2"/>
      </rPr>
      <t>#2</t>
    </r>
    <phoneticPr fontId="1" type="noConversion"/>
  </si>
  <si>
    <t>사출계획</t>
    <phoneticPr fontId="1" type="noConversion"/>
  </si>
  <si>
    <t>WorkBookV4</t>
    <phoneticPr fontId="1" type="noConversion"/>
  </si>
  <si>
    <t>for 두인 현장 작업 일지 보고(tuch PC 활용)</t>
    <phoneticPr fontId="1" type="noConversion"/>
  </si>
  <si>
    <t>SaleOrder3</t>
    <phoneticPr fontId="1" type="noConversion"/>
  </si>
  <si>
    <t>For 뉴볼텍 , 생산 사양을 함께 등록하고 있는 수주서를 등록 함.</t>
    <phoneticPr fontId="1" type="noConversion"/>
  </si>
  <si>
    <t>착색정보 관리</t>
    <phoneticPr fontId="1" type="noConversion"/>
  </si>
  <si>
    <t>ColorMix</t>
    <phoneticPr fontId="1" type="noConversion"/>
  </si>
  <si>
    <t>for 두인 품목별 착색정보 관리</t>
    <phoneticPr fontId="1" type="noConversion"/>
  </si>
  <si>
    <t>사용자 지정 각종 코드를 정의한다. (등록할 코드의 종류는 sscd_mast에서 종류를 등록한다)</t>
    <phoneticPr fontId="1" type="noConversion"/>
  </si>
  <si>
    <t>시스템 운영을 위한 코드를 등록한다. (구분코드(dvcd)를 정의한다.)</t>
    <phoneticPr fontId="1" type="noConversion"/>
  </si>
  <si>
    <t>물리 및 논리 창고를 정의한다.</t>
    <phoneticPr fontId="1" type="noConversion"/>
  </si>
  <si>
    <t xml:space="preserve">시스템 적용 회사별 환경 설정을 정의한다. </t>
    <phoneticPr fontId="1" type="noConversion"/>
  </si>
  <si>
    <t xml:space="preserve">생산 Schdule 관리를 위해 법정 공휴일 및 회사별 자체 휴일 정보를 정의한다. </t>
    <phoneticPr fontId="1" type="noConversion"/>
  </si>
  <si>
    <t>기능 창고 목록을 정의한다.</t>
    <phoneticPr fontId="1" type="noConversion"/>
  </si>
  <si>
    <t>창고별 보관 위치 정의</t>
    <phoneticPr fontId="1" type="noConversion"/>
  </si>
  <si>
    <t>부서 편재 코드를 정의하고 부서 목록을 조회</t>
    <phoneticPr fontId="1" type="noConversion"/>
  </si>
  <si>
    <t xml:space="preserve">회사 내규상 직급 정보를 정의한다. </t>
    <phoneticPr fontId="1" type="noConversion"/>
  </si>
  <si>
    <t xml:space="preserve">사원 직급, 설비코드, 공정별 임율을 정의한다. 등록된 임율 정보는 원가계산 작업에 활용된다. </t>
    <phoneticPr fontId="1" type="noConversion"/>
  </si>
  <si>
    <t>생산설비가동현황</t>
    <phoneticPr fontId="1" type="noConversion"/>
  </si>
  <si>
    <t>생산설비 가동 및 비 가동 현황 조회</t>
    <phoneticPr fontId="1" type="noConversion"/>
  </si>
  <si>
    <t>CvicList2</t>
    <phoneticPr fontId="1" type="noConversion"/>
  </si>
  <si>
    <t>설치코드 관리</t>
    <phoneticPr fontId="1" type="noConversion"/>
  </si>
  <si>
    <t>project</t>
    <phoneticPr fontId="1" type="noConversion"/>
  </si>
  <si>
    <t>CertMast</t>
    <phoneticPr fontId="1" type="noConversion"/>
  </si>
  <si>
    <t>사용자별 설치 코드 부여 등록</t>
    <phoneticPr fontId="1" type="noConversion"/>
  </si>
  <si>
    <t>제조리드타임 현황</t>
    <phoneticPr fontId="1" type="noConversion"/>
  </si>
  <si>
    <t>eis.report</t>
    <phoneticPr fontId="1" type="noConversion"/>
  </si>
  <si>
    <t>EisReport11</t>
    <phoneticPr fontId="1" type="noConversion"/>
  </si>
  <si>
    <t>납기일대비납품일현황</t>
    <phoneticPr fontId="1" type="noConversion"/>
  </si>
  <si>
    <t>불량율 현황</t>
    <phoneticPr fontId="1" type="noConversion"/>
  </si>
  <si>
    <t>투입공수 현황</t>
    <phoneticPr fontId="1" type="noConversion"/>
  </si>
  <si>
    <t>EisReport12</t>
    <phoneticPr fontId="1" type="noConversion"/>
  </si>
  <si>
    <t>EisReport13</t>
    <phoneticPr fontId="1" type="noConversion"/>
  </si>
  <si>
    <t>EisReport14</t>
    <phoneticPr fontId="1" type="noConversion"/>
  </si>
  <si>
    <t>손실 보고</t>
    <phoneticPr fontId="1" type="noConversion"/>
  </si>
  <si>
    <t>LossWork</t>
    <phoneticPr fontId="1" type="noConversion"/>
  </si>
  <si>
    <t>프로젝트별 손실내역을 등록하고, 손실보고서를 발행</t>
    <phoneticPr fontId="1" type="noConversion"/>
  </si>
  <si>
    <t>입고현황</t>
    <phoneticPr fontId="1" type="noConversion"/>
  </si>
  <si>
    <t>PrjtPurcOrderList</t>
    <phoneticPr fontId="1" type="noConversion"/>
  </si>
  <si>
    <t>금형별, 거래처별, 품목별 입고 리스트 조회 및 발행</t>
    <phoneticPr fontId="1" type="noConversion"/>
  </si>
  <si>
    <t>볼트호칭관리</t>
    <phoneticPr fontId="1" type="noConversion"/>
  </si>
  <si>
    <t>BoltNumb</t>
    <phoneticPr fontId="1" type="noConversion"/>
  </si>
  <si>
    <t>볼트 금형 제작업체에서 사용하는 볼트 호칭 관리</t>
    <phoneticPr fontId="1" type="noConversion"/>
  </si>
  <si>
    <t>판매 반품 관리</t>
    <phoneticPr fontId="1" type="noConversion"/>
  </si>
  <si>
    <t>GoodsRettWork</t>
    <phoneticPr fontId="1" type="noConversion"/>
  </si>
  <si>
    <t>판매출고내역을 기준으로 반품 전표를 관리한다.</t>
    <phoneticPr fontId="1" type="noConversion"/>
  </si>
  <si>
    <t>주문 진행 현황</t>
    <phoneticPr fontId="1" type="noConversion"/>
  </si>
  <si>
    <t>주문 및 생산 진행현황</t>
    <phoneticPr fontId="1" type="noConversion"/>
  </si>
  <si>
    <t>SlorList6</t>
    <phoneticPr fontId="1" type="noConversion"/>
  </si>
  <si>
    <t>불량처리보고</t>
    <phoneticPr fontId="1" type="noConversion"/>
  </si>
  <si>
    <t>InspEntry6</t>
    <phoneticPr fontId="1" type="noConversion"/>
  </si>
  <si>
    <t>불량 발생내역을 참조하여 불량품 처리 결과를 관리</t>
    <phoneticPr fontId="1" type="noConversion"/>
  </si>
  <si>
    <t>품목별 공정진행현황</t>
    <phoneticPr fontId="1" type="noConversion"/>
  </si>
  <si>
    <t>for 두인 수주별 생산진행 집계 현황 및 공정별 작업일지 조회</t>
    <phoneticPr fontId="1" type="noConversion"/>
  </si>
  <si>
    <t>WorkBookList</t>
    <phoneticPr fontId="1" type="noConversion"/>
  </si>
  <si>
    <t>실DB Table 조회</t>
    <phoneticPr fontId="1" type="noConversion"/>
  </si>
  <si>
    <t>TableManagerV2</t>
    <phoneticPr fontId="1" type="noConversion"/>
  </si>
  <si>
    <t>프로젝트별 투입 공수 현황을 조회</t>
    <phoneticPr fontId="1" type="noConversion"/>
  </si>
  <si>
    <t>거래처별, 품목별 불량율 현황 조회</t>
    <phoneticPr fontId="1" type="noConversion"/>
  </si>
  <si>
    <t>납기일자 대비 납품 일정 비교표</t>
    <phoneticPr fontId="1" type="noConversion"/>
  </si>
  <si>
    <t>생산 설비별 가동 현황 그래프 조회</t>
    <phoneticPr fontId="1" type="noConversion"/>
  </si>
  <si>
    <t>생산설비 모니터링</t>
    <phoneticPr fontId="1" type="noConversion"/>
  </si>
  <si>
    <t>공정검사</t>
    <phoneticPr fontId="1" type="noConversion"/>
  </si>
  <si>
    <t>InspEntry7</t>
    <phoneticPr fontId="1" type="noConversion"/>
  </si>
  <si>
    <t>초중종 공정 검사 등록 관리</t>
    <phoneticPr fontId="1" type="noConversion"/>
  </si>
  <si>
    <t>사원정보 및 log In 정보, 개인별 임율 정보, 국적… 등 관리 사원별 업무 권한 등록</t>
    <phoneticPr fontId="1" type="noConversion"/>
  </si>
  <si>
    <t>구매 발주서를 추가 또는 수정, 발주서 승인 처리, 발주서 발행, 입고되는 발주서의 입고 처리</t>
    <phoneticPr fontId="1" type="noConversion"/>
  </si>
  <si>
    <t>프로젝트 번호별 BOP를 작성하고, 세부 일정계획을 작성, BOP 승인 처리</t>
    <phoneticPr fontId="1" type="noConversion"/>
  </si>
  <si>
    <t>보유중 재고 또는 현재 생산중인 재고수량을 수주 오더에 할당 등록생산소요량 = 수주량 - 재고 할당량</t>
    <phoneticPr fontId="1" type="noConversion"/>
  </si>
  <si>
    <t>SaleWork</t>
    <phoneticPr fontId="1" type="noConversion"/>
  </si>
  <si>
    <t>sale.sale</t>
    <phoneticPr fontId="1" type="noConversion"/>
  </si>
  <si>
    <t>수금보고</t>
    <phoneticPr fontId="1" type="noConversion"/>
  </si>
  <si>
    <t>SaleColt</t>
    <phoneticPr fontId="1" type="noConversion"/>
  </si>
  <si>
    <t>매출내역(세금계산서) 등록</t>
    <phoneticPr fontId="1" type="noConversion"/>
  </si>
  <si>
    <t>수금 보고</t>
    <phoneticPr fontId="1" type="noConversion"/>
  </si>
  <si>
    <t>매입정산현황</t>
    <phoneticPr fontId="1" type="noConversion"/>
  </si>
  <si>
    <t>PrjtPurcOrderList2</t>
    <phoneticPr fontId="1" type="noConversion"/>
  </si>
  <si>
    <t>검사 성적서</t>
    <phoneticPr fontId="1" type="noConversion"/>
  </si>
  <si>
    <t>InspReport2</t>
    <phoneticPr fontId="1" type="noConversion"/>
  </si>
  <si>
    <t>오더별 검사 성적서 조회 및 발행</t>
    <phoneticPr fontId="1" type="noConversion"/>
  </si>
  <si>
    <t>일자별 재고현황</t>
    <phoneticPr fontId="1" type="noConversion"/>
  </si>
  <si>
    <t>(대한솔)</t>
    <phoneticPr fontId="1" type="noConversion"/>
  </si>
  <si>
    <t xml:space="preserve">for 대한솔 일자별 공정별 재고 현황을 조회하고 재고를 등록한다. </t>
    <phoneticPr fontId="1" type="noConversion"/>
  </si>
  <si>
    <t>DailyStockWork</t>
    <phoneticPr fontId="1" type="noConversion"/>
  </si>
  <si>
    <t>(신양)</t>
    <phoneticPr fontId="1" type="noConversion"/>
  </si>
  <si>
    <t>custom.symct.sale</t>
    <phoneticPr fontId="1" type="noConversion"/>
  </si>
  <si>
    <t>For 신양메카텍 프로젝트 수주건의 수주전 정보 관리 및 수주 확정, Amend 정보 관리</t>
    <phoneticPr fontId="1" type="noConversion"/>
  </si>
  <si>
    <t>주문대장</t>
    <phoneticPr fontId="1" type="noConversion"/>
  </si>
  <si>
    <t>ProjWord</t>
    <phoneticPr fontId="1" type="noConversion"/>
  </si>
  <si>
    <t>고객별 단어 관리</t>
    <phoneticPr fontId="1" type="noConversion"/>
  </si>
  <si>
    <t>(인코팩)</t>
    <phoneticPr fontId="1" type="noConversion"/>
  </si>
  <si>
    <t>제조사양관리</t>
    <phoneticPr fontId="1" type="noConversion"/>
  </si>
  <si>
    <t>MadeStnd</t>
    <phoneticPr fontId="1" type="noConversion"/>
  </si>
  <si>
    <t xml:space="preserve">for 인코팩 완제품 제품 사양을 등록하고 조회한다. </t>
    <phoneticPr fontId="1" type="noConversion"/>
  </si>
  <si>
    <t>WorkBookV5</t>
    <phoneticPr fontId="1" type="noConversion"/>
  </si>
  <si>
    <t>(필링코)</t>
    <phoneticPr fontId="1" type="noConversion"/>
  </si>
  <si>
    <t>for 필링코 현장 작업일지 보고</t>
    <phoneticPr fontId="1" type="noConversion"/>
  </si>
  <si>
    <t>표준원가 등록</t>
    <phoneticPr fontId="1" type="noConversion"/>
  </si>
  <si>
    <t>C</t>
    <phoneticPr fontId="1" type="noConversion"/>
  </si>
  <si>
    <t>표준 단가표 관리</t>
    <phoneticPr fontId="1" type="noConversion"/>
  </si>
  <si>
    <t>CostPriceWork</t>
    <phoneticPr fontId="1" type="noConversion"/>
  </si>
  <si>
    <t>For 인코팩  원가 구성 요소별 품목별 최종 단가를 등록 관리
※ 1개 업체 이상에서 구매할 경우라도 대표 단가를 등록한다.</t>
    <phoneticPr fontId="1" type="noConversion"/>
  </si>
  <si>
    <t>For 인코팩 품목별로 표준원가 Type을 Mapping 한다.</t>
    <phoneticPr fontId="1" type="noConversion"/>
  </si>
  <si>
    <t>custom.inkopack.cost</t>
    <phoneticPr fontId="1" type="noConversion"/>
  </si>
  <si>
    <t>custom.inkopack.basic</t>
    <phoneticPr fontId="1" type="noConversion"/>
  </si>
  <si>
    <t>custom.dehansol.sale</t>
    <phoneticPr fontId="1" type="noConversion"/>
  </si>
  <si>
    <t>For 신양메카텍 프로젝트 수주건의 진행 현황 관리</t>
    <phoneticPr fontId="1" type="noConversion"/>
  </si>
  <si>
    <t>For 신양메카텍 프로젝트 수주 리스트 조회</t>
    <phoneticPr fontId="1" type="noConversion"/>
  </si>
  <si>
    <t>For 대한솔 주문 오더 등록</t>
    <phoneticPr fontId="1" type="noConversion"/>
  </si>
  <si>
    <t>custom.dehansol.prod</t>
    <phoneticPr fontId="1" type="noConversion"/>
  </si>
  <si>
    <t xml:space="preserve">for 대한솔 현장 작업 실적 관리
대한솔의 경우 생산계획이나 지시 없이 공정 작업을 진행하는 형태로
일자별 품목별, 거래처별 생산 수량을 직접 입력하도록 한다. </t>
    <phoneticPr fontId="1" type="noConversion"/>
  </si>
  <si>
    <t>수주진행관리</t>
    <phoneticPr fontId="1" type="noConversion"/>
  </si>
  <si>
    <t>For 대한솔 
   1. 주문오더별 검사성적 등록, 검사 성적서 발행
   2. 실물 부착용 스티커 발행
   3. 출하 처리
   4. 생산 입고 처리
   5. 거래명세서 발행</t>
    <phoneticPr fontId="1" type="noConversion"/>
  </si>
  <si>
    <t>ProdOsttWorkV2</t>
    <phoneticPr fontId="1" type="noConversion"/>
  </si>
  <si>
    <t>생산출고관리(M)</t>
    <phoneticPr fontId="1" type="noConversion"/>
  </si>
  <si>
    <t>(Mobile)
   Bar Code Reading 으로 출고 처리</t>
    <phoneticPr fontId="1" type="noConversion"/>
  </si>
  <si>
    <t>(대한솔)
(인코팩)</t>
    <phoneticPr fontId="1" type="noConversion"/>
  </si>
  <si>
    <t>For 대한솔 &amp; 인코팩
  1. 입고사항 분리 등록(품목별 수량 분리)- 매쉬
  2. 재고 레벨 발행</t>
    <phoneticPr fontId="1" type="noConversion"/>
  </si>
  <si>
    <t>950000</t>
    <phoneticPr fontId="1" type="noConversion"/>
  </si>
  <si>
    <t>성능개선프로젝트</t>
    <phoneticPr fontId="1" type="noConversion"/>
  </si>
  <si>
    <t>사용자정보관리</t>
    <phoneticPr fontId="1" type="noConversion"/>
  </si>
  <si>
    <t>test</t>
    <phoneticPr fontId="1" type="noConversion"/>
  </si>
  <si>
    <t>TestUserMast</t>
    <phoneticPr fontId="1" type="noConversion"/>
  </si>
  <si>
    <t>개발자 양성을 위한 프로젝트(사용자 정보관리)</t>
    <phoneticPr fontId="1" type="noConversion"/>
  </si>
  <si>
    <t>관리항목 관리</t>
    <phoneticPr fontId="1" type="noConversion"/>
  </si>
  <si>
    <t>품목 및 거래처 등 각종 관리 항목을 정의한다.</t>
    <phoneticPr fontId="1" type="noConversion"/>
  </si>
  <si>
    <t>MngtSbscMast</t>
    <phoneticPr fontId="1" type="noConversion"/>
  </si>
  <si>
    <t>StndCostWork</t>
    <phoneticPr fontId="1" type="noConversion"/>
  </si>
  <si>
    <t>표준원가관리</t>
    <phoneticPr fontId="1" type="noConversion"/>
  </si>
  <si>
    <t>custom.inkopack.prod</t>
    <phoneticPr fontId="1" type="noConversion"/>
  </si>
  <si>
    <t>custom.symct.prod</t>
    <phoneticPr fontId="1" type="noConversion"/>
  </si>
  <si>
    <t>for 신양메카텍 작업일지 보고</t>
    <phoneticPr fontId="1" type="noConversion"/>
  </si>
  <si>
    <t>for 인코팩 작업일지 보고</t>
    <phoneticPr fontId="1" type="noConversion"/>
  </si>
  <si>
    <t>for 인코팩 생산 일정계획 관리</t>
    <phoneticPr fontId="1" type="noConversion"/>
  </si>
  <si>
    <t>실시간 현황</t>
    <phoneticPr fontId="1" type="noConversion"/>
  </si>
  <si>
    <t>for 두인  생산 실적 현황의 모니터링(당초 생산실적 모니터링 메뉴이었으나, 고객의 요청에 따라 실시간 현황으로 메뉴명 변경 함)</t>
    <phoneticPr fontId="1" type="noConversion"/>
  </si>
  <si>
    <t>생산지시</t>
    <phoneticPr fontId="1" type="noConversion"/>
  </si>
  <si>
    <t>생산지시서 관리</t>
    <phoneticPr fontId="1" type="noConversion"/>
  </si>
  <si>
    <t>월간 일정 현황</t>
    <phoneticPr fontId="1" type="noConversion"/>
  </si>
  <si>
    <t>EisReport15</t>
    <phoneticPr fontId="1" type="noConversion"/>
  </si>
  <si>
    <t>월간 주요 일정 현황 조회</t>
    <phoneticPr fontId="1" type="noConversion"/>
  </si>
  <si>
    <t>업무일지 보고</t>
    <phoneticPr fontId="1" type="noConversion"/>
  </si>
  <si>
    <t>DailyReport</t>
    <phoneticPr fontId="1" type="noConversion"/>
  </si>
  <si>
    <t>업무 일지 작성 보고 및 결재권자 승인처리</t>
    <phoneticPr fontId="1" type="noConversion"/>
  </si>
  <si>
    <t>자재입고처리</t>
    <phoneticPr fontId="1" type="noConversion"/>
  </si>
  <si>
    <t>MtrlIsttWork</t>
    <phoneticPr fontId="1" type="noConversion"/>
  </si>
  <si>
    <t>수입검사완료된 입고대기 내역을 입고확정 처리</t>
    <phoneticPr fontId="1" type="noConversion"/>
  </si>
  <si>
    <t>custom.inkopack.eis</t>
    <phoneticPr fontId="1" type="noConversion"/>
  </si>
  <si>
    <t>EisReport16</t>
    <phoneticPr fontId="1" type="noConversion"/>
  </si>
  <si>
    <t>for 인코팩 종합 현황 판</t>
    <phoneticPr fontId="1" type="noConversion"/>
  </si>
  <si>
    <t>custom.kitec.prod</t>
    <phoneticPr fontId="1" type="noConversion"/>
  </si>
  <si>
    <t>(광일테크)</t>
    <phoneticPr fontId="1" type="noConversion"/>
  </si>
  <si>
    <t>for 광일테크 작업일지 보고</t>
    <phoneticPr fontId="1" type="noConversion"/>
  </si>
  <si>
    <t>InspEntry52</t>
    <phoneticPr fontId="1" type="noConversion"/>
  </si>
  <si>
    <t>for 대덕정밀 출하검사 입력(세부 측정치 등록)</t>
    <phoneticPr fontId="1" type="noConversion"/>
  </si>
  <si>
    <t>(출하)품질측정</t>
    <phoneticPr fontId="1" type="noConversion"/>
  </si>
  <si>
    <t>MES-TD3-101</t>
    <phoneticPr fontId="1" type="noConversion"/>
  </si>
  <si>
    <t>MES-TD3-102</t>
    <phoneticPr fontId="1" type="noConversion"/>
  </si>
  <si>
    <t>MES-TD3-103</t>
  </si>
  <si>
    <t>MES-TD3-104</t>
  </si>
  <si>
    <t>MES-TD3-105</t>
  </si>
  <si>
    <t>MES-TD3-106</t>
  </si>
  <si>
    <t>MES-TD3-107</t>
  </si>
  <si>
    <t>MES-TD3-108</t>
  </si>
  <si>
    <t>MES-TD3-109</t>
  </si>
  <si>
    <t>MES-TD3-110</t>
  </si>
  <si>
    <t>MES-TD3-111</t>
  </si>
  <si>
    <t>MES-TD3-112</t>
  </si>
  <si>
    <t>MES-TD3-113</t>
  </si>
  <si>
    <t>MES-TD3-114</t>
  </si>
  <si>
    <t>MES-TD3-115</t>
  </si>
  <si>
    <t>MES-TD3-116</t>
  </si>
  <si>
    <t>MES-TD3-117</t>
  </si>
  <si>
    <t>MES-TD3-122</t>
  </si>
  <si>
    <t>MES-TD3-123</t>
  </si>
  <si>
    <t>MES-TD3-124</t>
  </si>
  <si>
    <t>MES-TD3-125</t>
  </si>
  <si>
    <t>MES-TD3-126</t>
  </si>
  <si>
    <t>MES-TD3-127</t>
  </si>
  <si>
    <t>MES-TD3-128</t>
  </si>
  <si>
    <t>MES-TD3-129</t>
  </si>
  <si>
    <t>MES-TD3-130</t>
  </si>
  <si>
    <t>MES-TD3-131</t>
  </si>
  <si>
    <t>MES-TD3-132</t>
  </si>
  <si>
    <t>MES-TD3-133</t>
  </si>
  <si>
    <t>MES-TD3-141</t>
    <phoneticPr fontId="1" type="noConversion"/>
  </si>
  <si>
    <t>MES-TD3-143</t>
  </si>
  <si>
    <t>MES-TD3-201</t>
    <phoneticPr fontId="1" type="noConversion"/>
  </si>
  <si>
    <t>MES-TD3-120</t>
    <phoneticPr fontId="1" type="noConversion"/>
  </si>
  <si>
    <t>MES-TD3-121</t>
    <phoneticPr fontId="1" type="noConversion"/>
  </si>
  <si>
    <t>#CHAR_NUMB</t>
    <phoneticPr fontId="1" type="noConversion"/>
  </si>
  <si>
    <t>MES-TD3-144</t>
  </si>
  <si>
    <t>MES-TD3-145</t>
  </si>
  <si>
    <t>MES-TD3-146</t>
  </si>
  <si>
    <t>MES-TD3-147</t>
  </si>
  <si>
    <t>MES-TD3-148</t>
  </si>
  <si>
    <t>MES-TD3-149</t>
  </si>
  <si>
    <t>MES-TD3-150</t>
  </si>
  <si>
    <t>MES-TD3-151</t>
  </si>
  <si>
    <t>MES-TD3-152</t>
  </si>
  <si>
    <t>MES-TD3-153</t>
  </si>
  <si>
    <t>MES-TD3-154</t>
  </si>
  <si>
    <t>MES-TD3-202</t>
    <phoneticPr fontId="1" type="noConversion"/>
  </si>
  <si>
    <t>MES-TD3-203</t>
  </si>
  <si>
    <t>MES-TD3-204</t>
  </si>
  <si>
    <t>MES-TD3-205</t>
  </si>
  <si>
    <t>MES-TD3-206</t>
  </si>
  <si>
    <t>MES-TD3-207</t>
  </si>
  <si>
    <t>MES-TD3-208</t>
  </si>
  <si>
    <t>MES-TD3-209</t>
    <phoneticPr fontId="1" type="noConversion"/>
  </si>
  <si>
    <t>MES-TD3-210</t>
    <phoneticPr fontId="1" type="noConversion"/>
  </si>
  <si>
    <t>MES-TD3-211</t>
  </si>
  <si>
    <t>MES-TD3-212</t>
  </si>
  <si>
    <t>MES-TD3-213</t>
  </si>
  <si>
    <t>MES-TD3-214</t>
  </si>
  <si>
    <t>MES-TD3-215</t>
  </si>
  <si>
    <t>MES-TD3-216</t>
  </si>
  <si>
    <t>MES-TD3-217</t>
  </si>
  <si>
    <t>MES-TD3-218</t>
  </si>
  <si>
    <t>MES-TD3-219</t>
  </si>
  <si>
    <t>MES-TD3-220</t>
  </si>
  <si>
    <t>MES-TD3-221</t>
  </si>
  <si>
    <t>MES-TD3-222</t>
  </si>
  <si>
    <t>MES-TD3-223</t>
  </si>
  <si>
    <t>MES-TD3-224</t>
  </si>
  <si>
    <t>MES-TD3-225</t>
  </si>
  <si>
    <t>MES-TD3-226</t>
  </si>
  <si>
    <t>MES-TD3-227</t>
  </si>
  <si>
    <t>MES-TD3-228</t>
  </si>
  <si>
    <t>MES-TD3-229</t>
  </si>
  <si>
    <t>MES-TD3-230</t>
  </si>
  <si>
    <t>MES-TD3-231</t>
  </si>
  <si>
    <t>MES-TD3-232</t>
  </si>
  <si>
    <t>MES-TD3-233</t>
  </si>
  <si>
    <t>MES-TD3-234</t>
  </si>
  <si>
    <t>MES-TD3-235</t>
  </si>
  <si>
    <t>MES-TD3-236</t>
  </si>
  <si>
    <t>MES-TD3-238</t>
  </si>
  <si>
    <t>MES-TD3-239</t>
  </si>
  <si>
    <t>MES-TD3-240</t>
  </si>
  <si>
    <t>MES-TD3-241</t>
  </si>
  <si>
    <t>MES-TD3-242</t>
  </si>
  <si>
    <t>MES-TD3-243</t>
  </si>
  <si>
    <t>MES-TD3-244</t>
  </si>
  <si>
    <t>MES-TD3-245</t>
  </si>
  <si>
    <t>MES-TD3-246</t>
  </si>
  <si>
    <t>MES-TD3-247</t>
  </si>
  <si>
    <t>MES-TD3-248</t>
  </si>
  <si>
    <t>MES-TD3-249</t>
  </si>
  <si>
    <t>MES-TD3-250</t>
  </si>
  <si>
    <t>MES-TD3-251</t>
  </si>
  <si>
    <t>MES-TD3-252</t>
  </si>
  <si>
    <t>MES-TD3-253</t>
  </si>
  <si>
    <t>MES-TD3-254</t>
  </si>
  <si>
    <t>MES-TD3-255</t>
  </si>
  <si>
    <t>MES-TD3-256</t>
  </si>
  <si>
    <t>MES-TD3-257</t>
  </si>
  <si>
    <t>MES-TD3-258</t>
  </si>
  <si>
    <t>MES-TD3-303</t>
  </si>
  <si>
    <t>MES-TD3-304</t>
  </si>
  <si>
    <t>MES-TD3-305</t>
  </si>
  <si>
    <t>MES-TD3-306</t>
  </si>
  <si>
    <t>MES-TD3-307</t>
  </si>
  <si>
    <t>MES-TD3-308</t>
  </si>
  <si>
    <t>MES-TD3-312</t>
  </si>
  <si>
    <t>MES-TD3-313</t>
  </si>
  <si>
    <t>MES-TD3-314</t>
  </si>
  <si>
    <t>MES-TD3-315</t>
  </si>
  <si>
    <t>MES-TD3-316</t>
  </si>
  <si>
    <t>MES-TD3-317</t>
  </si>
  <si>
    <t>MES-TD3-318</t>
  </si>
  <si>
    <t>MES-TD3-319</t>
  </si>
  <si>
    <t>MES-TD3-320</t>
  </si>
  <si>
    <t>MES-TD3-321</t>
  </si>
  <si>
    <t>MES-TD3-322</t>
  </si>
  <si>
    <t>MES-TD3-323</t>
  </si>
  <si>
    <t>MES-TD3-324</t>
  </si>
  <si>
    <t>MES-TD3-325</t>
  </si>
  <si>
    <t>MES-TD3-326</t>
  </si>
  <si>
    <t>MES-TD3-327</t>
  </si>
  <si>
    <t>MES-TD3-332</t>
  </si>
  <si>
    <t>MES-TD3-333</t>
  </si>
  <si>
    <t>MES-TD3-334</t>
  </si>
  <si>
    <t>MES-TD3-335</t>
  </si>
  <si>
    <t>MES-TD3-336</t>
  </si>
  <si>
    <t>MES-TD3-337</t>
  </si>
  <si>
    <t>MES-TD3-338</t>
  </si>
  <si>
    <t>MES-TD3-339</t>
  </si>
  <si>
    <t>MES-TD3-340</t>
  </si>
  <si>
    <t>MES-TD3-341</t>
  </si>
  <si>
    <t>MES-TD3-342</t>
  </si>
  <si>
    <t>MES-TD3-343</t>
  </si>
  <si>
    <t>MES-TD3-344</t>
  </si>
  <si>
    <t>MES-TD3-345</t>
  </si>
  <si>
    <t>MES-TD3-346</t>
  </si>
  <si>
    <t>MES-TD3-347</t>
  </si>
  <si>
    <t>MES-TD3-348</t>
  </si>
  <si>
    <t>MES-TD3-349</t>
  </si>
  <si>
    <t>MES-TD3-350</t>
  </si>
  <si>
    <t>MES-TD3-351</t>
  </si>
  <si>
    <t>MES-TD3-362</t>
  </si>
  <si>
    <t>MES-TD3-363</t>
  </si>
  <si>
    <t>MES-TD3-364</t>
  </si>
  <si>
    <t>MES-TD3-365</t>
  </si>
  <si>
    <t>MES-TD3-366</t>
  </si>
  <si>
    <t>MES-TD3-367</t>
  </si>
  <si>
    <t>MES-TD3-368</t>
  </si>
  <si>
    <t>MES-TD3-369</t>
  </si>
  <si>
    <t>MES-TD3-370</t>
  </si>
  <si>
    <t>MES-TD3-371</t>
  </si>
  <si>
    <t>MES-TD3-372</t>
  </si>
  <si>
    <t>MES-TD3-373</t>
  </si>
  <si>
    <t>MES-TD3-374</t>
  </si>
  <si>
    <t>MES-TD3-375</t>
  </si>
  <si>
    <t>MES-TD3-376</t>
  </si>
  <si>
    <t>MES-TD3-382</t>
  </si>
  <si>
    <t>MES-TD3-383</t>
  </si>
  <si>
    <t>MES-TD3-384</t>
  </si>
  <si>
    <t>MES-TD3-385</t>
  </si>
  <si>
    <t>MES-TD3-386</t>
  </si>
  <si>
    <t>MES-TD3-387</t>
  </si>
  <si>
    <t>MES-TD3-388</t>
  </si>
  <si>
    <t>MES-TD3-392</t>
  </si>
  <si>
    <t>MES-TD3-393</t>
  </si>
  <si>
    <t>MES-TD3-394</t>
  </si>
  <si>
    <t>MES-TD3-395</t>
  </si>
  <si>
    <t>MES-TD3-396</t>
  </si>
  <si>
    <t>MES-TD3-397</t>
  </si>
  <si>
    <t>MES-TD3-403</t>
  </si>
  <si>
    <t>MES-TD3-404</t>
  </si>
  <si>
    <t>MES-TD3-405</t>
  </si>
  <si>
    <t>MES-TD3-406</t>
  </si>
  <si>
    <t>MES-TD3-407</t>
  </si>
  <si>
    <t>MES-TD3-408</t>
  </si>
  <si>
    <t>MES-TD3-409</t>
  </si>
  <si>
    <t>MES-TD3-410</t>
  </si>
  <si>
    <t>MES-TD3-411</t>
  </si>
  <si>
    <t>MES-TD3-412</t>
  </si>
  <si>
    <t>MES-TD3-422</t>
  </si>
  <si>
    <t>MES-TD3-423</t>
  </si>
  <si>
    <t>MES-TD3-424</t>
  </si>
  <si>
    <t>MES-TD3-425</t>
  </si>
  <si>
    <t>MES-TD3-426</t>
  </si>
  <si>
    <t>MES-TD3-427</t>
  </si>
  <si>
    <t>MES-TD3-428</t>
  </si>
  <si>
    <t>MES-TD3-429</t>
  </si>
  <si>
    <t>MES-TD3-430</t>
  </si>
  <si>
    <t>MES-TD3-431</t>
  </si>
  <si>
    <t>MES-TD3-432</t>
  </si>
  <si>
    <t>MES-TD3-433</t>
  </si>
  <si>
    <t>MES-TD3-301</t>
    <phoneticPr fontId="1" type="noConversion"/>
  </si>
  <si>
    <t>MES-TD3-302</t>
    <phoneticPr fontId="1" type="noConversion"/>
  </si>
  <si>
    <t>MES-TD3-310</t>
    <phoneticPr fontId="1" type="noConversion"/>
  </si>
  <si>
    <t>MES-TD3-311</t>
    <phoneticPr fontId="1" type="noConversion"/>
  </si>
  <si>
    <t>MES-TD3-330</t>
    <phoneticPr fontId="1" type="noConversion"/>
  </si>
  <si>
    <t>MES-TD3-331</t>
    <phoneticPr fontId="1" type="noConversion"/>
  </si>
  <si>
    <t>MES-TD3-360</t>
    <phoneticPr fontId="1" type="noConversion"/>
  </si>
  <si>
    <t>MES-TD3-361</t>
    <phoneticPr fontId="1" type="noConversion"/>
  </si>
  <si>
    <t>MES-TD3-380</t>
    <phoneticPr fontId="1" type="noConversion"/>
  </si>
  <si>
    <t>MES-TD3-381</t>
    <phoneticPr fontId="1" type="noConversion"/>
  </si>
  <si>
    <t>MES-TD3-390</t>
    <phoneticPr fontId="1" type="noConversion"/>
  </si>
  <si>
    <t>MES-TD3-391</t>
    <phoneticPr fontId="1" type="noConversion"/>
  </si>
  <si>
    <t>MES-TD3-401</t>
    <phoneticPr fontId="1" type="noConversion"/>
  </si>
  <si>
    <t>MES-TD3-402</t>
    <phoneticPr fontId="1" type="noConversion"/>
  </si>
  <si>
    <t>MES-TD3-420</t>
    <phoneticPr fontId="1" type="noConversion"/>
  </si>
  <si>
    <t>MES-TD3-421</t>
    <phoneticPr fontId="1" type="noConversion"/>
  </si>
  <si>
    <t>MES-TD3-440</t>
    <phoneticPr fontId="1" type="noConversion"/>
  </si>
  <si>
    <t>MES-TD3-441</t>
    <phoneticPr fontId="1" type="noConversion"/>
  </si>
  <si>
    <t>MES-TD3-442</t>
  </si>
  <si>
    <t>MES-TD3-443</t>
  </si>
  <si>
    <t>MES-TD3-444</t>
  </si>
  <si>
    <t>MES-TD3-445</t>
  </si>
  <si>
    <t>MES-TD3-446</t>
  </si>
  <si>
    <t>MES-TD3-447</t>
  </si>
  <si>
    <t>MES-TD3-448</t>
  </si>
  <si>
    <t>MES-TD3-449</t>
  </si>
  <si>
    <t>MES-TD3-450</t>
    <phoneticPr fontId="1" type="noConversion"/>
  </si>
  <si>
    <t>MES-TD3-451</t>
    <phoneticPr fontId="1" type="noConversion"/>
  </si>
  <si>
    <t>MES-TD3-452</t>
  </si>
  <si>
    <t>MES-TD3-453</t>
  </si>
  <si>
    <t>MES-TD3-454</t>
  </si>
  <si>
    <t>MES-TD3-455</t>
  </si>
  <si>
    <t>MES-TD3-456</t>
  </si>
  <si>
    <t>MES-TD3-457</t>
  </si>
  <si>
    <t>MES-TD3-458</t>
  </si>
  <si>
    <t>MES-TD3-461</t>
    <phoneticPr fontId="1" type="noConversion"/>
  </si>
  <si>
    <t>MES-TD3-462</t>
    <phoneticPr fontId="1" type="noConversion"/>
  </si>
  <si>
    <t>MES-TD3-463</t>
  </si>
  <si>
    <t>MES-TD3-464</t>
  </si>
  <si>
    <t>MES-TD3-465</t>
  </si>
  <si>
    <t>MES-TD3-466</t>
  </si>
  <si>
    <t>MES-TD3-467</t>
  </si>
  <si>
    <t>MES-TD3-468</t>
  </si>
  <si>
    <t>MES-TD3-469</t>
  </si>
  <si>
    <t>MES-TD3-470</t>
  </si>
  <si>
    <t>MES-TD3-471</t>
  </si>
  <si>
    <t>MES-TD3-472</t>
  </si>
  <si>
    <t>MES-TD3-473</t>
  </si>
  <si>
    <t>MES-TD3-474</t>
  </si>
  <si>
    <t>MES-TD3-475</t>
  </si>
  <si>
    <t>MES-TD3-476</t>
  </si>
  <si>
    <t>MES-TD3-477</t>
  </si>
  <si>
    <t>MES-TD3-478</t>
  </si>
  <si>
    <t>MES-TD3-479</t>
  </si>
  <si>
    <t>MES-TD3-480</t>
  </si>
  <si>
    <t>MES-TD3-481</t>
  </si>
  <si>
    <t>MES-TD3-482</t>
  </si>
  <si>
    <t>MES-TD3-483</t>
  </si>
  <si>
    <t>MES-TD3-493</t>
  </si>
  <si>
    <t>MES-TD3-494</t>
  </si>
  <si>
    <t>MES-TD3-495</t>
  </si>
  <si>
    <t>MES-TD3-496</t>
  </si>
  <si>
    <t>MES-TD3-502</t>
  </si>
  <si>
    <t>MES-TD3-503</t>
  </si>
  <si>
    <t>MES-TD3-504</t>
  </si>
  <si>
    <t>MES-TD3-505</t>
  </si>
  <si>
    <t>MES-TD3-506</t>
  </si>
  <si>
    <t>MES-TD3-507</t>
  </si>
  <si>
    <t>MES-TD3-508</t>
  </si>
  <si>
    <t>MES-TD3-509</t>
  </si>
  <si>
    <t>MES-TD3-510</t>
  </si>
  <si>
    <t>MES-TD3-511</t>
  </si>
  <si>
    <t>MES-TD3-522</t>
  </si>
  <si>
    <t>MES-TD3-523</t>
  </si>
  <si>
    <t>MES-TD3-524</t>
  </si>
  <si>
    <t>MES-TD3-525</t>
  </si>
  <si>
    <t>MES-TD3-526</t>
  </si>
  <si>
    <t>MES-TD3-527</t>
  </si>
  <si>
    <t>MES-TD3-528</t>
  </si>
  <si>
    <t>MES-TD3-529</t>
  </si>
  <si>
    <t>MES-TD3-530</t>
  </si>
  <si>
    <t>MES-TD3-531</t>
  </si>
  <si>
    <t>MES-TD3-532</t>
  </si>
  <si>
    <t>MES-TD3-533</t>
  </si>
  <si>
    <t>MES-TD3-534</t>
  </si>
  <si>
    <t>MES-TD3-535</t>
  </si>
  <si>
    <t>MES-TD3-536</t>
  </si>
  <si>
    <t>MES-TD3-543</t>
  </si>
  <si>
    <t>MES-TD3-544</t>
  </si>
  <si>
    <t>MES-TD3-545</t>
  </si>
  <si>
    <t>MES-TD3-546</t>
  </si>
  <si>
    <t>MES-TD3-552</t>
  </si>
  <si>
    <t>MES-TD3-561</t>
    <phoneticPr fontId="1" type="noConversion"/>
  </si>
  <si>
    <t>MES-TD3-601</t>
    <phoneticPr fontId="1" type="noConversion"/>
  </si>
  <si>
    <t>MES-TD3-602</t>
    <phoneticPr fontId="1" type="noConversion"/>
  </si>
  <si>
    <t>MES-TD3-603</t>
  </si>
  <si>
    <t>MES-TD3-604</t>
  </si>
  <si>
    <t>MES-TD3-605</t>
  </si>
  <si>
    <t>MES-TD3-701</t>
    <phoneticPr fontId="1" type="noConversion"/>
  </si>
  <si>
    <t>MES-TD3-702</t>
    <phoneticPr fontId="1" type="noConversion"/>
  </si>
  <si>
    <t>MES-TD3-703</t>
  </si>
  <si>
    <t>MES-TD3-801</t>
    <phoneticPr fontId="1" type="noConversion"/>
  </si>
  <si>
    <t>MES-TD3-802</t>
    <phoneticPr fontId="1" type="noConversion"/>
  </si>
  <si>
    <t>MES-TD3-803</t>
  </si>
  <si>
    <t>MES-TD3-804</t>
  </si>
  <si>
    <t>MES-TD3-805</t>
  </si>
  <si>
    <t>MES-TD3-806</t>
  </si>
  <si>
    <t>MES-TD3-807</t>
  </si>
  <si>
    <t>MES-TD3-808</t>
  </si>
  <si>
    <t>MES-TD3-809</t>
  </si>
  <si>
    <t>MES-TD3-810</t>
  </si>
  <si>
    <t>MES-TD3-811</t>
  </si>
  <si>
    <t>MES-TD3-812</t>
  </si>
  <si>
    <t>MES-TD3-813</t>
  </si>
  <si>
    <t>MES-TD3-814</t>
  </si>
  <si>
    <t>MES-TD3-815</t>
  </si>
  <si>
    <t>MES-TD3-816</t>
  </si>
  <si>
    <t>MES-TD3-817</t>
  </si>
  <si>
    <t>MES-TD3-818</t>
  </si>
  <si>
    <t>MES-TD3-819</t>
  </si>
  <si>
    <t>MES-TD3-820</t>
  </si>
  <si>
    <t>MES-TD3-821</t>
  </si>
  <si>
    <t>MES-TD3-822</t>
  </si>
  <si>
    <t>MES-TD3-823</t>
  </si>
  <si>
    <t>MES-TD3-824</t>
  </si>
  <si>
    <t>MES-TD3-825</t>
  </si>
  <si>
    <t>MES-TD3-826</t>
  </si>
  <si>
    <t>MES-TD3-827</t>
  </si>
  <si>
    <t>MES-TD3-828</t>
  </si>
  <si>
    <t>MES-TD3-829</t>
  </si>
  <si>
    <t>MES-TD3-830</t>
  </si>
  <si>
    <t>MES-TD3-831</t>
  </si>
  <si>
    <t>MES-TD3-832</t>
  </si>
  <si>
    <t>MES-TD3-833</t>
  </si>
  <si>
    <t>MES-TD3-834</t>
  </si>
  <si>
    <t>MES-TD3-835</t>
  </si>
  <si>
    <t>MES-TD3-836</t>
  </si>
  <si>
    <t>MES-TD3-901</t>
    <phoneticPr fontId="1" type="noConversion"/>
  </si>
  <si>
    <t>MES-TD3-902</t>
    <phoneticPr fontId="1" type="noConversion"/>
  </si>
  <si>
    <t>MES-TD3-903</t>
  </si>
  <si>
    <t>MES-TD3-904</t>
  </si>
  <si>
    <t>MES-TD3-905</t>
  </si>
  <si>
    <t>MES-TD3-906</t>
  </si>
  <si>
    <t>MES-TD3-907</t>
  </si>
  <si>
    <t>MES-TD3-908</t>
  </si>
  <si>
    <t>MES-TD3-909</t>
  </si>
  <si>
    <t>MES-TD3-910</t>
  </si>
  <si>
    <t>MES-TD3-911</t>
  </si>
  <si>
    <t>MES-TD3-912</t>
  </si>
  <si>
    <t>MES-TD3-913</t>
  </si>
  <si>
    <t>MES-TD3-914</t>
  </si>
  <si>
    <t>MES-TD3-915</t>
  </si>
  <si>
    <t>MES-TD3-916</t>
  </si>
  <si>
    <t>MES-TD3-917</t>
  </si>
  <si>
    <t>MES-TD3-918</t>
  </si>
  <si>
    <t>MES-TD3-919</t>
  </si>
  <si>
    <t>MES-TD3-920</t>
  </si>
  <si>
    <t>MES-TD3-921</t>
  </si>
  <si>
    <t>MES-TD3-922</t>
  </si>
  <si>
    <t>MES-TD3-923</t>
  </si>
  <si>
    <t>MES-TD3-924</t>
  </si>
  <si>
    <t>MES-TD3-925</t>
  </si>
  <si>
    <t>MES-TD3-926</t>
  </si>
  <si>
    <t>MES-TD3-927</t>
  </si>
  <si>
    <t>MES-TD3-928</t>
  </si>
  <si>
    <t>MES-TD3-929</t>
  </si>
  <si>
    <t>MES-TD3-930</t>
  </si>
  <si>
    <t>MES-TD3-931</t>
  </si>
  <si>
    <t>MES-TD3-932</t>
  </si>
  <si>
    <t>MES-TD3-933</t>
  </si>
  <si>
    <t>MES-TD3-934</t>
  </si>
  <si>
    <t>MES-TD3-935</t>
  </si>
  <si>
    <t>MES-TD3-936</t>
  </si>
  <si>
    <t>MES-TD3-937</t>
  </si>
  <si>
    <t>MES-TD3-951</t>
    <phoneticPr fontId="1" type="noConversion"/>
  </si>
  <si>
    <t>MES-TD3-952</t>
    <phoneticPr fontId="1" type="noConversion"/>
  </si>
  <si>
    <t>MES-TD3-953</t>
  </si>
  <si>
    <t>MES-TD3-954</t>
  </si>
  <si>
    <t>MES-TD3-955</t>
  </si>
  <si>
    <t>MES-TD3-956</t>
  </si>
  <si>
    <t>MES-TD3-957</t>
  </si>
  <si>
    <t>MES-TD3-958</t>
  </si>
  <si>
    <t>MES-TD3-959</t>
  </si>
  <si>
    <t>MES-TD3-960</t>
  </si>
  <si>
    <t>MES-TD3-961</t>
  </si>
  <si>
    <t>MES-TD3-962</t>
  </si>
  <si>
    <t>MES-TD3-963</t>
  </si>
  <si>
    <t>MES-TD3-964</t>
  </si>
  <si>
    <t>MES-TD3-965</t>
  </si>
  <si>
    <t>MES-TD3-966</t>
  </si>
  <si>
    <t>MES-TD3-967</t>
  </si>
  <si>
    <t>수입검사 관리</t>
    <phoneticPr fontId="1" type="noConversion"/>
  </si>
  <si>
    <t>최종검사 관리</t>
    <phoneticPr fontId="1" type="noConversion"/>
  </si>
  <si>
    <t>출하검사 관리</t>
    <phoneticPr fontId="1" type="noConversion"/>
  </si>
  <si>
    <t>MES-TD3-140</t>
    <phoneticPr fontId="1" type="noConversion"/>
  </si>
  <si>
    <t>MES-TD3-142</t>
  </si>
  <si>
    <t>MES-TD3-155</t>
  </si>
  <si>
    <t>MES-TD3-156</t>
  </si>
  <si>
    <t>MES-TD3-157</t>
  </si>
  <si>
    <t>MES-TD3-158</t>
  </si>
  <si>
    <t>MES-TD3-159</t>
  </si>
  <si>
    <t>MES-TD3-160</t>
  </si>
  <si>
    <t>MES-TD3-161</t>
  </si>
  <si>
    <t>MES-TD3-162</t>
  </si>
  <si>
    <t>MES-TD3-163</t>
  </si>
  <si>
    <t>MES-TD3-165</t>
    <phoneticPr fontId="1" type="noConversion"/>
  </si>
  <si>
    <t>MES-TD3-166</t>
    <phoneticPr fontId="1" type="noConversion"/>
  </si>
  <si>
    <t>MES-TD3-167</t>
  </si>
  <si>
    <t>MES-TD3-168</t>
  </si>
  <si>
    <t>MES-TD3-169</t>
  </si>
  <si>
    <t>MES-TD3-170</t>
  </si>
  <si>
    <t>MES-TD3-171</t>
  </si>
  <si>
    <t>MES-TD3-172</t>
  </si>
  <si>
    <t>MES-TD3-173</t>
  </si>
  <si>
    <t>MES-TD3-174</t>
  </si>
  <si>
    <t>MES-TD3-175</t>
  </si>
  <si>
    <t>MES-TD3-176</t>
  </si>
  <si>
    <t>MES-TD3-177</t>
  </si>
  <si>
    <t>MES-TD3-178</t>
  </si>
  <si>
    <t>MES-TD3-497</t>
  </si>
  <si>
    <t>MES-TD3-498</t>
  </si>
  <si>
    <t>MES-TD3-499</t>
  </si>
  <si>
    <t>MES-TD3-500</t>
  </si>
  <si>
    <t>MES-TD3-501</t>
  </si>
  <si>
    <t>MES-TD3-512</t>
  </si>
  <si>
    <t>MES-TD3-513</t>
  </si>
  <si>
    <t>MES-TD3-514</t>
  </si>
  <si>
    <t>MES-TD3-515</t>
  </si>
  <si>
    <t>MES-TD3-516</t>
  </si>
  <si>
    <t>MES-TD3-517</t>
  </si>
  <si>
    <t>MES-TD3-518</t>
  </si>
  <si>
    <t>MES-TD3-519</t>
  </si>
  <si>
    <t>MES-TD3-520</t>
  </si>
  <si>
    <t>MES-TD3-521</t>
  </si>
  <si>
    <t>MES-TD3-491</t>
    <phoneticPr fontId="1" type="noConversion"/>
  </si>
  <si>
    <t>MES-TD3-492</t>
    <phoneticPr fontId="1" type="noConversion"/>
  </si>
  <si>
    <t>MES-TD3-541</t>
    <phoneticPr fontId="1" type="noConversion"/>
  </si>
  <si>
    <t>MES-TD3-542</t>
    <phoneticPr fontId="1" type="noConversion"/>
  </si>
  <si>
    <t>MES-TD3-547</t>
  </si>
  <si>
    <t>MES-TD3-548</t>
  </si>
  <si>
    <t>MES-TD3-549</t>
  </si>
  <si>
    <t>MES-TD3-550</t>
  </si>
  <si>
    <t>MES-TD3-551</t>
  </si>
  <si>
    <t>MES-TD3-562</t>
    <phoneticPr fontId="1" type="noConversion"/>
  </si>
  <si>
    <t>MES-TD3-563</t>
  </si>
  <si>
    <t>MES-TD3-564</t>
  </si>
  <si>
    <t>MES-TD3-565</t>
  </si>
  <si>
    <t>MES-TD3-566</t>
  </si>
  <si>
    <t>MES-TD3-567</t>
  </si>
  <si>
    <t>MES-TD3-568</t>
  </si>
  <si>
    <t>MES-TD3-569</t>
  </si>
  <si>
    <t>MES-TD3-570</t>
  </si>
  <si>
    <t>MES-TD3-571</t>
  </si>
  <si>
    <t>MES-TD3-572</t>
  </si>
  <si>
    <t>MES-TD3-573</t>
  </si>
  <si>
    <t>MES-TD3-574</t>
  </si>
  <si>
    <t>MES-TD3-575</t>
  </si>
  <si>
    <t>MES-TD3-576</t>
  </si>
  <si>
    <t>MES-TD3-577</t>
  </si>
  <si>
    <t>MES-TD3-578</t>
  </si>
  <si>
    <t>MES-TD3-579</t>
  </si>
  <si>
    <t>MES-TD3-580</t>
  </si>
  <si>
    <t>MES-TD3-581</t>
  </si>
  <si>
    <t>MES-TD3-582</t>
  </si>
  <si>
    <t>MES-TD3-583</t>
  </si>
  <si>
    <t>MES-TD3-584</t>
  </si>
  <si>
    <t>MES-TD3-585</t>
  </si>
  <si>
    <t>MES-TD3-586</t>
  </si>
  <si>
    <t>MES-TD3-587</t>
  </si>
  <si>
    <t>MES-TD3-591</t>
    <phoneticPr fontId="1" type="noConversion"/>
  </si>
  <si>
    <t>MES-TD3-592</t>
    <phoneticPr fontId="1" type="noConversion"/>
  </si>
  <si>
    <t>MES-TD3-593</t>
  </si>
  <si>
    <t>MES-TD3-594</t>
  </si>
  <si>
    <t>MES-TD3-595</t>
  </si>
  <si>
    <t>MES-TD3-596</t>
    <phoneticPr fontId="1" type="noConversion"/>
  </si>
  <si>
    <t>MES-TD3-597</t>
    <phoneticPr fontId="1" type="noConversion"/>
  </si>
  <si>
    <t>실시간 생산 실적 현황 조회
9/3 :모쥴 미개발 상태 메뉴에서 잠정 삭제처리 함.</t>
    <phoneticPr fontId="1" type="noConversion"/>
  </si>
  <si>
    <t>현장 생산 실적 등록
9/3 :모쥴 미개발 상태 메뉴에서 잠정 삭제처리 함.</t>
    <phoneticPr fontId="1" type="noConversion"/>
  </si>
  <si>
    <t>특정 일자의 생산 완성 후 포장 현황
9/3 :모쥴 미개발 상태 메뉴에서 잠정 삭제처리 함.</t>
    <phoneticPr fontId="1" type="noConversion"/>
  </si>
  <si>
    <t>작업 진행 현황 조회(수주,생산계획, 생산실적, 출하지시, 출고 연관 조회)
9/3 :모쥴 미개발 상태 메뉴에서 잠정 삭제처리 함.</t>
    <phoneticPr fontId="1" type="noConversion"/>
  </si>
  <si>
    <t>기간별 출고내역을 조회</t>
    <phoneticPr fontId="1" type="noConversion"/>
  </si>
  <si>
    <t>납품현황</t>
    <phoneticPr fontId="1" type="noConversion"/>
  </si>
  <si>
    <t>SaleOsttList</t>
    <phoneticPr fontId="1" type="noConversion"/>
  </si>
  <si>
    <t>BOM 변경 관리</t>
    <phoneticPr fontId="1" type="noConversion"/>
  </si>
  <si>
    <t>분류기준 관리</t>
    <phoneticPr fontId="1" type="noConversion"/>
  </si>
  <si>
    <t>ClssMast</t>
    <phoneticPr fontId="1" type="noConversion"/>
  </si>
  <si>
    <t>품목, 거래처, 생산설비 분류기준을 등록 관리한다.</t>
    <phoneticPr fontId="1" type="noConversion"/>
  </si>
  <si>
    <t>ItemPrice</t>
    <phoneticPr fontId="1" type="noConversion"/>
  </si>
  <si>
    <t>품목단가관리</t>
    <phoneticPr fontId="1" type="noConversion"/>
  </si>
  <si>
    <t xml:space="preserve">품목별 구매 및 판매단가를 등록한다. </t>
    <phoneticPr fontId="1" type="noConversion"/>
  </si>
  <si>
    <t>생산지시 내용 중 공정코드 = 외주 인 지시서를 외주 거래처에 발주 처리</t>
    <phoneticPr fontId="1" type="noConversion"/>
  </si>
  <si>
    <t>수주대장</t>
    <phoneticPr fontId="1" type="noConversion"/>
  </si>
  <si>
    <t>작업지시현황</t>
    <phoneticPr fontId="1" type="noConversion"/>
  </si>
  <si>
    <t>PdodList</t>
    <phoneticPr fontId="1" type="noConversion"/>
  </si>
  <si>
    <t>생산 현장용 작업 진행 및 대기 현황표 (TV 화면)</t>
    <phoneticPr fontId="1" type="noConversion"/>
  </si>
  <si>
    <t>제품출고관리</t>
    <phoneticPr fontId="1" type="noConversion"/>
  </si>
  <si>
    <t>custom.inkopack.sale.order</t>
    <phoneticPr fontId="1" type="noConversion"/>
  </si>
  <si>
    <t>배송Check List</t>
    <phoneticPr fontId="1" type="noConversion"/>
  </si>
  <si>
    <t>custom.inkopack.sale</t>
    <phoneticPr fontId="1" type="noConversion"/>
  </si>
  <si>
    <t>DlvyList</t>
    <phoneticPr fontId="1" type="noConversion"/>
  </si>
  <si>
    <t>custom.hjsys.sale.order</t>
    <phoneticPr fontId="1" type="noConversion"/>
  </si>
  <si>
    <t>월간수주현황</t>
    <phoneticPr fontId="1" type="noConversion"/>
  </si>
  <si>
    <t>custom.hjsys.sale</t>
    <phoneticPr fontId="1" type="noConversion"/>
  </si>
  <si>
    <t>차량코드 관리</t>
    <phoneticPr fontId="1" type="noConversion"/>
  </si>
  <si>
    <t>CarMast</t>
    <phoneticPr fontId="1" type="noConversion"/>
  </si>
  <si>
    <t>운송지역코드 관리</t>
    <phoneticPr fontId="1" type="noConversion"/>
  </si>
  <si>
    <t>DelyLcalMast</t>
    <phoneticPr fontId="1" type="noConversion"/>
  </si>
  <si>
    <t>영업목표 관리</t>
    <phoneticPr fontId="1" type="noConversion"/>
  </si>
  <si>
    <t>sale</t>
    <phoneticPr fontId="1" type="noConversion"/>
  </si>
  <si>
    <t>SalePlan</t>
    <phoneticPr fontId="1" type="noConversion"/>
  </si>
  <si>
    <t>수주별 원가분석</t>
    <phoneticPr fontId="1" type="noConversion"/>
  </si>
  <si>
    <t>custom.iypkg.eis</t>
    <phoneticPr fontId="1" type="noConversion"/>
  </si>
  <si>
    <t>EisReport1</t>
    <phoneticPr fontId="1" type="noConversion"/>
  </si>
  <si>
    <t>254000</t>
    <phoneticPr fontId="1" type="noConversion"/>
  </si>
  <si>
    <t>매출관리</t>
    <phoneticPr fontId="1" type="noConversion"/>
  </si>
  <si>
    <t>매출채권이월</t>
    <phoneticPr fontId="1" type="noConversion"/>
  </si>
  <si>
    <t>InitBond</t>
    <phoneticPr fontId="1" type="noConversion"/>
  </si>
  <si>
    <t>매출처원장</t>
    <phoneticPr fontId="1" type="noConversion"/>
  </si>
  <si>
    <t>SaleList1</t>
    <phoneticPr fontId="1" type="noConversion"/>
  </si>
  <si>
    <t>미수금 집계표</t>
    <phoneticPr fontId="1" type="noConversion"/>
  </si>
  <si>
    <t>SaleList2</t>
    <phoneticPr fontId="1" type="noConversion"/>
  </si>
  <si>
    <t>custom.iypkg.stock.isos</t>
    <phoneticPr fontId="1" type="noConversion"/>
  </si>
  <si>
    <t>SaleOstt</t>
    <phoneticPr fontId="1" type="noConversion"/>
  </si>
  <si>
    <t>청구내역 관리</t>
    <phoneticPr fontId="1" type="noConversion"/>
  </si>
  <si>
    <t>custom.iypkg.sale.sale</t>
    <phoneticPr fontId="1" type="noConversion"/>
  </si>
  <si>
    <t>RqstWork</t>
    <phoneticPr fontId="1" type="noConversion"/>
  </si>
  <si>
    <t>운송비 관리</t>
    <phoneticPr fontId="1" type="noConversion"/>
  </si>
  <si>
    <t>custom.iypkg.etc</t>
    <phoneticPr fontId="1" type="noConversion"/>
  </si>
  <si>
    <t>TrsfWork</t>
    <phoneticPr fontId="1" type="noConversion"/>
  </si>
  <si>
    <t>custom.iypkg.mtrl.po</t>
    <phoneticPr fontId="1" type="noConversion"/>
  </si>
  <si>
    <t>상품 발주관리</t>
    <phoneticPr fontId="1" type="noConversion"/>
  </si>
  <si>
    <t>PurcOrdr3</t>
    <phoneticPr fontId="1" type="noConversion"/>
  </si>
  <si>
    <t>IsttList1</t>
    <phoneticPr fontId="1" type="noConversion"/>
  </si>
  <si>
    <t>메뉴</t>
  </si>
  <si>
    <t>관제</t>
  </si>
  <si>
    <t>공통</t>
  </si>
  <si>
    <t>일양</t>
  </si>
  <si>
    <t>프로젝트</t>
  </si>
  <si>
    <t>공통</t>
    <phoneticPr fontId="1" type="noConversion"/>
  </si>
  <si>
    <t>0000</t>
    <phoneticPr fontId="1" type="noConversion"/>
  </si>
  <si>
    <t>메뉴</t>
    <phoneticPr fontId="1" type="noConversion"/>
  </si>
  <si>
    <t>0001</t>
    <phoneticPr fontId="1" type="noConversion"/>
  </si>
  <si>
    <t>1000</t>
    <phoneticPr fontId="1" type="noConversion"/>
  </si>
  <si>
    <t>1001</t>
    <phoneticPr fontId="1" type="noConversion"/>
  </si>
  <si>
    <t>1002</t>
    <phoneticPr fontId="1" type="noConversion"/>
  </si>
  <si>
    <t>기계</t>
    <phoneticPr fontId="1" type="noConversion"/>
  </si>
  <si>
    <t>1003</t>
    <phoneticPr fontId="1" type="noConversion"/>
  </si>
  <si>
    <t>자동차부품</t>
    <phoneticPr fontId="1" type="noConversion"/>
  </si>
  <si>
    <t>1004</t>
    <phoneticPr fontId="1" type="noConversion"/>
  </si>
  <si>
    <t>1005</t>
    <phoneticPr fontId="1" type="noConversion"/>
  </si>
  <si>
    <t>주문제작</t>
    <phoneticPr fontId="1" type="noConversion"/>
  </si>
  <si>
    <t>1006</t>
    <phoneticPr fontId="1" type="noConversion"/>
  </si>
  <si>
    <t>주물</t>
    <phoneticPr fontId="1" type="noConversion"/>
  </si>
  <si>
    <t>1007</t>
    <phoneticPr fontId="1" type="noConversion"/>
  </si>
  <si>
    <t>볼트금형</t>
    <phoneticPr fontId="1" type="noConversion"/>
  </si>
  <si>
    <t>1008</t>
    <phoneticPr fontId="1" type="noConversion"/>
  </si>
  <si>
    <t>삿슈</t>
    <phoneticPr fontId="1" type="noConversion"/>
  </si>
  <si>
    <t>프로그램 분류</t>
    <phoneticPr fontId="1" type="noConversion"/>
  </si>
  <si>
    <t>매출일보</t>
    <phoneticPr fontId="1" type="noConversion"/>
  </si>
  <si>
    <t>대한솔</t>
    <phoneticPr fontId="1" type="noConversion"/>
  </si>
  <si>
    <t>자재입고관리</t>
    <phoneticPr fontId="1" type="noConversion"/>
  </si>
  <si>
    <t>매입세금계산서관리</t>
    <phoneticPr fontId="1" type="noConversion"/>
  </si>
  <si>
    <t>custom.iypkg.mtrl.purc</t>
    <phoneticPr fontId="1" type="noConversion"/>
  </si>
  <si>
    <t>PurcBillWork</t>
    <phoneticPr fontId="1" type="noConversion"/>
  </si>
  <si>
    <t>일양</t>
    <phoneticPr fontId="1" type="noConversion"/>
  </si>
  <si>
    <t>실시간 생산 현황</t>
    <phoneticPr fontId="1" type="noConversion"/>
  </si>
  <si>
    <t>WorkMonitering</t>
    <phoneticPr fontId="1" type="noConversion"/>
  </si>
  <si>
    <t>미지급집계표</t>
    <phoneticPr fontId="1" type="noConversion"/>
  </si>
  <si>
    <t>NpaySumList</t>
    <phoneticPr fontId="1" type="noConversion"/>
  </si>
  <si>
    <t>매입거래처원장</t>
    <phoneticPr fontId="1" type="noConversion"/>
  </si>
  <si>
    <t>PurcCstmList1</t>
    <phoneticPr fontId="1" type="noConversion"/>
  </si>
  <si>
    <t>매입채무이월</t>
    <phoneticPr fontId="1" type="noConversion"/>
  </si>
  <si>
    <t>NpayInit</t>
    <phoneticPr fontId="1" type="noConversion"/>
  </si>
  <si>
    <t>판매출고관리</t>
    <phoneticPr fontId="1" type="noConversion"/>
  </si>
  <si>
    <t>출고/미출고 현황</t>
    <phoneticPr fontId="1" type="noConversion"/>
  </si>
  <si>
    <t>OsttWaitList</t>
    <phoneticPr fontId="1" type="noConversion"/>
  </si>
  <si>
    <t>입고/미입고 현황</t>
    <phoneticPr fontId="1" type="noConversion"/>
  </si>
  <si>
    <t>출하계획(3일)</t>
    <phoneticPr fontId="1" type="noConversion"/>
  </si>
  <si>
    <t>SptsList1</t>
    <phoneticPr fontId="1" type="noConversion"/>
  </si>
  <si>
    <t>custom.iypkg.prod</t>
    <phoneticPr fontId="1" type="noConversion"/>
  </si>
  <si>
    <t>ProdOrdr</t>
    <phoneticPr fontId="1" type="noConversion"/>
  </si>
  <si>
    <t>공정별 생산현황</t>
    <phoneticPr fontId="1" type="noConversion"/>
  </si>
  <si>
    <t>WorkList1</t>
    <phoneticPr fontId="1" type="noConversion"/>
  </si>
  <si>
    <t>완제품 생산현황</t>
    <phoneticPr fontId="1" type="noConversion"/>
  </si>
  <si>
    <t>WorkList2</t>
    <phoneticPr fontId="1" type="noConversion"/>
  </si>
  <si>
    <t>WorkEntry2</t>
    <phoneticPr fontId="1" type="noConversion"/>
  </si>
  <si>
    <t>ProdOrdr2</t>
    <phoneticPr fontId="1" type="noConversion"/>
  </si>
  <si>
    <t>외주입고관리</t>
    <phoneticPr fontId="1" type="noConversion"/>
  </si>
  <si>
    <t>외주 및 상품 매입집계</t>
    <phoneticPr fontId="1" type="noConversion"/>
  </si>
  <si>
    <t>WorkList3</t>
    <phoneticPr fontId="1" type="noConversion"/>
  </si>
  <si>
    <t>외주 현황</t>
    <phoneticPr fontId="1" type="noConversion"/>
  </si>
  <si>
    <t>WorkList4</t>
    <phoneticPr fontId="1" type="noConversion"/>
  </si>
  <si>
    <t>매입 통계 분석</t>
    <phoneticPr fontId="1" type="noConversion"/>
  </si>
  <si>
    <t>외주 통계 분석</t>
    <phoneticPr fontId="1" type="noConversion"/>
  </si>
  <si>
    <t>매출 통계 분석</t>
    <phoneticPr fontId="1" type="noConversion"/>
  </si>
  <si>
    <t>수주 실적 분석</t>
    <phoneticPr fontId="1" type="noConversion"/>
  </si>
  <si>
    <t>생산 통계 분석</t>
    <phoneticPr fontId="1" type="noConversion"/>
  </si>
  <si>
    <t>원가 분석</t>
    <phoneticPr fontId="1" type="noConversion"/>
  </si>
  <si>
    <t>손익분기점 분석</t>
    <phoneticPr fontId="1" type="noConversion"/>
  </si>
  <si>
    <t>EisReport17</t>
    <phoneticPr fontId="1" type="noConversion"/>
  </si>
  <si>
    <t>매출집계 대비 매입내역</t>
    <phoneticPr fontId="1" type="noConversion"/>
  </si>
  <si>
    <t>EisReport18</t>
    <phoneticPr fontId="1" type="noConversion"/>
  </si>
  <si>
    <t>DailySaleList</t>
    <phoneticPr fontId="1" type="noConversion"/>
  </si>
  <si>
    <t>DailyWorkList</t>
    <phoneticPr fontId="1" type="noConversion"/>
  </si>
  <si>
    <t>매입일보</t>
    <phoneticPr fontId="1" type="noConversion"/>
  </si>
  <si>
    <t>DailyPurcList</t>
    <phoneticPr fontId="1" type="noConversion"/>
  </si>
  <si>
    <t>매출집계 현황</t>
    <phoneticPr fontId="1" type="noConversion"/>
  </si>
  <si>
    <t>SaleSumList</t>
    <phoneticPr fontId="1" type="noConversion"/>
  </si>
  <si>
    <t>SaleList</t>
    <phoneticPr fontId="1" type="noConversion"/>
  </si>
  <si>
    <t>신양</t>
    <phoneticPr fontId="1" type="noConversion"/>
  </si>
  <si>
    <t>Control Center</t>
  </si>
  <si>
    <t>Customer information management</t>
  </si>
  <si>
    <t>Customer headquarters information management</t>
  </si>
  <si>
    <t>Customer-linked information management</t>
  </si>
  <si>
    <t>Customer store information management</t>
  </si>
  <si>
    <t>Word Management by Customer</t>
  </si>
  <si>
    <t>Module management</t>
  </si>
  <si>
    <t>Module information management</t>
  </si>
  <si>
    <t>Client module registration</t>
  </si>
  <si>
    <t>Customer menu management</t>
  </si>
  <si>
    <t>Table history management</t>
  </si>
  <si>
    <t>Script writing</t>
  </si>
  <si>
    <t>Domain management</t>
  </si>
  <si>
    <t>Query Manager</t>
  </si>
  <si>
    <t>Real DB Table Search</t>
  </si>
  <si>
    <t>Server Network</t>
  </si>
  <si>
    <t>Account management</t>
  </si>
  <si>
    <t>User account management</t>
  </si>
  <si>
    <t>User department management</t>
  </si>
  <si>
    <t>Standard information management</t>
  </si>
  <si>
    <t>Basic code management</t>
  </si>
  <si>
    <t>Name code management</t>
  </si>
  <si>
    <t>Warehouse code management</t>
  </si>
  <si>
    <t>Functional warehouse management</t>
  </si>
  <si>
    <t>Storage location information</t>
  </si>
  <si>
    <t>Business site information management</t>
  </si>
  <si>
    <t>Holiday information management</t>
  </si>
  <si>
    <t>System environment setting</t>
  </si>
  <si>
    <t>Management item management</t>
  </si>
  <si>
    <t>Classification Criteria Management</t>
  </si>
  <si>
    <t>Vehicle code management</t>
  </si>
  <si>
    <t>Transport area code management</t>
  </si>
  <si>
    <t>User management</t>
  </si>
  <si>
    <t>Department code management</t>
  </si>
  <si>
    <t>Position code management</t>
  </si>
  <si>
    <t>User code management</t>
  </si>
  <si>
    <t>Manage permissions for each menu</t>
  </si>
  <si>
    <t>User menu authority management</t>
  </si>
  <si>
    <t>Management of wage information</t>
  </si>
  <si>
    <t>Installation code management</t>
  </si>
  <si>
    <t>Item Information Management</t>
  </si>
  <si>
    <t>Unit code management</t>
  </si>
  <si>
    <t>Item classification code management</t>
  </si>
  <si>
    <t>Item code management</t>
  </si>
  <si>
    <t>Item list</t>
  </si>
  <si>
    <t>BOM change management</t>
  </si>
  <si>
    <t>Item unit price management</t>
  </si>
  <si>
    <t>Customer information</t>
  </si>
  <si>
    <t>Criteria for classification of transactions</t>
  </si>
  <si>
    <t>Customer code management</t>
  </si>
  <si>
    <t>Customer list</t>
  </si>
  <si>
    <t>Sales management</t>
  </si>
  <si>
    <t>Contract management</t>
  </si>
  <si>
    <t>Sales Basics</t>
  </si>
  <si>
    <t>Sales order management</t>
  </si>
  <si>
    <t>Progress management</t>
  </si>
  <si>
    <t>Order management</t>
  </si>
  <si>
    <t>Order balance status</t>
  </si>
  <si>
    <t>Shipping order</t>
  </si>
  <si>
    <t>Sales status</t>
  </si>
  <si>
    <t>Order Status</t>
  </si>
  <si>
    <t>Delivery compliance rate</t>
  </si>
  <si>
    <t>Delivery status</t>
  </si>
  <si>
    <t>Monthly Order Status</t>
  </si>
  <si>
    <t>Sales target management</t>
  </si>
  <si>
    <t>Inventory ledger</t>
  </si>
  <si>
    <t>Sales Daily</t>
  </si>
  <si>
    <t>Billing history management</t>
  </si>
  <si>
    <t>Sales aggregation status</t>
  </si>
  <si>
    <t>Materials management</t>
  </si>
  <si>
    <t>Purchase</t>
  </si>
  <si>
    <t>Purchase order management</t>
  </si>
  <si>
    <t>Order balance list</t>
  </si>
  <si>
    <t>Warehousing reception</t>
  </si>
  <si>
    <t>Receiving status</t>
  </si>
  <si>
    <t>Material receiving management</t>
  </si>
  <si>
    <t>Statement of accounts payable</t>
  </si>
  <si>
    <t>Ledger of purchasing customer</t>
  </si>
  <si>
    <t>Purchase Daily</t>
  </si>
  <si>
    <t>Inventory Management</t>
  </si>
  <si>
    <t>Receiving and forwarding management</t>
  </si>
  <si>
    <t>Other receiving management</t>
  </si>
  <si>
    <t>Other forwarding management</t>
  </si>
  <si>
    <t>Forwarding to product management</t>
  </si>
  <si>
    <t>Forwarding standby status</t>
  </si>
  <si>
    <t>Product forwarding management</t>
  </si>
  <si>
    <t>Inventory movement management</t>
  </si>
  <si>
    <t>Sales Returns Management</t>
  </si>
  <si>
    <t>Material receiving processing</t>
  </si>
  <si>
    <t>Forwarding/not forwarding status</t>
  </si>
  <si>
    <t>Sales and delivery management</t>
  </si>
  <si>
    <t>Transportation cost management</t>
  </si>
  <si>
    <t>Receiving/not received status</t>
  </si>
  <si>
    <t>Shipment plan (3 days)</t>
  </si>
  <si>
    <t>Inventory ledger closing</t>
  </si>
  <si>
    <t>Material Inventory Status</t>
  </si>
  <si>
    <t>Product Inventory Status</t>
  </si>
  <si>
    <t>Monthly deadline</t>
  </si>
  <si>
    <t>Inventory status by date</t>
  </si>
  <si>
    <t>Lot inventory</t>
  </si>
  <si>
    <t>Lot Inventory Status</t>
  </si>
  <si>
    <t>Lot inventory ledger</t>
  </si>
  <si>
    <t>Lot adjustment registration</t>
  </si>
  <si>
    <t>Inventory Count</t>
  </si>
  <si>
    <t>Inventory Count Management</t>
  </si>
  <si>
    <t>LOT inventory count management</t>
  </si>
  <si>
    <t>Production Management</t>
  </si>
  <si>
    <t>Process code management</t>
  </si>
  <si>
    <t>Facility management by process</t>
  </si>
  <si>
    <t>Worker management by process</t>
  </si>
  <si>
    <t>Production line management</t>
  </si>
  <si>
    <t>Work order by production line</t>
  </si>
  <si>
    <t>BOP management</t>
  </si>
  <si>
    <t>Production facility monitoring</t>
  </si>
  <si>
    <t>Production Planning</t>
  </si>
  <si>
    <t>Production planning management</t>
  </si>
  <si>
    <t>Preliminary production order management</t>
  </si>
  <si>
    <t>Performance against plan</t>
  </si>
  <si>
    <t>Production order performance management</t>
  </si>
  <si>
    <t>Inventory rework allocation</t>
  </si>
  <si>
    <t>Production order registration</t>
  </si>
  <si>
    <t>Real-time status</t>
  </si>
  <si>
    <t>Production performance management</t>
  </si>
  <si>
    <t>Production Daily</t>
  </si>
  <si>
    <t>Production input status</t>
  </si>
  <si>
    <t>Production defect status</t>
  </si>
  <si>
    <t>Real-time production status</t>
  </si>
  <si>
    <t>Report the work log</t>
  </si>
  <si>
    <t>Status of work</t>
  </si>
  <si>
    <t>Outsourcing work order</t>
  </si>
  <si>
    <t>Production order management</t>
  </si>
  <si>
    <t>Production order status</t>
  </si>
  <si>
    <t>Process progress by item</t>
  </si>
  <si>
    <t>Work order status</t>
  </si>
  <si>
    <t>Production status by process</t>
  </si>
  <si>
    <t>Outsourcing status</t>
  </si>
  <si>
    <t>Standard cost management</t>
  </si>
  <si>
    <t>Standard cost registration</t>
  </si>
  <si>
    <t>Cost check by item</t>
  </si>
  <si>
    <t>Management of announcements</t>
  </si>
  <si>
    <t>Register announcement</t>
  </si>
  <si>
    <t>Check Announcement</t>
  </si>
  <si>
    <t>Report on business log</t>
  </si>
  <si>
    <t>Executive Information</t>
  </si>
  <si>
    <t>AR List</t>
  </si>
  <si>
    <t>Defect status</t>
  </si>
  <si>
    <t>Load / Capa status</t>
  </si>
  <si>
    <t>Cost status</t>
  </si>
  <si>
    <t>Manufacturing Lead Time Status</t>
  </si>
  <si>
    <t>Defect rate status</t>
  </si>
  <si>
    <t>Input man-hour status</t>
  </si>
  <si>
    <t>Monthly schedule status</t>
  </si>
  <si>
    <t>Cost analysis by order</t>
  </si>
  <si>
    <t>Purchase statistics analysis</t>
  </si>
  <si>
    <t>Outsourcing statistics analysis</t>
  </si>
  <si>
    <t>Sales statistics analysis</t>
  </si>
  <si>
    <t>Order performance analysis</t>
  </si>
  <si>
    <t>Production Statistics Analysis</t>
  </si>
  <si>
    <t>Cost analysis</t>
  </si>
  <si>
    <t>Break-even point analysis</t>
  </si>
  <si>
    <t>Performance improvement project</t>
  </si>
  <si>
    <t>User information management</t>
  </si>
  <si>
    <t>Basic code management(System)</t>
  </si>
  <si>
    <t>User authority management</t>
  </si>
  <si>
    <t>Customer visit log</t>
  </si>
  <si>
    <t>Quotation Management</t>
  </si>
  <si>
    <t>Carryover of sales receivable</t>
  </si>
  <si>
    <t>Customers ledger</t>
  </si>
  <si>
    <t>Statement of Accounts Receivable</t>
  </si>
  <si>
    <t>Purchase settlement status</t>
  </si>
  <si>
    <t>Goods order management</t>
  </si>
  <si>
    <t>Carryover on payables</t>
  </si>
  <si>
    <t>Purchase VAT invoice management</t>
  </si>
  <si>
    <t>Production order</t>
  </si>
  <si>
    <t>Finished production status</t>
  </si>
  <si>
    <t>Outsourced receiving management</t>
  </si>
  <si>
    <t>Outsourcing and goods purchase total</t>
  </si>
  <si>
    <t>Delivery date compared to delivery demand date</t>
  </si>
  <si>
    <t>Outsourced receiving and forwarding management</t>
    <phoneticPr fontId="1" type="noConversion"/>
  </si>
  <si>
    <t>Purchase details in comparison to sales</t>
    <phoneticPr fontId="1" type="noConversion"/>
  </si>
  <si>
    <t>두인</t>
    <phoneticPr fontId="1" type="noConversion"/>
  </si>
  <si>
    <t>도원</t>
    <phoneticPr fontId="1" type="noConversion"/>
  </si>
  <si>
    <t>필링코</t>
    <phoneticPr fontId="1" type="noConversion"/>
  </si>
  <si>
    <t>뉴볼텍</t>
    <phoneticPr fontId="1" type="noConversion"/>
  </si>
  <si>
    <t>대덕정밀</t>
    <phoneticPr fontId="1" type="noConversion"/>
  </si>
  <si>
    <t>인코팩</t>
    <phoneticPr fontId="1" type="noConversion"/>
  </si>
  <si>
    <t>광일</t>
    <phoneticPr fontId="1" type="noConversion"/>
  </si>
  <si>
    <t>혁진</t>
    <phoneticPr fontId="1" type="noConversion"/>
  </si>
  <si>
    <t>#</t>
    <phoneticPr fontId="1" type="noConversion"/>
  </si>
  <si>
    <t>-</t>
    <phoneticPr fontId="1" type="noConversion"/>
  </si>
  <si>
    <t>ItemMast2</t>
    <phoneticPr fontId="1" type="noConversion"/>
  </si>
  <si>
    <t>custom.hjsys.mtrl.po</t>
    <phoneticPr fontId="1" type="noConversion"/>
  </si>
  <si>
    <t>월간자재수불현황</t>
    <phoneticPr fontId="1" type="noConversion"/>
  </si>
  <si>
    <t>MtrlMonthList</t>
    <phoneticPr fontId="1" type="noConversion"/>
  </si>
  <si>
    <t>Y</t>
    <phoneticPr fontId="1" type="noConversion"/>
  </si>
  <si>
    <t>표준 BOP 관리</t>
    <phoneticPr fontId="1" type="noConversion"/>
  </si>
  <si>
    <t>StndBopWork</t>
    <phoneticPr fontId="1" type="noConversion"/>
  </si>
  <si>
    <t>custom.hjsys.prod</t>
    <phoneticPr fontId="1" type="noConversion"/>
  </si>
  <si>
    <t>가공품 변경 관리</t>
    <phoneticPr fontId="1" type="noConversion"/>
  </si>
  <si>
    <t>가공품 구성도 조회</t>
    <phoneticPr fontId="1" type="noConversion"/>
  </si>
  <si>
    <t>custom.dehansol.stock.isos</t>
    <phoneticPr fontId="1" type="noConversion"/>
  </si>
  <si>
    <t>판매출고현황</t>
    <phoneticPr fontId="1" type="noConversion"/>
  </si>
  <si>
    <t>GoodsOsttList</t>
    <phoneticPr fontId="1" type="noConversion"/>
  </si>
  <si>
    <t>공통</t>
    <phoneticPr fontId="1" type="noConversion"/>
  </si>
  <si>
    <t>생산설비 가동현황</t>
    <phoneticPr fontId="1" type="noConversion"/>
  </si>
  <si>
    <t>WorkListCvic</t>
    <phoneticPr fontId="1" type="noConversion"/>
  </si>
  <si>
    <t>택배사코드관리</t>
    <phoneticPr fontId="1" type="noConversion"/>
  </si>
  <si>
    <t>HdcoMast</t>
    <phoneticPr fontId="1" type="noConversion"/>
  </si>
  <si>
    <t>이월 적송잔량 등록</t>
    <phoneticPr fontId="1" type="noConversion"/>
  </si>
  <si>
    <t>sale.sale</t>
    <phoneticPr fontId="1" type="noConversion"/>
  </si>
  <si>
    <t>InitBond1</t>
    <phoneticPr fontId="1" type="noConversion"/>
  </si>
  <si>
    <t>InitStay</t>
    <phoneticPr fontId="1" type="noConversion"/>
  </si>
  <si>
    <t>매출 세금계산서 관리</t>
    <phoneticPr fontId="1" type="noConversion"/>
  </si>
  <si>
    <t>SaleWork</t>
    <phoneticPr fontId="1" type="noConversion"/>
  </si>
  <si>
    <t>매출현황</t>
    <phoneticPr fontId="1" type="noConversion"/>
  </si>
  <si>
    <t>SaleList</t>
    <phoneticPr fontId="1" type="noConversion"/>
  </si>
  <si>
    <t>미수현황</t>
    <phoneticPr fontId="1" type="noConversion"/>
  </si>
  <si>
    <t>SaleArList2</t>
    <phoneticPr fontId="1" type="noConversion"/>
  </si>
  <si>
    <t>SaleArList1</t>
    <phoneticPr fontId="1" type="noConversion"/>
  </si>
  <si>
    <t>NewItemSale</t>
    <phoneticPr fontId="1" type="noConversion"/>
  </si>
  <si>
    <t>신규품목 매출현황</t>
    <phoneticPr fontId="1" type="noConversion"/>
  </si>
  <si>
    <t>(납품처)매출현황</t>
    <phoneticPr fontId="1" type="noConversion"/>
  </si>
  <si>
    <t>매입정산</t>
    <phoneticPr fontId="1" type="noConversion"/>
  </si>
  <si>
    <t>264000</t>
    <phoneticPr fontId="1" type="noConversion"/>
  </si>
  <si>
    <t>mtrl.isttcalc</t>
    <phoneticPr fontId="1" type="noConversion"/>
  </si>
  <si>
    <t>거래처신용등급 관리</t>
  </si>
  <si>
    <t>CstmCredit</t>
  </si>
  <si>
    <t>m</t>
    <phoneticPr fontId="1" type="noConversion"/>
  </si>
  <si>
    <t>대시보드</t>
  </si>
  <si>
    <t>custom.sjflv.eis</t>
  </si>
  <si>
    <t>SjdashBoard</t>
  </si>
  <si>
    <t>custom.iypkg.eis</t>
  </si>
  <si>
    <t>EisReport</t>
  </si>
  <si>
    <t>설비가동현황</t>
    <phoneticPr fontId="1" type="noConversion"/>
  </si>
  <si>
    <t>매입대금 지급</t>
    <phoneticPr fontId="1" type="noConversion"/>
  </si>
  <si>
    <t>PurcPayWork</t>
    <phoneticPr fontId="1" type="noConversion"/>
  </si>
  <si>
    <t>발주 요청 관리</t>
    <phoneticPr fontId="1" type="noConversion"/>
  </si>
  <si>
    <t>mtrl.po</t>
    <phoneticPr fontId="1" type="noConversion"/>
  </si>
  <si>
    <t>PurcTrstWork</t>
    <phoneticPr fontId="1" type="noConversion"/>
  </si>
  <si>
    <t>클레임관리</t>
    <phoneticPr fontId="1" type="noConversion"/>
  </si>
  <si>
    <t>클레임 접수</t>
    <phoneticPr fontId="1" type="noConversion"/>
  </si>
  <si>
    <t>클레임 처리보고</t>
    <phoneticPr fontId="1" type="noConversion"/>
  </si>
  <si>
    <t>257000</t>
    <phoneticPr fontId="1" type="noConversion"/>
  </si>
  <si>
    <t>sale.clam</t>
    <phoneticPr fontId="1" type="noConversion"/>
  </si>
  <si>
    <t>ClamEntry1</t>
    <phoneticPr fontId="1" type="noConversion"/>
  </si>
  <si>
    <t>ClamEntry2</t>
    <phoneticPr fontId="1" type="noConversion"/>
  </si>
  <si>
    <t>완료현황</t>
    <phoneticPr fontId="1" type="noConversion"/>
  </si>
  <si>
    <t>custom.hjsys.eis</t>
    <phoneticPr fontId="1" type="noConversion"/>
  </si>
  <si>
    <t>custom.sjflv.stock.isos</t>
    <phoneticPr fontId="1" type="noConversion"/>
  </si>
  <si>
    <t>상품입고관리</t>
    <phoneticPr fontId="1" type="noConversion"/>
  </si>
  <si>
    <t>IsttWork3</t>
    <phoneticPr fontId="1" type="noConversion"/>
  </si>
  <si>
    <t>custom.sjflv.sale.sale</t>
    <phoneticPr fontId="1" type="noConversion"/>
  </si>
  <si>
    <t>custom.sjflv.mtrl.isttcalc</t>
  </si>
  <si>
    <t>custom.aone.sale.order</t>
    <phoneticPr fontId="1" type="noConversion"/>
  </si>
  <si>
    <t>적정재고 미달량</t>
    <phoneticPr fontId="1" type="noConversion"/>
  </si>
  <si>
    <t>PurcStokWork</t>
    <phoneticPr fontId="1" type="noConversion"/>
  </si>
  <si>
    <t>자재소요량 관리</t>
    <phoneticPr fontId="1" type="noConversion"/>
  </si>
  <si>
    <t>Poplan</t>
    <phoneticPr fontId="1" type="noConversion"/>
  </si>
  <si>
    <t>납기준수율 분석</t>
    <phoneticPr fontId="1" type="noConversion"/>
  </si>
  <si>
    <t>custom.workshop.eis</t>
    <phoneticPr fontId="1" type="noConversion"/>
  </si>
  <si>
    <t>EisReport1</t>
    <phoneticPr fontId="1" type="noConversion"/>
  </si>
  <si>
    <t>MES 활용현황</t>
    <phoneticPr fontId="1" type="noConversion"/>
  </si>
  <si>
    <t>MesLog</t>
    <phoneticPr fontId="1" type="noConversion"/>
  </si>
  <si>
    <t>공통</t>
    <phoneticPr fontId="1" type="noConversion"/>
  </si>
  <si>
    <t>user</t>
    <phoneticPr fontId="1" type="noConversion"/>
  </si>
  <si>
    <t>SorderSumList2</t>
    <phoneticPr fontId="1" type="noConversion"/>
  </si>
  <si>
    <t>월간실적 통계</t>
    <phoneticPr fontId="1" type="noConversion"/>
  </si>
  <si>
    <t>custom.nbolt.stock.isos</t>
    <phoneticPr fontId="1" type="noConversion"/>
  </si>
  <si>
    <t>요청자재 발주</t>
    <phoneticPr fontId="1" type="noConversion"/>
  </si>
  <si>
    <t>custom.kortc.mtrl.po</t>
    <phoneticPr fontId="1" type="noConversion"/>
  </si>
  <si>
    <t>PurcOrdr2</t>
    <phoneticPr fontId="1" type="noConversion"/>
  </si>
  <si>
    <t>custom.komec.sale.sale</t>
    <phoneticPr fontId="1" type="noConversion"/>
  </si>
  <si>
    <t>제품출고관리</t>
    <phoneticPr fontId="1" type="noConversion"/>
  </si>
  <si>
    <t>custom.komec.stock.isos</t>
    <phoneticPr fontId="1" type="noConversion"/>
  </si>
  <si>
    <t>custom.dhtec.sale</t>
    <phoneticPr fontId="1" type="noConversion"/>
  </si>
  <si>
    <t>년간 계획대비 실적현황</t>
    <phoneticPr fontId="1" type="noConversion"/>
  </si>
  <si>
    <t>SalePlanList</t>
    <phoneticPr fontId="1" type="noConversion"/>
  </si>
  <si>
    <t>SalePlanList2</t>
    <phoneticPr fontId="1" type="noConversion"/>
  </si>
  <si>
    <t>월간 계획대비 실적현황</t>
    <phoneticPr fontId="1" type="noConversion"/>
  </si>
  <si>
    <t>SalePlanOrder</t>
    <phoneticPr fontId="1" type="noConversion"/>
  </si>
  <si>
    <t>년간영업목표 등록</t>
    <phoneticPr fontId="1" type="noConversion"/>
  </si>
  <si>
    <t>월간영업목표 등록</t>
    <phoneticPr fontId="1" type="noConversion"/>
  </si>
  <si>
    <t>SalePlanOrder2</t>
    <phoneticPr fontId="1" type="noConversion"/>
  </si>
  <si>
    <t>custom.dhtec.sale.order</t>
    <phoneticPr fontId="1" type="noConversion"/>
  </si>
  <si>
    <t>제품출고 운송비관리</t>
    <phoneticPr fontId="1" type="noConversion"/>
  </si>
  <si>
    <t>OsttTrntMast</t>
    <phoneticPr fontId="1" type="noConversion"/>
  </si>
  <si>
    <t>판매출고관리</t>
    <phoneticPr fontId="1" type="noConversion"/>
  </si>
  <si>
    <t>custom.iypkg.stock.isos</t>
    <phoneticPr fontId="1" type="noConversion"/>
  </si>
  <si>
    <t>SaleOstt2</t>
    <phoneticPr fontId="1" type="noConversion"/>
  </si>
  <si>
    <t>custom.komec.mtrl.po</t>
    <phoneticPr fontId="1" type="noConversion"/>
  </si>
  <si>
    <t>PurcWait</t>
    <phoneticPr fontId="1" type="noConversion"/>
  </si>
  <si>
    <t>Lot 추적</t>
    <phoneticPr fontId="1" type="noConversion"/>
  </si>
  <si>
    <t>LotTracking</t>
    <phoneticPr fontId="1" type="noConversion"/>
  </si>
  <si>
    <t>선택</t>
  </si>
  <si>
    <t>선택</t>
    <phoneticPr fontId="1" type="noConversion"/>
  </si>
  <si>
    <t>입고대기현황</t>
    <phoneticPr fontId="1" type="noConversion"/>
  </si>
  <si>
    <t>자재출고관리</t>
    <phoneticPr fontId="1" type="noConversion"/>
  </si>
  <si>
    <t>제품입고관리</t>
    <phoneticPr fontId="1" type="noConversion"/>
  </si>
  <si>
    <t>재고운영</t>
    <phoneticPr fontId="1" type="noConversion"/>
  </si>
  <si>
    <t>공</t>
    <phoneticPr fontId="1" type="noConversion"/>
  </si>
  <si>
    <t>매출채권관리</t>
    <phoneticPr fontId="1" type="noConversion"/>
  </si>
  <si>
    <t>매입채무관리</t>
    <phoneticPr fontId="1" type="noConversion"/>
  </si>
  <si>
    <t>생산지시 관리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</si>
</sst>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6">
    <font>
      <sz val="11"/>
      <name val="Calibri"/>
    </font>
    <font>
      <sz val="8"/>
      <name val="돋움"/>
      <family val="3"/>
      <charset val="129"/>
    </font>
    <font>
      <sz val="10"/>
      <name val="D2Coding"/>
      <family val="3"/>
      <charset val="129"/>
    </font>
    <font>
      <sz val="10"/>
      <color theme="0"/>
      <name val="D2Coding"/>
      <family val="3"/>
      <charset val="129"/>
    </font>
    <font>
      <sz val="10"/>
      <color rgb="FFFF0000"/>
      <name val="D2Coding"/>
      <family val="3"/>
      <charset val="129"/>
    </font>
    <font>
      <sz val="8"/>
      <name val="맑은 고딕"/>
      <family val="2"/>
      <charset val="129"/>
      <scheme val="minor"/>
    </font>
    <font>
      <sz val="10"/>
      <color theme="1" tint="0.249977111117893"/>
      <name val="D2Coding"/>
      <family val="3"/>
      <charset val="129"/>
    </font>
    <font>
      <strike/>
      <sz val="10"/>
      <name val="D2Coding"/>
      <family val="3"/>
      <charset val="129"/>
    </font>
    <font>
      <sz val="10"/>
      <name val="맑은 고딕"/>
      <family val="3"/>
      <charset val="129"/>
      <scheme val="minor"/>
    </font>
    <font>
      <strike/>
      <sz val="10"/>
      <name val="맑은 고딕"/>
      <family val="3"/>
      <charset val="129"/>
      <scheme val="minor"/>
    </font>
    <font>
      <sz val="11"/>
      <name val="맑은 고딕"/>
      <family val="3"/>
      <charset val="129"/>
      <scheme val="minor"/>
    </font>
    <font>
      <sz val="11"/>
      <name val="맑은 고딕"/>
      <family val="3"/>
      <charset val="129"/>
    </font>
    <font>
      <sz val="11"/>
      <name val="Calibri"/>
      <family val="2"/>
    </font>
    <font>
      <sz val="11"/>
      <name val="Calibri"/>
      <family val="3"/>
      <charset val="129"/>
    </font>
    <font>
      <sz val="10"/>
      <color theme="8" tint="-0.249977111117893"/>
      <name val="맑은 고딕"/>
      <family val="3"/>
      <charset val="129"/>
      <scheme val="minor"/>
    </font>
    <font>
      <b/>
      <sz val="10"/>
      <color theme="0"/>
      <name val="D2Coding"/>
      <family val="3"/>
      <charset val="129"/>
    </font>
  </fonts>
  <fills count="11">
    <fill>
      <patternFill patternType="none"/>
    </fill>
    <fill>
      <patternFill patternType="gray125"/>
    </fill>
    <fill>
      <patternFill patternType="solid">
        <fgColor theme="4" tint="0.79998168889431442"/>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7" tint="-0.249977111117893"/>
        <bgColor indexed="64"/>
      </patternFill>
    </fill>
    <fill>
      <patternFill patternType="solid">
        <fgColor rgb="FFF2F7FC"/>
        <bgColor indexed="64"/>
      </patternFill>
    </fill>
    <fill>
      <patternFill patternType="solid">
        <fgColor rgb="FF7030A0"/>
        <bgColor indexed="64"/>
      </patternFill>
    </fill>
  </fills>
  <borders count="13">
    <border>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rgb="FF0E16B8"/>
      </left>
      <right style="thin">
        <color rgb="FF0E16B8"/>
      </right>
      <top style="thin">
        <color rgb="FF0E16B8"/>
      </top>
      <bottom style="thin">
        <color rgb="FF0E16B8"/>
      </bottom>
      <diagonal/>
    </border>
    <border>
      <left/>
      <right style="thin">
        <color theme="4" tint="-0.24994659260841701"/>
      </right>
      <top style="thin">
        <color theme="4" tint="-0.24994659260841701"/>
      </top>
      <bottom style="thin">
        <color theme="4" tint="-0.24994659260841701"/>
      </bottom>
      <diagonal/>
    </border>
    <border>
      <left style="thick">
        <color rgb="FF0E16B8"/>
      </left>
      <right style="thin">
        <color rgb="FF0E16B8"/>
      </right>
      <top style="thick">
        <color rgb="FF0E16B8"/>
      </top>
      <bottom style="thin">
        <color rgb="FF0E16B8"/>
      </bottom>
      <diagonal/>
    </border>
    <border>
      <left style="thin">
        <color rgb="FF0E16B8"/>
      </left>
      <right style="thin">
        <color rgb="FF0E16B8"/>
      </right>
      <top style="thick">
        <color rgb="FF0E16B8"/>
      </top>
      <bottom style="thin">
        <color rgb="FF0E16B8"/>
      </bottom>
      <diagonal/>
    </border>
    <border>
      <left style="thin">
        <color rgb="FF0E16B8"/>
      </left>
      <right style="thick">
        <color rgb="FF0E16B8"/>
      </right>
      <top style="thick">
        <color rgb="FF0E16B8"/>
      </top>
      <bottom style="thin">
        <color rgb="FF0E16B8"/>
      </bottom>
      <diagonal/>
    </border>
    <border>
      <left style="thick">
        <color rgb="FF0E16B8"/>
      </left>
      <right style="thin">
        <color rgb="FF0E16B8"/>
      </right>
      <top style="thin">
        <color rgb="FF0E16B8"/>
      </top>
      <bottom style="thin">
        <color rgb="FF0E16B8"/>
      </bottom>
      <diagonal/>
    </border>
    <border>
      <left style="thin">
        <color rgb="FF0E16B8"/>
      </left>
      <right style="thick">
        <color rgb="FF0E16B8"/>
      </right>
      <top style="thin">
        <color rgb="FF0E16B8"/>
      </top>
      <bottom style="thin">
        <color rgb="FF0E16B8"/>
      </bottom>
      <diagonal/>
    </border>
    <border>
      <left style="thick">
        <color rgb="FF0E16B8"/>
      </left>
      <right style="thin">
        <color rgb="FF0E16B8"/>
      </right>
      <top style="thin">
        <color rgb="FF0E16B8"/>
      </top>
      <bottom style="thick">
        <color rgb="FF0E16B8"/>
      </bottom>
      <diagonal/>
    </border>
    <border>
      <left style="thin">
        <color rgb="FF0E16B8"/>
      </left>
      <right style="thin">
        <color rgb="FF0E16B8"/>
      </right>
      <top style="thin">
        <color rgb="FF0E16B8"/>
      </top>
      <bottom style="thick">
        <color rgb="FF0E16B8"/>
      </bottom>
      <diagonal/>
    </border>
    <border>
      <left style="thin">
        <color rgb="FF0E16B8"/>
      </left>
      <right style="thick">
        <color rgb="FF0E16B8"/>
      </right>
      <top style="thin">
        <color rgb="FF0E16B8"/>
      </top>
      <bottom style="thick">
        <color rgb="FF0E16B8"/>
      </bottom>
      <diagonal/>
    </border>
    <border>
      <left style="thick">
        <color theme="4" tint="-0.24994659260841701"/>
      </left>
      <right style="thick">
        <color theme="4" tint="-0.24994659260841701"/>
      </right>
      <top style="thick">
        <color theme="4" tint="-0.24994659260841701"/>
      </top>
      <bottom style="thick">
        <color theme="4" tint="-0.24994659260841701"/>
      </bottom>
      <diagonal/>
    </border>
  </borders>
  <cellStyleXfs count="1">
    <xf numFmtId="0" fontId="0" fillId="0" borderId="0"/>
  </cellStyleXfs>
  <cellXfs count="168">
    <xf numFmtId="0" fontId="0" fillId="0" borderId="0" xfId="0"/>
    <xf numFmtId="0" fontId="2" fillId="0" borderId="0" xfId="0" applyFont="1"/>
    <xf numFmtId="0" fontId="2" fillId="2" borderId="2" xfId="0" applyFont="1" applyFill="1" applyBorder="1"/>
    <xf numFmtId="0" fontId="2" fillId="2" borderId="3" xfId="0" applyFont="1" applyFill="1" applyBorder="1"/>
    <xf numFmtId="0" fontId="2" fillId="2" borderId="1" xfId="0" applyFont="1" applyFill="1" applyBorder="1"/>
    <xf numFmtId="0" fontId="2" fillId="0" borderId="2" xfId="0" applyFont="1" applyBorder="1"/>
    <xf numFmtId="0" fontId="2" fillId="0" borderId="3" xfId="0" applyFont="1" applyBorder="1"/>
    <xf numFmtId="0" fontId="2" fillId="0" borderId="1" xfId="0" applyFont="1" applyBorder="1"/>
    <xf numFmtId="0" fontId="2" fillId="0" borderId="0" xfId="0" applyFont="1" applyAlignment="1">
      <alignment horizontal="center"/>
    </xf>
    <xf numFmtId="0" fontId="2" fillId="2" borderId="2" xfId="0" applyFont="1" applyFill="1" applyBorder="1" applyAlignment="1">
      <alignment horizontal="center"/>
    </xf>
    <xf numFmtId="0" fontId="2" fillId="0" borderId="2" xfId="0" applyFont="1" applyBorder="1" applyAlignment="1">
      <alignment horizontal="center"/>
    </xf>
    <xf numFmtId="0" fontId="2" fillId="0" borderId="2" xfId="0" quotePrefix="1" applyFont="1" applyBorder="1" applyAlignment="1">
      <alignment horizontal="center"/>
    </xf>
    <xf numFmtId="0" fontId="2" fillId="3" borderId="2" xfId="0" applyFont="1" applyFill="1" applyBorder="1" applyAlignment="1">
      <alignment horizontal="center"/>
    </xf>
    <xf numFmtId="0" fontId="2" fillId="3" borderId="2" xfId="0" applyFont="1" applyFill="1" applyBorder="1"/>
    <xf numFmtId="0" fontId="3" fillId="4" borderId="2" xfId="0" applyFont="1" applyFill="1" applyBorder="1" applyAlignment="1">
      <alignment horizontal="center"/>
    </xf>
    <xf numFmtId="0" fontId="3" fillId="4" borderId="2" xfId="0" applyFont="1" applyFill="1" applyBorder="1"/>
    <xf numFmtId="0" fontId="3" fillId="4" borderId="2" xfId="0" quotePrefix="1" applyFont="1" applyFill="1" applyBorder="1" applyAlignment="1">
      <alignment horizontal="center"/>
    </xf>
    <xf numFmtId="0" fontId="2" fillId="5" borderId="2" xfId="0" quotePrefix="1" applyFont="1" applyFill="1" applyBorder="1" applyAlignment="1">
      <alignment horizontal="center"/>
    </xf>
    <xf numFmtId="0" fontId="2" fillId="5" borderId="2" xfId="0" applyFont="1" applyFill="1" applyBorder="1"/>
    <xf numFmtId="0" fontId="2" fillId="5" borderId="2" xfId="0" applyFont="1" applyFill="1" applyBorder="1" applyAlignment="1">
      <alignment horizontal="center"/>
    </xf>
    <xf numFmtId="0" fontId="2" fillId="0" borderId="0" xfId="0" applyFont="1" applyAlignment="1">
      <alignment horizontal="center" vertical="center"/>
    </xf>
    <xf numFmtId="0" fontId="2" fillId="2" borderId="2" xfId="0" applyFont="1" applyFill="1" applyBorder="1" applyAlignment="1">
      <alignment horizontal="center" vertical="center"/>
    </xf>
    <xf numFmtId="0" fontId="2"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2" fillId="5" borderId="2" xfId="0" quotePrefix="1" applyFont="1" applyFill="1" applyBorder="1" applyAlignment="1">
      <alignment horizontal="center" vertical="center"/>
    </xf>
    <xf numFmtId="0" fontId="2" fillId="5" borderId="2" xfId="0" applyFont="1" applyFill="1" applyBorder="1" applyAlignment="1">
      <alignment horizontal="center" vertical="center"/>
    </xf>
    <xf numFmtId="0" fontId="2" fillId="2" borderId="2" xfId="0" quotePrefix="1" applyFont="1" applyFill="1" applyBorder="1" applyAlignment="1">
      <alignment horizontal="center" vertical="center"/>
    </xf>
    <xf numFmtId="0" fontId="2" fillId="0" borderId="2" xfId="0" applyFont="1" applyBorder="1" applyAlignment="1">
      <alignment horizontal="center" vertical="center"/>
    </xf>
    <xf numFmtId="0" fontId="2" fillId="0" borderId="2" xfId="0" quotePrefix="1" applyFont="1" applyBorder="1" applyAlignment="1">
      <alignment horizontal="center" vertical="center"/>
    </xf>
    <xf numFmtId="0" fontId="0" fillId="0" borderId="0" xfId="0" applyAlignment="1">
      <alignment vertical="center"/>
    </xf>
    <xf numFmtId="49" fontId="2" fillId="0" borderId="0" xfId="0" applyNumberFormat="1" applyFont="1" applyAlignment="1">
      <alignment vertical="center"/>
    </xf>
    <xf numFmtId="0" fontId="2" fillId="0" borderId="0" xfId="0" applyFont="1" applyAlignment="1">
      <alignment vertical="center"/>
    </xf>
    <xf numFmtId="49" fontId="2" fillId="0" borderId="2" xfId="0" applyNumberFormat="1" applyFont="1" applyBorder="1" applyAlignment="1">
      <alignment vertical="center"/>
    </xf>
    <xf numFmtId="49" fontId="2" fillId="0" borderId="2" xfId="0" applyNumberFormat="1" applyFont="1" applyBorder="1" applyAlignment="1">
      <alignment horizontal="center" vertical="center"/>
    </xf>
    <xf numFmtId="176" fontId="2" fillId="0" borderId="2" xfId="0" applyNumberFormat="1" applyFont="1" applyBorder="1" applyAlignment="1">
      <alignment vertical="center"/>
    </xf>
    <xf numFmtId="176" fontId="2" fillId="0" borderId="2" xfId="0" applyNumberFormat="1" applyFont="1" applyBorder="1" applyAlignment="1">
      <alignment horizontal="center" vertical="center"/>
    </xf>
    <xf numFmtId="176" fontId="2" fillId="0" borderId="2" xfId="0" quotePrefix="1" applyNumberFormat="1" applyFont="1" applyBorder="1" applyAlignment="1">
      <alignment vertical="center"/>
    </xf>
    <xf numFmtId="176" fontId="2" fillId="0" borderId="2" xfId="0" quotePrefix="1" applyNumberFormat="1" applyFont="1" applyBorder="1" applyAlignment="1">
      <alignment horizontal="center" vertical="center"/>
    </xf>
    <xf numFmtId="0" fontId="2" fillId="2" borderId="2" xfId="0" applyFont="1" applyFill="1" applyBorder="1" applyAlignment="1">
      <alignment horizontal="left"/>
    </xf>
    <xf numFmtId="0" fontId="2" fillId="0" borderId="0" xfId="0" applyFont="1" applyAlignment="1">
      <alignment horizontal="left"/>
    </xf>
    <xf numFmtId="0" fontId="2" fillId="3" borderId="2" xfId="0" applyFont="1" applyFill="1" applyBorder="1" applyAlignment="1">
      <alignment horizontal="left"/>
    </xf>
    <xf numFmtId="0" fontId="3" fillId="4" borderId="2" xfId="0" applyFont="1" applyFill="1" applyBorder="1" applyAlignment="1">
      <alignment horizontal="left"/>
    </xf>
    <xf numFmtId="0" fontId="2" fillId="5" borderId="2" xfId="0" applyFont="1" applyFill="1" applyBorder="1" applyAlignment="1">
      <alignment horizontal="left"/>
    </xf>
    <xf numFmtId="0" fontId="2" fillId="0" borderId="2" xfId="0" applyFont="1" applyBorder="1" applyAlignment="1">
      <alignment horizontal="left"/>
    </xf>
    <xf numFmtId="49" fontId="2" fillId="0" borderId="2" xfId="0" applyNumberFormat="1" applyFont="1" applyBorder="1" applyAlignment="1">
      <alignment horizontal="left" vertical="center"/>
    </xf>
    <xf numFmtId="49" fontId="4" fillId="0" borderId="2" xfId="0" applyNumberFormat="1" applyFont="1" applyBorder="1" applyAlignment="1">
      <alignment horizontal="left" vertical="center"/>
    </xf>
    <xf numFmtId="49" fontId="2" fillId="6" borderId="2" xfId="0" applyNumberFormat="1" applyFont="1" applyFill="1" applyBorder="1" applyAlignment="1">
      <alignment horizontal="center" vertical="center"/>
    </xf>
    <xf numFmtId="49" fontId="2" fillId="6" borderId="2" xfId="0" applyNumberFormat="1" applyFont="1" applyFill="1" applyBorder="1" applyAlignment="1">
      <alignment horizontal="left" vertical="center"/>
    </xf>
    <xf numFmtId="49" fontId="2" fillId="6" borderId="2" xfId="0" applyNumberFormat="1" applyFont="1" applyFill="1" applyBorder="1" applyAlignment="1">
      <alignment vertical="center"/>
    </xf>
    <xf numFmtId="176" fontId="2" fillId="6" borderId="2" xfId="0" quotePrefix="1" applyNumberFormat="1" applyFont="1" applyFill="1" applyBorder="1" applyAlignment="1">
      <alignment vertical="center"/>
    </xf>
    <xf numFmtId="176" fontId="2" fillId="6" borderId="2" xfId="0" applyNumberFormat="1" applyFont="1" applyFill="1" applyBorder="1" applyAlignment="1">
      <alignment vertical="center"/>
    </xf>
    <xf numFmtId="0" fontId="2" fillId="6" borderId="2" xfId="0" applyFont="1" applyFill="1" applyBorder="1" applyAlignment="1">
      <alignment horizontal="center" vertical="center"/>
    </xf>
    <xf numFmtId="176" fontId="2" fillId="6" borderId="2" xfId="0" quotePrefix="1" applyNumberFormat="1" applyFont="1" applyFill="1" applyBorder="1" applyAlignment="1">
      <alignment horizontal="center" vertical="center"/>
    </xf>
    <xf numFmtId="176" fontId="2" fillId="6" borderId="2" xfId="0" applyNumberFormat="1" applyFont="1" applyFill="1" applyBorder="1" applyAlignment="1">
      <alignment horizontal="center" vertical="center"/>
    </xf>
    <xf numFmtId="0" fontId="3" fillId="0" borderId="2" xfId="0" applyFont="1" applyBorder="1" applyAlignment="1">
      <alignment horizontal="center" vertical="center"/>
    </xf>
    <xf numFmtId="0" fontId="6" fillId="0" borderId="0" xfId="0" applyFont="1" applyAlignment="1">
      <alignment horizontal="center" vertical="center"/>
    </xf>
    <xf numFmtId="0" fontId="6" fillId="2" borderId="2" xfId="0" applyFont="1" applyFill="1" applyBorder="1" applyAlignment="1">
      <alignment horizontal="center" vertical="center"/>
    </xf>
    <xf numFmtId="0" fontId="6" fillId="0" borderId="2" xfId="0" applyFont="1" applyBorder="1" applyAlignment="1">
      <alignment horizontal="center" vertical="center"/>
    </xf>
    <xf numFmtId="49" fontId="6" fillId="0" borderId="2" xfId="0" applyNumberFormat="1" applyFont="1" applyBorder="1" applyAlignment="1">
      <alignment vertical="center"/>
    </xf>
    <xf numFmtId="49" fontId="0" fillId="0" borderId="0" xfId="0" applyNumberFormat="1" applyAlignment="1">
      <alignment vertical="center"/>
    </xf>
    <xf numFmtId="176" fontId="0" fillId="0" borderId="0" xfId="0" applyNumberFormat="1" applyAlignment="1">
      <alignment vertical="center"/>
    </xf>
    <xf numFmtId="176" fontId="0" fillId="0" borderId="0" xfId="0" quotePrefix="1" applyNumberFormat="1" applyAlignment="1">
      <alignment vertical="center"/>
    </xf>
    <xf numFmtId="0" fontId="2" fillId="2" borderId="0" xfId="0" applyFont="1" applyFill="1" applyAlignment="1">
      <alignment horizontal="center"/>
    </xf>
    <xf numFmtId="0" fontId="2" fillId="0" borderId="1" xfId="0" applyFont="1" applyBorder="1" applyAlignment="1">
      <alignment horizontal="center"/>
    </xf>
    <xf numFmtId="0" fontId="2" fillId="0" borderId="0" xfId="0" applyFont="1" applyAlignment="1">
      <alignment horizontal="center" vertical="top"/>
    </xf>
    <xf numFmtId="0" fontId="2" fillId="2" borderId="4" xfId="0" applyFont="1" applyFill="1" applyBorder="1" applyAlignment="1">
      <alignment horizontal="center" vertical="center"/>
    </xf>
    <xf numFmtId="0" fontId="2" fillId="3" borderId="7" xfId="0" applyFont="1" applyFill="1" applyBorder="1" applyAlignment="1">
      <alignment horizontal="center" vertical="center"/>
    </xf>
    <xf numFmtId="0" fontId="3" fillId="4" borderId="7" xfId="0" quotePrefix="1" applyFont="1" applyFill="1" applyBorder="1" applyAlignment="1">
      <alignment horizontal="center" vertical="center"/>
    </xf>
    <xf numFmtId="0" fontId="2" fillId="5" borderId="7" xfId="0" quotePrefix="1" applyFont="1" applyFill="1" applyBorder="1" applyAlignment="1">
      <alignment horizontal="center" vertical="center"/>
    </xf>
    <xf numFmtId="0" fontId="2" fillId="0" borderId="7" xfId="0" quotePrefix="1" applyFont="1" applyBorder="1" applyAlignment="1">
      <alignment horizontal="center" vertical="center"/>
    </xf>
    <xf numFmtId="0" fontId="2" fillId="0" borderId="7" xfId="0" applyFont="1" applyBorder="1" applyAlignment="1">
      <alignment horizontal="center" vertical="center"/>
    </xf>
    <xf numFmtId="0" fontId="2" fillId="5" borderId="7" xfId="0" applyFont="1" applyFill="1" applyBorder="1" applyAlignment="1">
      <alignment horizontal="center" vertical="center"/>
    </xf>
    <xf numFmtId="0" fontId="2" fillId="2" borderId="7" xfId="0" applyFont="1" applyFill="1" applyBorder="1" applyAlignment="1">
      <alignment horizontal="center" vertical="center"/>
    </xf>
    <xf numFmtId="0" fontId="2" fillId="0" borderId="9" xfId="0" applyFont="1" applyBorder="1" applyAlignment="1">
      <alignment horizontal="center" vertical="center"/>
    </xf>
    <xf numFmtId="0" fontId="2" fillId="0" borderId="0" xfId="0" applyFont="1" applyAlignment="1">
      <alignment vertical="top"/>
    </xf>
    <xf numFmtId="0" fontId="2" fillId="2" borderId="5" xfId="0" applyFont="1" applyFill="1" applyBorder="1" applyAlignment="1">
      <alignment vertical="top"/>
    </xf>
    <xf numFmtId="0" fontId="2" fillId="3" borderId="2" xfId="0" applyFont="1" applyFill="1" applyBorder="1" applyAlignment="1">
      <alignment vertical="top"/>
    </xf>
    <xf numFmtId="0" fontId="3" fillId="4" borderId="2" xfId="0" applyFont="1" applyFill="1" applyBorder="1" applyAlignment="1">
      <alignment vertical="top"/>
    </xf>
    <xf numFmtId="0" fontId="2" fillId="5" borderId="2" xfId="0" applyFont="1" applyFill="1" applyBorder="1" applyAlignment="1">
      <alignment vertical="top"/>
    </xf>
    <xf numFmtId="0" fontId="2" fillId="2" borderId="2" xfId="0" applyFont="1" applyFill="1" applyBorder="1" applyAlignment="1">
      <alignment vertical="top"/>
    </xf>
    <xf numFmtId="0" fontId="2" fillId="0" borderId="2" xfId="0" applyFont="1" applyBorder="1" applyAlignment="1">
      <alignment vertical="top"/>
    </xf>
    <xf numFmtId="0" fontId="2" fillId="0" borderId="10" xfId="0" applyFont="1" applyBorder="1" applyAlignment="1">
      <alignment vertical="top"/>
    </xf>
    <xf numFmtId="0" fontId="8" fillId="0" borderId="0" xfId="0" applyFont="1" applyAlignment="1">
      <alignment horizontal="center" vertical="top"/>
    </xf>
    <xf numFmtId="0" fontId="8" fillId="0" borderId="0" xfId="0" applyFont="1" applyAlignment="1">
      <alignment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0" borderId="2" xfId="0" applyFont="1" applyBorder="1" applyAlignment="1">
      <alignment horizontal="left" vertical="top"/>
    </xf>
    <xf numFmtId="0" fontId="8" fillId="0" borderId="8" xfId="0" applyFont="1" applyBorder="1" applyAlignment="1">
      <alignment vertical="center"/>
    </xf>
    <xf numFmtId="0" fontId="8" fillId="0" borderId="10" xfId="0" applyFont="1" applyBorder="1" applyAlignment="1">
      <alignment horizontal="left" vertical="top"/>
    </xf>
    <xf numFmtId="0" fontId="8" fillId="0" borderId="11" xfId="0" applyFont="1" applyBorder="1" applyAlignment="1">
      <alignment vertical="center"/>
    </xf>
    <xf numFmtId="0" fontId="2" fillId="2" borderId="5" xfId="0" applyFont="1" applyFill="1" applyBorder="1" applyAlignment="1">
      <alignment horizontal="center" vertical="top"/>
    </xf>
    <xf numFmtId="0" fontId="8" fillId="2" borderId="5" xfId="0" applyFont="1" applyFill="1" applyBorder="1" applyAlignment="1">
      <alignment horizontal="center" vertical="top"/>
    </xf>
    <xf numFmtId="0" fontId="2" fillId="0" borderId="2" xfId="0" applyFont="1" applyBorder="1" applyAlignment="1">
      <alignment horizontal="center" vertical="top"/>
    </xf>
    <xf numFmtId="0" fontId="8" fillId="0" borderId="2" xfId="0" applyFont="1" applyBorder="1" applyAlignment="1">
      <alignment horizontal="center" vertical="top"/>
    </xf>
    <xf numFmtId="0" fontId="2" fillId="0" borderId="10" xfId="0" applyFont="1" applyBorder="1" applyAlignment="1">
      <alignment horizontal="center" vertical="top"/>
    </xf>
    <xf numFmtId="0" fontId="8" fillId="0" borderId="10" xfId="0" applyFont="1" applyBorder="1" applyAlignment="1">
      <alignment horizontal="center" vertical="top"/>
    </xf>
    <xf numFmtId="0" fontId="2" fillId="0" borderId="2" xfId="0" applyFont="1" applyBorder="1" applyAlignment="1">
      <alignment vertical="top" wrapText="1"/>
    </xf>
    <xf numFmtId="0" fontId="2" fillId="3" borderId="2" xfId="0" applyFont="1" applyFill="1" applyBorder="1" applyAlignment="1">
      <alignment horizontal="center" vertical="top"/>
    </xf>
    <xf numFmtId="0" fontId="3" fillId="4" borderId="2" xfId="0" applyFont="1" applyFill="1" applyBorder="1" applyAlignment="1">
      <alignment horizontal="center" vertical="top"/>
    </xf>
    <xf numFmtId="0" fontId="2" fillId="5" borderId="2" xfId="0" applyFont="1" applyFill="1" applyBorder="1" applyAlignment="1">
      <alignment horizontal="center" vertical="top"/>
    </xf>
    <xf numFmtId="0" fontId="2" fillId="2" borderId="2" xfId="0" applyFont="1" applyFill="1" applyBorder="1" applyAlignment="1">
      <alignment horizontal="center" vertical="top"/>
    </xf>
    <xf numFmtId="0" fontId="2" fillId="3" borderId="8" xfId="0" applyFont="1" applyFill="1" applyBorder="1" applyAlignment="1">
      <alignment vertical="top"/>
    </xf>
    <xf numFmtId="0" fontId="3" fillId="4" borderId="8" xfId="0" applyFont="1" applyFill="1" applyBorder="1" applyAlignment="1">
      <alignment vertical="top"/>
    </xf>
    <xf numFmtId="0" fontId="2" fillId="5" borderId="8" xfId="0" applyFont="1" applyFill="1" applyBorder="1" applyAlignment="1">
      <alignment vertical="top"/>
    </xf>
    <xf numFmtId="0" fontId="2" fillId="2" borderId="8" xfId="0" applyFont="1" applyFill="1" applyBorder="1" applyAlignment="1">
      <alignment vertical="top"/>
    </xf>
    <xf numFmtId="0" fontId="2" fillId="0" borderId="8" xfId="0" applyFont="1" applyBorder="1" applyAlignment="1">
      <alignment vertical="top"/>
    </xf>
    <xf numFmtId="0" fontId="2" fillId="0" borderId="8" xfId="0" applyFont="1" applyBorder="1" applyAlignment="1">
      <alignment vertical="top" wrapText="1"/>
    </xf>
    <xf numFmtId="0" fontId="3" fillId="7" borderId="2" xfId="0" applyFont="1" applyFill="1" applyBorder="1" applyAlignment="1">
      <alignment horizontal="center" vertical="top"/>
    </xf>
    <xf numFmtId="0" fontId="7" fillId="0" borderId="8" xfId="0" applyFont="1" applyBorder="1" applyAlignment="1">
      <alignment vertical="top" wrapText="1"/>
    </xf>
    <xf numFmtId="0" fontId="7" fillId="0" borderId="8" xfId="0" applyFont="1" applyBorder="1" applyAlignment="1">
      <alignment vertical="top"/>
    </xf>
    <xf numFmtId="0" fontId="7" fillId="2" borderId="8" xfId="0" applyFont="1" applyFill="1" applyBorder="1" applyAlignment="1">
      <alignment vertical="top" wrapText="1"/>
    </xf>
    <xf numFmtId="0" fontId="7" fillId="2" borderId="8" xfId="0" applyFont="1" applyFill="1" applyBorder="1" applyAlignment="1">
      <alignment vertical="top"/>
    </xf>
    <xf numFmtId="0" fontId="10" fillId="0" borderId="1" xfId="0" applyFont="1" applyBorder="1" applyAlignment="1">
      <alignment vertical="top"/>
    </xf>
    <xf numFmtId="0" fontId="10" fillId="0" borderId="0" xfId="0" applyFont="1" applyAlignment="1">
      <alignment vertical="top"/>
    </xf>
    <xf numFmtId="0" fontId="2" fillId="2" borderId="2" xfId="0" applyFont="1" applyFill="1" applyBorder="1" applyAlignment="1">
      <alignment vertical="top" wrapText="1"/>
    </xf>
    <xf numFmtId="0" fontId="2" fillId="2" borderId="8" xfId="0" applyFont="1" applyFill="1" applyBorder="1" applyAlignment="1">
      <alignment vertical="top" wrapText="1"/>
    </xf>
    <xf numFmtId="0" fontId="3" fillId="0" borderId="2" xfId="0" applyFont="1" applyBorder="1" applyAlignment="1">
      <alignment horizontal="center" vertical="top"/>
    </xf>
    <xf numFmtId="0" fontId="2" fillId="0" borderId="1" xfId="0" applyFont="1" applyBorder="1" applyAlignment="1">
      <alignment horizontal="left" wrapText="1"/>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0" xfId="0" applyFont="1" applyFill="1" applyAlignment="1">
      <alignment horizontal="center" vertical="center"/>
    </xf>
    <xf numFmtId="0" fontId="2" fillId="0" borderId="2" xfId="0" applyFont="1" applyBorder="1" applyAlignment="1">
      <alignment vertical="center"/>
    </xf>
    <xf numFmtId="0" fontId="2" fillId="3" borderId="2" xfId="0" applyFont="1" applyFill="1" applyBorder="1" applyAlignment="1">
      <alignment vertical="center"/>
    </xf>
    <xf numFmtId="0" fontId="2" fillId="0" borderId="3" xfId="0" applyFont="1" applyBorder="1" applyAlignment="1">
      <alignment vertical="center"/>
    </xf>
    <xf numFmtId="0" fontId="2" fillId="0" borderId="1" xfId="0" applyFont="1" applyBorder="1" applyAlignment="1">
      <alignment horizontal="center" vertical="center"/>
    </xf>
    <xf numFmtId="0" fontId="3" fillId="4" borderId="2" xfId="0" applyFont="1" applyFill="1" applyBorder="1" applyAlignment="1">
      <alignment vertical="center"/>
    </xf>
    <xf numFmtId="0" fontId="3" fillId="4" borderId="2" xfId="0" quotePrefix="1" applyFont="1" applyFill="1" applyBorder="1" applyAlignment="1">
      <alignment horizontal="center" vertical="center"/>
    </xf>
    <xf numFmtId="0" fontId="2" fillId="5" borderId="2" xfId="0" applyFont="1" applyFill="1" applyBorder="1" applyAlignment="1">
      <alignment vertical="center"/>
    </xf>
    <xf numFmtId="0" fontId="2" fillId="0" borderId="0" xfId="0" applyFont="1" applyAlignment="1">
      <alignment horizontal="center" wrapText="1"/>
    </xf>
    <xf numFmtId="0" fontId="0" fillId="0" borderId="0" xfId="0" applyAlignment="1">
      <alignment vertical="top"/>
    </xf>
    <xf numFmtId="0" fontId="0" fillId="0" borderId="0" xfId="0" applyAlignment="1">
      <alignment vertical="top" wrapText="1"/>
    </xf>
    <xf numFmtId="0" fontId="10" fillId="2" borderId="1" xfId="0" applyFont="1" applyFill="1" applyBorder="1" applyAlignment="1">
      <alignment vertical="top"/>
    </xf>
    <xf numFmtId="0" fontId="11" fillId="2" borderId="1" xfId="0" applyFont="1" applyFill="1" applyBorder="1" applyAlignment="1">
      <alignment vertical="top"/>
    </xf>
    <xf numFmtId="0" fontId="11" fillId="2" borderId="1" xfId="0" applyFont="1" applyFill="1" applyBorder="1" applyAlignment="1">
      <alignment vertical="top" wrapText="1"/>
    </xf>
    <xf numFmtId="0" fontId="0" fillId="0" borderId="1" xfId="0" applyBorder="1" applyAlignment="1">
      <alignment vertical="top"/>
    </xf>
    <xf numFmtId="0" fontId="0" fillId="0" borderId="1" xfId="0" applyBorder="1" applyAlignment="1">
      <alignment vertical="top" wrapText="1"/>
    </xf>
    <xf numFmtId="0" fontId="12" fillId="0" borderId="0" xfId="0" applyFont="1" applyAlignment="1">
      <alignment vertical="top"/>
    </xf>
    <xf numFmtId="0" fontId="13" fillId="0" borderId="0" xfId="0" applyFont="1" applyAlignment="1">
      <alignment vertical="top"/>
    </xf>
    <xf numFmtId="0" fontId="2" fillId="0" borderId="0" xfId="0" applyFont="1" applyAlignment="1">
      <alignment horizontal="left" vertical="center"/>
    </xf>
    <xf numFmtId="0" fontId="2" fillId="0" borderId="2" xfId="0" applyFont="1" applyBorder="1" applyAlignment="1">
      <alignment horizontal="center" vertical="center" wrapText="1"/>
    </xf>
    <xf numFmtId="0" fontId="2" fillId="8" borderId="0" xfId="0" applyFont="1" applyFill="1"/>
    <xf numFmtId="0" fontId="2" fillId="8" borderId="2" xfId="0" applyFont="1" applyFill="1" applyBorder="1" applyAlignment="1">
      <alignment vertical="center"/>
    </xf>
    <xf numFmtId="0" fontId="2" fillId="8" borderId="2" xfId="0" applyFont="1" applyFill="1" applyBorder="1" applyAlignment="1">
      <alignment horizontal="center" vertical="center"/>
    </xf>
    <xf numFmtId="0" fontId="2" fillId="8" borderId="2" xfId="0" quotePrefix="1" applyFont="1" applyFill="1" applyBorder="1" applyAlignment="1">
      <alignment horizontal="center" vertical="center"/>
    </xf>
    <xf numFmtId="0" fontId="2" fillId="8" borderId="3" xfId="0" applyFont="1" applyFill="1" applyBorder="1" applyAlignment="1">
      <alignment vertical="center"/>
    </xf>
    <xf numFmtId="0" fontId="2" fillId="8" borderId="1" xfId="0" applyFont="1" applyFill="1" applyBorder="1" applyAlignment="1">
      <alignment horizontal="center" vertical="center"/>
    </xf>
    <xf numFmtId="0" fontId="2" fillId="8" borderId="1" xfId="0" applyFont="1" applyFill="1" applyBorder="1" applyAlignment="1">
      <alignment horizontal="left" wrapText="1"/>
    </xf>
    <xf numFmtId="0" fontId="2" fillId="8" borderId="0" xfId="0" applyFont="1" applyFill="1" applyAlignment="1">
      <alignment horizontal="left" vertical="center"/>
    </xf>
    <xf numFmtId="0" fontId="2" fillId="8" borderId="0" xfId="0" applyFont="1" applyFill="1" applyAlignment="1">
      <alignment vertical="center"/>
    </xf>
    <xf numFmtId="0" fontId="2" fillId="0" borderId="2" xfId="0" quotePrefix="1" applyFont="1" applyBorder="1" applyAlignment="1">
      <alignment horizontal="center" vertical="center" wrapText="1"/>
    </xf>
    <xf numFmtId="0" fontId="14" fillId="9" borderId="1" xfId="0" quotePrefix="1" applyFont="1" applyFill="1" applyBorder="1" applyAlignment="1">
      <alignment horizontal="center" vertical="center"/>
    </xf>
    <xf numFmtId="0" fontId="8" fillId="0" borderId="1" xfId="0" applyFont="1" applyBorder="1" applyAlignment="1">
      <alignment vertical="center"/>
    </xf>
    <xf numFmtId="0" fontId="8" fillId="0" borderId="12" xfId="0" applyFont="1" applyBorder="1" applyAlignment="1">
      <alignment vertical="center"/>
    </xf>
    <xf numFmtId="0" fontId="14" fillId="9" borderId="12" xfId="0" quotePrefix="1" applyFont="1" applyFill="1" applyBorder="1" applyAlignment="1">
      <alignment horizontal="center" vertical="center"/>
    </xf>
    <xf numFmtId="0" fontId="4" fillId="0" borderId="2" xfId="0" applyFont="1" applyBorder="1" applyAlignment="1">
      <alignment vertical="center"/>
    </xf>
    <xf numFmtId="0" fontId="4" fillId="0" borderId="2" xfId="0" applyFont="1" applyBorder="1" applyAlignment="1">
      <alignment horizontal="center" vertical="center"/>
    </xf>
    <xf numFmtId="0" fontId="4" fillId="0" borderId="2" xfId="0" quotePrefix="1" applyFont="1" applyBorder="1" applyAlignment="1">
      <alignment horizontal="center" vertical="center"/>
    </xf>
    <xf numFmtId="0" fontId="4" fillId="0" borderId="3" xfId="0" applyFont="1" applyBorder="1" applyAlignment="1">
      <alignment vertical="center"/>
    </xf>
    <xf numFmtId="0" fontId="4" fillId="0" borderId="1" xfId="0" applyFont="1" applyBorder="1" applyAlignment="1">
      <alignment horizontal="center" vertical="center"/>
    </xf>
    <xf numFmtId="0" fontId="2" fillId="2" borderId="2" xfId="0" applyFont="1" applyFill="1" applyBorder="1" applyAlignment="1">
      <alignment horizontal="left" vertical="center"/>
    </xf>
    <xf numFmtId="0" fontId="2" fillId="3" borderId="2" xfId="0" applyFont="1" applyFill="1" applyBorder="1" applyAlignment="1">
      <alignment horizontal="left" vertical="center"/>
    </xf>
    <xf numFmtId="0" fontId="3" fillId="4" borderId="2" xfId="0" quotePrefix="1" applyFont="1" applyFill="1" applyBorder="1" applyAlignment="1">
      <alignment horizontal="left" vertical="center"/>
    </xf>
    <xf numFmtId="0" fontId="2" fillId="5" borderId="2" xfId="0" quotePrefix="1" applyFont="1" applyFill="1" applyBorder="1" applyAlignment="1">
      <alignment horizontal="left" vertical="center"/>
    </xf>
    <xf numFmtId="0" fontId="2" fillId="0" borderId="2" xfId="0" quotePrefix="1" applyFont="1" applyBorder="1" applyAlignment="1">
      <alignment horizontal="left" vertical="center"/>
    </xf>
    <xf numFmtId="0" fontId="2" fillId="0" borderId="2" xfId="0" applyFont="1" applyBorder="1" applyAlignment="1">
      <alignment horizontal="left" vertical="center"/>
    </xf>
    <xf numFmtId="0" fontId="2" fillId="5" borderId="2" xfId="0" applyFont="1" applyFill="1" applyBorder="1" applyAlignment="1">
      <alignment horizontal="left" vertical="center"/>
    </xf>
    <xf numFmtId="0" fontId="4" fillId="0" borderId="2" xfId="0" applyFont="1" applyBorder="1" applyAlignment="1">
      <alignment horizontal="left" vertical="center"/>
    </xf>
    <xf numFmtId="0" fontId="15" fillId="10" borderId="12" xfId="0" applyFont="1" applyFill="1" applyBorder="1" applyAlignment="1">
      <alignment horizontal="center"/>
    </xf>
  </cellXfs>
  <cellStyles count="1">
    <cellStyle name="표준" xfId="0" builtinId="0"/>
  </cellStyles>
  <dxfs count="8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E16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680"/>
  <sheetViews>
    <sheetView tabSelected="1" topLeftCell="E274" zoomScale="110" zoomScaleNormal="110" workbookViewId="0">
      <selection activeCell="BA297" sqref="BA297"/>
    </sheetView>
  </sheetViews>
  <sheetFormatPr defaultColWidth="9.1796875" defaultRowHeight="13"/>
  <cols>
    <col min="1" max="1" width="4" style="1" customWidth="1"/>
    <col min="2" max="2" width="39.81640625" style="39" customWidth="1"/>
    <col min="3" max="3" width="9.81640625" style="8" hidden="1" customWidth="1"/>
    <col min="4" max="4" width="6.1796875" style="1" hidden="1" customWidth="1"/>
    <col min="5" max="5" width="8.7265625" style="8" customWidth="1"/>
    <col min="6" max="6" width="40.81640625" style="1" bestFit="1" customWidth="1"/>
    <col min="7" max="7" width="56.54296875" style="1" hidden="1" customWidth="1"/>
    <col min="8" max="10" width="9.1796875" style="1" hidden="1" customWidth="1"/>
    <col min="11" max="13" width="9.1796875" style="8" hidden="1" customWidth="1"/>
    <col min="14" max="14" width="28.1796875" style="1" customWidth="1"/>
    <col min="15" max="15" width="21.54296875" style="1" customWidth="1"/>
    <col min="16" max="26" width="15.26953125" style="20" hidden="1" customWidth="1"/>
    <col min="27" max="30" width="15.26953125" style="1" hidden="1" customWidth="1"/>
    <col min="31" max="31" width="9.1796875" style="1" hidden="1" customWidth="1"/>
    <col min="32" max="32" width="26.7265625" style="1" hidden="1" customWidth="1"/>
    <col min="33" max="33" width="32.81640625" style="1" hidden="1" customWidth="1"/>
    <col min="34" max="34" width="8.7265625" style="20" customWidth="1"/>
    <col min="35" max="37" width="9.1796875" style="20" hidden="1" customWidth="1"/>
    <col min="38" max="38" width="50.54296875" style="1" hidden="1" customWidth="1"/>
    <col min="39" max="39" width="9.1796875" style="20" customWidth="1"/>
    <col min="40" max="50" width="6.54296875" style="20" customWidth="1"/>
    <col min="51" max="51" width="5.54296875" style="8" customWidth="1"/>
    <col min="52" max="52" width="7.26953125" style="138" customWidth="1"/>
    <col min="53" max="53" width="9.1796875" style="31"/>
    <col min="54" max="16384" width="9.1796875" style="1"/>
  </cols>
  <sheetData>
    <row r="1" spans="1:56" ht="13.5" thickBot="1">
      <c r="A1" s="1">
        <v>1</v>
      </c>
      <c r="C1" s="8" t="s">
        <v>127</v>
      </c>
      <c r="D1" s="1" t="s">
        <v>128</v>
      </c>
      <c r="AM1" s="20" t="s">
        <v>1913</v>
      </c>
      <c r="AN1" s="20" t="s">
        <v>3236</v>
      </c>
      <c r="AO1" s="20" t="s">
        <v>3237</v>
      </c>
      <c r="AP1" s="20" t="s">
        <v>3238</v>
      </c>
      <c r="AQ1" s="20" t="s">
        <v>3239</v>
      </c>
      <c r="AR1" s="20" t="s">
        <v>3005</v>
      </c>
      <c r="AS1" s="20" t="s">
        <v>3240</v>
      </c>
      <c r="AT1" s="20" t="s">
        <v>3241</v>
      </c>
      <c r="AU1" s="20" t="s">
        <v>3055</v>
      </c>
      <c r="AV1" s="20" t="s">
        <v>3242</v>
      </c>
      <c r="AW1" s="20" t="s">
        <v>3010</v>
      </c>
      <c r="AX1" s="20" t="s">
        <v>3243</v>
      </c>
      <c r="AY1" s="62" t="s">
        <v>1828</v>
      </c>
    </row>
    <row r="2" spans="1:56" ht="14" thickTop="1" thickBot="1">
      <c r="A2" s="1">
        <v>2</v>
      </c>
      <c r="B2" s="159"/>
      <c r="C2" s="21" t="s">
        <v>0</v>
      </c>
      <c r="D2" s="118" t="s">
        <v>1</v>
      </c>
      <c r="E2" s="21" t="s">
        <v>2</v>
      </c>
      <c r="F2" s="118" t="s">
        <v>3</v>
      </c>
      <c r="G2" s="118" t="s">
        <v>4</v>
      </c>
      <c r="H2" s="118" t="s">
        <v>5</v>
      </c>
      <c r="I2" s="118" t="s">
        <v>6</v>
      </c>
      <c r="J2" s="118" t="s">
        <v>7</v>
      </c>
      <c r="K2" s="21" t="s">
        <v>8</v>
      </c>
      <c r="L2" s="21" t="s">
        <v>9</v>
      </c>
      <c r="M2" s="21" t="s">
        <v>10</v>
      </c>
      <c r="N2" s="118" t="s">
        <v>11</v>
      </c>
      <c r="O2" s="118" t="s">
        <v>12</v>
      </c>
      <c r="P2" s="21" t="s">
        <v>13</v>
      </c>
      <c r="Q2" s="21" t="s">
        <v>14</v>
      </c>
      <c r="R2" s="21" t="s">
        <v>15</v>
      </c>
      <c r="S2" s="21" t="s">
        <v>16</v>
      </c>
      <c r="T2" s="21" t="s">
        <v>17</v>
      </c>
      <c r="U2" s="21" t="s">
        <v>18</v>
      </c>
      <c r="V2" s="21" t="s">
        <v>19</v>
      </c>
      <c r="W2" s="21" t="s">
        <v>20</v>
      </c>
      <c r="X2" s="21" t="s">
        <v>21</v>
      </c>
      <c r="Y2" s="21" t="s">
        <v>22</v>
      </c>
      <c r="Z2" s="21" t="s">
        <v>23</v>
      </c>
      <c r="AA2" s="118" t="s">
        <v>24</v>
      </c>
      <c r="AB2" s="118" t="s">
        <v>25</v>
      </c>
      <c r="AC2" s="118" t="s">
        <v>26</v>
      </c>
      <c r="AD2" s="118" t="s">
        <v>27</v>
      </c>
      <c r="AE2" s="118" t="s">
        <v>28</v>
      </c>
      <c r="AF2" s="118" t="s">
        <v>29</v>
      </c>
      <c r="AG2" s="118" t="s">
        <v>30</v>
      </c>
      <c r="AH2" s="21" t="s">
        <v>31</v>
      </c>
      <c r="AI2" s="21" t="s">
        <v>32</v>
      </c>
      <c r="AJ2" s="21" t="s">
        <v>33</v>
      </c>
      <c r="AK2" s="21" t="s">
        <v>35</v>
      </c>
      <c r="AL2" s="119" t="s">
        <v>36</v>
      </c>
      <c r="AM2" s="21" t="s">
        <v>2048</v>
      </c>
      <c r="AN2" s="21" t="s">
        <v>3244</v>
      </c>
      <c r="AO2" s="21" t="s">
        <v>3244</v>
      </c>
      <c r="AP2" s="21" t="s">
        <v>3244</v>
      </c>
      <c r="AQ2" s="21" t="s">
        <v>3244</v>
      </c>
      <c r="AR2" s="21" t="s">
        <v>3244</v>
      </c>
      <c r="AS2" s="21" t="s">
        <v>3244</v>
      </c>
      <c r="AT2" s="21" t="s">
        <v>3244</v>
      </c>
      <c r="AU2" s="21" t="s">
        <v>3244</v>
      </c>
      <c r="AV2" s="21" t="s">
        <v>3244</v>
      </c>
      <c r="AW2" s="21" t="s">
        <v>3244</v>
      </c>
      <c r="AX2" s="21" t="s">
        <v>3244</v>
      </c>
      <c r="AY2" s="120" t="s">
        <v>2050</v>
      </c>
      <c r="BA2" s="31" t="s">
        <v>392</v>
      </c>
      <c r="BC2" s="167" t="s">
        <v>3003</v>
      </c>
      <c r="BD2" s="167"/>
    </row>
    <row r="3" spans="1:56" ht="17" thickTop="1" thickBot="1">
      <c r="A3" s="1">
        <v>3</v>
      </c>
      <c r="B3" s="160"/>
      <c r="C3" s="22" t="s">
        <v>47</v>
      </c>
      <c r="D3" s="122"/>
      <c r="E3" s="22"/>
      <c r="F3" s="122"/>
      <c r="G3" s="122"/>
      <c r="H3" s="122"/>
      <c r="I3" s="122"/>
      <c r="J3" s="122"/>
      <c r="K3" s="22" t="s">
        <v>48</v>
      </c>
      <c r="L3" s="22" t="s">
        <v>49</v>
      </c>
      <c r="M3" s="22" t="s">
        <v>50</v>
      </c>
      <c r="N3" s="122"/>
      <c r="O3" s="122"/>
      <c r="P3" s="22" t="s">
        <v>50</v>
      </c>
      <c r="Q3" s="22" t="s">
        <v>50</v>
      </c>
      <c r="R3" s="22" t="s">
        <v>50</v>
      </c>
      <c r="S3" s="22" t="s">
        <v>50</v>
      </c>
      <c r="T3" s="22" t="s">
        <v>50</v>
      </c>
      <c r="U3" s="22" t="s">
        <v>50</v>
      </c>
      <c r="V3" s="22" t="s">
        <v>49</v>
      </c>
      <c r="W3" s="22"/>
      <c r="X3" s="22" t="s">
        <v>49</v>
      </c>
      <c r="Y3" s="22" t="s">
        <v>50</v>
      </c>
      <c r="Z3" s="22" t="s">
        <v>50</v>
      </c>
      <c r="AA3" s="122"/>
      <c r="AB3" s="122"/>
      <c r="AC3" s="122"/>
      <c r="AD3" s="122"/>
      <c r="AE3" s="122" t="s">
        <v>50</v>
      </c>
      <c r="AF3" s="122"/>
      <c r="AG3" s="122"/>
      <c r="AH3" s="22" t="s">
        <v>47</v>
      </c>
      <c r="AI3" s="22" t="s">
        <v>49</v>
      </c>
      <c r="AJ3" s="22">
        <v>10</v>
      </c>
      <c r="AK3" s="22" t="str">
        <f>IF(B3="","","0")</f>
        <v/>
      </c>
      <c r="AL3" s="123"/>
      <c r="AM3" s="22"/>
      <c r="AN3" s="22"/>
      <c r="AO3" s="22"/>
      <c r="AP3" s="22"/>
      <c r="AQ3" s="22"/>
      <c r="AR3" s="22"/>
      <c r="AS3" s="22"/>
      <c r="AT3" s="22"/>
      <c r="AU3" s="22"/>
      <c r="AV3" s="22"/>
      <c r="AW3" s="22"/>
      <c r="AX3" s="22"/>
      <c r="AY3" s="124"/>
      <c r="BA3" s="31" t="str">
        <f>IF(C3&lt;&gt;"",CREATE_QUERY($D$1,C$2:AY$2,C3:AY3),"")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 '', '', '', '', '', ' ', '1', '0', '', '', '0', '0', '0', '0', '0', '0', '1', '', '1', '0', '0', '', '', '', '', '0', '', '', '14821', '1', '10', '', '', '', '');</v>
      </c>
      <c r="BC3" s="152" t="s">
        <v>2986</v>
      </c>
      <c r="BD3" s="153" t="s">
        <v>2985</v>
      </c>
    </row>
    <row r="4" spans="1:56" ht="17" thickTop="1" thickBot="1">
      <c r="A4" s="1">
        <v>4</v>
      </c>
      <c r="B4" s="161" t="str">
        <f>IF(AI4="","",IF(AI4="1","",IF(AI4="2","→",IF(AI4="3","→→",IF(AI4="4","→→→",IF(AI4="5","→→→→",IF(AI4="6","→→→→→",IF(AI4="7"="→→→→→→",""))))))))&amp;F4</f>
        <v>→관제센터</v>
      </c>
      <c r="C4" s="27" t="str">
        <f>IF(F4="","","14821")</f>
        <v>14821</v>
      </c>
      <c r="D4" s="125"/>
      <c r="E4" s="126" t="s">
        <v>114</v>
      </c>
      <c r="F4" s="125" t="s">
        <v>97</v>
      </c>
      <c r="G4" s="125" t="s">
        <v>3056</v>
      </c>
      <c r="H4" s="125"/>
      <c r="I4" s="125"/>
      <c r="J4" s="125"/>
      <c r="K4" s="23" t="str">
        <f>IF(O4="","","1")</f>
        <v/>
      </c>
      <c r="L4" s="23" t="str">
        <f>IF(F4="","","1")</f>
        <v>1</v>
      </c>
      <c r="M4" s="23" t="str">
        <f>IF(O4="","0","1")</f>
        <v>0</v>
      </c>
      <c r="N4" s="125"/>
      <c r="O4" s="125"/>
      <c r="P4" s="23" t="str">
        <f>IF(O4="","0","1")</f>
        <v>0</v>
      </c>
      <c r="Q4" s="23" t="str">
        <f>IF(O4="","0","1")</f>
        <v>0</v>
      </c>
      <c r="R4" s="23" t="str">
        <f>IF(O4="","0","1")</f>
        <v>0</v>
      </c>
      <c r="S4" s="23" t="str">
        <f>IF(O4="","0","1")</f>
        <v>0</v>
      </c>
      <c r="T4" s="23" t="str">
        <f>IF(O4="","0","1")</f>
        <v>0</v>
      </c>
      <c r="U4" s="23" t="str">
        <f>IF(O4="","0","1")</f>
        <v>0</v>
      </c>
      <c r="V4" s="23" t="str">
        <f>IF(O4="","1","1")</f>
        <v>1</v>
      </c>
      <c r="W4" s="23"/>
      <c r="X4" s="23" t="str">
        <f>IF(O4="","","0")</f>
        <v/>
      </c>
      <c r="Y4" s="23" t="str">
        <f>IF(O4="","","0")</f>
        <v/>
      </c>
      <c r="Z4" s="23" t="str">
        <f>IF(O4="","","0")</f>
        <v/>
      </c>
      <c r="AA4" s="125"/>
      <c r="AB4" s="125"/>
      <c r="AC4" s="125"/>
      <c r="AD4" s="125"/>
      <c r="AE4" s="125"/>
      <c r="AF4" s="125"/>
      <c r="AG4" s="125"/>
      <c r="AH4" s="23" t="s">
        <v>47</v>
      </c>
      <c r="AI4" s="23" t="s">
        <v>52</v>
      </c>
      <c r="AJ4" s="23">
        <v>20</v>
      </c>
      <c r="AK4" s="23" t="str">
        <f t="shared" ref="AK4:AK64" si="0">IF(B4="","","0")</f>
        <v>0</v>
      </c>
      <c r="AL4" s="123" t="str">
        <f t="shared" ref="AL4:AL104" si="1">IF(C4="","",C4&amp;"/"&amp;F4&amp;"/"&amp;N4&amp;"/"&amp;O4)</f>
        <v>14821/관제센터//</v>
      </c>
      <c r="AM4" s="23" t="s">
        <v>2979</v>
      </c>
      <c r="AN4" s="23"/>
      <c r="AO4" s="23"/>
      <c r="AP4" s="23"/>
      <c r="AQ4" s="23"/>
      <c r="AR4" s="23"/>
      <c r="AS4" s="23"/>
      <c r="AT4" s="23"/>
      <c r="AU4" s="23"/>
      <c r="AV4" s="23"/>
      <c r="AW4" s="23"/>
      <c r="AX4" s="23"/>
      <c r="AY4" s="124" t="s">
        <v>1829</v>
      </c>
      <c r="AZ4" s="138" t="str">
        <f>IF(C4="","","delete from module_mst where pjt_id = '"&amp;C4&amp;"' and menu_id = '"&amp;E4&amp;"';")</f>
        <v>delete from module_mst where pjt_id = '14821' and menu_id = '100000';</v>
      </c>
      <c r="BA4" s="31" t="str">
        <f>IF(C4&lt;&gt;"",CREATE_QUERY($D$1,C$2:AY$2,C4:AY4),"")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'100000', '관제센터', 'Control Center', '', '', '', '', '1', '0', '', '', '0', '0', '0', '0', '0', '0', '1', '', '', '', '', '', '', '', '', '', '', '', '14821', '2', '20', '0', '14821/관제센터//', '메뉴', 'Y');</v>
      </c>
      <c r="BC4" s="152" t="s">
        <v>1828</v>
      </c>
      <c r="BD4" s="153" t="s">
        <v>2987</v>
      </c>
    </row>
    <row r="5" spans="1:56" ht="17" thickTop="1" thickBot="1">
      <c r="A5" s="1">
        <v>5</v>
      </c>
      <c r="B5" s="162" t="str">
        <f>IF(F5="","",IF(AI5="1","",IF(AI5="2","└ ",IF(AI5="3","  └ ",IF(AI5="4","    └ ",IF(AI5="5","        └ ",IF(AI5="6","         └ ",IF(AI5="7"="            └ ",""))))))))&amp;IF(AM5="","",IF(AM5="메뉴","","("&amp;AM5&amp;")"))&amp;F5</f>
        <v xml:space="preserve">  └ (관제)고객사 정보관리</v>
      </c>
      <c r="C5" s="27" t="str">
        <f t="shared" ref="C5:C65" si="2">IF(F5="","","14821")</f>
        <v>14821</v>
      </c>
      <c r="D5" s="121"/>
      <c r="E5" s="24" t="s">
        <v>115</v>
      </c>
      <c r="F5" s="127" t="s">
        <v>257</v>
      </c>
      <c r="G5" s="127" t="s">
        <v>3057</v>
      </c>
      <c r="H5" s="127"/>
      <c r="I5" s="127"/>
      <c r="J5" s="127"/>
      <c r="K5" s="25" t="str">
        <f t="shared" ref="K5:K75" si="3">IF(O5="","","1")</f>
        <v/>
      </c>
      <c r="L5" s="25" t="str">
        <f t="shared" ref="L5:L65" si="4">IF(F5="","","1")</f>
        <v>1</v>
      </c>
      <c r="M5" s="25" t="str">
        <f t="shared" ref="M5:M75" si="5">IF(O5="","0","1")</f>
        <v>0</v>
      </c>
      <c r="N5" s="127"/>
      <c r="O5" s="127"/>
      <c r="P5" s="25" t="str">
        <f t="shared" ref="P5:P75" si="6">IF(O5="","0","1")</f>
        <v>0</v>
      </c>
      <c r="Q5" s="25" t="str">
        <f t="shared" ref="Q5:Q75" si="7">IF(O5="","0","1")</f>
        <v>0</v>
      </c>
      <c r="R5" s="25" t="str">
        <f t="shared" ref="R5:R75" si="8">IF(O5="","0","1")</f>
        <v>0</v>
      </c>
      <c r="S5" s="25" t="str">
        <f t="shared" ref="S5:S75" si="9">IF(O5="","0","1")</f>
        <v>0</v>
      </c>
      <c r="T5" s="25" t="str">
        <f t="shared" ref="T5:T75" si="10">IF(O5="","0","1")</f>
        <v>0</v>
      </c>
      <c r="U5" s="25" t="str">
        <f t="shared" ref="U5:U75" si="11">IF(O5="","0","1")</f>
        <v>0</v>
      </c>
      <c r="V5" s="25" t="str">
        <f t="shared" ref="V5:V75" si="12">IF(O5="","1","1")</f>
        <v>1</v>
      </c>
      <c r="W5" s="25"/>
      <c r="X5" s="25" t="str">
        <f t="shared" ref="X5:X75" si="13">IF(O5="","","0")</f>
        <v/>
      </c>
      <c r="Y5" s="25" t="str">
        <f t="shared" ref="Y5:Y75" si="14">IF(O5="","","0")</f>
        <v/>
      </c>
      <c r="Z5" s="25" t="str">
        <f t="shared" ref="Z5:Z75" si="15">IF(O5="","","0")</f>
        <v/>
      </c>
      <c r="AA5" s="127"/>
      <c r="AB5" s="127"/>
      <c r="AC5" s="127"/>
      <c r="AD5" s="127"/>
      <c r="AE5" s="127"/>
      <c r="AF5" s="127"/>
      <c r="AG5" s="127"/>
      <c r="AH5" s="24" t="s">
        <v>114</v>
      </c>
      <c r="AI5" s="24" t="s">
        <v>111</v>
      </c>
      <c r="AJ5" s="24">
        <v>30</v>
      </c>
      <c r="AK5" s="24" t="str">
        <f t="shared" si="0"/>
        <v>0</v>
      </c>
      <c r="AL5" s="123" t="str">
        <f t="shared" si="1"/>
        <v>14821/고객사 정보관리//</v>
      </c>
      <c r="AM5" s="24" t="s">
        <v>2980</v>
      </c>
      <c r="AN5" s="24"/>
      <c r="AO5" s="24"/>
      <c r="AP5" s="24"/>
      <c r="AQ5" s="24"/>
      <c r="AR5" s="24"/>
      <c r="AS5" s="24"/>
      <c r="AT5" s="24"/>
      <c r="AU5" s="24"/>
      <c r="AV5" s="24"/>
      <c r="AW5" s="24"/>
      <c r="AX5" s="24"/>
      <c r="AY5" s="124" t="s">
        <v>1829</v>
      </c>
      <c r="AZ5" s="138" t="str">
        <f>IF(C5="","","delete from module_mst where pjt_id = '"&amp;C5&amp;"' and menu_id = '"&amp;E5&amp;"';")</f>
        <v>delete from module_mst where pjt_id = '14821' and menu_id = '110000';</v>
      </c>
      <c r="BA5" s="31" t="str">
        <f>IF(C5&lt;&gt;"",CREATE_QUERY($D$1,C$2:AY$2,C5:AY5),"")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'110000', '고객사 정보관리', 'Customer information management', '', '', '', '', '1', '0', '', '', '0', '0', '0', '0', '0', '0', '1', '', '', '', '', '', '', '', '', '', '', '', '100000', '3', '30', '0', '14821/고객사 정보관리//', '관제', 'Y');</v>
      </c>
      <c r="BC5" s="152" t="s">
        <v>2984</v>
      </c>
      <c r="BD5" s="153" t="s">
        <v>2988</v>
      </c>
    </row>
    <row r="6" spans="1:56" ht="17" thickTop="1" thickBot="1">
      <c r="A6" s="1">
        <v>6</v>
      </c>
      <c r="B6" s="163" t="str">
        <f t="shared" ref="B6:B66" si="16">IF(F6="","",IF(AI6="1","",IF(AI6="2","└ ",IF(AI6="3","  └ ",IF(AI6="4","    └ ",IF(AI6="5","        └ ",IF(AI6="6","         └ ",IF(AI6="7"="            └ ",""))))))))&amp;IF(AM6="","",IF(AM6="메뉴","","("&amp;AM6&amp;")"))&amp;F6</f>
        <v xml:space="preserve">    └ (관제)고객 본사 정보 관리</v>
      </c>
      <c r="C6" s="27" t="str">
        <f t="shared" si="2"/>
        <v>14821</v>
      </c>
      <c r="D6" s="121"/>
      <c r="E6" s="28">
        <v>110001</v>
      </c>
      <c r="F6" s="118" t="s">
        <v>105</v>
      </c>
      <c r="G6" s="118" t="s">
        <v>3058</v>
      </c>
      <c r="H6" s="118"/>
      <c r="I6" s="118"/>
      <c r="J6" s="118"/>
      <c r="K6" s="21" t="str">
        <f t="shared" si="3"/>
        <v>1</v>
      </c>
      <c r="L6" s="21" t="str">
        <f t="shared" si="4"/>
        <v>1</v>
      </c>
      <c r="M6" s="21" t="str">
        <f t="shared" si="5"/>
        <v>1</v>
      </c>
      <c r="N6" s="118" t="s">
        <v>54</v>
      </c>
      <c r="O6" s="118" t="s">
        <v>101</v>
      </c>
      <c r="P6" s="21" t="str">
        <f t="shared" si="6"/>
        <v>1</v>
      </c>
      <c r="Q6" s="21" t="str">
        <f t="shared" si="7"/>
        <v>1</v>
      </c>
      <c r="R6" s="21" t="str">
        <f t="shared" si="8"/>
        <v>1</v>
      </c>
      <c r="S6" s="21" t="str">
        <f t="shared" si="9"/>
        <v>1</v>
      </c>
      <c r="T6" s="21" t="str">
        <f t="shared" si="10"/>
        <v>1</v>
      </c>
      <c r="U6" s="21" t="str">
        <f t="shared" si="11"/>
        <v>1</v>
      </c>
      <c r="V6" s="21" t="str">
        <f t="shared" si="12"/>
        <v>1</v>
      </c>
      <c r="W6" s="21"/>
      <c r="X6" s="21" t="str">
        <f t="shared" si="13"/>
        <v>0</v>
      </c>
      <c r="Y6" s="21" t="str">
        <f t="shared" si="14"/>
        <v>0</v>
      </c>
      <c r="Z6" s="21" t="str">
        <f t="shared" si="15"/>
        <v>0</v>
      </c>
      <c r="AA6" s="118"/>
      <c r="AB6" s="118"/>
      <c r="AC6" s="118"/>
      <c r="AD6" s="118"/>
      <c r="AE6" s="118"/>
      <c r="AF6" s="118"/>
      <c r="AG6" s="118"/>
      <c r="AH6" s="26" t="s">
        <v>115</v>
      </c>
      <c r="AI6" s="26" t="s">
        <v>112</v>
      </c>
      <c r="AJ6" s="26">
        <v>40</v>
      </c>
      <c r="AK6" s="26" t="str">
        <f t="shared" si="0"/>
        <v>0</v>
      </c>
      <c r="AL6" s="123" t="str">
        <f t="shared" si="1"/>
        <v>14821/고객 본사 정보 관리/project/ProjSite</v>
      </c>
      <c r="AM6" s="26" t="s">
        <v>2980</v>
      </c>
      <c r="AN6" s="26"/>
      <c r="AO6" s="26"/>
      <c r="AP6" s="26"/>
      <c r="AQ6" s="26"/>
      <c r="AR6" s="26"/>
      <c r="AS6" s="26"/>
      <c r="AT6" s="26"/>
      <c r="AU6" s="26"/>
      <c r="AV6" s="26"/>
      <c r="AW6" s="26"/>
      <c r="AX6" s="26"/>
      <c r="AY6" s="124" t="s">
        <v>1829</v>
      </c>
      <c r="AZ6" s="138" t="str">
        <f>IF(C6="","","delete from module_mst where pjt_id = '"&amp;C6&amp;"' and menu_id = '"&amp;E6&amp;"';")</f>
        <v>delete from module_mst where pjt_id = '14821' and menu_id = '110001';</v>
      </c>
      <c r="BA6" s="31" t="str">
        <f>IF(C6&lt;&gt;"",CREATE_QUERY($D$1,C$2:AY$2,C6:AY6),"")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'110001', '고객 본사 정보 관리', 'Customer headquarters information management', '', '', '', '1', '1', '1', 'project', 'ProjSite', '1', '1', '1', '1', '1', '1', '1', '', '0', '0', '0', '', '', '', '', '', '', '', '110000', '4', '40', '0', '14821/고객 본사 정보 관리/project/ProjSite', '관제', 'Y');</v>
      </c>
      <c r="BC6" s="152" t="s">
        <v>1826</v>
      </c>
      <c r="BD6" s="153" t="s">
        <v>2989</v>
      </c>
    </row>
    <row r="7" spans="1:56" ht="17" thickTop="1" thickBot="1">
      <c r="A7" s="1">
        <v>7</v>
      </c>
      <c r="B7" s="163" t="str">
        <f t="shared" si="16"/>
        <v xml:space="preserve">    └ (관제)고객사 연동 정보 관리</v>
      </c>
      <c r="C7" s="27" t="str">
        <f t="shared" si="2"/>
        <v>14821</v>
      </c>
      <c r="D7" s="121"/>
      <c r="E7" s="28">
        <v>110002</v>
      </c>
      <c r="F7" s="118" t="s">
        <v>104</v>
      </c>
      <c r="G7" s="118" t="s">
        <v>3059</v>
      </c>
      <c r="H7" s="118"/>
      <c r="I7" s="118"/>
      <c r="J7" s="118"/>
      <c r="K7" s="21" t="str">
        <f t="shared" si="3"/>
        <v>1</v>
      </c>
      <c r="L7" s="21" t="str">
        <f t="shared" si="4"/>
        <v>1</v>
      </c>
      <c r="M7" s="21" t="str">
        <f t="shared" si="5"/>
        <v>1</v>
      </c>
      <c r="N7" s="118" t="s">
        <v>54</v>
      </c>
      <c r="O7" s="118" t="s">
        <v>88</v>
      </c>
      <c r="P7" s="21" t="str">
        <f t="shared" si="6"/>
        <v>1</v>
      </c>
      <c r="Q7" s="21" t="str">
        <f t="shared" si="7"/>
        <v>1</v>
      </c>
      <c r="R7" s="21" t="str">
        <f t="shared" si="8"/>
        <v>1</v>
      </c>
      <c r="S7" s="21" t="str">
        <f t="shared" si="9"/>
        <v>1</v>
      </c>
      <c r="T7" s="21" t="str">
        <f t="shared" si="10"/>
        <v>1</v>
      </c>
      <c r="U7" s="21" t="str">
        <f t="shared" si="11"/>
        <v>1</v>
      </c>
      <c r="V7" s="21" t="str">
        <f t="shared" si="12"/>
        <v>1</v>
      </c>
      <c r="W7" s="21"/>
      <c r="X7" s="21" t="str">
        <f t="shared" si="13"/>
        <v>0</v>
      </c>
      <c r="Y7" s="21" t="str">
        <f t="shared" si="14"/>
        <v>0</v>
      </c>
      <c r="Z7" s="21" t="str">
        <f t="shared" si="15"/>
        <v>0</v>
      </c>
      <c r="AA7" s="118"/>
      <c r="AB7" s="118"/>
      <c r="AC7" s="118"/>
      <c r="AD7" s="118"/>
      <c r="AE7" s="118"/>
      <c r="AF7" s="118"/>
      <c r="AG7" s="118"/>
      <c r="AH7" s="26" t="s">
        <v>115</v>
      </c>
      <c r="AI7" s="26" t="s">
        <v>112</v>
      </c>
      <c r="AJ7" s="26">
        <v>50</v>
      </c>
      <c r="AK7" s="26" t="str">
        <f t="shared" si="0"/>
        <v>0</v>
      </c>
      <c r="AL7" s="123" t="str">
        <f t="shared" si="1"/>
        <v>14821/고객사 연동 정보 관리/project/BonsaInfo</v>
      </c>
      <c r="AM7" s="26" t="s">
        <v>2980</v>
      </c>
      <c r="AN7" s="26"/>
      <c r="AO7" s="26"/>
      <c r="AP7" s="26"/>
      <c r="AQ7" s="26"/>
      <c r="AR7" s="26"/>
      <c r="AS7" s="26"/>
      <c r="AT7" s="26"/>
      <c r="AU7" s="26"/>
      <c r="AV7" s="26"/>
      <c r="AW7" s="26"/>
      <c r="AX7" s="26"/>
      <c r="AY7" s="124" t="s">
        <v>1829</v>
      </c>
      <c r="AZ7" s="138" t="str">
        <f>IF(C7="","","delete from module_mst where pjt_id = '"&amp;C7&amp;"' and menu_id = '"&amp;E7&amp;"';")</f>
        <v>delete from module_mst where pjt_id = '14821' and menu_id = '110002';</v>
      </c>
      <c r="BA7" s="31" t="str">
        <f>IF(C7&lt;&gt;"",CREATE_QUERY($D$1,C$2:AY$2,C7:AY7),"")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'110002', '고객사 연동 정보 관리', 'Customer-linked information management', '', '', '', '1', '1', '1', 'project', 'BonsaInfo', '1', '1', '1', '1', '1', '1', '1', '', '0', '0', '0', '', '', '', '', '', '', '', '110000', '4', '50', '0', '14821/고객사 연동 정보 관리/project/BonsaInfo', '관제', 'Y');</v>
      </c>
      <c r="BC7" s="152" t="s">
        <v>2991</v>
      </c>
      <c r="BD7" s="153" t="s">
        <v>2990</v>
      </c>
    </row>
    <row r="8" spans="1:56" ht="17" thickTop="1" thickBot="1">
      <c r="A8" s="1">
        <v>8</v>
      </c>
      <c r="B8" s="163" t="str">
        <f t="shared" si="16"/>
        <v xml:space="preserve">    └ (관제)고객 매장 정보관리</v>
      </c>
      <c r="C8" s="27" t="str">
        <f t="shared" si="2"/>
        <v>14821</v>
      </c>
      <c r="D8" s="121"/>
      <c r="E8" s="28">
        <v>110003</v>
      </c>
      <c r="F8" s="118" t="s">
        <v>106</v>
      </c>
      <c r="G8" s="118" t="s">
        <v>3060</v>
      </c>
      <c r="H8" s="118"/>
      <c r="I8" s="118"/>
      <c r="J8" s="118"/>
      <c r="K8" s="21" t="str">
        <f t="shared" si="3"/>
        <v>1</v>
      </c>
      <c r="L8" s="21" t="str">
        <f t="shared" si="4"/>
        <v>1</v>
      </c>
      <c r="M8" s="21" t="str">
        <f t="shared" si="5"/>
        <v>1</v>
      </c>
      <c r="N8" s="118" t="s">
        <v>54</v>
      </c>
      <c r="O8" s="118" t="s">
        <v>91</v>
      </c>
      <c r="P8" s="21" t="str">
        <f t="shared" si="6"/>
        <v>1</v>
      </c>
      <c r="Q8" s="21" t="str">
        <f t="shared" si="7"/>
        <v>1</v>
      </c>
      <c r="R8" s="21" t="str">
        <f t="shared" si="8"/>
        <v>1</v>
      </c>
      <c r="S8" s="21" t="str">
        <f t="shared" si="9"/>
        <v>1</v>
      </c>
      <c r="T8" s="21" t="str">
        <f t="shared" si="10"/>
        <v>1</v>
      </c>
      <c r="U8" s="21" t="str">
        <f t="shared" si="11"/>
        <v>1</v>
      </c>
      <c r="V8" s="21" t="str">
        <f t="shared" si="12"/>
        <v>1</v>
      </c>
      <c r="W8" s="21"/>
      <c r="X8" s="21" t="str">
        <f t="shared" si="13"/>
        <v>0</v>
      </c>
      <c r="Y8" s="21" t="str">
        <f t="shared" si="14"/>
        <v>0</v>
      </c>
      <c r="Z8" s="21" t="str">
        <f t="shared" si="15"/>
        <v>0</v>
      </c>
      <c r="AA8" s="118"/>
      <c r="AB8" s="118"/>
      <c r="AC8" s="118"/>
      <c r="AD8" s="118"/>
      <c r="AE8" s="118"/>
      <c r="AF8" s="118"/>
      <c r="AG8" s="118"/>
      <c r="AH8" s="26" t="s">
        <v>115</v>
      </c>
      <c r="AI8" s="26" t="s">
        <v>112</v>
      </c>
      <c r="AJ8" s="26">
        <v>60</v>
      </c>
      <c r="AK8" s="26" t="str">
        <f t="shared" si="0"/>
        <v>0</v>
      </c>
      <c r="AL8" s="123" t="str">
        <f t="shared" si="1"/>
        <v>14821/고객 매장 정보관리/project/StoreInfo</v>
      </c>
      <c r="AM8" s="26" t="s">
        <v>2980</v>
      </c>
      <c r="AN8" s="26"/>
      <c r="AO8" s="26"/>
      <c r="AP8" s="26"/>
      <c r="AQ8" s="26"/>
      <c r="AR8" s="26"/>
      <c r="AS8" s="26"/>
      <c r="AT8" s="26"/>
      <c r="AU8" s="26"/>
      <c r="AV8" s="26"/>
      <c r="AW8" s="26"/>
      <c r="AX8" s="26"/>
      <c r="AY8" s="124" t="s">
        <v>1829</v>
      </c>
      <c r="AZ8" s="138" t="str">
        <f>IF(C8="","","delete from module_mst where pjt_id = '"&amp;C8&amp;"' and menu_id = '"&amp;E8&amp;"';")</f>
        <v>delete from module_mst where pjt_id = '14821' and menu_id = '110003';</v>
      </c>
      <c r="BA8" s="31" t="str">
        <f>IF(C8&lt;&gt;"",CREATE_QUERY($D$1,C$2:AY$2,C8:AY8),"")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'110003', '고객 매장 정보관리', 'Customer store information management', '', '', '', '1', '1', '1', 'project', 'StoreInfo', '1', '1', '1', '1', '1', '1', '1', '', '0', '0', '0', '', '', '', '', '', '', '', '110000', '4', '60', '0', '14821/고객 매장 정보관리/project/StoreInfo', '관제', 'Y');</v>
      </c>
      <c r="BC8" s="152" t="s">
        <v>2993</v>
      </c>
      <c r="BD8" s="153" t="s">
        <v>2992</v>
      </c>
    </row>
    <row r="9" spans="1:56" ht="17" thickTop="1" thickBot="1">
      <c r="A9" s="1">
        <v>9</v>
      </c>
      <c r="B9" s="163" t="str">
        <f t="shared" si="16"/>
        <v xml:space="preserve">    └ (관제)고객별 단어 관리</v>
      </c>
      <c r="C9" s="27" t="str">
        <f t="shared" si="2"/>
        <v>14821</v>
      </c>
      <c r="D9" s="121"/>
      <c r="E9" s="28">
        <v>110004</v>
      </c>
      <c r="F9" s="118" t="s">
        <v>2385</v>
      </c>
      <c r="G9" s="118" t="s">
        <v>3061</v>
      </c>
      <c r="H9" s="118"/>
      <c r="I9" s="118"/>
      <c r="J9" s="118"/>
      <c r="K9" s="21" t="str">
        <f t="shared" si="3"/>
        <v>1</v>
      </c>
      <c r="L9" s="21" t="str">
        <f t="shared" si="4"/>
        <v>1</v>
      </c>
      <c r="M9" s="21" t="str">
        <f t="shared" si="5"/>
        <v>1</v>
      </c>
      <c r="N9" s="118" t="s">
        <v>54</v>
      </c>
      <c r="O9" s="118" t="s">
        <v>2384</v>
      </c>
      <c r="P9" s="21" t="str">
        <f t="shared" si="6"/>
        <v>1</v>
      </c>
      <c r="Q9" s="21" t="str">
        <f t="shared" si="7"/>
        <v>1</v>
      </c>
      <c r="R9" s="21" t="str">
        <f t="shared" si="8"/>
        <v>1</v>
      </c>
      <c r="S9" s="21" t="str">
        <f t="shared" si="9"/>
        <v>1</v>
      </c>
      <c r="T9" s="21" t="str">
        <f t="shared" si="10"/>
        <v>1</v>
      </c>
      <c r="U9" s="21" t="str">
        <f t="shared" si="11"/>
        <v>1</v>
      </c>
      <c r="V9" s="21" t="str">
        <f t="shared" si="12"/>
        <v>1</v>
      </c>
      <c r="W9" s="21"/>
      <c r="X9" s="21" t="str">
        <f t="shared" si="13"/>
        <v>0</v>
      </c>
      <c r="Y9" s="21" t="str">
        <f t="shared" si="14"/>
        <v>0</v>
      </c>
      <c r="Z9" s="21" t="str">
        <f t="shared" si="15"/>
        <v>0</v>
      </c>
      <c r="AA9" s="118"/>
      <c r="AB9" s="118"/>
      <c r="AC9" s="118"/>
      <c r="AD9" s="118"/>
      <c r="AE9" s="118"/>
      <c r="AF9" s="118"/>
      <c r="AG9" s="118"/>
      <c r="AH9" s="26" t="s">
        <v>115</v>
      </c>
      <c r="AI9" s="26" t="s">
        <v>112</v>
      </c>
      <c r="AJ9" s="26">
        <v>60</v>
      </c>
      <c r="AK9" s="26" t="str">
        <f t="shared" si="0"/>
        <v>0</v>
      </c>
      <c r="AL9" s="123" t="str">
        <f t="shared" ref="AL9" si="17">IF(C9="","",C9&amp;"/"&amp;F9&amp;"/"&amp;N9&amp;"/"&amp;O9)</f>
        <v>14821/고객별 단어 관리/project/ProjWord</v>
      </c>
      <c r="AM9" s="26" t="s">
        <v>2980</v>
      </c>
      <c r="AN9" s="26"/>
      <c r="AO9" s="26"/>
      <c r="AP9" s="26"/>
      <c r="AQ9" s="26"/>
      <c r="AR9" s="26"/>
      <c r="AS9" s="26"/>
      <c r="AT9" s="26"/>
      <c r="AU9" s="26"/>
      <c r="AV9" s="26"/>
      <c r="AW9" s="26"/>
      <c r="AX9" s="26"/>
      <c r="AY9" s="124" t="s">
        <v>1829</v>
      </c>
      <c r="AZ9" s="138" t="str">
        <f>IF(C9="","","delete from module_mst where pjt_id = '"&amp;C9&amp;"' and menu_id = '"&amp;E9&amp;"';")</f>
        <v>delete from module_mst where pjt_id = '14821' and menu_id = '110004';</v>
      </c>
      <c r="BA9" s="31" t="str">
        <f>IF(C9&lt;&gt;"",CREATE_QUERY($D$1,C$2:AY$2,C9:AY9),"")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'110004', '고객별 단어 관리', 'Word Management by Customer', '', '', '', '1', '1', '1', 'project', 'ProjWord', '1', '1', '1', '1', '1', '1', '1', '', '0', '0', '0', '', '', '', '', '', '', '', '110000', '4', '60', '0', '14821/고객별 단어 관리/project/ProjWord', '관제', 'Y');</v>
      </c>
      <c r="BC9" s="152" t="s">
        <v>1825</v>
      </c>
      <c r="BD9" s="153" t="s">
        <v>2994</v>
      </c>
    </row>
    <row r="10" spans="1:56" ht="17" thickTop="1" thickBot="1">
      <c r="A10" s="1">
        <v>10</v>
      </c>
      <c r="B10" s="164" t="str">
        <f t="shared" si="16"/>
        <v/>
      </c>
      <c r="C10" s="27" t="str">
        <f t="shared" si="2"/>
        <v/>
      </c>
      <c r="D10" s="121"/>
      <c r="E10" s="27"/>
      <c r="F10" s="121"/>
      <c r="G10" s="121" t="s">
        <v>900</v>
      </c>
      <c r="H10" s="121"/>
      <c r="I10" s="121"/>
      <c r="J10" s="121"/>
      <c r="K10" s="27" t="str">
        <f t="shared" si="3"/>
        <v/>
      </c>
      <c r="L10" s="27" t="str">
        <f t="shared" si="4"/>
        <v/>
      </c>
      <c r="M10" s="27" t="str">
        <f t="shared" si="5"/>
        <v>0</v>
      </c>
      <c r="N10" s="121"/>
      <c r="O10" s="121"/>
      <c r="P10" s="27" t="str">
        <f t="shared" si="6"/>
        <v>0</v>
      </c>
      <c r="Q10" s="27" t="str">
        <f t="shared" si="7"/>
        <v>0</v>
      </c>
      <c r="R10" s="27" t="str">
        <f t="shared" si="8"/>
        <v>0</v>
      </c>
      <c r="S10" s="27" t="str">
        <f t="shared" si="9"/>
        <v>0</v>
      </c>
      <c r="T10" s="27" t="str">
        <f t="shared" si="10"/>
        <v>0</v>
      </c>
      <c r="U10" s="27" t="str">
        <f t="shared" si="11"/>
        <v>0</v>
      </c>
      <c r="V10" s="27" t="str">
        <f t="shared" si="12"/>
        <v>1</v>
      </c>
      <c r="W10" s="27"/>
      <c r="X10" s="27" t="str">
        <f t="shared" si="13"/>
        <v/>
      </c>
      <c r="Y10" s="27" t="str">
        <f t="shared" si="14"/>
        <v/>
      </c>
      <c r="Z10" s="27" t="str">
        <f t="shared" si="15"/>
        <v/>
      </c>
      <c r="AA10" s="121"/>
      <c r="AB10" s="121"/>
      <c r="AC10" s="121"/>
      <c r="AD10" s="121"/>
      <c r="AE10" s="121"/>
      <c r="AF10" s="121"/>
      <c r="AG10" s="121"/>
      <c r="AH10" s="27"/>
      <c r="AI10" s="27"/>
      <c r="AJ10" s="27"/>
      <c r="AK10" s="27" t="str">
        <f t="shared" si="0"/>
        <v/>
      </c>
      <c r="AL10" s="123" t="str">
        <f t="shared" si="1"/>
        <v/>
      </c>
      <c r="AM10" s="27"/>
      <c r="AN10" s="27"/>
      <c r="AO10" s="27"/>
      <c r="AP10" s="27"/>
      <c r="AQ10" s="27"/>
      <c r="AR10" s="27"/>
      <c r="AS10" s="27"/>
      <c r="AT10" s="27"/>
      <c r="AU10" s="27"/>
      <c r="AV10" s="27"/>
      <c r="AW10" s="27"/>
      <c r="AX10" s="27"/>
      <c r="AY10" s="124"/>
      <c r="AZ10" s="138" t="str">
        <f>IF(C10="","","delete from module_mst where pjt_id = '"&amp;C10&amp;"' and menu_id = '"&amp;E10&amp;"';")</f>
        <v/>
      </c>
      <c r="BA10" s="31" t="str">
        <f>IF(C10&lt;&gt;"",CREATE_QUERY($D$1,C$2:AY$2,C10:AY10),"")</f>
        <v/>
      </c>
      <c r="BC10" s="152" t="s">
        <v>2996</v>
      </c>
      <c r="BD10" s="153" t="s">
        <v>2995</v>
      </c>
    </row>
    <row r="11" spans="1:56" ht="17" thickTop="1" thickBot="1">
      <c r="A11" s="1">
        <v>11</v>
      </c>
      <c r="B11" s="165" t="str">
        <f t="shared" si="16"/>
        <v xml:space="preserve">  └ (관제)Module 관리</v>
      </c>
      <c r="C11" s="27" t="str">
        <f t="shared" si="2"/>
        <v>14821</v>
      </c>
      <c r="D11" s="121"/>
      <c r="E11" s="25" t="s">
        <v>116</v>
      </c>
      <c r="F11" s="127" t="s">
        <v>99</v>
      </c>
      <c r="G11" s="127" t="s">
        <v>3062</v>
      </c>
      <c r="H11" s="127"/>
      <c r="I11" s="127"/>
      <c r="J11" s="127"/>
      <c r="K11" s="25" t="str">
        <f t="shared" si="3"/>
        <v/>
      </c>
      <c r="L11" s="25" t="str">
        <f t="shared" si="4"/>
        <v>1</v>
      </c>
      <c r="M11" s="25" t="str">
        <f t="shared" si="5"/>
        <v>0</v>
      </c>
      <c r="N11" s="127"/>
      <c r="O11" s="127"/>
      <c r="P11" s="25" t="str">
        <f t="shared" si="6"/>
        <v>0</v>
      </c>
      <c r="Q11" s="25" t="str">
        <f t="shared" si="7"/>
        <v>0</v>
      </c>
      <c r="R11" s="25" t="str">
        <f t="shared" si="8"/>
        <v>0</v>
      </c>
      <c r="S11" s="25" t="str">
        <f t="shared" si="9"/>
        <v>0</v>
      </c>
      <c r="T11" s="25" t="str">
        <f t="shared" si="10"/>
        <v>0</v>
      </c>
      <c r="U11" s="25" t="str">
        <f t="shared" si="11"/>
        <v>0</v>
      </c>
      <c r="V11" s="25" t="str">
        <f t="shared" si="12"/>
        <v>1</v>
      </c>
      <c r="W11" s="25"/>
      <c r="X11" s="25" t="str">
        <f t="shared" si="13"/>
        <v/>
      </c>
      <c r="Y11" s="25" t="str">
        <f t="shared" si="14"/>
        <v/>
      </c>
      <c r="Z11" s="25" t="str">
        <f t="shared" si="15"/>
        <v/>
      </c>
      <c r="AA11" s="127"/>
      <c r="AB11" s="127"/>
      <c r="AC11" s="127"/>
      <c r="AD11" s="127"/>
      <c r="AE11" s="127"/>
      <c r="AF11" s="127"/>
      <c r="AG11" s="127"/>
      <c r="AH11" s="25" t="s">
        <v>114</v>
      </c>
      <c r="AI11" s="25" t="s">
        <v>111</v>
      </c>
      <c r="AJ11" s="25">
        <v>80</v>
      </c>
      <c r="AK11" s="25" t="str">
        <f t="shared" si="0"/>
        <v>0</v>
      </c>
      <c r="AL11" s="123" t="str">
        <f t="shared" si="1"/>
        <v>14821/Module 관리//</v>
      </c>
      <c r="AM11" s="25" t="s">
        <v>2980</v>
      </c>
      <c r="AN11" s="25"/>
      <c r="AO11" s="25"/>
      <c r="AP11" s="25"/>
      <c r="AQ11" s="25"/>
      <c r="AR11" s="25"/>
      <c r="AS11" s="25"/>
      <c r="AT11" s="25"/>
      <c r="AU11" s="25"/>
      <c r="AV11" s="25"/>
      <c r="AW11" s="25"/>
      <c r="AX11" s="25"/>
      <c r="AY11" s="124" t="s">
        <v>1829</v>
      </c>
      <c r="AZ11" s="138" t="str">
        <f>IF(C11="","","delete from module_mst where pjt_id = '"&amp;C11&amp;"' and menu_id = '"&amp;E11&amp;"';")</f>
        <v>delete from module_mst where pjt_id = '14821' and menu_id = '120000';</v>
      </c>
      <c r="BA11" s="31" t="str">
        <f>IF(C11&lt;&gt;"",CREATE_QUERY($D$1,C$2:AY$2,C11:AY11),"")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'120000', 'Module 관리', 'Module management', '', '', '', '', '1', '0', '', '', '0', '0', '0', '0', '0', '0', '1', '', '', '', '', '', '', '', '', '', '', '', '100000', '3', '80', '0', '14821/Module 관리//', '관제', 'Y');</v>
      </c>
      <c r="BC11" s="152" t="s">
        <v>2998</v>
      </c>
      <c r="BD11" s="153" t="s">
        <v>2997</v>
      </c>
    </row>
    <row r="12" spans="1:56" ht="17" thickTop="1" thickBot="1">
      <c r="A12" s="1">
        <v>12</v>
      </c>
      <c r="B12" s="159" t="str">
        <f t="shared" si="16"/>
        <v xml:space="preserve">    └ (관제)Module 정보 관리</v>
      </c>
      <c r="C12" s="27" t="str">
        <f t="shared" si="2"/>
        <v>14821</v>
      </c>
      <c r="D12" s="121"/>
      <c r="E12" s="21">
        <v>120001</v>
      </c>
      <c r="F12" s="118" t="s">
        <v>354</v>
      </c>
      <c r="G12" s="118" t="s">
        <v>3063</v>
      </c>
      <c r="H12" s="118"/>
      <c r="I12" s="118"/>
      <c r="J12" s="118"/>
      <c r="K12" s="21" t="str">
        <f t="shared" si="3"/>
        <v>1</v>
      </c>
      <c r="L12" s="21" t="str">
        <f t="shared" si="4"/>
        <v>1</v>
      </c>
      <c r="M12" s="21" t="str">
        <f t="shared" si="5"/>
        <v>1</v>
      </c>
      <c r="N12" s="118" t="s">
        <v>54</v>
      </c>
      <c r="O12" s="118" t="s">
        <v>100</v>
      </c>
      <c r="P12" s="21" t="str">
        <f t="shared" si="6"/>
        <v>1</v>
      </c>
      <c r="Q12" s="21" t="str">
        <f t="shared" si="7"/>
        <v>1</v>
      </c>
      <c r="R12" s="21" t="str">
        <f t="shared" si="8"/>
        <v>1</v>
      </c>
      <c r="S12" s="21" t="str">
        <f t="shared" si="9"/>
        <v>1</v>
      </c>
      <c r="T12" s="21" t="str">
        <f t="shared" si="10"/>
        <v>1</v>
      </c>
      <c r="U12" s="21" t="str">
        <f t="shared" si="11"/>
        <v>1</v>
      </c>
      <c r="V12" s="21" t="str">
        <f t="shared" si="12"/>
        <v>1</v>
      </c>
      <c r="W12" s="21"/>
      <c r="X12" s="21" t="str">
        <f t="shared" si="13"/>
        <v>0</v>
      </c>
      <c r="Y12" s="21" t="str">
        <f t="shared" si="14"/>
        <v>0</v>
      </c>
      <c r="Z12" s="21" t="str">
        <f t="shared" si="15"/>
        <v>0</v>
      </c>
      <c r="AA12" s="118"/>
      <c r="AB12" s="118"/>
      <c r="AC12" s="118"/>
      <c r="AD12" s="118"/>
      <c r="AE12" s="118"/>
      <c r="AF12" s="118"/>
      <c r="AG12" s="118"/>
      <c r="AH12" s="26" t="s">
        <v>116</v>
      </c>
      <c r="AI12" s="26" t="s">
        <v>112</v>
      </c>
      <c r="AJ12" s="26">
        <v>90</v>
      </c>
      <c r="AK12" s="26" t="str">
        <f t="shared" si="0"/>
        <v>0</v>
      </c>
      <c r="AL12" s="123" t="str">
        <f t="shared" si="1"/>
        <v>14821/Module 정보 관리/project/ModuleInfo</v>
      </c>
      <c r="AM12" s="26" t="s">
        <v>2980</v>
      </c>
      <c r="AN12" s="26"/>
      <c r="AO12" s="26"/>
      <c r="AP12" s="26"/>
      <c r="AQ12" s="26"/>
      <c r="AR12" s="26"/>
      <c r="AS12" s="26"/>
      <c r="AT12" s="26"/>
      <c r="AU12" s="26"/>
      <c r="AV12" s="26"/>
      <c r="AW12" s="26"/>
      <c r="AX12" s="26"/>
      <c r="AY12" s="124" t="s">
        <v>1829</v>
      </c>
      <c r="AZ12" s="138" t="str">
        <f>IF(C12="","","delete from module_mst where pjt_id = '"&amp;C12&amp;"' and menu_id = '"&amp;E12&amp;"';")</f>
        <v>delete from module_mst where pjt_id = '14821' and menu_id = '120001';</v>
      </c>
      <c r="BA12" s="31" t="str">
        <f>IF(C12&lt;&gt;"",CREATE_QUERY($D$1,C$2:AY$2,C12:AY12),"")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'120001', 'Module 정보 관리', 'Module information management', '', '', '', '1', '1', '1', 'project', 'ModuleInfo', '1', '1', '1', '1', '1', '1', '1', '', '0', '0', '0', '', '', '', '', '', '', '', '120000', '4', '90', '0', '14821/Module 정보 관리/project/ModuleInfo', '관제', 'Y');</v>
      </c>
      <c r="BC12" s="152" t="s">
        <v>3000</v>
      </c>
      <c r="BD12" s="153" t="s">
        <v>2999</v>
      </c>
    </row>
    <row r="13" spans="1:56" ht="17" thickTop="1" thickBot="1">
      <c r="A13" s="1">
        <v>13</v>
      </c>
      <c r="B13" s="159" t="str">
        <f t="shared" si="16"/>
        <v xml:space="preserve">    └ (관제)고객사 Module 등록</v>
      </c>
      <c r="C13" s="27" t="str">
        <f t="shared" si="2"/>
        <v>14821</v>
      </c>
      <c r="D13" s="121"/>
      <c r="E13" s="21">
        <v>120002</v>
      </c>
      <c r="F13" s="118" t="s">
        <v>102</v>
      </c>
      <c r="G13" s="118" t="s">
        <v>3064</v>
      </c>
      <c r="H13" s="118"/>
      <c r="I13" s="118"/>
      <c r="J13" s="118"/>
      <c r="K13" s="21" t="str">
        <f t="shared" si="3"/>
        <v>1</v>
      </c>
      <c r="L13" s="21" t="str">
        <f t="shared" si="4"/>
        <v>1</v>
      </c>
      <c r="M13" s="21" t="str">
        <f t="shared" si="5"/>
        <v>1</v>
      </c>
      <c r="N13" s="118" t="s">
        <v>54</v>
      </c>
      <c r="O13" s="118" t="s">
        <v>90</v>
      </c>
      <c r="P13" s="21" t="str">
        <f t="shared" si="6"/>
        <v>1</v>
      </c>
      <c r="Q13" s="21" t="str">
        <f t="shared" si="7"/>
        <v>1</v>
      </c>
      <c r="R13" s="21" t="str">
        <f t="shared" si="8"/>
        <v>1</v>
      </c>
      <c r="S13" s="21" t="str">
        <f t="shared" si="9"/>
        <v>1</v>
      </c>
      <c r="T13" s="21" t="str">
        <f t="shared" si="10"/>
        <v>1</v>
      </c>
      <c r="U13" s="21" t="str">
        <f t="shared" si="11"/>
        <v>1</v>
      </c>
      <c r="V13" s="21" t="str">
        <f t="shared" si="12"/>
        <v>1</v>
      </c>
      <c r="W13" s="21"/>
      <c r="X13" s="21" t="str">
        <f t="shared" si="13"/>
        <v>0</v>
      </c>
      <c r="Y13" s="21" t="str">
        <f t="shared" si="14"/>
        <v>0</v>
      </c>
      <c r="Z13" s="21" t="str">
        <f t="shared" si="15"/>
        <v>0</v>
      </c>
      <c r="AA13" s="118"/>
      <c r="AB13" s="118"/>
      <c r="AC13" s="118"/>
      <c r="AD13" s="118"/>
      <c r="AE13" s="118"/>
      <c r="AF13" s="118"/>
      <c r="AG13" s="118"/>
      <c r="AH13" s="26" t="s">
        <v>116</v>
      </c>
      <c r="AI13" s="26" t="s">
        <v>112</v>
      </c>
      <c r="AJ13" s="26">
        <v>100</v>
      </c>
      <c r="AK13" s="26" t="str">
        <f t="shared" si="0"/>
        <v>0</v>
      </c>
      <c r="AL13" s="123" t="str">
        <f t="shared" si="1"/>
        <v>14821/고객사 Module 등록/project/BonsaMenu</v>
      </c>
      <c r="AM13" s="26" t="s">
        <v>2980</v>
      </c>
      <c r="AN13" s="26"/>
      <c r="AO13" s="26"/>
      <c r="AP13" s="26"/>
      <c r="AQ13" s="26"/>
      <c r="AR13" s="26"/>
      <c r="AS13" s="26"/>
      <c r="AT13" s="26"/>
      <c r="AU13" s="26"/>
      <c r="AV13" s="26"/>
      <c r="AW13" s="26"/>
      <c r="AX13" s="26"/>
      <c r="AY13" s="124" t="s">
        <v>1829</v>
      </c>
      <c r="AZ13" s="138" t="str">
        <f>IF(C13="","","delete from module_mst where pjt_id = '"&amp;C13&amp;"' and menu_id = '"&amp;E13&amp;"';")</f>
        <v>delete from module_mst where pjt_id = '14821' and menu_id = '120002';</v>
      </c>
      <c r="BA13" s="31" t="str">
        <f>IF(C13&lt;&gt;"",CREATE_QUERY($D$1,C$2:AY$2,C13:AY13),"")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'120002', '고객사 Module 등록', 'Client module registration', '', '', '', '1', '1', '1', 'project', 'BonsaMenu', '1', '1', '1', '1', '1', '1', '1', '', '0', '0', '0', '', '', '', '', '', '', '', '120000', '4', '100', '0', '14821/고객사 Module 등록/project/BonsaMenu', '관제', 'Y');</v>
      </c>
      <c r="BC13" s="152" t="s">
        <v>3002</v>
      </c>
      <c r="BD13" s="153" t="s">
        <v>3001</v>
      </c>
    </row>
    <row r="14" spans="1:56" ht="13.5" thickTop="1">
      <c r="A14" s="1">
        <v>14</v>
      </c>
      <c r="B14" s="159" t="str">
        <f t="shared" si="16"/>
        <v xml:space="preserve">    └ (관제)고객사 메뉴 관리</v>
      </c>
      <c r="C14" s="27" t="str">
        <f t="shared" si="2"/>
        <v>14821</v>
      </c>
      <c r="D14" s="121"/>
      <c r="E14" s="21">
        <v>120003</v>
      </c>
      <c r="F14" s="118" t="s">
        <v>103</v>
      </c>
      <c r="G14" s="118" t="s">
        <v>3065</v>
      </c>
      <c r="H14" s="118"/>
      <c r="I14" s="118"/>
      <c r="J14" s="118"/>
      <c r="K14" s="21" t="str">
        <f t="shared" si="3"/>
        <v>1</v>
      </c>
      <c r="L14" s="21" t="str">
        <f t="shared" si="4"/>
        <v>1</v>
      </c>
      <c r="M14" s="21" t="str">
        <f t="shared" si="5"/>
        <v>1</v>
      </c>
      <c r="N14" s="118" t="s">
        <v>54</v>
      </c>
      <c r="O14" s="118" t="s">
        <v>92</v>
      </c>
      <c r="P14" s="21" t="str">
        <f t="shared" si="6"/>
        <v>1</v>
      </c>
      <c r="Q14" s="21" t="str">
        <f t="shared" si="7"/>
        <v>1</v>
      </c>
      <c r="R14" s="21" t="str">
        <f t="shared" si="8"/>
        <v>1</v>
      </c>
      <c r="S14" s="21" t="str">
        <f t="shared" si="9"/>
        <v>1</v>
      </c>
      <c r="T14" s="21" t="str">
        <f t="shared" si="10"/>
        <v>1</v>
      </c>
      <c r="U14" s="21" t="str">
        <f t="shared" si="11"/>
        <v>1</v>
      </c>
      <c r="V14" s="21" t="str">
        <f t="shared" si="12"/>
        <v>1</v>
      </c>
      <c r="W14" s="21"/>
      <c r="X14" s="21" t="str">
        <f t="shared" si="13"/>
        <v>0</v>
      </c>
      <c r="Y14" s="21" t="str">
        <f t="shared" si="14"/>
        <v>0</v>
      </c>
      <c r="Z14" s="21" t="str">
        <f t="shared" si="15"/>
        <v>0</v>
      </c>
      <c r="AA14" s="118"/>
      <c r="AB14" s="118"/>
      <c r="AC14" s="118"/>
      <c r="AD14" s="118"/>
      <c r="AE14" s="118"/>
      <c r="AF14" s="118"/>
      <c r="AG14" s="118"/>
      <c r="AH14" s="26" t="s">
        <v>116</v>
      </c>
      <c r="AI14" s="26" t="s">
        <v>112</v>
      </c>
      <c r="AJ14" s="26">
        <v>110</v>
      </c>
      <c r="AK14" s="26" t="str">
        <f t="shared" si="0"/>
        <v>0</v>
      </c>
      <c r="AL14" s="123" t="str">
        <f t="shared" si="1"/>
        <v>14821/고객사 메뉴 관리/project/ProjMenu</v>
      </c>
      <c r="AM14" s="26" t="s">
        <v>2980</v>
      </c>
      <c r="AN14" s="26"/>
      <c r="AO14" s="26"/>
      <c r="AP14" s="26"/>
      <c r="AQ14" s="26"/>
      <c r="AR14" s="26"/>
      <c r="AS14" s="26"/>
      <c r="AT14" s="26"/>
      <c r="AU14" s="26"/>
      <c r="AV14" s="26"/>
      <c r="AW14" s="26"/>
      <c r="AX14" s="26"/>
      <c r="AY14" s="124" t="s">
        <v>1829</v>
      </c>
      <c r="AZ14" s="138" t="str">
        <f>IF(C14="","","delete from module_mst where pjt_id = '"&amp;C14&amp;"' and menu_id = '"&amp;E14&amp;"';")</f>
        <v>delete from module_mst where pjt_id = '14821' and menu_id = '120003';</v>
      </c>
      <c r="BA14" s="31" t="str">
        <f>IF(C14&lt;&gt;"",CREATE_QUERY($D$1,C$2:AY$2,C14:AY14),"")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'120003', '고객사 메뉴 관리', 'Customer menu management', '', '', '', '1', '1', '1', 'project', 'ProjMenu', '1', '1', '1', '1', '1', '1', '1', '', '0', '0', '0', '', '', '', '', '', '', '', '120000', '4', '110', '0', '14821/고객사 메뉴 관리/project/ProjMenu', '관제', 'Y');</v>
      </c>
    </row>
    <row r="15" spans="1:56">
      <c r="A15" s="1">
        <v>15</v>
      </c>
      <c r="B15" s="159" t="str">
        <f t="shared" si="16"/>
        <v xml:space="preserve">    └ (관제)테이블 내역 관리</v>
      </c>
      <c r="C15" s="27" t="str">
        <f t="shared" si="2"/>
        <v>14821</v>
      </c>
      <c r="D15" s="121"/>
      <c r="E15" s="21">
        <v>120004</v>
      </c>
      <c r="F15" s="118" t="s">
        <v>107</v>
      </c>
      <c r="G15" s="118" t="s">
        <v>3066</v>
      </c>
      <c r="H15" s="118"/>
      <c r="I15" s="118"/>
      <c r="J15" s="118"/>
      <c r="K15" s="21" t="str">
        <f t="shared" si="3"/>
        <v>1</v>
      </c>
      <c r="L15" s="21" t="str">
        <f t="shared" si="4"/>
        <v>1</v>
      </c>
      <c r="M15" s="21" t="str">
        <f t="shared" si="5"/>
        <v>1</v>
      </c>
      <c r="N15" s="118" t="s">
        <v>54</v>
      </c>
      <c r="O15" s="118" t="s">
        <v>108</v>
      </c>
      <c r="P15" s="21" t="str">
        <f t="shared" si="6"/>
        <v>1</v>
      </c>
      <c r="Q15" s="21" t="str">
        <f t="shared" si="7"/>
        <v>1</v>
      </c>
      <c r="R15" s="21" t="str">
        <f t="shared" si="8"/>
        <v>1</v>
      </c>
      <c r="S15" s="21" t="str">
        <f t="shared" si="9"/>
        <v>1</v>
      </c>
      <c r="T15" s="21" t="str">
        <f t="shared" si="10"/>
        <v>1</v>
      </c>
      <c r="U15" s="21" t="str">
        <f t="shared" si="11"/>
        <v>1</v>
      </c>
      <c r="V15" s="21" t="str">
        <f t="shared" si="12"/>
        <v>1</v>
      </c>
      <c r="W15" s="21"/>
      <c r="X15" s="21" t="str">
        <f t="shared" si="13"/>
        <v>0</v>
      </c>
      <c r="Y15" s="21" t="str">
        <f t="shared" si="14"/>
        <v>0</v>
      </c>
      <c r="Z15" s="21" t="str">
        <f t="shared" si="15"/>
        <v>0</v>
      </c>
      <c r="AA15" s="118"/>
      <c r="AB15" s="118"/>
      <c r="AC15" s="118"/>
      <c r="AD15" s="118"/>
      <c r="AE15" s="118"/>
      <c r="AF15" s="118"/>
      <c r="AG15" s="118"/>
      <c r="AH15" s="26" t="s">
        <v>116</v>
      </c>
      <c r="AI15" s="26" t="s">
        <v>112</v>
      </c>
      <c r="AJ15" s="26">
        <v>120</v>
      </c>
      <c r="AK15" s="26" t="str">
        <f t="shared" si="0"/>
        <v>0</v>
      </c>
      <c r="AL15" s="123" t="str">
        <f t="shared" si="1"/>
        <v>14821/테이블 내역 관리/project/TableManager</v>
      </c>
      <c r="AM15" s="26" t="s">
        <v>2980</v>
      </c>
      <c r="AN15" s="26"/>
      <c r="AO15" s="26"/>
      <c r="AP15" s="26"/>
      <c r="AQ15" s="26"/>
      <c r="AR15" s="26"/>
      <c r="AS15" s="26"/>
      <c r="AT15" s="26"/>
      <c r="AU15" s="26"/>
      <c r="AV15" s="26"/>
      <c r="AW15" s="26"/>
      <c r="AX15" s="26"/>
      <c r="AY15" s="124" t="s">
        <v>1829</v>
      </c>
      <c r="AZ15" s="138" t="str">
        <f>IF(C15="","","delete from module_mst where pjt_id = '"&amp;C15&amp;"' and menu_id = '"&amp;E15&amp;"';")</f>
        <v>delete from module_mst where pjt_id = '14821' and menu_id = '120004';</v>
      </c>
      <c r="BA15" s="31" t="str">
        <f>IF(C15&lt;&gt;"",CREATE_QUERY($D$1,C$2:AY$2,C15:AY15),"")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'120004', '테이블 내역 관리', 'Table history management', '', '', '', '1', '1', '1', 'project', 'TableManager', '1', '1', '1', '1', '1', '1', '1', '', '0', '0', '0', '', '', '', '', '', '', '', '120000', '4', '120', '0', '14821/테이블 내역 관리/project/TableManager', '관제', 'Y');</v>
      </c>
    </row>
    <row r="16" spans="1:56">
      <c r="A16" s="1">
        <v>16</v>
      </c>
      <c r="B16" s="159" t="str">
        <f t="shared" si="16"/>
        <v xml:space="preserve">    └ (관제)스크립트 작성</v>
      </c>
      <c r="C16" s="27" t="str">
        <f t="shared" si="2"/>
        <v>14821</v>
      </c>
      <c r="D16" s="121"/>
      <c r="E16" s="21">
        <v>120005</v>
      </c>
      <c r="F16" s="118" t="s">
        <v>109</v>
      </c>
      <c r="G16" s="118" t="s">
        <v>3067</v>
      </c>
      <c r="H16" s="118"/>
      <c r="I16" s="118"/>
      <c r="J16" s="118"/>
      <c r="K16" s="21" t="str">
        <f t="shared" si="3"/>
        <v>1</v>
      </c>
      <c r="L16" s="21" t="str">
        <f t="shared" si="4"/>
        <v>1</v>
      </c>
      <c r="M16" s="21" t="str">
        <f t="shared" si="5"/>
        <v>1</v>
      </c>
      <c r="N16" s="118" t="s">
        <v>54</v>
      </c>
      <c r="O16" s="118" t="s">
        <v>110</v>
      </c>
      <c r="P16" s="21" t="str">
        <f t="shared" si="6"/>
        <v>1</v>
      </c>
      <c r="Q16" s="21" t="str">
        <f t="shared" si="7"/>
        <v>1</v>
      </c>
      <c r="R16" s="21" t="str">
        <f t="shared" si="8"/>
        <v>1</v>
      </c>
      <c r="S16" s="21" t="str">
        <f t="shared" si="9"/>
        <v>1</v>
      </c>
      <c r="T16" s="21" t="str">
        <f t="shared" si="10"/>
        <v>1</v>
      </c>
      <c r="U16" s="21" t="str">
        <f t="shared" si="11"/>
        <v>1</v>
      </c>
      <c r="V16" s="21" t="str">
        <f t="shared" si="12"/>
        <v>1</v>
      </c>
      <c r="W16" s="21"/>
      <c r="X16" s="21" t="str">
        <f t="shared" si="13"/>
        <v>0</v>
      </c>
      <c r="Y16" s="21" t="str">
        <f t="shared" si="14"/>
        <v>0</v>
      </c>
      <c r="Z16" s="21" t="str">
        <f t="shared" si="15"/>
        <v>0</v>
      </c>
      <c r="AA16" s="118"/>
      <c r="AB16" s="118"/>
      <c r="AC16" s="118"/>
      <c r="AD16" s="118"/>
      <c r="AE16" s="118"/>
      <c r="AF16" s="118"/>
      <c r="AG16" s="118"/>
      <c r="AH16" s="26" t="s">
        <v>116</v>
      </c>
      <c r="AI16" s="26" t="s">
        <v>112</v>
      </c>
      <c r="AJ16" s="26">
        <v>130</v>
      </c>
      <c r="AK16" s="26" t="str">
        <f t="shared" si="0"/>
        <v>0</v>
      </c>
      <c r="AL16" s="123" t="str">
        <f t="shared" si="1"/>
        <v>14821/스크립트 작성/project/RndTool</v>
      </c>
      <c r="AM16" s="26" t="s">
        <v>2980</v>
      </c>
      <c r="AN16" s="26"/>
      <c r="AO16" s="26"/>
      <c r="AP16" s="26"/>
      <c r="AQ16" s="26"/>
      <c r="AR16" s="26"/>
      <c r="AS16" s="26"/>
      <c r="AT16" s="26"/>
      <c r="AU16" s="26"/>
      <c r="AV16" s="26"/>
      <c r="AW16" s="26"/>
      <c r="AX16" s="26"/>
      <c r="AY16" s="124" t="s">
        <v>1829</v>
      </c>
      <c r="AZ16" s="138" t="str">
        <f>IF(C16="","","delete from module_mst where pjt_id = '"&amp;C16&amp;"' and menu_id = '"&amp;E16&amp;"';")</f>
        <v>delete from module_mst where pjt_id = '14821' and menu_id = '120005';</v>
      </c>
      <c r="BA16" s="31" t="str">
        <f>IF(C16&lt;&gt;"",CREATE_QUERY($D$1,C$2:AY$2,C16:AY16),"")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'120005', '스크립트 작성', 'Script writing', '', '', '', '1', '1', '1', 'project', 'RndTool', '1', '1', '1', '1', '1', '1', '1', '', '0', '0', '0', '', '', '', '', '', '', '', '120000', '4', '130', '0', '14821/스크립트 작성/project/RndTool', '관제', 'Y');</v>
      </c>
    </row>
    <row r="17" spans="1:53">
      <c r="A17" s="1">
        <v>17</v>
      </c>
      <c r="B17" s="159" t="str">
        <f t="shared" si="16"/>
        <v xml:space="preserve">    └ (관제)Domain 관리</v>
      </c>
      <c r="C17" s="27" t="str">
        <f t="shared" si="2"/>
        <v>14821</v>
      </c>
      <c r="D17" s="121"/>
      <c r="E17" s="21">
        <v>120006</v>
      </c>
      <c r="F17" s="118" t="s">
        <v>84</v>
      </c>
      <c r="G17" s="118" t="s">
        <v>3068</v>
      </c>
      <c r="H17" s="118"/>
      <c r="I17" s="118"/>
      <c r="J17" s="118"/>
      <c r="K17" s="21" t="str">
        <f t="shared" si="3"/>
        <v>1</v>
      </c>
      <c r="L17" s="21" t="str">
        <f t="shared" si="4"/>
        <v>1</v>
      </c>
      <c r="M17" s="21" t="str">
        <f t="shared" si="5"/>
        <v>1</v>
      </c>
      <c r="N17" s="118" t="s">
        <v>54</v>
      </c>
      <c r="O17" s="118" t="s">
        <v>85</v>
      </c>
      <c r="P17" s="21" t="str">
        <f t="shared" si="6"/>
        <v>1</v>
      </c>
      <c r="Q17" s="21" t="str">
        <f t="shared" si="7"/>
        <v>1</v>
      </c>
      <c r="R17" s="21" t="str">
        <f t="shared" si="8"/>
        <v>1</v>
      </c>
      <c r="S17" s="21" t="str">
        <f t="shared" si="9"/>
        <v>1</v>
      </c>
      <c r="T17" s="21" t="str">
        <f t="shared" si="10"/>
        <v>1</v>
      </c>
      <c r="U17" s="21" t="str">
        <f t="shared" si="11"/>
        <v>1</v>
      </c>
      <c r="V17" s="21" t="str">
        <f t="shared" si="12"/>
        <v>1</v>
      </c>
      <c r="W17" s="21"/>
      <c r="X17" s="21" t="str">
        <f t="shared" si="13"/>
        <v>0</v>
      </c>
      <c r="Y17" s="21" t="str">
        <f t="shared" si="14"/>
        <v>0</v>
      </c>
      <c r="Z17" s="21" t="str">
        <f t="shared" si="15"/>
        <v>0</v>
      </c>
      <c r="AA17" s="118"/>
      <c r="AB17" s="118"/>
      <c r="AC17" s="118"/>
      <c r="AD17" s="118"/>
      <c r="AE17" s="118" t="s">
        <v>51</v>
      </c>
      <c r="AF17" s="118"/>
      <c r="AG17" s="118"/>
      <c r="AH17" s="26" t="s">
        <v>116</v>
      </c>
      <c r="AI17" s="26" t="s">
        <v>112</v>
      </c>
      <c r="AJ17" s="26">
        <v>140</v>
      </c>
      <c r="AK17" s="26" t="str">
        <f t="shared" si="0"/>
        <v>0</v>
      </c>
      <c r="AL17" s="123" t="str">
        <f t="shared" si="1"/>
        <v>14821/Domain 관리/project/DomainManager</v>
      </c>
      <c r="AM17" s="26" t="s">
        <v>2980</v>
      </c>
      <c r="AN17" s="26"/>
      <c r="AO17" s="26"/>
      <c r="AP17" s="26"/>
      <c r="AQ17" s="26"/>
      <c r="AR17" s="26"/>
      <c r="AS17" s="26"/>
      <c r="AT17" s="26"/>
      <c r="AU17" s="26"/>
      <c r="AV17" s="26"/>
      <c r="AW17" s="26"/>
      <c r="AX17" s="26"/>
      <c r="AY17" s="124" t="s">
        <v>1829</v>
      </c>
      <c r="AZ17" s="138" t="str">
        <f>IF(C17="","","delete from module_mst where pjt_id = '"&amp;C17&amp;"' and menu_id = '"&amp;E17&amp;"';")</f>
        <v>delete from module_mst where pjt_id = '14821' and menu_id = '120006';</v>
      </c>
      <c r="BA17" s="31" t="str">
        <f>IF(C17&lt;&gt;"",CREATE_QUERY($D$1,C$2:AY$2,C17:AY17),"")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'120006', 'Domain 관리', 'Domain management', '', '', '', '1', '1', '1', 'project', 'DomainManager', '1', '1', '1', '1', '1', '1', '1', '', '0', '0', '0', '', '', '', '', 'N', '', '', '120000', '4', '140', '0', '14821/Domain 관리/project/DomainManager', '관제', 'Y');</v>
      </c>
    </row>
    <row r="18" spans="1:53">
      <c r="A18" s="1">
        <v>18</v>
      </c>
      <c r="B18" s="159" t="str">
        <f t="shared" si="16"/>
        <v xml:space="preserve">    └ (관제)쿼리 관리자</v>
      </c>
      <c r="C18" s="27" t="str">
        <f t="shared" si="2"/>
        <v>14821</v>
      </c>
      <c r="D18" s="121"/>
      <c r="E18" s="21">
        <v>120007</v>
      </c>
      <c r="F18" s="118" t="s">
        <v>53</v>
      </c>
      <c r="G18" s="118" t="s">
        <v>3069</v>
      </c>
      <c r="H18" s="118"/>
      <c r="I18" s="118"/>
      <c r="J18" s="118"/>
      <c r="K18" s="21" t="str">
        <f t="shared" si="3"/>
        <v>1</v>
      </c>
      <c r="L18" s="21" t="str">
        <f t="shared" si="4"/>
        <v>1</v>
      </c>
      <c r="M18" s="21" t="str">
        <f t="shared" si="5"/>
        <v>1</v>
      </c>
      <c r="N18" s="118" t="s">
        <v>54</v>
      </c>
      <c r="O18" s="118" t="s">
        <v>55</v>
      </c>
      <c r="P18" s="21" t="str">
        <f t="shared" si="6"/>
        <v>1</v>
      </c>
      <c r="Q18" s="21" t="str">
        <f t="shared" si="7"/>
        <v>1</v>
      </c>
      <c r="R18" s="21" t="str">
        <f t="shared" si="8"/>
        <v>1</v>
      </c>
      <c r="S18" s="21" t="str">
        <f t="shared" si="9"/>
        <v>1</v>
      </c>
      <c r="T18" s="21" t="str">
        <f t="shared" si="10"/>
        <v>1</v>
      </c>
      <c r="U18" s="21" t="str">
        <f t="shared" si="11"/>
        <v>1</v>
      </c>
      <c r="V18" s="21" t="str">
        <f t="shared" si="12"/>
        <v>1</v>
      </c>
      <c r="W18" s="21"/>
      <c r="X18" s="21" t="str">
        <f t="shared" si="13"/>
        <v>0</v>
      </c>
      <c r="Y18" s="21" t="str">
        <f t="shared" si="14"/>
        <v>0</v>
      </c>
      <c r="Z18" s="21" t="str">
        <f t="shared" si="15"/>
        <v>0</v>
      </c>
      <c r="AA18" s="118"/>
      <c r="AB18" s="118"/>
      <c r="AC18" s="118"/>
      <c r="AD18" s="118"/>
      <c r="AE18" s="118" t="s">
        <v>56</v>
      </c>
      <c r="AF18" s="118"/>
      <c r="AG18" s="118"/>
      <c r="AH18" s="26" t="s">
        <v>116</v>
      </c>
      <c r="AI18" s="26" t="s">
        <v>112</v>
      </c>
      <c r="AJ18" s="26">
        <v>150</v>
      </c>
      <c r="AK18" s="26" t="str">
        <f t="shared" si="0"/>
        <v>0</v>
      </c>
      <c r="AL18" s="123" t="str">
        <f t="shared" si="1"/>
        <v>14821/쿼리 관리자/project/QueryMaker</v>
      </c>
      <c r="AM18" s="26" t="s">
        <v>2980</v>
      </c>
      <c r="AN18" s="26"/>
      <c r="AO18" s="26"/>
      <c r="AP18" s="26"/>
      <c r="AQ18" s="26"/>
      <c r="AR18" s="26"/>
      <c r="AS18" s="26"/>
      <c r="AT18" s="26"/>
      <c r="AU18" s="26"/>
      <c r="AV18" s="26"/>
      <c r="AW18" s="26"/>
      <c r="AX18" s="26"/>
      <c r="AY18" s="124" t="s">
        <v>1829</v>
      </c>
      <c r="AZ18" s="138" t="str">
        <f>IF(C18="","","delete from module_mst where pjt_id = '"&amp;C18&amp;"' and menu_id = '"&amp;E18&amp;"';")</f>
        <v>delete from module_mst where pjt_id = '14821' and menu_id = '120007';</v>
      </c>
      <c r="BA18" s="31" t="str">
        <f>IF(C18&lt;&gt;"",CREATE_QUERY($D$1,C$2:AY$2,C18:AY18),"")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'120007', '쿼리 관리자', 'Query Manager', '', '', '', '1', '1', '1', 'project', 'QueryMaker', '1', '1', '1', '1', '1', '1', '1', '', '0', '0', '0', '', '', '', '', 'Y', '', '', '120000', '4', '150', '0', '14821/쿼리 관리자/project/QueryMaker', '관제', 'Y');</v>
      </c>
    </row>
    <row r="19" spans="1:53">
      <c r="A19" s="1">
        <v>19</v>
      </c>
      <c r="B19" s="159" t="str">
        <f t="shared" si="16"/>
        <v xml:space="preserve">    └ (관제)실DB Table 조회</v>
      </c>
      <c r="C19" s="27" t="str">
        <f t="shared" si="2"/>
        <v>14821</v>
      </c>
      <c r="D19" s="121"/>
      <c r="E19" s="21">
        <v>120008</v>
      </c>
      <c r="F19" s="118" t="s">
        <v>2351</v>
      </c>
      <c r="G19" s="118" t="s">
        <v>3070</v>
      </c>
      <c r="H19" s="118"/>
      <c r="I19" s="118"/>
      <c r="J19" s="118"/>
      <c r="K19" s="21" t="str">
        <f t="shared" si="3"/>
        <v>1</v>
      </c>
      <c r="L19" s="21" t="str">
        <f t="shared" si="4"/>
        <v>1</v>
      </c>
      <c r="M19" s="21" t="str">
        <f t="shared" si="5"/>
        <v>1</v>
      </c>
      <c r="N19" s="118" t="s">
        <v>54</v>
      </c>
      <c r="O19" s="118" t="s">
        <v>2352</v>
      </c>
      <c r="P19" s="21" t="str">
        <f t="shared" si="6"/>
        <v>1</v>
      </c>
      <c r="Q19" s="21" t="str">
        <f t="shared" si="7"/>
        <v>1</v>
      </c>
      <c r="R19" s="21" t="str">
        <f t="shared" si="8"/>
        <v>1</v>
      </c>
      <c r="S19" s="21" t="str">
        <f t="shared" si="9"/>
        <v>1</v>
      </c>
      <c r="T19" s="21" t="str">
        <f t="shared" si="10"/>
        <v>1</v>
      </c>
      <c r="U19" s="21" t="str">
        <f t="shared" si="11"/>
        <v>1</v>
      </c>
      <c r="V19" s="21" t="str">
        <f t="shared" si="12"/>
        <v>1</v>
      </c>
      <c r="W19" s="21"/>
      <c r="X19" s="21" t="str">
        <f t="shared" si="13"/>
        <v>0</v>
      </c>
      <c r="Y19" s="21" t="str">
        <f t="shared" si="14"/>
        <v>0</v>
      </c>
      <c r="Z19" s="21" t="str">
        <f t="shared" si="15"/>
        <v>0</v>
      </c>
      <c r="AA19" s="118"/>
      <c r="AB19" s="118"/>
      <c r="AC19" s="118"/>
      <c r="AD19" s="118"/>
      <c r="AE19" s="118" t="s">
        <v>56</v>
      </c>
      <c r="AF19" s="118"/>
      <c r="AG19" s="118"/>
      <c r="AH19" s="26" t="s">
        <v>116</v>
      </c>
      <c r="AI19" s="26" t="s">
        <v>112</v>
      </c>
      <c r="AJ19" s="26">
        <v>151</v>
      </c>
      <c r="AK19" s="26" t="str">
        <f t="shared" si="0"/>
        <v>0</v>
      </c>
      <c r="AL19" s="123" t="str">
        <f t="shared" ref="AL19" si="18">IF(C19="","",C19&amp;"/"&amp;F19&amp;"/"&amp;N19&amp;"/"&amp;O19)</f>
        <v>14821/실DB Table 조회/project/TableManagerV2</v>
      </c>
      <c r="AM19" s="26" t="s">
        <v>2980</v>
      </c>
      <c r="AN19" s="26"/>
      <c r="AO19" s="26"/>
      <c r="AP19" s="26"/>
      <c r="AQ19" s="26"/>
      <c r="AR19" s="26"/>
      <c r="AS19" s="26"/>
      <c r="AT19" s="26"/>
      <c r="AU19" s="26"/>
      <c r="AV19" s="26"/>
      <c r="AW19" s="26"/>
      <c r="AX19" s="26"/>
      <c r="AY19" s="124" t="s">
        <v>1829</v>
      </c>
      <c r="AZ19" s="138" t="str">
        <f>IF(C19="","","delete from module_mst where pjt_id = '"&amp;C19&amp;"' and menu_id = '"&amp;E19&amp;"';")</f>
        <v>delete from module_mst where pjt_id = '14821' and menu_id = '120008';</v>
      </c>
      <c r="BA19" s="31" t="str">
        <f>IF(C19&lt;&gt;"",CREATE_QUERY($D$1,C$2:AY$2,C19:AY19),"")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'120008', '실DB Table 조회', 'Real DB Table Search', '', '', '', '1', '1', '1', 'project', 'TableManagerV2', '1', '1', '1', '1', '1', '1', '1', '', '0', '0', '0', '', '', '', '', 'Y', '', '', '120000', '4', '151', '0', '14821/실DB Table 조회/project/TableManagerV2', '관제', 'Y');</v>
      </c>
    </row>
    <row r="20" spans="1:53">
      <c r="A20" s="1">
        <v>20</v>
      </c>
      <c r="B20" s="164" t="str">
        <f t="shared" si="16"/>
        <v/>
      </c>
      <c r="C20" s="27" t="str">
        <f t="shared" si="2"/>
        <v/>
      </c>
      <c r="D20" s="121"/>
      <c r="E20" s="27"/>
      <c r="F20" s="121"/>
      <c r="G20" s="121" t="s">
        <v>900</v>
      </c>
      <c r="H20" s="121"/>
      <c r="I20" s="121"/>
      <c r="J20" s="121"/>
      <c r="K20" s="27" t="str">
        <f t="shared" si="3"/>
        <v/>
      </c>
      <c r="L20" s="27" t="str">
        <f t="shared" si="4"/>
        <v/>
      </c>
      <c r="M20" s="27" t="str">
        <f t="shared" si="5"/>
        <v>0</v>
      </c>
      <c r="N20" s="121"/>
      <c r="O20" s="121"/>
      <c r="P20" s="27" t="str">
        <f t="shared" si="6"/>
        <v>0</v>
      </c>
      <c r="Q20" s="27" t="str">
        <f t="shared" si="7"/>
        <v>0</v>
      </c>
      <c r="R20" s="27" t="str">
        <f t="shared" si="8"/>
        <v>0</v>
      </c>
      <c r="S20" s="27" t="str">
        <f t="shared" si="9"/>
        <v>0</v>
      </c>
      <c r="T20" s="27" t="str">
        <f t="shared" si="10"/>
        <v>0</v>
      </c>
      <c r="U20" s="27" t="str">
        <f t="shared" si="11"/>
        <v>0</v>
      </c>
      <c r="V20" s="27" t="str">
        <f t="shared" si="12"/>
        <v>1</v>
      </c>
      <c r="W20" s="27"/>
      <c r="X20" s="27" t="str">
        <f t="shared" si="13"/>
        <v/>
      </c>
      <c r="Y20" s="27" t="str">
        <f t="shared" si="14"/>
        <v/>
      </c>
      <c r="Z20" s="27" t="str">
        <f t="shared" si="15"/>
        <v/>
      </c>
      <c r="AA20" s="121"/>
      <c r="AB20" s="121"/>
      <c r="AC20" s="121"/>
      <c r="AD20" s="121"/>
      <c r="AE20" s="121"/>
      <c r="AF20" s="121"/>
      <c r="AG20" s="121"/>
      <c r="AH20" s="27"/>
      <c r="AI20" s="27"/>
      <c r="AJ20" s="27"/>
      <c r="AK20" s="27" t="str">
        <f t="shared" si="0"/>
        <v/>
      </c>
      <c r="AL20" s="123" t="str">
        <f t="shared" si="1"/>
        <v/>
      </c>
      <c r="AM20" s="27"/>
      <c r="AN20" s="27"/>
      <c r="AO20" s="27"/>
      <c r="AP20" s="27"/>
      <c r="AQ20" s="27"/>
      <c r="AR20" s="27"/>
      <c r="AS20" s="27"/>
      <c r="AT20" s="27"/>
      <c r="AU20" s="27"/>
      <c r="AV20" s="27"/>
      <c r="AW20" s="27"/>
      <c r="AX20" s="27"/>
      <c r="AY20" s="124"/>
      <c r="AZ20" s="138" t="str">
        <f>IF(C20="","","delete from module_mst where pjt_id = '"&amp;C20&amp;"' and menu_id = '"&amp;E20&amp;"';")</f>
        <v/>
      </c>
      <c r="BA20" s="31" t="str">
        <f>IF(C20&lt;&gt;"",CREATE_QUERY($D$1,C$2:AY$2,C20:AY20),"")</f>
        <v/>
      </c>
    </row>
    <row r="21" spans="1:53">
      <c r="A21" s="1">
        <v>21</v>
      </c>
      <c r="B21" s="165" t="str">
        <f t="shared" si="16"/>
        <v xml:space="preserve">  └ (관제)Server Manage</v>
      </c>
      <c r="C21" s="27" t="str">
        <f t="shared" si="2"/>
        <v>14821</v>
      </c>
      <c r="D21" s="121"/>
      <c r="E21" s="25" t="s">
        <v>117</v>
      </c>
      <c r="F21" s="127" t="s">
        <v>77</v>
      </c>
      <c r="G21" s="127" t="s">
        <v>77</v>
      </c>
      <c r="H21" s="127"/>
      <c r="I21" s="127"/>
      <c r="J21" s="127"/>
      <c r="K21" s="25" t="str">
        <f t="shared" si="3"/>
        <v/>
      </c>
      <c r="L21" s="25" t="str">
        <f t="shared" si="4"/>
        <v>1</v>
      </c>
      <c r="M21" s="25" t="str">
        <f t="shared" si="5"/>
        <v>0</v>
      </c>
      <c r="N21" s="127"/>
      <c r="O21" s="127"/>
      <c r="P21" s="25" t="str">
        <f t="shared" si="6"/>
        <v>0</v>
      </c>
      <c r="Q21" s="25" t="str">
        <f t="shared" si="7"/>
        <v>0</v>
      </c>
      <c r="R21" s="25" t="str">
        <f t="shared" si="8"/>
        <v>0</v>
      </c>
      <c r="S21" s="25" t="str">
        <f t="shared" si="9"/>
        <v>0</v>
      </c>
      <c r="T21" s="25" t="str">
        <f t="shared" si="10"/>
        <v>0</v>
      </c>
      <c r="U21" s="25" t="str">
        <f t="shared" si="11"/>
        <v>0</v>
      </c>
      <c r="V21" s="25" t="str">
        <f t="shared" si="12"/>
        <v>1</v>
      </c>
      <c r="W21" s="25"/>
      <c r="X21" s="25" t="str">
        <f t="shared" si="13"/>
        <v/>
      </c>
      <c r="Y21" s="25" t="str">
        <f t="shared" si="14"/>
        <v/>
      </c>
      <c r="Z21" s="25" t="str">
        <f t="shared" si="15"/>
        <v/>
      </c>
      <c r="AA21" s="127"/>
      <c r="AB21" s="127"/>
      <c r="AC21" s="127"/>
      <c r="AD21" s="127"/>
      <c r="AE21" s="127"/>
      <c r="AF21" s="127"/>
      <c r="AG21" s="127"/>
      <c r="AH21" s="25" t="s">
        <v>114</v>
      </c>
      <c r="AI21" s="25" t="s">
        <v>111</v>
      </c>
      <c r="AJ21" s="25">
        <v>170</v>
      </c>
      <c r="AK21" s="25" t="str">
        <f t="shared" si="0"/>
        <v>0</v>
      </c>
      <c r="AL21" s="123" t="str">
        <f t="shared" si="1"/>
        <v>14821/Server Manage//</v>
      </c>
      <c r="AM21" s="25" t="s">
        <v>2980</v>
      </c>
      <c r="AN21" s="25"/>
      <c r="AO21" s="25"/>
      <c r="AP21" s="25"/>
      <c r="AQ21" s="25"/>
      <c r="AR21" s="25"/>
      <c r="AS21" s="25"/>
      <c r="AT21" s="25"/>
      <c r="AU21" s="25"/>
      <c r="AV21" s="25"/>
      <c r="AW21" s="25"/>
      <c r="AX21" s="25"/>
      <c r="AY21" s="124" t="s">
        <v>1829</v>
      </c>
      <c r="AZ21" s="138" t="str">
        <f>IF(C21="","","delete from module_mst where pjt_id = '"&amp;C21&amp;"' and menu_id = '"&amp;E21&amp;"';")</f>
        <v>delete from module_mst where pjt_id = '14821' and menu_id = '130000';</v>
      </c>
      <c r="BA21" s="31" t="str">
        <f>IF(C21&lt;&gt;"",CREATE_QUERY($D$1,C$2:AY$2,C21:AY21),"")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'130000', 'Server Manage', 'Server Manage', '', '', '', '', '1', '0', '', '', '0', '0', '0', '0', '0', '0', '1', '', '', '', '', '', '', '', '', '', '', '', '100000', '3', '170', '0', '14821/Server Manage//', '관제', 'Y');</v>
      </c>
    </row>
    <row r="22" spans="1:53">
      <c r="A22" s="1">
        <v>22</v>
      </c>
      <c r="B22" s="159" t="str">
        <f t="shared" si="16"/>
        <v xml:space="preserve">    └ (관제)Server Network </v>
      </c>
      <c r="C22" s="27" t="str">
        <f t="shared" si="2"/>
        <v>14821</v>
      </c>
      <c r="D22" s="121"/>
      <c r="E22" s="21">
        <v>130001</v>
      </c>
      <c r="F22" s="118" t="s">
        <v>78</v>
      </c>
      <c r="G22" s="118" t="s">
        <v>3071</v>
      </c>
      <c r="H22" s="118"/>
      <c r="I22" s="118"/>
      <c r="J22" s="118"/>
      <c r="K22" s="21" t="str">
        <f t="shared" si="3"/>
        <v>1</v>
      </c>
      <c r="L22" s="21" t="str">
        <f t="shared" si="4"/>
        <v>1</v>
      </c>
      <c r="M22" s="21" t="str">
        <f t="shared" si="5"/>
        <v>1</v>
      </c>
      <c r="N22" s="118" t="s">
        <v>54</v>
      </c>
      <c r="O22" s="118" t="s">
        <v>79</v>
      </c>
      <c r="P22" s="21" t="str">
        <f t="shared" si="6"/>
        <v>1</v>
      </c>
      <c r="Q22" s="21" t="str">
        <f t="shared" si="7"/>
        <v>1</v>
      </c>
      <c r="R22" s="21" t="str">
        <f t="shared" si="8"/>
        <v>1</v>
      </c>
      <c r="S22" s="21" t="str">
        <f t="shared" si="9"/>
        <v>1</v>
      </c>
      <c r="T22" s="21" t="str">
        <f t="shared" si="10"/>
        <v>1</v>
      </c>
      <c r="U22" s="21" t="str">
        <f t="shared" si="11"/>
        <v>1</v>
      </c>
      <c r="V22" s="21" t="str">
        <f t="shared" si="12"/>
        <v>1</v>
      </c>
      <c r="W22" s="21"/>
      <c r="X22" s="21" t="str">
        <f t="shared" si="13"/>
        <v>0</v>
      </c>
      <c r="Y22" s="21" t="str">
        <f t="shared" si="14"/>
        <v>0</v>
      </c>
      <c r="Z22" s="21" t="str">
        <f t="shared" si="15"/>
        <v>0</v>
      </c>
      <c r="AA22" s="118"/>
      <c r="AB22" s="118"/>
      <c r="AC22" s="118"/>
      <c r="AD22" s="118"/>
      <c r="AE22" s="118"/>
      <c r="AF22" s="118"/>
      <c r="AG22" s="118"/>
      <c r="AH22" s="26" t="s">
        <v>117</v>
      </c>
      <c r="AI22" s="26" t="s">
        <v>112</v>
      </c>
      <c r="AJ22" s="26">
        <v>180</v>
      </c>
      <c r="AK22" s="26" t="str">
        <f t="shared" si="0"/>
        <v>0</v>
      </c>
      <c r="AL22" s="123" t="str">
        <f t="shared" si="1"/>
        <v>14821/Server Network /project/HostInfo</v>
      </c>
      <c r="AM22" s="26" t="s">
        <v>2980</v>
      </c>
      <c r="AN22" s="26"/>
      <c r="AO22" s="26"/>
      <c r="AP22" s="26"/>
      <c r="AQ22" s="26"/>
      <c r="AR22" s="26"/>
      <c r="AS22" s="26"/>
      <c r="AT22" s="26"/>
      <c r="AU22" s="26"/>
      <c r="AV22" s="26"/>
      <c r="AW22" s="26"/>
      <c r="AX22" s="26"/>
      <c r="AY22" s="124" t="s">
        <v>1829</v>
      </c>
      <c r="AZ22" s="138" t="str">
        <f>IF(C22="","","delete from module_mst where pjt_id = '"&amp;C22&amp;"' and menu_id = '"&amp;E22&amp;"';")</f>
        <v>delete from module_mst where pjt_id = '14821' and menu_id = '130001';</v>
      </c>
      <c r="BA22" s="31" t="str">
        <f>IF(C22&lt;&gt;"",CREATE_QUERY($D$1,C$2:AY$2,C22:AY22),"")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'130001', 'Server Network ', 'Server Network', '', '', '', '1', '1', '1', 'project', 'HostInfo', '1', '1', '1', '1', '1', '1', '1', '', '0', '0', '0', '', '', '', '', '', '', '', '130000', '4', '180', '0', '14821/Server Network /project/HostInfo', '관제', 'Y');</v>
      </c>
    </row>
    <row r="23" spans="1:53">
      <c r="A23" s="1">
        <v>23</v>
      </c>
      <c r="B23" s="159" t="str">
        <f t="shared" si="16"/>
        <v xml:space="preserve">    └ (관제)Server Daemon</v>
      </c>
      <c r="C23" s="27" t="str">
        <f t="shared" si="2"/>
        <v>14821</v>
      </c>
      <c r="D23" s="121"/>
      <c r="E23" s="21">
        <v>130002</v>
      </c>
      <c r="F23" s="118" t="s">
        <v>80</v>
      </c>
      <c r="G23" s="118" t="s">
        <v>80</v>
      </c>
      <c r="H23" s="118"/>
      <c r="I23" s="118"/>
      <c r="J23" s="118"/>
      <c r="K23" s="21" t="str">
        <f t="shared" si="3"/>
        <v>1</v>
      </c>
      <c r="L23" s="21" t="str">
        <f t="shared" si="4"/>
        <v>1</v>
      </c>
      <c r="M23" s="21" t="str">
        <f t="shared" si="5"/>
        <v>1</v>
      </c>
      <c r="N23" s="118" t="s">
        <v>54</v>
      </c>
      <c r="O23" s="118" t="s">
        <v>81</v>
      </c>
      <c r="P23" s="21" t="str">
        <f t="shared" si="6"/>
        <v>1</v>
      </c>
      <c r="Q23" s="21" t="str">
        <f t="shared" si="7"/>
        <v>1</v>
      </c>
      <c r="R23" s="21" t="str">
        <f t="shared" si="8"/>
        <v>1</v>
      </c>
      <c r="S23" s="21" t="str">
        <f t="shared" si="9"/>
        <v>1</v>
      </c>
      <c r="T23" s="21" t="str">
        <f t="shared" si="10"/>
        <v>1</v>
      </c>
      <c r="U23" s="21" t="str">
        <f t="shared" si="11"/>
        <v>1</v>
      </c>
      <c r="V23" s="21" t="str">
        <f t="shared" si="12"/>
        <v>1</v>
      </c>
      <c r="W23" s="21"/>
      <c r="X23" s="21" t="str">
        <f t="shared" si="13"/>
        <v>0</v>
      </c>
      <c r="Y23" s="21" t="str">
        <f t="shared" si="14"/>
        <v>0</v>
      </c>
      <c r="Z23" s="21" t="str">
        <f t="shared" si="15"/>
        <v>0</v>
      </c>
      <c r="AA23" s="118"/>
      <c r="AB23" s="118"/>
      <c r="AC23" s="118"/>
      <c r="AD23" s="118"/>
      <c r="AE23" s="118"/>
      <c r="AF23" s="118"/>
      <c r="AG23" s="118"/>
      <c r="AH23" s="26" t="s">
        <v>117</v>
      </c>
      <c r="AI23" s="26" t="s">
        <v>112</v>
      </c>
      <c r="AJ23" s="26">
        <v>190</v>
      </c>
      <c r="AK23" s="26" t="str">
        <f t="shared" si="0"/>
        <v>0</v>
      </c>
      <c r="AL23" s="123" t="str">
        <f t="shared" si="1"/>
        <v>14821/Server Daemon/project/DaemonInfo</v>
      </c>
      <c r="AM23" s="26" t="s">
        <v>2980</v>
      </c>
      <c r="AN23" s="26"/>
      <c r="AO23" s="26"/>
      <c r="AP23" s="26"/>
      <c r="AQ23" s="26"/>
      <c r="AR23" s="26"/>
      <c r="AS23" s="26"/>
      <c r="AT23" s="26"/>
      <c r="AU23" s="26"/>
      <c r="AV23" s="26"/>
      <c r="AW23" s="26"/>
      <c r="AX23" s="26"/>
      <c r="AY23" s="124" t="s">
        <v>1829</v>
      </c>
      <c r="AZ23" s="138" t="str">
        <f>IF(C23="","","delete from module_mst where pjt_id = '"&amp;C23&amp;"' and menu_id = '"&amp;E23&amp;"';")</f>
        <v>delete from module_mst where pjt_id = '14821' and menu_id = '130002';</v>
      </c>
      <c r="BA23" s="31" t="str">
        <f>IF(C23&lt;&gt;"",CREATE_QUERY($D$1,C$2:AY$2,C23:AY23),"")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'130002', 'Server Daemon', 'Server Daemon', '', '', '', '1', '1', '1', 'project', 'DaemonInfo', '1', '1', '1', '1', '1', '1', '1', '', '0', '0', '0', '', '', '', '', '', '', '', '130000', '4', '190', '0', '14821/Server Daemon/project/DaemonInfo', '관제', 'Y');</v>
      </c>
    </row>
    <row r="24" spans="1:53">
      <c r="A24" s="1">
        <v>24</v>
      </c>
      <c r="B24" s="159" t="str">
        <f t="shared" si="16"/>
        <v xml:space="preserve">    └ (관제)Data Base Connection</v>
      </c>
      <c r="C24" s="27" t="str">
        <f t="shared" si="2"/>
        <v>14821</v>
      </c>
      <c r="D24" s="121"/>
      <c r="E24" s="21">
        <v>130003</v>
      </c>
      <c r="F24" s="118" t="s">
        <v>82</v>
      </c>
      <c r="G24" s="118" t="s">
        <v>82</v>
      </c>
      <c r="H24" s="118"/>
      <c r="I24" s="118"/>
      <c r="J24" s="118"/>
      <c r="K24" s="21" t="str">
        <f t="shared" si="3"/>
        <v>1</v>
      </c>
      <c r="L24" s="21" t="str">
        <f t="shared" si="4"/>
        <v>1</v>
      </c>
      <c r="M24" s="21" t="str">
        <f t="shared" si="5"/>
        <v>1</v>
      </c>
      <c r="N24" s="118" t="s">
        <v>54</v>
      </c>
      <c r="O24" s="118" t="s">
        <v>83</v>
      </c>
      <c r="P24" s="21" t="str">
        <f t="shared" si="6"/>
        <v>1</v>
      </c>
      <c r="Q24" s="21" t="str">
        <f t="shared" si="7"/>
        <v>1</v>
      </c>
      <c r="R24" s="21" t="str">
        <f t="shared" si="8"/>
        <v>1</v>
      </c>
      <c r="S24" s="21" t="str">
        <f t="shared" si="9"/>
        <v>1</v>
      </c>
      <c r="T24" s="21" t="str">
        <f t="shared" si="10"/>
        <v>1</v>
      </c>
      <c r="U24" s="21" t="str">
        <f t="shared" si="11"/>
        <v>1</v>
      </c>
      <c r="V24" s="21" t="str">
        <f t="shared" si="12"/>
        <v>1</v>
      </c>
      <c r="W24" s="21"/>
      <c r="X24" s="21" t="str">
        <f t="shared" si="13"/>
        <v>0</v>
      </c>
      <c r="Y24" s="21" t="str">
        <f t="shared" si="14"/>
        <v>0</v>
      </c>
      <c r="Z24" s="21" t="str">
        <f t="shared" si="15"/>
        <v>0</v>
      </c>
      <c r="AA24" s="118"/>
      <c r="AB24" s="118"/>
      <c r="AC24" s="118"/>
      <c r="AD24" s="118"/>
      <c r="AE24" s="118"/>
      <c r="AF24" s="118"/>
      <c r="AG24" s="118"/>
      <c r="AH24" s="26" t="s">
        <v>117</v>
      </c>
      <c r="AI24" s="26" t="s">
        <v>112</v>
      </c>
      <c r="AJ24" s="26">
        <v>200</v>
      </c>
      <c r="AK24" s="26" t="str">
        <f t="shared" si="0"/>
        <v>0</v>
      </c>
      <c r="AL24" s="123" t="str">
        <f t="shared" si="1"/>
        <v>14821/Data Base Connection/project/HostDdns</v>
      </c>
      <c r="AM24" s="26" t="s">
        <v>2980</v>
      </c>
      <c r="AN24" s="26"/>
      <c r="AO24" s="26"/>
      <c r="AP24" s="26"/>
      <c r="AQ24" s="26"/>
      <c r="AR24" s="26"/>
      <c r="AS24" s="26"/>
      <c r="AT24" s="26"/>
      <c r="AU24" s="26"/>
      <c r="AV24" s="26"/>
      <c r="AW24" s="26"/>
      <c r="AX24" s="26"/>
      <c r="AY24" s="124" t="s">
        <v>1829</v>
      </c>
      <c r="AZ24" s="138" t="str">
        <f>IF(C24="","","delete from module_mst where pjt_id = '"&amp;C24&amp;"' and menu_id = '"&amp;E24&amp;"';")</f>
        <v>delete from module_mst where pjt_id = '14821' and menu_id = '130003';</v>
      </c>
      <c r="BA24" s="31" t="str">
        <f>IF(C24&lt;&gt;"",CREATE_QUERY($D$1,C$2:AY$2,C24:AY24),"")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'130003', 'Data Base Connection', 'Data Base Connection', '', '', '', '1', '1', '1', 'project', 'HostDdns', '1', '1', '1', '1', '1', '1', '1', '', '0', '0', '0', '', '', '', '', '', '', '', '130000', '4', '200', '0', '14821/Data Base Connection/project/HostDdns', '관제', 'Y');</v>
      </c>
    </row>
    <row r="25" spans="1:53">
      <c r="A25" s="1">
        <v>25</v>
      </c>
      <c r="B25" s="164" t="str">
        <f t="shared" si="16"/>
        <v/>
      </c>
      <c r="C25" s="27" t="str">
        <f t="shared" si="2"/>
        <v/>
      </c>
      <c r="D25" s="121"/>
      <c r="E25" s="27"/>
      <c r="F25" s="121"/>
      <c r="G25" s="121" t="s">
        <v>900</v>
      </c>
      <c r="H25" s="121"/>
      <c r="I25" s="121"/>
      <c r="J25" s="121"/>
      <c r="K25" s="27" t="str">
        <f t="shared" si="3"/>
        <v/>
      </c>
      <c r="L25" s="27" t="str">
        <f t="shared" si="4"/>
        <v/>
      </c>
      <c r="M25" s="27" t="str">
        <f t="shared" si="5"/>
        <v>0</v>
      </c>
      <c r="N25" s="121"/>
      <c r="O25" s="121"/>
      <c r="P25" s="27" t="str">
        <f t="shared" si="6"/>
        <v>0</v>
      </c>
      <c r="Q25" s="27" t="str">
        <f t="shared" si="7"/>
        <v>0</v>
      </c>
      <c r="R25" s="27" t="str">
        <f t="shared" si="8"/>
        <v>0</v>
      </c>
      <c r="S25" s="27" t="str">
        <f t="shared" si="9"/>
        <v>0</v>
      </c>
      <c r="T25" s="27" t="str">
        <f t="shared" si="10"/>
        <v>0</v>
      </c>
      <c r="U25" s="27" t="str">
        <f t="shared" si="11"/>
        <v>0</v>
      </c>
      <c r="V25" s="27" t="str">
        <f t="shared" si="12"/>
        <v>1</v>
      </c>
      <c r="W25" s="27"/>
      <c r="X25" s="27" t="str">
        <f t="shared" si="13"/>
        <v/>
      </c>
      <c r="Y25" s="27" t="str">
        <f t="shared" si="14"/>
        <v/>
      </c>
      <c r="Z25" s="27" t="str">
        <f t="shared" si="15"/>
        <v/>
      </c>
      <c r="AA25" s="121"/>
      <c r="AB25" s="121"/>
      <c r="AC25" s="121"/>
      <c r="AD25" s="121"/>
      <c r="AE25" s="121"/>
      <c r="AF25" s="121"/>
      <c r="AG25" s="121"/>
      <c r="AH25" s="27"/>
      <c r="AI25" s="27"/>
      <c r="AJ25" s="27"/>
      <c r="AK25" s="27" t="str">
        <f t="shared" si="0"/>
        <v/>
      </c>
      <c r="AL25" s="123" t="str">
        <f t="shared" si="1"/>
        <v/>
      </c>
      <c r="AM25" s="27"/>
      <c r="AN25" s="27"/>
      <c r="AO25" s="27"/>
      <c r="AP25" s="27"/>
      <c r="AQ25" s="27"/>
      <c r="AR25" s="27"/>
      <c r="AS25" s="27"/>
      <c r="AT25" s="27"/>
      <c r="AU25" s="27"/>
      <c r="AV25" s="27"/>
      <c r="AW25" s="27"/>
      <c r="AX25" s="27"/>
      <c r="AY25" s="124"/>
      <c r="AZ25" s="138" t="str">
        <f>IF(C25="","","delete from module_mst where pjt_id = '"&amp;C25&amp;"' and menu_id = '"&amp;E25&amp;"';")</f>
        <v/>
      </c>
      <c r="BA25" s="31" t="str">
        <f>IF(C25&lt;&gt;"",CREATE_QUERY($D$1,C$2:AY$2,C25:AY25),"")</f>
        <v/>
      </c>
    </row>
    <row r="26" spans="1:53">
      <c r="A26" s="1">
        <v>26</v>
      </c>
      <c r="B26" s="165" t="str">
        <f t="shared" si="16"/>
        <v xml:space="preserve">  └ (관제)기초 코드 관리(System)</v>
      </c>
      <c r="C26" s="27" t="str">
        <f t="shared" si="2"/>
        <v>14821</v>
      </c>
      <c r="D26" s="121"/>
      <c r="E26" s="25" t="s">
        <v>118</v>
      </c>
      <c r="F26" s="127" t="s">
        <v>98</v>
      </c>
      <c r="G26" s="127" t="s">
        <v>3218</v>
      </c>
      <c r="H26" s="127"/>
      <c r="I26" s="127"/>
      <c r="J26" s="127"/>
      <c r="K26" s="25" t="str">
        <f t="shared" si="3"/>
        <v>1</v>
      </c>
      <c r="L26" s="25" t="str">
        <f t="shared" si="4"/>
        <v>1</v>
      </c>
      <c r="M26" s="25" t="str">
        <f t="shared" si="5"/>
        <v>1</v>
      </c>
      <c r="N26" s="127" t="s">
        <v>54</v>
      </c>
      <c r="O26" s="127" t="s">
        <v>74</v>
      </c>
      <c r="P26" s="25" t="str">
        <f t="shared" si="6"/>
        <v>1</v>
      </c>
      <c r="Q26" s="25" t="str">
        <f t="shared" si="7"/>
        <v>1</v>
      </c>
      <c r="R26" s="25" t="str">
        <f t="shared" si="8"/>
        <v>1</v>
      </c>
      <c r="S26" s="25" t="str">
        <f t="shared" si="9"/>
        <v>1</v>
      </c>
      <c r="T26" s="25" t="str">
        <f t="shared" si="10"/>
        <v>1</v>
      </c>
      <c r="U26" s="25" t="str">
        <f t="shared" si="11"/>
        <v>1</v>
      </c>
      <c r="V26" s="25" t="str">
        <f t="shared" si="12"/>
        <v>1</v>
      </c>
      <c r="W26" s="25"/>
      <c r="X26" s="25" t="str">
        <f t="shared" si="13"/>
        <v>0</v>
      </c>
      <c r="Y26" s="25" t="str">
        <f t="shared" si="14"/>
        <v>0</v>
      </c>
      <c r="Z26" s="25" t="str">
        <f t="shared" si="15"/>
        <v>0</v>
      </c>
      <c r="AA26" s="127"/>
      <c r="AB26" s="127"/>
      <c r="AC26" s="127"/>
      <c r="AD26" s="127"/>
      <c r="AE26" s="127"/>
      <c r="AF26" s="127"/>
      <c r="AG26" s="127"/>
      <c r="AH26" s="25" t="s">
        <v>114</v>
      </c>
      <c r="AI26" s="25" t="s">
        <v>111</v>
      </c>
      <c r="AJ26" s="25">
        <v>220</v>
      </c>
      <c r="AK26" s="25" t="str">
        <f t="shared" si="0"/>
        <v>0</v>
      </c>
      <c r="AL26" s="123" t="str">
        <f t="shared" si="1"/>
        <v>14821/기초 코드 관리(System)/project/SscdMast</v>
      </c>
      <c r="AM26" s="25" t="s">
        <v>2980</v>
      </c>
      <c r="AN26" s="25"/>
      <c r="AO26" s="25"/>
      <c r="AP26" s="25"/>
      <c r="AQ26" s="25"/>
      <c r="AR26" s="25"/>
      <c r="AS26" s="25"/>
      <c r="AT26" s="25"/>
      <c r="AU26" s="25"/>
      <c r="AV26" s="25"/>
      <c r="AW26" s="25"/>
      <c r="AX26" s="25"/>
      <c r="AY26" s="124" t="s">
        <v>1829</v>
      </c>
      <c r="AZ26" s="138" t="str">
        <f>IF(C26="","","delete from module_mst where pjt_id = '"&amp;C26&amp;"' and menu_id = '"&amp;E26&amp;"';")</f>
        <v>delete from module_mst where pjt_id = '14821' and menu_id = '140000';</v>
      </c>
      <c r="BA26" s="31" t="str">
        <f>IF(C26&lt;&gt;"",CREATE_QUERY($D$1,C$2:AY$2,C26:AY26),"")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'140000', '기초 코드 관리(System)', 'Basic code management(System)', '', '', '', '1', '1', '1', 'project', 'SscdMast', '1', '1', '1', '1', '1', '1', '1', '', '0', '0', '0', '', '', '', '', '', '', '', '100000', '3', '220', '0', '14821/기초 코드 관리(System)/project/SscdMast', '관제', 'Y');</v>
      </c>
    </row>
    <row r="27" spans="1:53">
      <c r="A27" s="1">
        <v>27</v>
      </c>
      <c r="B27" s="164" t="str">
        <f t="shared" si="16"/>
        <v/>
      </c>
      <c r="C27" s="27" t="str">
        <f t="shared" si="2"/>
        <v/>
      </c>
      <c r="D27" s="121"/>
      <c r="E27" s="27"/>
      <c r="F27" s="121"/>
      <c r="G27" s="121" t="s">
        <v>900</v>
      </c>
      <c r="H27" s="121"/>
      <c r="I27" s="121"/>
      <c r="J27" s="121"/>
      <c r="K27" s="27" t="str">
        <f t="shared" si="3"/>
        <v/>
      </c>
      <c r="L27" s="27" t="str">
        <f t="shared" si="4"/>
        <v/>
      </c>
      <c r="M27" s="27" t="str">
        <f t="shared" si="5"/>
        <v>0</v>
      </c>
      <c r="N27" s="121"/>
      <c r="O27" s="121"/>
      <c r="P27" s="27" t="str">
        <f t="shared" si="6"/>
        <v>0</v>
      </c>
      <c r="Q27" s="27" t="str">
        <f t="shared" si="7"/>
        <v>0</v>
      </c>
      <c r="R27" s="27" t="str">
        <f t="shared" si="8"/>
        <v>0</v>
      </c>
      <c r="S27" s="27" t="str">
        <f t="shared" si="9"/>
        <v>0</v>
      </c>
      <c r="T27" s="27" t="str">
        <f t="shared" si="10"/>
        <v>0</v>
      </c>
      <c r="U27" s="27" t="str">
        <f t="shared" si="11"/>
        <v>0</v>
      </c>
      <c r="V27" s="27" t="str">
        <f t="shared" si="12"/>
        <v>1</v>
      </c>
      <c r="W27" s="27"/>
      <c r="X27" s="27" t="str">
        <f t="shared" si="13"/>
        <v/>
      </c>
      <c r="Y27" s="27" t="str">
        <f t="shared" si="14"/>
        <v/>
      </c>
      <c r="Z27" s="27" t="str">
        <f t="shared" si="15"/>
        <v/>
      </c>
      <c r="AA27" s="121"/>
      <c r="AB27" s="121"/>
      <c r="AC27" s="121"/>
      <c r="AD27" s="121"/>
      <c r="AE27" s="121"/>
      <c r="AF27" s="121"/>
      <c r="AG27" s="121"/>
      <c r="AH27" s="27"/>
      <c r="AI27" s="27"/>
      <c r="AJ27" s="27">
        <v>230</v>
      </c>
      <c r="AK27" s="27" t="str">
        <f t="shared" si="0"/>
        <v/>
      </c>
      <c r="AL27" s="123" t="str">
        <f t="shared" si="1"/>
        <v/>
      </c>
      <c r="AM27" s="27"/>
      <c r="AN27" s="27"/>
      <c r="AO27" s="27"/>
      <c r="AP27" s="27"/>
      <c r="AQ27" s="27"/>
      <c r="AR27" s="27"/>
      <c r="AS27" s="27"/>
      <c r="AT27" s="27"/>
      <c r="AU27" s="27"/>
      <c r="AV27" s="27"/>
      <c r="AW27" s="27"/>
      <c r="AX27" s="27"/>
      <c r="AY27" s="124"/>
      <c r="AZ27" s="138" t="str">
        <f>IF(C27="","","delete from module_mst where pjt_id = '"&amp;C27&amp;"' and menu_id = '"&amp;E27&amp;"';")</f>
        <v/>
      </c>
      <c r="BA27" s="31" t="str">
        <f>IF(C27&lt;&gt;"",CREATE_QUERY($D$1,C$2:AY$2,C27:AY27),"")</f>
        <v/>
      </c>
    </row>
    <row r="28" spans="1:53">
      <c r="A28" s="1">
        <v>28</v>
      </c>
      <c r="B28" s="162" t="str">
        <f t="shared" si="16"/>
        <v xml:space="preserve">  └ (관제)계정 관리</v>
      </c>
      <c r="C28" s="27" t="str">
        <f t="shared" si="2"/>
        <v>14821</v>
      </c>
      <c r="D28" s="121"/>
      <c r="E28" s="24" t="s">
        <v>119</v>
      </c>
      <c r="F28" s="127" t="s">
        <v>93</v>
      </c>
      <c r="G28" s="127" t="s">
        <v>3072</v>
      </c>
      <c r="H28" s="127"/>
      <c r="I28" s="127"/>
      <c r="J28" s="127"/>
      <c r="K28" s="25" t="str">
        <f t="shared" si="3"/>
        <v/>
      </c>
      <c r="L28" s="25" t="str">
        <f t="shared" si="4"/>
        <v>1</v>
      </c>
      <c r="M28" s="25" t="str">
        <f t="shared" si="5"/>
        <v>0</v>
      </c>
      <c r="N28" s="127"/>
      <c r="O28" s="127"/>
      <c r="P28" s="25" t="str">
        <f t="shared" si="6"/>
        <v>0</v>
      </c>
      <c r="Q28" s="25" t="str">
        <f t="shared" si="7"/>
        <v>0</v>
      </c>
      <c r="R28" s="25" t="str">
        <f t="shared" si="8"/>
        <v>0</v>
      </c>
      <c r="S28" s="25" t="str">
        <f t="shared" si="9"/>
        <v>0</v>
      </c>
      <c r="T28" s="25" t="str">
        <f t="shared" si="10"/>
        <v>0</v>
      </c>
      <c r="U28" s="25" t="str">
        <f t="shared" si="11"/>
        <v>0</v>
      </c>
      <c r="V28" s="25" t="str">
        <f t="shared" si="12"/>
        <v>1</v>
      </c>
      <c r="W28" s="25"/>
      <c r="X28" s="25" t="str">
        <f t="shared" si="13"/>
        <v/>
      </c>
      <c r="Y28" s="25" t="str">
        <f t="shared" si="14"/>
        <v/>
      </c>
      <c r="Z28" s="25" t="str">
        <f t="shared" si="15"/>
        <v/>
      </c>
      <c r="AA28" s="127"/>
      <c r="AB28" s="127"/>
      <c r="AC28" s="127"/>
      <c r="AD28" s="127"/>
      <c r="AE28" s="127"/>
      <c r="AF28" s="127"/>
      <c r="AG28" s="127"/>
      <c r="AH28" s="24" t="s">
        <v>114</v>
      </c>
      <c r="AI28" s="24" t="s">
        <v>111</v>
      </c>
      <c r="AJ28" s="24">
        <v>240</v>
      </c>
      <c r="AK28" s="24" t="str">
        <f t="shared" si="0"/>
        <v>0</v>
      </c>
      <c r="AL28" s="123" t="str">
        <f t="shared" si="1"/>
        <v>14821/계정 관리//</v>
      </c>
      <c r="AM28" s="24" t="s">
        <v>2980</v>
      </c>
      <c r="AN28" s="24"/>
      <c r="AO28" s="24"/>
      <c r="AP28" s="24"/>
      <c r="AQ28" s="24"/>
      <c r="AR28" s="24"/>
      <c r="AS28" s="24"/>
      <c r="AT28" s="24"/>
      <c r="AU28" s="24"/>
      <c r="AV28" s="24"/>
      <c r="AW28" s="24"/>
      <c r="AX28" s="24"/>
      <c r="AY28" s="124" t="s">
        <v>1829</v>
      </c>
      <c r="AZ28" s="138" t="str">
        <f>IF(C28="","","delete from module_mst where pjt_id = '"&amp;C28&amp;"' and menu_id = '"&amp;E28&amp;"';")</f>
        <v>delete from module_mst where pjt_id = '14821' and menu_id = '150000';</v>
      </c>
      <c r="BA28" s="31" t="str">
        <f>IF(C28&lt;&gt;"",CREATE_QUERY($D$1,C$2:AY$2,C28:AY28),"")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'150000', '계정 관리', 'Account management', '', '', '', '', '1', '0', '', '', '0', '0', '0', '0', '0', '0', '1', '', '', '', '', '', '', '', '', '', '', '', '100000', '3', '240', '0', '14821/계정 관리//', '관제', 'Y');</v>
      </c>
    </row>
    <row r="29" spans="1:53">
      <c r="A29" s="1">
        <v>29</v>
      </c>
      <c r="B29" s="159" t="str">
        <f t="shared" si="16"/>
        <v xml:space="preserve">    └ (관제)사용자 계정 관리</v>
      </c>
      <c r="C29" s="27" t="str">
        <f t="shared" si="2"/>
        <v>14821</v>
      </c>
      <c r="D29" s="121"/>
      <c r="E29" s="21">
        <v>150001</v>
      </c>
      <c r="F29" s="118" t="s">
        <v>94</v>
      </c>
      <c r="G29" s="118" t="s">
        <v>3073</v>
      </c>
      <c r="H29" s="118"/>
      <c r="I29" s="118"/>
      <c r="J29" s="118"/>
      <c r="K29" s="21" t="str">
        <f t="shared" si="3"/>
        <v>1</v>
      </c>
      <c r="L29" s="21" t="str">
        <f t="shared" si="4"/>
        <v>1</v>
      </c>
      <c r="M29" s="21" t="str">
        <f t="shared" si="5"/>
        <v>1</v>
      </c>
      <c r="N29" s="118" t="s">
        <v>87</v>
      </c>
      <c r="O29" s="118" t="s">
        <v>64</v>
      </c>
      <c r="P29" s="21" t="str">
        <f t="shared" si="6"/>
        <v>1</v>
      </c>
      <c r="Q29" s="21" t="str">
        <f t="shared" si="7"/>
        <v>1</v>
      </c>
      <c r="R29" s="21" t="str">
        <f t="shared" si="8"/>
        <v>1</v>
      </c>
      <c r="S29" s="21" t="str">
        <f t="shared" si="9"/>
        <v>1</v>
      </c>
      <c r="T29" s="21" t="str">
        <f t="shared" si="10"/>
        <v>1</v>
      </c>
      <c r="U29" s="21" t="str">
        <f t="shared" si="11"/>
        <v>1</v>
      </c>
      <c r="V29" s="21" t="str">
        <f t="shared" si="12"/>
        <v>1</v>
      </c>
      <c r="W29" s="21"/>
      <c r="X29" s="21" t="str">
        <f t="shared" si="13"/>
        <v>0</v>
      </c>
      <c r="Y29" s="21" t="str">
        <f t="shared" si="14"/>
        <v>0</v>
      </c>
      <c r="Z29" s="21" t="str">
        <f t="shared" si="15"/>
        <v>0</v>
      </c>
      <c r="AA29" s="118"/>
      <c r="AB29" s="118"/>
      <c r="AC29" s="118"/>
      <c r="AD29" s="118"/>
      <c r="AE29" s="118"/>
      <c r="AF29" s="118"/>
      <c r="AG29" s="118"/>
      <c r="AH29" s="26" t="s">
        <v>119</v>
      </c>
      <c r="AI29" s="26" t="s">
        <v>112</v>
      </c>
      <c r="AJ29" s="26">
        <v>250</v>
      </c>
      <c r="AK29" s="26" t="str">
        <f t="shared" si="0"/>
        <v>0</v>
      </c>
      <c r="AL29" s="123" t="str">
        <f t="shared" si="1"/>
        <v>14821/사용자 계정 관리/contr/UserInfo</v>
      </c>
      <c r="AM29" s="26" t="s">
        <v>2980</v>
      </c>
      <c r="AN29" s="26"/>
      <c r="AO29" s="26"/>
      <c r="AP29" s="26"/>
      <c r="AQ29" s="26"/>
      <c r="AR29" s="26"/>
      <c r="AS29" s="26"/>
      <c r="AT29" s="26"/>
      <c r="AU29" s="26"/>
      <c r="AV29" s="26"/>
      <c r="AW29" s="26"/>
      <c r="AX29" s="26"/>
      <c r="AY29" s="124" t="s">
        <v>1829</v>
      </c>
      <c r="AZ29" s="138" t="str">
        <f>IF(C29="","","delete from module_mst where pjt_id = '"&amp;C29&amp;"' and menu_id = '"&amp;E29&amp;"';")</f>
        <v>delete from module_mst where pjt_id = '14821' and menu_id = '150001';</v>
      </c>
      <c r="BA29" s="31" t="str">
        <f>IF(C29&lt;&gt;"",CREATE_QUERY($D$1,C$2:AY$2,C29:AY29),"")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'150001', '사용자 계정 관리', 'User account management', '', '', '', '1', '1', '1', 'contr', 'UserInfo', '1', '1', '1', '1', '1', '1', '1', '', '0', '0', '0', '', '', '', '', '', '', '', '150000', '4', '250', '0', '14821/사용자 계정 관리/contr/UserInfo', '관제', 'Y');</v>
      </c>
    </row>
    <row r="30" spans="1:53">
      <c r="A30" s="1">
        <v>30</v>
      </c>
      <c r="B30" s="159" t="str">
        <f t="shared" si="16"/>
        <v xml:space="preserve">    └ (관제)사용자 부서 관리</v>
      </c>
      <c r="C30" s="27" t="str">
        <f t="shared" si="2"/>
        <v>14821</v>
      </c>
      <c r="D30" s="121"/>
      <c r="E30" s="21">
        <v>150002</v>
      </c>
      <c r="F30" s="118" t="s">
        <v>95</v>
      </c>
      <c r="G30" s="118" t="s">
        <v>3074</v>
      </c>
      <c r="H30" s="118"/>
      <c r="I30" s="118"/>
      <c r="J30" s="118"/>
      <c r="K30" s="21" t="str">
        <f t="shared" si="3"/>
        <v>1</v>
      </c>
      <c r="L30" s="21" t="str">
        <f t="shared" si="4"/>
        <v>1</v>
      </c>
      <c r="M30" s="21" t="str">
        <f t="shared" si="5"/>
        <v>1</v>
      </c>
      <c r="N30" s="118" t="s">
        <v>87</v>
      </c>
      <c r="O30" s="118" t="s">
        <v>62</v>
      </c>
      <c r="P30" s="21" t="str">
        <f t="shared" si="6"/>
        <v>1</v>
      </c>
      <c r="Q30" s="21" t="str">
        <f t="shared" si="7"/>
        <v>1</v>
      </c>
      <c r="R30" s="21" t="str">
        <f t="shared" si="8"/>
        <v>1</v>
      </c>
      <c r="S30" s="21" t="str">
        <f t="shared" si="9"/>
        <v>1</v>
      </c>
      <c r="T30" s="21" t="str">
        <f t="shared" si="10"/>
        <v>1</v>
      </c>
      <c r="U30" s="21" t="str">
        <f t="shared" si="11"/>
        <v>1</v>
      </c>
      <c r="V30" s="21" t="str">
        <f t="shared" si="12"/>
        <v>1</v>
      </c>
      <c r="W30" s="21"/>
      <c r="X30" s="21" t="str">
        <f t="shared" si="13"/>
        <v>0</v>
      </c>
      <c r="Y30" s="21" t="str">
        <f t="shared" si="14"/>
        <v>0</v>
      </c>
      <c r="Z30" s="21" t="str">
        <f t="shared" si="15"/>
        <v>0</v>
      </c>
      <c r="AA30" s="118"/>
      <c r="AB30" s="118"/>
      <c r="AC30" s="118"/>
      <c r="AD30" s="118"/>
      <c r="AE30" s="118"/>
      <c r="AF30" s="118"/>
      <c r="AG30" s="118"/>
      <c r="AH30" s="26" t="s">
        <v>119</v>
      </c>
      <c r="AI30" s="26" t="s">
        <v>112</v>
      </c>
      <c r="AJ30" s="26">
        <v>260</v>
      </c>
      <c r="AK30" s="26" t="str">
        <f t="shared" si="0"/>
        <v>0</v>
      </c>
      <c r="AL30" s="123" t="str">
        <f t="shared" si="1"/>
        <v>14821/사용자 부서 관리/contr/DeptInfo</v>
      </c>
      <c r="AM30" s="26" t="s">
        <v>2980</v>
      </c>
      <c r="AN30" s="26"/>
      <c r="AO30" s="26"/>
      <c r="AP30" s="26"/>
      <c r="AQ30" s="26"/>
      <c r="AR30" s="26"/>
      <c r="AS30" s="26"/>
      <c r="AT30" s="26"/>
      <c r="AU30" s="26"/>
      <c r="AV30" s="26"/>
      <c r="AW30" s="26"/>
      <c r="AX30" s="26"/>
      <c r="AY30" s="124" t="s">
        <v>1829</v>
      </c>
      <c r="AZ30" s="138" t="str">
        <f>IF(C30="","","delete from module_mst where pjt_id = '"&amp;C30&amp;"' and menu_id = '"&amp;E30&amp;"';")</f>
        <v>delete from module_mst where pjt_id = '14821' and menu_id = '150002';</v>
      </c>
      <c r="BA30" s="31" t="str">
        <f>IF(C30&lt;&gt;"",CREATE_QUERY($D$1,C$2:AY$2,C30:AY30),"")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'150002', '사용자 부서 관리', 'User department management', '', '', '', '1', '1', '1', 'contr', 'DeptInfo', '1', '1', '1', '1', '1', '1', '1', '', '0', '0', '0', '', '', '', '', '', '', '', '150000', '4', '260', '0', '14821/사용자 부서 관리/contr/DeptInfo', '관제', 'Y');</v>
      </c>
    </row>
    <row r="31" spans="1:53">
      <c r="A31" s="1">
        <v>31</v>
      </c>
      <c r="B31" s="159" t="str">
        <f t="shared" si="16"/>
        <v xml:space="preserve">    └ (관제)사용자 권한 관리</v>
      </c>
      <c r="C31" s="27" t="str">
        <f t="shared" si="2"/>
        <v>14821</v>
      </c>
      <c r="D31" s="121"/>
      <c r="E31" s="21">
        <v>150003</v>
      </c>
      <c r="F31" s="118" t="s">
        <v>96</v>
      </c>
      <c r="G31" s="118" t="s">
        <v>3219</v>
      </c>
      <c r="H31" s="118"/>
      <c r="I31" s="118"/>
      <c r="J31" s="118"/>
      <c r="K31" s="21" t="str">
        <f t="shared" si="3"/>
        <v>1</v>
      </c>
      <c r="L31" s="21" t="str">
        <f t="shared" si="4"/>
        <v>1</v>
      </c>
      <c r="M31" s="21" t="str">
        <f t="shared" si="5"/>
        <v>1</v>
      </c>
      <c r="N31" s="118" t="s">
        <v>61</v>
      </c>
      <c r="O31" s="118" t="s">
        <v>72</v>
      </c>
      <c r="P31" s="21" t="str">
        <f t="shared" si="6"/>
        <v>1</v>
      </c>
      <c r="Q31" s="21" t="str">
        <f t="shared" si="7"/>
        <v>1</v>
      </c>
      <c r="R31" s="21" t="str">
        <f t="shared" si="8"/>
        <v>1</v>
      </c>
      <c r="S31" s="21" t="str">
        <f t="shared" si="9"/>
        <v>1</v>
      </c>
      <c r="T31" s="21" t="str">
        <f t="shared" si="10"/>
        <v>1</v>
      </c>
      <c r="U31" s="21" t="str">
        <f t="shared" si="11"/>
        <v>1</v>
      </c>
      <c r="V31" s="21" t="str">
        <f t="shared" si="12"/>
        <v>1</v>
      </c>
      <c r="W31" s="21"/>
      <c r="X31" s="21" t="str">
        <f t="shared" si="13"/>
        <v>0</v>
      </c>
      <c r="Y31" s="21" t="str">
        <f t="shared" si="14"/>
        <v>0</v>
      </c>
      <c r="Z31" s="21" t="str">
        <f t="shared" si="15"/>
        <v>0</v>
      </c>
      <c r="AA31" s="118"/>
      <c r="AB31" s="118"/>
      <c r="AC31" s="118"/>
      <c r="AD31" s="118"/>
      <c r="AE31" s="118"/>
      <c r="AF31" s="118"/>
      <c r="AG31" s="118"/>
      <c r="AH31" s="26" t="s">
        <v>119</v>
      </c>
      <c r="AI31" s="26" t="s">
        <v>112</v>
      </c>
      <c r="AJ31" s="26">
        <v>270</v>
      </c>
      <c r="AK31" s="26" t="str">
        <f t="shared" si="0"/>
        <v>0</v>
      </c>
      <c r="AL31" s="123" t="str">
        <f t="shared" si="1"/>
        <v>14821/사용자 권한 관리/user/UserAuth</v>
      </c>
      <c r="AM31" s="26" t="s">
        <v>2980</v>
      </c>
      <c r="AN31" s="26"/>
      <c r="AO31" s="26"/>
      <c r="AP31" s="26"/>
      <c r="AQ31" s="26"/>
      <c r="AR31" s="26"/>
      <c r="AS31" s="26"/>
      <c r="AT31" s="26"/>
      <c r="AU31" s="26"/>
      <c r="AV31" s="26"/>
      <c r="AW31" s="26"/>
      <c r="AX31" s="26"/>
      <c r="AY31" s="124" t="s">
        <v>1829</v>
      </c>
      <c r="AZ31" s="138" t="str">
        <f>IF(C31="","","delete from module_mst where pjt_id = '"&amp;C31&amp;"' and menu_id = '"&amp;E31&amp;"';")</f>
        <v>delete from module_mst where pjt_id = '14821' and menu_id = '150003';</v>
      </c>
      <c r="BA31" s="31" t="str">
        <f>IF(C31&lt;&gt;"",CREATE_QUERY($D$1,C$2:AY$2,C31:AY31),"")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'150003', '사용자 권한 관리', 'User authority management', '', '', '', '1', '1', '1', 'user', 'UserAuth', '1', '1', '1', '1', '1', '1', '1', '', '0', '0', '0', '', '', '', '', '', '', '', '150000', '4', '270', '0', '14821/사용자 권한 관리/user/UserAuth', '관제', 'Y');</v>
      </c>
    </row>
    <row r="32" spans="1:53">
      <c r="A32" s="1">
        <v>32</v>
      </c>
      <c r="B32" s="164" t="str">
        <f t="shared" si="16"/>
        <v/>
      </c>
      <c r="C32" s="27" t="str">
        <f t="shared" si="2"/>
        <v/>
      </c>
      <c r="D32" s="121"/>
      <c r="E32" s="27"/>
      <c r="F32" s="121"/>
      <c r="G32" s="121" t="s">
        <v>900</v>
      </c>
      <c r="H32" s="121"/>
      <c r="I32" s="121"/>
      <c r="J32" s="121"/>
      <c r="K32" s="27" t="str">
        <f t="shared" si="3"/>
        <v/>
      </c>
      <c r="L32" s="27" t="str">
        <f t="shared" si="4"/>
        <v/>
      </c>
      <c r="M32" s="27" t="str">
        <f t="shared" si="5"/>
        <v>0</v>
      </c>
      <c r="N32" s="121"/>
      <c r="O32" s="121"/>
      <c r="P32" s="27" t="str">
        <f t="shared" si="6"/>
        <v>0</v>
      </c>
      <c r="Q32" s="27" t="str">
        <f t="shared" si="7"/>
        <v>0</v>
      </c>
      <c r="R32" s="27" t="str">
        <f t="shared" si="8"/>
        <v>0</v>
      </c>
      <c r="S32" s="27" t="str">
        <f t="shared" si="9"/>
        <v>0</v>
      </c>
      <c r="T32" s="27" t="str">
        <f t="shared" si="10"/>
        <v>0</v>
      </c>
      <c r="U32" s="27" t="str">
        <f t="shared" si="11"/>
        <v>0</v>
      </c>
      <c r="V32" s="27" t="str">
        <f t="shared" si="12"/>
        <v>1</v>
      </c>
      <c r="W32" s="27"/>
      <c r="X32" s="27" t="str">
        <f t="shared" si="13"/>
        <v/>
      </c>
      <c r="Y32" s="27" t="str">
        <f t="shared" si="14"/>
        <v/>
      </c>
      <c r="Z32" s="27" t="str">
        <f t="shared" si="15"/>
        <v/>
      </c>
      <c r="AA32" s="121"/>
      <c r="AB32" s="121"/>
      <c r="AC32" s="121"/>
      <c r="AD32" s="121"/>
      <c r="AE32" s="121"/>
      <c r="AF32" s="121"/>
      <c r="AG32" s="121"/>
      <c r="AH32" s="27"/>
      <c r="AI32" s="27"/>
      <c r="AJ32" s="27"/>
      <c r="AK32" s="27" t="str">
        <f t="shared" si="0"/>
        <v/>
      </c>
      <c r="AL32" s="123" t="str">
        <f t="shared" si="1"/>
        <v/>
      </c>
      <c r="AM32" s="27"/>
      <c r="AN32" s="27"/>
      <c r="AO32" s="27"/>
      <c r="AP32" s="27"/>
      <c r="AQ32" s="27"/>
      <c r="AR32" s="27"/>
      <c r="AS32" s="27"/>
      <c r="AT32" s="27"/>
      <c r="AU32" s="27"/>
      <c r="AV32" s="27"/>
      <c r="AW32" s="27"/>
      <c r="AX32" s="27"/>
      <c r="AY32" s="124"/>
      <c r="AZ32" s="138" t="str">
        <f>IF(C32="","","delete from module_mst where pjt_id = '"&amp;C32&amp;"' and menu_id = '"&amp;E32&amp;"';")</f>
        <v/>
      </c>
      <c r="BA32" s="31" t="str">
        <f>IF(C32&lt;&gt;"",CREATE_QUERY($D$1,C$2:AY$2,C32:AY32),"")</f>
        <v/>
      </c>
    </row>
    <row r="33" spans="1:53">
      <c r="A33" s="1">
        <v>33</v>
      </c>
      <c r="B33" s="161" t="str">
        <f t="shared" si="16"/>
        <v>└ WIS MES System</v>
      </c>
      <c r="C33" s="27" t="str">
        <f t="shared" si="2"/>
        <v>14821</v>
      </c>
      <c r="D33" s="125"/>
      <c r="E33" s="126" t="s">
        <v>120</v>
      </c>
      <c r="F33" s="125" t="s">
        <v>86</v>
      </c>
      <c r="G33" s="125" t="s">
        <v>86</v>
      </c>
      <c r="H33" s="125"/>
      <c r="I33" s="125"/>
      <c r="J33" s="125"/>
      <c r="K33" s="23" t="str">
        <f t="shared" si="3"/>
        <v/>
      </c>
      <c r="L33" s="23" t="str">
        <f t="shared" si="4"/>
        <v>1</v>
      </c>
      <c r="M33" s="23" t="str">
        <f t="shared" si="5"/>
        <v>0</v>
      </c>
      <c r="N33" s="125"/>
      <c r="O33" s="125"/>
      <c r="P33" s="23" t="str">
        <f t="shared" si="6"/>
        <v>0</v>
      </c>
      <c r="Q33" s="23" t="str">
        <f t="shared" si="7"/>
        <v>0</v>
      </c>
      <c r="R33" s="23" t="str">
        <f t="shared" si="8"/>
        <v>0</v>
      </c>
      <c r="S33" s="23" t="str">
        <f t="shared" si="9"/>
        <v>0</v>
      </c>
      <c r="T33" s="23" t="str">
        <f t="shared" si="10"/>
        <v>0</v>
      </c>
      <c r="U33" s="23" t="str">
        <f t="shared" si="11"/>
        <v>0</v>
      </c>
      <c r="V33" s="23" t="str">
        <f t="shared" si="12"/>
        <v>1</v>
      </c>
      <c r="W33" s="23"/>
      <c r="X33" s="23" t="str">
        <f t="shared" si="13"/>
        <v/>
      </c>
      <c r="Y33" s="23" t="str">
        <f t="shared" si="14"/>
        <v/>
      </c>
      <c r="Z33" s="23" t="str">
        <f t="shared" si="15"/>
        <v/>
      </c>
      <c r="AA33" s="125"/>
      <c r="AB33" s="125"/>
      <c r="AC33" s="125"/>
      <c r="AD33" s="125"/>
      <c r="AE33" s="125"/>
      <c r="AF33" s="125"/>
      <c r="AG33" s="125"/>
      <c r="AH33" s="23" t="s">
        <v>47</v>
      </c>
      <c r="AI33" s="23" t="s">
        <v>52</v>
      </c>
      <c r="AJ33" s="23">
        <v>10000</v>
      </c>
      <c r="AK33" s="23" t="str">
        <f t="shared" si="0"/>
        <v>0</v>
      </c>
      <c r="AL33" s="123" t="str">
        <f t="shared" si="1"/>
        <v>14821/WIS MES System//</v>
      </c>
      <c r="AM33" s="23" t="s">
        <v>2979</v>
      </c>
      <c r="AN33" s="23" t="str">
        <f t="shared" ref="AN33:AX33" ca="1" si="19">IF(COUNTIF(AN35:AN431,"="&amp;"Y")&gt;0,"Y",IF(COUNTIF(AN35:AN431,"="&amp;"-")&gt;0,"m",""))</f>
        <v>Y</v>
      </c>
      <c r="AO33" s="23" t="str">
        <f t="shared" ca="1" si="19"/>
        <v>Y</v>
      </c>
      <c r="AP33" s="23" t="str">
        <f t="shared" ca="1" si="19"/>
        <v>Y</v>
      </c>
      <c r="AQ33" s="23" t="str">
        <f t="shared" ca="1" si="19"/>
        <v>Y</v>
      </c>
      <c r="AR33" s="23" t="str">
        <f t="shared" ca="1" si="19"/>
        <v>Y</v>
      </c>
      <c r="AS33" s="23" t="str">
        <f t="shared" ca="1" si="19"/>
        <v>Y</v>
      </c>
      <c r="AT33" s="23" t="str">
        <f t="shared" ca="1" si="19"/>
        <v>Y</v>
      </c>
      <c r="AU33" s="23" t="str">
        <f t="shared" ca="1" si="19"/>
        <v>Y</v>
      </c>
      <c r="AV33" s="23" t="str">
        <f t="shared" ca="1" si="19"/>
        <v>Y</v>
      </c>
      <c r="AW33" s="23" t="str">
        <f t="shared" ca="1" si="19"/>
        <v>Y</v>
      </c>
      <c r="AX33" s="23" t="str">
        <f t="shared" ca="1" si="19"/>
        <v>Y</v>
      </c>
      <c r="AY33" s="124"/>
      <c r="AZ33" s="138" t="str">
        <f>IF(C33="","","delete from module_mst where pjt_id = '"&amp;C33&amp;"' and menu_id = '"&amp;E33&amp;"';")</f>
        <v>delete from module_mst where pjt_id = '14821' and menu_id = '200000';</v>
      </c>
      <c r="BA33" s="31" t="str">
        <f ca="1">IF(C33&lt;&gt;"",CREATE_QUERY($D$1,C$2:AY$2,C33:AY33),"")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'150003', '사용자 권한 관리', 'User authority management', '', '', '', '1', '1', '1', 'user', 'UserAuth', '1', '1', '1', '1', '1', '1', '1', '', '0', '0', '0', '', '', '', '', '', '', '', '150000', '4', '270', '0', '14821/사용자 권한 관리/user/UserAuth', '관제', 'Y');</v>
      </c>
    </row>
    <row r="34" spans="1:53">
      <c r="A34" s="1">
        <v>34</v>
      </c>
      <c r="B34" s="162" t="str">
        <f t="shared" si="16"/>
        <v xml:space="preserve">  └ 기준정보관리</v>
      </c>
      <c r="C34" s="27" t="str">
        <f t="shared" si="2"/>
        <v>14821</v>
      </c>
      <c r="D34" s="121"/>
      <c r="E34" s="24" t="s">
        <v>121</v>
      </c>
      <c r="F34" s="127" t="s">
        <v>57</v>
      </c>
      <c r="G34" s="127" t="s">
        <v>3075</v>
      </c>
      <c r="H34" s="127"/>
      <c r="I34" s="127"/>
      <c r="J34" s="127"/>
      <c r="K34" s="25" t="str">
        <f t="shared" si="3"/>
        <v/>
      </c>
      <c r="L34" s="25" t="str">
        <f t="shared" si="4"/>
        <v>1</v>
      </c>
      <c r="M34" s="25" t="str">
        <f t="shared" si="5"/>
        <v>0</v>
      </c>
      <c r="N34" s="127"/>
      <c r="O34" s="127"/>
      <c r="P34" s="25" t="str">
        <f t="shared" si="6"/>
        <v>0</v>
      </c>
      <c r="Q34" s="25" t="str">
        <f t="shared" si="7"/>
        <v>0</v>
      </c>
      <c r="R34" s="25" t="str">
        <f t="shared" si="8"/>
        <v>0</v>
      </c>
      <c r="S34" s="25" t="str">
        <f t="shared" si="9"/>
        <v>0</v>
      </c>
      <c r="T34" s="25" t="str">
        <f t="shared" si="10"/>
        <v>0</v>
      </c>
      <c r="U34" s="25" t="str">
        <f t="shared" si="11"/>
        <v>0</v>
      </c>
      <c r="V34" s="25" t="str">
        <f t="shared" si="12"/>
        <v>1</v>
      </c>
      <c r="W34" s="25"/>
      <c r="X34" s="25" t="str">
        <f t="shared" si="13"/>
        <v/>
      </c>
      <c r="Y34" s="25" t="str">
        <f t="shared" si="14"/>
        <v/>
      </c>
      <c r="Z34" s="25" t="str">
        <f t="shared" si="15"/>
        <v/>
      </c>
      <c r="AA34" s="127"/>
      <c r="AB34" s="127"/>
      <c r="AC34" s="127"/>
      <c r="AD34" s="127"/>
      <c r="AE34" s="127" t="s">
        <v>51</v>
      </c>
      <c r="AF34" s="127"/>
      <c r="AG34" s="127"/>
      <c r="AH34" s="24" t="s">
        <v>120</v>
      </c>
      <c r="AI34" s="24" t="s">
        <v>111</v>
      </c>
      <c r="AJ34" s="24">
        <v>11000</v>
      </c>
      <c r="AK34" s="24" t="str">
        <f t="shared" si="0"/>
        <v>0</v>
      </c>
      <c r="AL34" s="123" t="str">
        <f t="shared" si="1"/>
        <v>14821/기준정보관리//</v>
      </c>
      <c r="AM34" s="24" t="s">
        <v>2979</v>
      </c>
      <c r="AN34" s="24" t="str">
        <f t="shared" ref="AN34:AX34" si="20">IF(COUNTIF(AN35:AN91,"="&amp;"Y")&gt;0,"Y",IF(COUNTIF(AN35:AN91,"="&amp;"-")&gt;0,"m",""))</f>
        <v>Y</v>
      </c>
      <c r="AO34" s="24" t="str">
        <f t="shared" si="20"/>
        <v>Y</v>
      </c>
      <c r="AP34" s="24" t="str">
        <f t="shared" si="20"/>
        <v>Y</v>
      </c>
      <c r="AQ34" s="24" t="str">
        <f t="shared" si="20"/>
        <v>Y</v>
      </c>
      <c r="AR34" s="24" t="str">
        <f t="shared" si="20"/>
        <v>Y</v>
      </c>
      <c r="AS34" s="24" t="str">
        <f t="shared" si="20"/>
        <v>Y</v>
      </c>
      <c r="AT34" s="24" t="str">
        <f t="shared" si="20"/>
        <v>Y</v>
      </c>
      <c r="AU34" s="24" t="str">
        <f t="shared" si="20"/>
        <v>Y</v>
      </c>
      <c r="AV34" s="24" t="str">
        <f t="shared" si="20"/>
        <v>Y</v>
      </c>
      <c r="AW34" s="24" t="str">
        <f t="shared" si="20"/>
        <v>Y</v>
      </c>
      <c r="AX34" s="24" t="str">
        <f t="shared" si="20"/>
        <v>Y</v>
      </c>
      <c r="AY34" s="124"/>
      <c r="AZ34" s="138" t="str">
        <f>IF(C34="","","delete from module_mst where pjt_id = '"&amp;C34&amp;"' and menu_id = '"&amp;E34&amp;"';")</f>
        <v>delete from module_mst where pjt_id = '14821' and menu_id = '210000';</v>
      </c>
      <c r="BA34" s="31" t="str">
        <f>IF(C34&lt;&gt;"",CREATE_QUERY($D$1,C$2:AY$2,C34:AY34),"")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'210000', '기준정보관리', 'Standard information management', '', '', '', '', '1', '0', '', '', '0', '0', '0', '0', '0', '0', '1', '', '', '', '', '', '', '', '', 'N', '', '', '200000', '3', '11000', '0', '14821/기준정보관리//', '메뉴', '');</v>
      </c>
    </row>
    <row r="35" spans="1:53">
      <c r="A35" s="1">
        <v>35</v>
      </c>
      <c r="B35" s="159" t="str">
        <f t="shared" si="16"/>
        <v xml:space="preserve">    └ (공통)기초코드관리</v>
      </c>
      <c r="C35" s="27" t="str">
        <f t="shared" si="2"/>
        <v>14821</v>
      </c>
      <c r="D35" s="121"/>
      <c r="E35" s="21">
        <v>210001</v>
      </c>
      <c r="F35" s="118" t="s">
        <v>58</v>
      </c>
      <c r="G35" s="118" t="s">
        <v>3076</v>
      </c>
      <c r="H35" s="118"/>
      <c r="I35" s="118"/>
      <c r="J35" s="118"/>
      <c r="K35" s="21" t="str">
        <f t="shared" si="3"/>
        <v>1</v>
      </c>
      <c r="L35" s="21" t="str">
        <f t="shared" si="4"/>
        <v>1</v>
      </c>
      <c r="M35" s="21" t="str">
        <f t="shared" si="5"/>
        <v>1</v>
      </c>
      <c r="N35" s="118" t="s">
        <v>59</v>
      </c>
      <c r="O35" s="118" t="s">
        <v>73</v>
      </c>
      <c r="P35" s="21" t="str">
        <f t="shared" si="6"/>
        <v>1</v>
      </c>
      <c r="Q35" s="21" t="str">
        <f t="shared" si="7"/>
        <v>1</v>
      </c>
      <c r="R35" s="21" t="str">
        <f t="shared" si="8"/>
        <v>1</v>
      </c>
      <c r="S35" s="21" t="str">
        <f t="shared" si="9"/>
        <v>1</v>
      </c>
      <c r="T35" s="21" t="str">
        <f t="shared" si="10"/>
        <v>1</v>
      </c>
      <c r="U35" s="21" t="str">
        <f t="shared" si="11"/>
        <v>1</v>
      </c>
      <c r="V35" s="21" t="str">
        <f t="shared" si="12"/>
        <v>1</v>
      </c>
      <c r="W35" s="21"/>
      <c r="X35" s="21" t="str">
        <f t="shared" si="13"/>
        <v>0</v>
      </c>
      <c r="Y35" s="21" t="str">
        <f t="shared" si="14"/>
        <v>0</v>
      </c>
      <c r="Z35" s="21" t="str">
        <f t="shared" si="15"/>
        <v>0</v>
      </c>
      <c r="AA35" s="118"/>
      <c r="AB35" s="118"/>
      <c r="AC35" s="118"/>
      <c r="AD35" s="118"/>
      <c r="AE35" s="118" t="s">
        <v>51</v>
      </c>
      <c r="AF35" s="118"/>
      <c r="AG35" s="118"/>
      <c r="AH35" s="26" t="s">
        <v>121</v>
      </c>
      <c r="AI35" s="26" t="s">
        <v>112</v>
      </c>
      <c r="AJ35" s="26">
        <v>11010</v>
      </c>
      <c r="AK35" s="26" t="str">
        <f t="shared" si="0"/>
        <v>0</v>
      </c>
      <c r="AL35" s="123" t="str">
        <f t="shared" si="1"/>
        <v>14821/기초코드관리/basic/BaseMast</v>
      </c>
      <c r="AM35" s="26" t="s">
        <v>2981</v>
      </c>
      <c r="AN35" s="26" t="s">
        <v>1829</v>
      </c>
      <c r="AO35" s="26" t="s">
        <v>1829</v>
      </c>
      <c r="AP35" s="26" t="s">
        <v>1829</v>
      </c>
      <c r="AQ35" s="26" t="s">
        <v>1829</v>
      </c>
      <c r="AR35" s="26" t="s">
        <v>1829</v>
      </c>
      <c r="AS35" s="26" t="s">
        <v>1829</v>
      </c>
      <c r="AT35" s="26" t="s">
        <v>1829</v>
      </c>
      <c r="AU35" s="26" t="s">
        <v>1829</v>
      </c>
      <c r="AV35" s="26" t="s">
        <v>1829</v>
      </c>
      <c r="AW35" s="26" t="s">
        <v>1829</v>
      </c>
      <c r="AX35" s="26" t="s">
        <v>1829</v>
      </c>
      <c r="AY35" s="124"/>
      <c r="AZ35" s="138" t="str">
        <f>IF(C35="","","delete from module_mst where pjt_id = '"&amp;C35&amp;"' and menu_id = '"&amp;E35&amp;"';")</f>
        <v>delete from module_mst where pjt_id = '14821' and menu_id = '210001';</v>
      </c>
      <c r="BA35" s="31" t="str">
        <f>IF(C35&lt;&gt;"",CREATE_QUERY($D$1,C$2:AY$2,C35:AY35),"")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'210001', '기초코드관리', 'Basic code management', '', '', '', '1', '1', '1', 'basic', 'BaseMast', '1', '1', '1', '1', '1', '1', '1', '', '0', '0', '0', '', '', '', '', 'N', '', '', '210000', '4', '11010', '0', '14821/기초코드관리/basic/BaseMast', '공통', '');</v>
      </c>
    </row>
    <row r="36" spans="1:53">
      <c r="A36" s="1">
        <v>36</v>
      </c>
      <c r="B36" s="159" t="str">
        <f t="shared" si="16"/>
        <v xml:space="preserve">    └ (공통)명칭코드 관리</v>
      </c>
      <c r="C36" s="27" t="str">
        <f t="shared" si="2"/>
        <v>14821</v>
      </c>
      <c r="D36" s="121"/>
      <c r="E36" s="21">
        <v>210002</v>
      </c>
      <c r="F36" s="118" t="s">
        <v>60</v>
      </c>
      <c r="G36" s="118" t="s">
        <v>3077</v>
      </c>
      <c r="H36" s="118"/>
      <c r="I36" s="118"/>
      <c r="J36" s="118"/>
      <c r="K36" s="21" t="str">
        <f t="shared" si="3"/>
        <v>1</v>
      </c>
      <c r="L36" s="21" t="str">
        <f t="shared" si="4"/>
        <v>1</v>
      </c>
      <c r="M36" s="21" t="str">
        <f t="shared" si="5"/>
        <v>1</v>
      </c>
      <c r="N36" s="118" t="s">
        <v>59</v>
      </c>
      <c r="O36" s="118" t="s">
        <v>285</v>
      </c>
      <c r="P36" s="21" t="str">
        <f t="shared" si="6"/>
        <v>1</v>
      </c>
      <c r="Q36" s="21" t="str">
        <f t="shared" si="7"/>
        <v>1</v>
      </c>
      <c r="R36" s="21" t="str">
        <f t="shared" si="8"/>
        <v>1</v>
      </c>
      <c r="S36" s="21" t="str">
        <f t="shared" si="9"/>
        <v>1</v>
      </c>
      <c r="T36" s="21" t="str">
        <f t="shared" si="10"/>
        <v>1</v>
      </c>
      <c r="U36" s="21" t="str">
        <f t="shared" si="11"/>
        <v>1</v>
      </c>
      <c r="V36" s="21" t="str">
        <f t="shared" si="12"/>
        <v>1</v>
      </c>
      <c r="W36" s="21"/>
      <c r="X36" s="21" t="str">
        <f t="shared" si="13"/>
        <v>0</v>
      </c>
      <c r="Y36" s="21" t="str">
        <f t="shared" si="14"/>
        <v>0</v>
      </c>
      <c r="Z36" s="21" t="str">
        <f t="shared" si="15"/>
        <v>0</v>
      </c>
      <c r="AA36" s="118"/>
      <c r="AB36" s="118"/>
      <c r="AC36" s="118"/>
      <c r="AD36" s="118"/>
      <c r="AE36" s="118" t="s">
        <v>56</v>
      </c>
      <c r="AF36" s="118"/>
      <c r="AG36" s="118"/>
      <c r="AH36" s="26" t="s">
        <v>121</v>
      </c>
      <c r="AI36" s="26" t="s">
        <v>112</v>
      </c>
      <c r="AJ36" s="21">
        <v>11020</v>
      </c>
      <c r="AK36" s="21" t="str">
        <f t="shared" si="0"/>
        <v>0</v>
      </c>
      <c r="AL36" s="123" t="str">
        <f t="shared" si="1"/>
        <v>14821/명칭코드 관리/basic/CSscdMast</v>
      </c>
      <c r="AM36" s="21" t="s">
        <v>2981</v>
      </c>
      <c r="AN36" s="21"/>
      <c r="AO36" s="21"/>
      <c r="AP36" s="21"/>
      <c r="AQ36" s="21"/>
      <c r="AR36" s="21"/>
      <c r="AS36" s="21"/>
      <c r="AT36" s="21"/>
      <c r="AU36" s="21"/>
      <c r="AV36" s="21"/>
      <c r="AW36" s="21"/>
      <c r="AX36" s="21"/>
      <c r="AY36" s="124"/>
      <c r="AZ36" s="138" t="str">
        <f>IF(C36="","","delete from module_mst where pjt_id = '"&amp;C36&amp;"' and menu_id = '"&amp;E36&amp;"';")</f>
        <v>delete from module_mst where pjt_id = '14821' and menu_id = '210002';</v>
      </c>
      <c r="BA36" s="31" t="str">
        <f>IF(C36&lt;&gt;"",CREATE_QUERY($D$1,C$2:AY$2,C36:AY36),"")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'210002', '명칭코드 관리', 'Name code management', '', '', '', '1', '1', '1', 'basic', 'CSscdMast', '1', '1', '1', '1', '1', '1', '1', '', '0', '0', '0', '', '', '', '', 'Y', '', '', '210000', '4', '11020', '0', '14821/명칭코드 관리/basic/CSscdMast', '공통', '');</v>
      </c>
    </row>
    <row r="37" spans="1:53">
      <c r="A37" s="1">
        <v>37</v>
      </c>
      <c r="B37" s="159" t="str">
        <f t="shared" si="16"/>
        <v xml:space="preserve">    └ (공통)창고코드 관리</v>
      </c>
      <c r="C37" s="27" t="str">
        <f t="shared" si="2"/>
        <v>14821</v>
      </c>
      <c r="D37" s="121"/>
      <c r="E37" s="21">
        <v>210003</v>
      </c>
      <c r="F37" s="118" t="s">
        <v>157</v>
      </c>
      <c r="G37" s="118" t="s">
        <v>3078</v>
      </c>
      <c r="H37" s="118"/>
      <c r="I37" s="118"/>
      <c r="J37" s="118"/>
      <c r="K37" s="21" t="str">
        <f t="shared" si="3"/>
        <v>1</v>
      </c>
      <c r="L37" s="21" t="str">
        <f t="shared" si="4"/>
        <v>1</v>
      </c>
      <c r="M37" s="21" t="str">
        <f t="shared" si="5"/>
        <v>1</v>
      </c>
      <c r="N37" s="118" t="s">
        <v>59</v>
      </c>
      <c r="O37" s="118" t="s">
        <v>158</v>
      </c>
      <c r="P37" s="21" t="str">
        <f t="shared" si="6"/>
        <v>1</v>
      </c>
      <c r="Q37" s="21" t="str">
        <f t="shared" si="7"/>
        <v>1</v>
      </c>
      <c r="R37" s="21" t="str">
        <f t="shared" si="8"/>
        <v>1</v>
      </c>
      <c r="S37" s="21" t="str">
        <f t="shared" si="9"/>
        <v>1</v>
      </c>
      <c r="T37" s="21" t="str">
        <f t="shared" si="10"/>
        <v>1</v>
      </c>
      <c r="U37" s="21" t="str">
        <f t="shared" si="11"/>
        <v>1</v>
      </c>
      <c r="V37" s="21" t="str">
        <f t="shared" si="12"/>
        <v>1</v>
      </c>
      <c r="W37" s="21"/>
      <c r="X37" s="21" t="str">
        <f t="shared" si="13"/>
        <v>0</v>
      </c>
      <c r="Y37" s="21" t="str">
        <f t="shared" si="14"/>
        <v>0</v>
      </c>
      <c r="Z37" s="21" t="str">
        <f t="shared" si="15"/>
        <v>0</v>
      </c>
      <c r="AA37" s="118"/>
      <c r="AB37" s="118"/>
      <c r="AC37" s="118"/>
      <c r="AD37" s="118"/>
      <c r="AE37" s="118" t="s">
        <v>56</v>
      </c>
      <c r="AF37" s="118"/>
      <c r="AG37" s="118"/>
      <c r="AH37" s="26" t="s">
        <v>121</v>
      </c>
      <c r="AI37" s="26" t="s">
        <v>112</v>
      </c>
      <c r="AJ37" s="21">
        <v>11030</v>
      </c>
      <c r="AK37" s="21" t="str">
        <f t="shared" si="0"/>
        <v>0</v>
      </c>
      <c r="AL37" s="123" t="str">
        <f t="shared" si="1"/>
        <v>14821/창고코드 관리/basic/WrhsMast</v>
      </c>
      <c r="AM37" s="21" t="s">
        <v>2981</v>
      </c>
      <c r="AN37" s="21" t="s">
        <v>1829</v>
      </c>
      <c r="AO37" s="21" t="s">
        <v>1829</v>
      </c>
      <c r="AP37" s="21" t="s">
        <v>1829</v>
      </c>
      <c r="AQ37" s="21" t="s">
        <v>1829</v>
      </c>
      <c r="AR37" s="21" t="s">
        <v>1829</v>
      </c>
      <c r="AS37" s="21" t="s">
        <v>1829</v>
      </c>
      <c r="AT37" s="21" t="s">
        <v>1829</v>
      </c>
      <c r="AU37" s="21" t="s">
        <v>1829</v>
      </c>
      <c r="AV37" s="21" t="s">
        <v>1829</v>
      </c>
      <c r="AW37" s="21" t="s">
        <v>1829</v>
      </c>
      <c r="AX37" s="21" t="s">
        <v>1829</v>
      </c>
      <c r="AY37" s="124"/>
      <c r="AZ37" s="138" t="str">
        <f>IF(C37="","","delete from module_mst where pjt_id = '"&amp;C37&amp;"' and menu_id = '"&amp;E37&amp;"';")</f>
        <v>delete from module_mst where pjt_id = '14821' and menu_id = '210003';</v>
      </c>
      <c r="BA37" s="31" t="str">
        <f>IF(C37&lt;&gt;"",CREATE_QUERY($D$1,C$2:AY$2,C37:AY37),"")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'210003', '창고코드 관리', 'Warehouse code management', '', '', '', '1', '1', '1', 'basic', 'WrhsMast', '1', '1', '1', '1', '1', '1', '1', '', '0', '0', '0', '', '', '', '', 'Y', '', '', '210000', '4', '11030', '0', '14821/창고코드 관리/basic/WrhsMast', '공통', '');</v>
      </c>
    </row>
    <row r="38" spans="1:53">
      <c r="A38" s="1">
        <v>38</v>
      </c>
      <c r="B38" s="159" t="str">
        <f t="shared" si="16"/>
        <v xml:space="preserve">    └ (공통)기능창고 관리</v>
      </c>
      <c r="C38" s="27" t="str">
        <f t="shared" si="2"/>
        <v>14821</v>
      </c>
      <c r="D38" s="121"/>
      <c r="E38" s="21">
        <v>210004</v>
      </c>
      <c r="F38" s="118" t="s">
        <v>282</v>
      </c>
      <c r="G38" s="118" t="s">
        <v>3079</v>
      </c>
      <c r="H38" s="118"/>
      <c r="I38" s="118"/>
      <c r="J38" s="118"/>
      <c r="K38" s="21" t="str">
        <f t="shared" si="3"/>
        <v>1</v>
      </c>
      <c r="L38" s="21" t="str">
        <f t="shared" si="4"/>
        <v>1</v>
      </c>
      <c r="M38" s="21" t="str">
        <f t="shared" si="5"/>
        <v>1</v>
      </c>
      <c r="N38" s="118" t="s">
        <v>59</v>
      </c>
      <c r="O38" s="118" t="s">
        <v>159</v>
      </c>
      <c r="P38" s="21" t="str">
        <f t="shared" si="6"/>
        <v>1</v>
      </c>
      <c r="Q38" s="21" t="str">
        <f t="shared" si="7"/>
        <v>1</v>
      </c>
      <c r="R38" s="21" t="str">
        <f t="shared" si="8"/>
        <v>1</v>
      </c>
      <c r="S38" s="21" t="str">
        <f t="shared" si="9"/>
        <v>1</v>
      </c>
      <c r="T38" s="21" t="str">
        <f t="shared" si="10"/>
        <v>1</v>
      </c>
      <c r="U38" s="21" t="str">
        <f t="shared" si="11"/>
        <v>1</v>
      </c>
      <c r="V38" s="21" t="str">
        <f t="shared" si="12"/>
        <v>1</v>
      </c>
      <c r="W38" s="21"/>
      <c r="X38" s="21" t="str">
        <f t="shared" si="13"/>
        <v>0</v>
      </c>
      <c r="Y38" s="21" t="str">
        <f t="shared" si="14"/>
        <v>0</v>
      </c>
      <c r="Z38" s="21" t="str">
        <f t="shared" si="15"/>
        <v>0</v>
      </c>
      <c r="AA38" s="118"/>
      <c r="AB38" s="118"/>
      <c r="AC38" s="118"/>
      <c r="AD38" s="118"/>
      <c r="AE38" s="118" t="s">
        <v>56</v>
      </c>
      <c r="AF38" s="118"/>
      <c r="AG38" s="118"/>
      <c r="AH38" s="26" t="s">
        <v>121</v>
      </c>
      <c r="AI38" s="26" t="s">
        <v>112</v>
      </c>
      <c r="AJ38" s="21">
        <v>11040</v>
      </c>
      <c r="AK38" s="21" t="str">
        <f t="shared" si="0"/>
        <v>0</v>
      </c>
      <c r="AL38" s="123" t="str">
        <f t="shared" si="1"/>
        <v>14821/기능창고 관리/basic/FuncWrhsMast</v>
      </c>
      <c r="AM38" s="21" t="s">
        <v>2981</v>
      </c>
      <c r="AN38" s="21" t="s">
        <v>1829</v>
      </c>
      <c r="AO38" s="21" t="s">
        <v>1829</v>
      </c>
      <c r="AP38" s="21" t="s">
        <v>1829</v>
      </c>
      <c r="AQ38" s="21" t="s">
        <v>1829</v>
      </c>
      <c r="AR38" s="21" t="s">
        <v>1829</v>
      </c>
      <c r="AS38" s="21"/>
      <c r="AT38" s="21" t="s">
        <v>1829</v>
      </c>
      <c r="AU38" s="21"/>
      <c r="AV38" s="21"/>
      <c r="AW38" s="21"/>
      <c r="AX38" s="21"/>
      <c r="AY38" s="124"/>
      <c r="AZ38" s="138" t="str">
        <f>IF(C38="","","delete from module_mst where pjt_id = '"&amp;C38&amp;"' and menu_id = '"&amp;E38&amp;"';")</f>
        <v>delete from module_mst where pjt_id = '14821' and menu_id = '210004';</v>
      </c>
      <c r="BA38" s="31" t="str">
        <f>IF(C38&lt;&gt;"",CREATE_QUERY($D$1,C$2:AY$2,C38:AY38),"")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'210004', '기능창고 관리', 'Functional warehouse management', '', '', '', '1', '1', '1', 'basic', 'FuncWrhsMast', '1', '1', '1', '1', '1', '1', '1', '', '0', '0', '0', '', '', '', '', 'Y', '', '', '210000', '4', '11040', '0', '14821/기능창고 관리/basic/FuncWrhsMast', '공통', '');</v>
      </c>
    </row>
    <row r="39" spans="1:53">
      <c r="A39" s="1">
        <v>39</v>
      </c>
      <c r="B39" s="159" t="str">
        <f t="shared" si="16"/>
        <v xml:space="preserve">    └ (공통)보관위치 정보</v>
      </c>
      <c r="C39" s="27" t="str">
        <f t="shared" si="2"/>
        <v>14821</v>
      </c>
      <c r="D39" s="121"/>
      <c r="E39" s="21">
        <v>210005</v>
      </c>
      <c r="F39" s="118" t="s">
        <v>2005</v>
      </c>
      <c r="G39" s="118" t="s">
        <v>3080</v>
      </c>
      <c r="H39" s="118"/>
      <c r="I39" s="118"/>
      <c r="J39" s="118"/>
      <c r="K39" s="21" t="str">
        <f t="shared" si="3"/>
        <v>1</v>
      </c>
      <c r="L39" s="21" t="str">
        <f t="shared" si="4"/>
        <v>1</v>
      </c>
      <c r="M39" s="21" t="str">
        <f t="shared" si="5"/>
        <v>1</v>
      </c>
      <c r="N39" s="118" t="s">
        <v>59</v>
      </c>
      <c r="O39" s="118" t="s">
        <v>2006</v>
      </c>
      <c r="P39" s="21" t="str">
        <f t="shared" si="6"/>
        <v>1</v>
      </c>
      <c r="Q39" s="21" t="str">
        <f t="shared" si="7"/>
        <v>1</v>
      </c>
      <c r="R39" s="21" t="str">
        <f t="shared" si="8"/>
        <v>1</v>
      </c>
      <c r="S39" s="21" t="str">
        <f t="shared" si="9"/>
        <v>1</v>
      </c>
      <c r="T39" s="21" t="str">
        <f t="shared" si="10"/>
        <v>1</v>
      </c>
      <c r="U39" s="21" t="str">
        <f t="shared" si="11"/>
        <v>1</v>
      </c>
      <c r="V39" s="21" t="str">
        <f t="shared" si="12"/>
        <v>1</v>
      </c>
      <c r="W39" s="21"/>
      <c r="X39" s="21" t="str">
        <f t="shared" si="13"/>
        <v>0</v>
      </c>
      <c r="Y39" s="21" t="str">
        <f t="shared" si="14"/>
        <v>0</v>
      </c>
      <c r="Z39" s="21" t="str">
        <f t="shared" si="15"/>
        <v>0</v>
      </c>
      <c r="AA39" s="118"/>
      <c r="AB39" s="118"/>
      <c r="AC39" s="118"/>
      <c r="AD39" s="118"/>
      <c r="AE39" s="118" t="s">
        <v>56</v>
      </c>
      <c r="AF39" s="118"/>
      <c r="AG39" s="118"/>
      <c r="AH39" s="26" t="s">
        <v>121</v>
      </c>
      <c r="AI39" s="26" t="s">
        <v>112</v>
      </c>
      <c r="AJ39" s="21">
        <v>11050</v>
      </c>
      <c r="AK39" s="21" t="str">
        <f t="shared" si="0"/>
        <v>0</v>
      </c>
      <c r="AL39" s="123" t="str">
        <f t="shared" ref="AL39" si="21">IF(C39="","",C39&amp;"/"&amp;F39&amp;"/"&amp;N39&amp;"/"&amp;O39)</f>
        <v>14821/보관위치 정보/basic/WrhsZone</v>
      </c>
      <c r="AM39" s="21" t="s">
        <v>2981</v>
      </c>
      <c r="AN39" s="21" t="s">
        <v>1829</v>
      </c>
      <c r="AO39" s="21" t="s">
        <v>1829</v>
      </c>
      <c r="AP39" s="21" t="s">
        <v>1829</v>
      </c>
      <c r="AQ39" s="21" t="s">
        <v>1829</v>
      </c>
      <c r="AR39" s="21" t="s">
        <v>1829</v>
      </c>
      <c r="AS39" s="21"/>
      <c r="AT39" s="21" t="s">
        <v>1829</v>
      </c>
      <c r="AU39" s="21"/>
      <c r="AV39" s="21"/>
      <c r="AW39" s="21"/>
      <c r="AX39" s="21"/>
      <c r="AY39" s="124"/>
      <c r="AZ39" s="138" t="str">
        <f>IF(C39="","","delete from module_mst where pjt_id = '"&amp;C39&amp;"' and menu_id = '"&amp;E39&amp;"';")</f>
        <v>delete from module_mst where pjt_id = '14821' and menu_id = '210005';</v>
      </c>
      <c r="BA39" s="31" t="str">
        <f>IF(C39&lt;&gt;"",CREATE_QUERY($D$1,C$2:AY$2,C39:AY39),"")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'210005', '보관위치 정보', 'Storage location information', '', '', '', '1', '1', '1', 'basic', 'WrhsZone', '1', '1', '1', '1', '1', '1', '1', '', '0', '0', '0', '', '', '', '', 'Y', '', '', '210000', '4', '11050', '0', '14821/보관위치 정보/basic/WrhsZone', '공통', '');</v>
      </c>
    </row>
    <row r="40" spans="1:53">
      <c r="A40" s="1">
        <v>40</v>
      </c>
      <c r="B40" s="159" t="str">
        <f t="shared" si="16"/>
        <v xml:space="preserve">    └ (공통)사업장 정보 관리</v>
      </c>
      <c r="C40" s="27" t="str">
        <f t="shared" si="2"/>
        <v>14821</v>
      </c>
      <c r="D40" s="121"/>
      <c r="E40" s="21">
        <v>210006</v>
      </c>
      <c r="F40" s="118" t="s">
        <v>323</v>
      </c>
      <c r="G40" s="118" t="s">
        <v>3081</v>
      </c>
      <c r="H40" s="118"/>
      <c r="I40" s="118"/>
      <c r="J40" s="118"/>
      <c r="K40" s="21" t="str">
        <f t="shared" si="3"/>
        <v>1</v>
      </c>
      <c r="L40" s="21" t="str">
        <f t="shared" si="4"/>
        <v>1</v>
      </c>
      <c r="M40" s="21" t="str">
        <f t="shared" si="5"/>
        <v>1</v>
      </c>
      <c r="N40" s="118" t="s">
        <v>59</v>
      </c>
      <c r="O40" s="118" t="s">
        <v>324</v>
      </c>
      <c r="P40" s="21" t="str">
        <f t="shared" si="6"/>
        <v>1</v>
      </c>
      <c r="Q40" s="21" t="str">
        <f t="shared" si="7"/>
        <v>1</v>
      </c>
      <c r="R40" s="21" t="str">
        <f t="shared" si="8"/>
        <v>1</v>
      </c>
      <c r="S40" s="21" t="str">
        <f t="shared" si="9"/>
        <v>1</v>
      </c>
      <c r="T40" s="21" t="str">
        <f t="shared" si="10"/>
        <v>1</v>
      </c>
      <c r="U40" s="21" t="str">
        <f t="shared" si="11"/>
        <v>1</v>
      </c>
      <c r="V40" s="21" t="str">
        <f t="shared" si="12"/>
        <v>1</v>
      </c>
      <c r="W40" s="21"/>
      <c r="X40" s="21" t="str">
        <f t="shared" si="13"/>
        <v>0</v>
      </c>
      <c r="Y40" s="21" t="str">
        <f t="shared" si="14"/>
        <v>0</v>
      </c>
      <c r="Z40" s="21" t="str">
        <f t="shared" si="15"/>
        <v>0</v>
      </c>
      <c r="AA40" s="118"/>
      <c r="AB40" s="118"/>
      <c r="AC40" s="118"/>
      <c r="AD40" s="118"/>
      <c r="AE40" s="118" t="s">
        <v>56</v>
      </c>
      <c r="AF40" s="118"/>
      <c r="AG40" s="118"/>
      <c r="AH40" s="26" t="s">
        <v>121</v>
      </c>
      <c r="AI40" s="26" t="s">
        <v>112</v>
      </c>
      <c r="AJ40" s="21">
        <v>11060</v>
      </c>
      <c r="AK40" s="21" t="str">
        <f t="shared" si="0"/>
        <v>0</v>
      </c>
      <c r="AL40" s="123" t="str">
        <f t="shared" si="1"/>
        <v>14821/사업장 정보 관리/basic/BzplMast</v>
      </c>
      <c r="AM40" s="21" t="s">
        <v>2981</v>
      </c>
      <c r="AN40" s="21" t="s">
        <v>1829</v>
      </c>
      <c r="AO40" s="21" t="s">
        <v>1829</v>
      </c>
      <c r="AP40" s="21" t="s">
        <v>1829</v>
      </c>
      <c r="AQ40" s="21" t="s">
        <v>1829</v>
      </c>
      <c r="AR40" s="21" t="s">
        <v>1829</v>
      </c>
      <c r="AS40" s="21"/>
      <c r="AT40" s="21" t="s">
        <v>1829</v>
      </c>
      <c r="AU40" s="21"/>
      <c r="AV40" s="21"/>
      <c r="AW40" s="21"/>
      <c r="AX40" s="21"/>
      <c r="AY40" s="124"/>
      <c r="AZ40" s="138" t="str">
        <f>IF(C40="","","delete from module_mst where pjt_id = '"&amp;C40&amp;"' and menu_id = '"&amp;E40&amp;"';")</f>
        <v>delete from module_mst where pjt_id = '14821' and menu_id = '210006';</v>
      </c>
      <c r="BA40" s="31" t="str">
        <f>IF(C40&lt;&gt;"",CREATE_QUERY($D$1,C$2:AY$2,C40:AY40),"")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'210006', '사업장 정보 관리', 'Business site information management', '', '', '', '1', '1', '1', 'basic', 'BzplMast', '1', '1', '1', '1', '1', '1', '1', '', '0', '0', '0', '', '', '', '', 'Y', '', '', '210000', '4', '11060', '0', '14821/사업장 정보 관리/basic/BzplMast', '공통', '');</v>
      </c>
    </row>
    <row r="41" spans="1:53">
      <c r="A41" s="1">
        <v>41</v>
      </c>
      <c r="B41" s="159" t="str">
        <f t="shared" si="16"/>
        <v xml:space="preserve">    └ (공통)휴일정보 관리</v>
      </c>
      <c r="C41" s="27" t="str">
        <f t="shared" si="2"/>
        <v>14821</v>
      </c>
      <c r="D41" s="121"/>
      <c r="E41" s="21">
        <v>210007</v>
      </c>
      <c r="F41" s="118" t="s">
        <v>283</v>
      </c>
      <c r="G41" s="118" t="s">
        <v>3082</v>
      </c>
      <c r="H41" s="118"/>
      <c r="I41" s="118"/>
      <c r="J41" s="118"/>
      <c r="K41" s="21" t="str">
        <f t="shared" si="3"/>
        <v>1</v>
      </c>
      <c r="L41" s="21" t="str">
        <f t="shared" si="4"/>
        <v>1</v>
      </c>
      <c r="M41" s="21" t="str">
        <f t="shared" si="5"/>
        <v>1</v>
      </c>
      <c r="N41" s="118" t="s">
        <v>59</v>
      </c>
      <c r="O41" s="118" t="s">
        <v>329</v>
      </c>
      <c r="P41" s="21" t="str">
        <f t="shared" si="6"/>
        <v>1</v>
      </c>
      <c r="Q41" s="21" t="str">
        <f t="shared" si="7"/>
        <v>1</v>
      </c>
      <c r="R41" s="21" t="str">
        <f t="shared" si="8"/>
        <v>1</v>
      </c>
      <c r="S41" s="21" t="str">
        <f t="shared" si="9"/>
        <v>1</v>
      </c>
      <c r="T41" s="21" t="str">
        <f t="shared" si="10"/>
        <v>1</v>
      </c>
      <c r="U41" s="21" t="str">
        <f t="shared" si="11"/>
        <v>1</v>
      </c>
      <c r="V41" s="21" t="str">
        <f t="shared" si="12"/>
        <v>1</v>
      </c>
      <c r="W41" s="21"/>
      <c r="X41" s="21" t="str">
        <f t="shared" si="13"/>
        <v>0</v>
      </c>
      <c r="Y41" s="21" t="str">
        <f t="shared" si="14"/>
        <v>0</v>
      </c>
      <c r="Z41" s="21" t="str">
        <f t="shared" si="15"/>
        <v>0</v>
      </c>
      <c r="AA41" s="118"/>
      <c r="AB41" s="118"/>
      <c r="AC41" s="118"/>
      <c r="AD41" s="118"/>
      <c r="AE41" s="118" t="s">
        <v>56</v>
      </c>
      <c r="AF41" s="118"/>
      <c r="AG41" s="118"/>
      <c r="AH41" s="26" t="s">
        <v>121</v>
      </c>
      <c r="AI41" s="26" t="s">
        <v>112</v>
      </c>
      <c r="AJ41" s="21">
        <v>11070</v>
      </c>
      <c r="AK41" s="21" t="str">
        <f t="shared" si="0"/>
        <v>0</v>
      </c>
      <c r="AL41" s="123" t="str">
        <f t="shared" si="1"/>
        <v>14821/휴일정보 관리/basic/HldyMast</v>
      </c>
      <c r="AM41" s="21" t="s">
        <v>2981</v>
      </c>
      <c r="AN41" s="21" t="s">
        <v>1829</v>
      </c>
      <c r="AO41" s="21" t="s">
        <v>1829</v>
      </c>
      <c r="AP41" s="21" t="s">
        <v>1829</v>
      </c>
      <c r="AQ41" s="21" t="s">
        <v>1829</v>
      </c>
      <c r="AR41" s="21" t="s">
        <v>1829</v>
      </c>
      <c r="AS41" s="21"/>
      <c r="AT41" s="21" t="s">
        <v>1829</v>
      </c>
      <c r="AU41" s="21"/>
      <c r="AV41" s="21"/>
      <c r="AW41" s="21"/>
      <c r="AX41" s="21"/>
      <c r="AY41" s="124"/>
      <c r="AZ41" s="138" t="str">
        <f>IF(C41="","","delete from module_mst where pjt_id = '"&amp;C41&amp;"' and menu_id = '"&amp;E41&amp;"';")</f>
        <v>delete from module_mst where pjt_id = '14821' and menu_id = '210007';</v>
      </c>
      <c r="BA41" s="31" t="str">
        <f>IF(C41&lt;&gt;"",CREATE_QUERY($D$1,C$2:AY$2,C41:AY41),"")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'210007', '휴일정보 관리', 'Holiday information management', '', '', '', '1', '1', '1', 'basic', 'HldyMast', '1', '1', '1', '1', '1', '1', '1', '', '0', '0', '0', '', '', '', '', 'Y', '', '', '210000', '4', '11070', '0', '14821/휴일정보 관리/basic/HldyMast', '공통', '');</v>
      </c>
    </row>
    <row r="42" spans="1:53">
      <c r="A42" s="1">
        <v>42</v>
      </c>
      <c r="B42" s="159" t="str">
        <f t="shared" si="16"/>
        <v xml:space="preserve">    └ (공통)시스템환경설정</v>
      </c>
      <c r="C42" s="27" t="str">
        <f t="shared" si="2"/>
        <v>14821</v>
      </c>
      <c r="D42" s="121"/>
      <c r="E42" s="21">
        <v>210008</v>
      </c>
      <c r="F42" s="118" t="s">
        <v>277</v>
      </c>
      <c r="G42" s="118" t="s">
        <v>3083</v>
      </c>
      <c r="H42" s="118"/>
      <c r="I42" s="118"/>
      <c r="J42" s="118"/>
      <c r="K42" s="21" t="str">
        <f t="shared" si="3"/>
        <v>1</v>
      </c>
      <c r="L42" s="21" t="str">
        <f t="shared" si="4"/>
        <v>1</v>
      </c>
      <c r="M42" s="21" t="str">
        <f t="shared" si="5"/>
        <v>1</v>
      </c>
      <c r="N42" s="118" t="s">
        <v>59</v>
      </c>
      <c r="O42" s="118" t="s">
        <v>278</v>
      </c>
      <c r="P42" s="21" t="str">
        <f t="shared" si="6"/>
        <v>1</v>
      </c>
      <c r="Q42" s="21" t="str">
        <f t="shared" si="7"/>
        <v>1</v>
      </c>
      <c r="R42" s="21" t="str">
        <f t="shared" si="8"/>
        <v>1</v>
      </c>
      <c r="S42" s="21" t="str">
        <f t="shared" si="9"/>
        <v>1</v>
      </c>
      <c r="T42" s="21" t="str">
        <f t="shared" si="10"/>
        <v>1</v>
      </c>
      <c r="U42" s="21" t="str">
        <f t="shared" si="11"/>
        <v>1</v>
      </c>
      <c r="V42" s="21" t="str">
        <f t="shared" si="12"/>
        <v>1</v>
      </c>
      <c r="W42" s="21"/>
      <c r="X42" s="21" t="str">
        <f t="shared" si="13"/>
        <v>0</v>
      </c>
      <c r="Y42" s="21" t="str">
        <f t="shared" si="14"/>
        <v>0</v>
      </c>
      <c r="Z42" s="21" t="str">
        <f t="shared" si="15"/>
        <v>0</v>
      </c>
      <c r="AA42" s="118"/>
      <c r="AB42" s="118"/>
      <c r="AC42" s="118"/>
      <c r="AD42" s="118"/>
      <c r="AE42" s="118" t="s">
        <v>56</v>
      </c>
      <c r="AF42" s="118"/>
      <c r="AG42" s="118"/>
      <c r="AH42" s="26" t="s">
        <v>121</v>
      </c>
      <c r="AI42" s="26" t="s">
        <v>112</v>
      </c>
      <c r="AJ42" s="21">
        <v>11080</v>
      </c>
      <c r="AK42" s="21" t="str">
        <f t="shared" si="0"/>
        <v>0</v>
      </c>
      <c r="AL42" s="123" t="str">
        <f t="shared" si="1"/>
        <v>14821/시스템환경설정/basic/SystemOption</v>
      </c>
      <c r="AM42" s="21" t="s">
        <v>2981</v>
      </c>
      <c r="AN42" s="21" t="s">
        <v>1829</v>
      </c>
      <c r="AO42" s="21" t="s">
        <v>1829</v>
      </c>
      <c r="AP42" s="21" t="s">
        <v>1829</v>
      </c>
      <c r="AQ42" s="21" t="s">
        <v>1829</v>
      </c>
      <c r="AR42" s="21" t="s">
        <v>1829</v>
      </c>
      <c r="AS42" s="21"/>
      <c r="AT42" s="21" t="s">
        <v>1829</v>
      </c>
      <c r="AU42" s="21"/>
      <c r="AV42" s="21"/>
      <c r="AW42" s="21"/>
      <c r="AX42" s="21"/>
      <c r="AY42" s="124" t="s">
        <v>1829</v>
      </c>
      <c r="AZ42" s="138" t="str">
        <f>IF(C42="","","delete from module_mst where pjt_id = '"&amp;C42&amp;"' and menu_id = '"&amp;E42&amp;"';")</f>
        <v>delete from module_mst where pjt_id = '14821' and menu_id = '210008';</v>
      </c>
      <c r="BA42" s="31" t="str">
        <f>IF(C42&lt;&gt;"",CREATE_QUERY($D$1,C$2:AY$2,C42:AY42),"")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'210008', '시스템환경설정', 'System environment setting', '', '', '', '1', '1', '1', 'basic', 'SystemOption', '1', '1', '1', '1', '1', '1', '1', '', '0', '0', '0', '', '', '', '', 'Y', '', '', '210000', '4', '11080', '0', '14821/시스템환경설정/basic/SystemOption', '공통', 'Y');</v>
      </c>
    </row>
    <row r="43" spans="1:53">
      <c r="A43" s="1">
        <v>43</v>
      </c>
      <c r="B43" s="159" t="str">
        <f t="shared" si="16"/>
        <v xml:space="preserve">    └ (공통)관리항목 관리</v>
      </c>
      <c r="C43" s="27" t="str">
        <f t="shared" si="2"/>
        <v>14821</v>
      </c>
      <c r="D43" s="121"/>
      <c r="E43" s="21">
        <v>210009</v>
      </c>
      <c r="F43" s="118" t="s">
        <v>2420</v>
      </c>
      <c r="G43" s="118" t="s">
        <v>3084</v>
      </c>
      <c r="H43" s="118"/>
      <c r="I43" s="118"/>
      <c r="J43" s="118"/>
      <c r="K43" s="21" t="str">
        <f t="shared" si="3"/>
        <v>1</v>
      </c>
      <c r="L43" s="21" t="str">
        <f t="shared" si="4"/>
        <v>1</v>
      </c>
      <c r="M43" s="21" t="str">
        <f t="shared" si="5"/>
        <v>1</v>
      </c>
      <c r="N43" s="118" t="s">
        <v>59</v>
      </c>
      <c r="O43" s="118" t="s">
        <v>2422</v>
      </c>
      <c r="P43" s="21" t="str">
        <f t="shared" si="6"/>
        <v>1</v>
      </c>
      <c r="Q43" s="21" t="str">
        <f t="shared" si="7"/>
        <v>1</v>
      </c>
      <c r="R43" s="21" t="str">
        <f t="shared" si="8"/>
        <v>1</v>
      </c>
      <c r="S43" s="21" t="str">
        <f t="shared" si="9"/>
        <v>1</v>
      </c>
      <c r="T43" s="21" t="str">
        <f t="shared" si="10"/>
        <v>1</v>
      </c>
      <c r="U43" s="21" t="str">
        <f t="shared" si="11"/>
        <v>1</v>
      </c>
      <c r="V43" s="21" t="str">
        <f t="shared" si="12"/>
        <v>1</v>
      </c>
      <c r="W43" s="21"/>
      <c r="X43" s="21" t="str">
        <f t="shared" si="13"/>
        <v>0</v>
      </c>
      <c r="Y43" s="21" t="str">
        <f t="shared" si="14"/>
        <v>0</v>
      </c>
      <c r="Z43" s="21" t="str">
        <f t="shared" si="15"/>
        <v>0</v>
      </c>
      <c r="AA43" s="118"/>
      <c r="AB43" s="118"/>
      <c r="AC43" s="118"/>
      <c r="AD43" s="118"/>
      <c r="AE43" s="118" t="s">
        <v>56</v>
      </c>
      <c r="AF43" s="118"/>
      <c r="AG43" s="118"/>
      <c r="AH43" s="26" t="s">
        <v>121</v>
      </c>
      <c r="AI43" s="26" t="s">
        <v>112</v>
      </c>
      <c r="AJ43" s="21">
        <v>11090</v>
      </c>
      <c r="AK43" s="21" t="str">
        <f t="shared" si="0"/>
        <v>0</v>
      </c>
      <c r="AL43" s="123" t="str">
        <f t="shared" ref="AL43:AL45" si="22">IF(C43="","",C43&amp;"/"&amp;F43&amp;"/"&amp;N43&amp;"/"&amp;O43)</f>
        <v>14821/관리항목 관리/basic/MngtSbscMast</v>
      </c>
      <c r="AM43" s="21" t="s">
        <v>2981</v>
      </c>
      <c r="AN43" s="21" t="s">
        <v>1829</v>
      </c>
      <c r="AO43" s="21" t="s">
        <v>1829</v>
      </c>
      <c r="AP43" s="21" t="s">
        <v>1829</v>
      </c>
      <c r="AQ43" s="21" t="s">
        <v>1829</v>
      </c>
      <c r="AR43" s="21" t="s">
        <v>1829</v>
      </c>
      <c r="AS43" s="21"/>
      <c r="AT43" s="21" t="s">
        <v>1829</v>
      </c>
      <c r="AU43" s="21"/>
      <c r="AV43" s="21"/>
      <c r="AW43" s="21"/>
      <c r="AX43" s="21"/>
      <c r="AY43" s="124" t="s">
        <v>1829</v>
      </c>
      <c r="AZ43" s="138" t="str">
        <f>IF(C43="","","delete from module_mst where pjt_id = '"&amp;C43&amp;"' and menu_id = '"&amp;E43&amp;"';")</f>
        <v>delete from module_mst where pjt_id = '14821' and menu_id = '210009';</v>
      </c>
      <c r="BA43" s="31" t="str">
        <f>IF(C43&lt;&gt;"",CREATE_QUERY($D$1,C$2:AY$2,C43:AY43),"")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'210009', '관리항목 관리', 'Management item management', '', '', '', '1', '1', '1', 'basic', 'MngtSbscMast', '1', '1', '1', '1', '1', '1', '1', '', '0', '0', '0', '', '', '', '', 'Y', '', '', '210000', '4', '11090', '0', '14821/관리항목 관리/basic/MngtSbscMast', '공통', 'Y');</v>
      </c>
    </row>
    <row r="44" spans="1:53">
      <c r="A44" s="1">
        <v>44</v>
      </c>
      <c r="B44" s="159" t="str">
        <f t="shared" si="16"/>
        <v xml:space="preserve">    └ (공통)분류기준 관리</v>
      </c>
      <c r="C44" s="27" t="str">
        <f t="shared" si="2"/>
        <v>14821</v>
      </c>
      <c r="D44" s="121"/>
      <c r="E44" s="21">
        <v>210010</v>
      </c>
      <c r="F44" s="118" t="s">
        <v>2930</v>
      </c>
      <c r="G44" s="118" t="s">
        <v>3085</v>
      </c>
      <c r="H44" s="118"/>
      <c r="I44" s="118"/>
      <c r="J44" s="118"/>
      <c r="K44" s="21" t="str">
        <f t="shared" si="3"/>
        <v>1</v>
      </c>
      <c r="L44" s="21" t="str">
        <f t="shared" si="4"/>
        <v>1</v>
      </c>
      <c r="M44" s="21" t="str">
        <f t="shared" si="5"/>
        <v>1</v>
      </c>
      <c r="N44" s="118" t="s">
        <v>203</v>
      </c>
      <c r="O44" s="118" t="s">
        <v>2931</v>
      </c>
      <c r="P44" s="21" t="str">
        <f t="shared" ref="P44:P46" si="23">IF(O44="","0","1")</f>
        <v>1</v>
      </c>
      <c r="Q44" s="21" t="str">
        <f t="shared" ref="Q44:Q46" si="24">IF(O44="","0","1")</f>
        <v>1</v>
      </c>
      <c r="R44" s="21" t="str">
        <f t="shared" ref="R44:R46" si="25">IF(O44="","0","1")</f>
        <v>1</v>
      </c>
      <c r="S44" s="21" t="str">
        <f t="shared" ref="S44:S46" si="26">IF(O44="","0","1")</f>
        <v>1</v>
      </c>
      <c r="T44" s="21" t="str">
        <f t="shared" ref="T44:T46" si="27">IF(O44="","0","1")</f>
        <v>1</v>
      </c>
      <c r="U44" s="21" t="str">
        <f t="shared" ref="U44:U46" si="28">IF(O44="","0","1")</f>
        <v>1</v>
      </c>
      <c r="V44" s="21" t="str">
        <f t="shared" ref="V44:V46" si="29">IF(O44="","1","1")</f>
        <v>1</v>
      </c>
      <c r="W44" s="21"/>
      <c r="X44" s="21" t="str">
        <f t="shared" ref="X44:X46" si="30">IF(O44="","","0")</f>
        <v>0</v>
      </c>
      <c r="Y44" s="21" t="str">
        <f t="shared" ref="Y44:Y46" si="31">IF(O44="","","0")</f>
        <v>0</v>
      </c>
      <c r="Z44" s="21" t="str">
        <f t="shared" ref="Z44:Z46" si="32">IF(O44="","","0")</f>
        <v>0</v>
      </c>
      <c r="AA44" s="118"/>
      <c r="AB44" s="118"/>
      <c r="AC44" s="118"/>
      <c r="AD44" s="118"/>
      <c r="AE44" s="118" t="s">
        <v>56</v>
      </c>
      <c r="AF44" s="118"/>
      <c r="AG44" s="118"/>
      <c r="AH44" s="26" t="s">
        <v>121</v>
      </c>
      <c r="AI44" s="26" t="s">
        <v>112</v>
      </c>
      <c r="AJ44" s="21">
        <v>11100</v>
      </c>
      <c r="AK44" s="21" t="str">
        <f t="shared" si="0"/>
        <v>0</v>
      </c>
      <c r="AL44" s="123" t="str">
        <f t="shared" si="22"/>
        <v>14821/분류기준 관리/basic/ClssMast</v>
      </c>
      <c r="AM44" s="21" t="s">
        <v>2981</v>
      </c>
      <c r="AN44" s="21" t="s">
        <v>1829</v>
      </c>
      <c r="AO44" s="21" t="s">
        <v>1829</v>
      </c>
      <c r="AP44" s="21" t="s">
        <v>1829</v>
      </c>
      <c r="AQ44" s="21" t="s">
        <v>1829</v>
      </c>
      <c r="AR44" s="21" t="s">
        <v>1829</v>
      </c>
      <c r="AS44" s="21"/>
      <c r="AT44" s="21"/>
      <c r="AU44" s="21"/>
      <c r="AV44" s="21"/>
      <c r="AW44" s="21"/>
      <c r="AX44" s="21"/>
      <c r="AY44" s="124"/>
      <c r="AZ44" s="138" t="str">
        <f>IF(C44="","","delete from module_mst where pjt_id = '"&amp;C44&amp;"' and menu_id = '"&amp;E44&amp;"';")</f>
        <v>delete from module_mst where pjt_id = '14821' and menu_id = '210010';</v>
      </c>
      <c r="BA44" s="31" t="str">
        <f>IF(C44&lt;&gt;"",CREATE_QUERY($D$1,C$2:AY$2,C44:AY44),"")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'210010', '분류기준 관리', 'Classification Criteria Management', '', '', '', '1', '1', '1', 'basic', 'ClssMast', '1', '1', '1', '1', '1', '1', '1', '', '0', '0', '0', '', '', '', '', 'Y', '', '', '210000', '4', '11100', '0', '14821/분류기준 관리/basic/ClssMast', '공통', '');</v>
      </c>
    </row>
    <row r="45" spans="1:53">
      <c r="A45" s="1">
        <v>45</v>
      </c>
      <c r="B45" s="159" t="str">
        <f t="shared" si="16"/>
        <v xml:space="preserve">    └ (선택)차량코드 관리</v>
      </c>
      <c r="C45" s="27" t="str">
        <f t="shared" si="2"/>
        <v>14821</v>
      </c>
      <c r="D45" s="121"/>
      <c r="E45" s="21">
        <v>210012</v>
      </c>
      <c r="F45" s="118" t="s">
        <v>2949</v>
      </c>
      <c r="G45" s="118" t="s">
        <v>3086</v>
      </c>
      <c r="H45" s="118"/>
      <c r="I45" s="118"/>
      <c r="J45" s="118"/>
      <c r="K45" s="21" t="str">
        <f t="shared" si="3"/>
        <v>1</v>
      </c>
      <c r="L45" s="21" t="str">
        <f t="shared" si="4"/>
        <v>1</v>
      </c>
      <c r="M45" s="21" t="str">
        <f t="shared" si="5"/>
        <v>1</v>
      </c>
      <c r="N45" s="118" t="s">
        <v>203</v>
      </c>
      <c r="O45" s="118" t="s">
        <v>2950</v>
      </c>
      <c r="P45" s="21" t="str">
        <f t="shared" si="23"/>
        <v>1</v>
      </c>
      <c r="Q45" s="21" t="str">
        <f t="shared" si="24"/>
        <v>1</v>
      </c>
      <c r="R45" s="21" t="str">
        <f t="shared" si="25"/>
        <v>1</v>
      </c>
      <c r="S45" s="21" t="str">
        <f t="shared" si="26"/>
        <v>1</v>
      </c>
      <c r="T45" s="21" t="str">
        <f t="shared" si="27"/>
        <v>1</v>
      </c>
      <c r="U45" s="21" t="str">
        <f t="shared" si="28"/>
        <v>1</v>
      </c>
      <c r="V45" s="21" t="str">
        <f t="shared" si="29"/>
        <v>1</v>
      </c>
      <c r="W45" s="21"/>
      <c r="X45" s="21" t="str">
        <f t="shared" si="30"/>
        <v>0</v>
      </c>
      <c r="Y45" s="21" t="str">
        <f t="shared" si="31"/>
        <v>0</v>
      </c>
      <c r="Z45" s="21" t="str">
        <f t="shared" si="32"/>
        <v>0</v>
      </c>
      <c r="AA45" s="118"/>
      <c r="AB45" s="118"/>
      <c r="AC45" s="118"/>
      <c r="AD45" s="118"/>
      <c r="AE45" s="118" t="s">
        <v>56</v>
      </c>
      <c r="AF45" s="118"/>
      <c r="AG45" s="118"/>
      <c r="AH45" s="26" t="s">
        <v>121</v>
      </c>
      <c r="AI45" s="26" t="s">
        <v>112</v>
      </c>
      <c r="AJ45" s="21">
        <v>11120</v>
      </c>
      <c r="AK45" s="21" t="str">
        <f t="shared" si="0"/>
        <v>0</v>
      </c>
      <c r="AL45" s="123" t="str">
        <f t="shared" si="22"/>
        <v>14821/차량코드 관리/basic/CarMast</v>
      </c>
      <c r="AM45" s="21" t="s">
        <v>3349</v>
      </c>
      <c r="AN45" s="21"/>
      <c r="AO45" s="21"/>
      <c r="AP45" s="21"/>
      <c r="AQ45" s="21"/>
      <c r="AR45" s="21"/>
      <c r="AS45" s="21"/>
      <c r="AT45" s="21"/>
      <c r="AU45" s="21"/>
      <c r="AV45" s="21"/>
      <c r="AW45" s="21" t="s">
        <v>1829</v>
      </c>
      <c r="AX45" s="21"/>
      <c r="AY45" s="124"/>
      <c r="AZ45" s="138" t="str">
        <f>IF(C45="","","delete from module_mst where pjt_id = '"&amp;C45&amp;"' and menu_id = '"&amp;E45&amp;"';")</f>
        <v>delete from module_mst where pjt_id = '14821' and menu_id = '210012';</v>
      </c>
      <c r="BA45" s="31" t="str">
        <f>IF(C45&lt;&gt;"",CREATE_QUERY($D$1,C$2:AY$2,C45:AY45),"")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'210012', '차량코드 관리', 'Vehicle code management', '', '', '', '1', '1', '1', 'basic', 'CarMast', '1', '1', '1', '1', '1', '1', '1', '', '0', '0', '0', '', '', '', '', 'Y', '', '', '210000', '4', '11120', '0', '14821/차량코드 관리/basic/CarMast', '선택', '');</v>
      </c>
    </row>
    <row r="46" spans="1:53">
      <c r="A46" s="1">
        <v>46</v>
      </c>
      <c r="B46" s="159" t="str">
        <f t="shared" si="16"/>
        <v xml:space="preserve">    └ (선택)운송지역코드 관리</v>
      </c>
      <c r="C46" s="27" t="str">
        <f t="shared" si="2"/>
        <v>14821</v>
      </c>
      <c r="D46" s="121"/>
      <c r="E46" s="21">
        <v>210013</v>
      </c>
      <c r="F46" s="118" t="s">
        <v>2951</v>
      </c>
      <c r="G46" s="118" t="s">
        <v>3087</v>
      </c>
      <c r="H46" s="118"/>
      <c r="I46" s="118"/>
      <c r="J46" s="118"/>
      <c r="K46" s="21" t="str">
        <f t="shared" si="3"/>
        <v>1</v>
      </c>
      <c r="L46" s="21" t="str">
        <f t="shared" si="4"/>
        <v>1</v>
      </c>
      <c r="M46" s="21" t="str">
        <f t="shared" si="5"/>
        <v>1</v>
      </c>
      <c r="N46" s="118" t="s">
        <v>203</v>
      </c>
      <c r="O46" s="118" t="s">
        <v>2952</v>
      </c>
      <c r="P46" s="21" t="str">
        <f t="shared" si="23"/>
        <v>1</v>
      </c>
      <c r="Q46" s="21" t="str">
        <f t="shared" si="24"/>
        <v>1</v>
      </c>
      <c r="R46" s="21" t="str">
        <f t="shared" si="25"/>
        <v>1</v>
      </c>
      <c r="S46" s="21" t="str">
        <f t="shared" si="26"/>
        <v>1</v>
      </c>
      <c r="T46" s="21" t="str">
        <f t="shared" si="27"/>
        <v>1</v>
      </c>
      <c r="U46" s="21" t="str">
        <f t="shared" si="28"/>
        <v>1</v>
      </c>
      <c r="V46" s="21" t="str">
        <f t="shared" si="29"/>
        <v>1</v>
      </c>
      <c r="W46" s="21"/>
      <c r="X46" s="21" t="str">
        <f t="shared" si="30"/>
        <v>0</v>
      </c>
      <c r="Y46" s="21" t="str">
        <f t="shared" si="31"/>
        <v>0</v>
      </c>
      <c r="Z46" s="21" t="str">
        <f t="shared" si="32"/>
        <v>0</v>
      </c>
      <c r="AA46" s="118"/>
      <c r="AB46" s="118"/>
      <c r="AC46" s="118"/>
      <c r="AD46" s="118"/>
      <c r="AE46" s="118" t="s">
        <v>56</v>
      </c>
      <c r="AF46" s="118"/>
      <c r="AG46" s="118"/>
      <c r="AH46" s="26" t="s">
        <v>121</v>
      </c>
      <c r="AI46" s="26" t="s">
        <v>112</v>
      </c>
      <c r="AJ46" s="21">
        <v>11130</v>
      </c>
      <c r="AK46" s="21" t="str">
        <f t="shared" si="0"/>
        <v>0</v>
      </c>
      <c r="AL46" s="123" t="str">
        <f t="shared" ref="AL46:AL47" si="33">IF(C46="","",C46&amp;"/"&amp;F46&amp;"/"&amp;N46&amp;"/"&amp;O46)</f>
        <v>14821/운송지역코드 관리/basic/DelyLcalMast</v>
      </c>
      <c r="AM46" s="21" t="s">
        <v>3349</v>
      </c>
      <c r="AN46" s="21"/>
      <c r="AO46" s="21"/>
      <c r="AP46" s="21"/>
      <c r="AQ46" s="21"/>
      <c r="AR46" s="21"/>
      <c r="AS46" s="21"/>
      <c r="AT46" s="21"/>
      <c r="AU46" s="21"/>
      <c r="AV46" s="21"/>
      <c r="AW46" s="21" t="s">
        <v>1829</v>
      </c>
      <c r="AX46" s="21"/>
      <c r="AY46" s="124"/>
      <c r="AZ46" s="138" t="str">
        <f>IF(C46="","","delete from module_mst where pjt_id = '"&amp;C46&amp;"' and menu_id = '"&amp;E46&amp;"';")</f>
        <v>delete from module_mst where pjt_id = '14821' and menu_id = '210013';</v>
      </c>
      <c r="BA46" s="31" t="str">
        <f>IF(C46&lt;&gt;"",CREATE_QUERY($D$1,C$2:AY$2,C46:AY46),"")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'210013', '운송지역코드 관리', 'Transport area code management', '', '', '', '1', '1', '1', 'basic', 'DelyLcalMast', '1', '1', '1', '1', '1', '1', '1', '', '0', '0', '0', '', '', '', '', 'Y', '', '', '210000', '4', '11130', '0', '14821/운송지역코드 관리/basic/DelyLcalMast', '선택', '');</v>
      </c>
    </row>
    <row r="47" spans="1:53">
      <c r="A47" s="1">
        <v>47</v>
      </c>
      <c r="B47" s="159" t="str">
        <f t="shared" si="16"/>
        <v xml:space="preserve">    └ (선택)택배사코드관리</v>
      </c>
      <c r="C47" s="27" t="str">
        <f t="shared" si="2"/>
        <v>14821</v>
      </c>
      <c r="D47" s="121"/>
      <c r="E47" s="21">
        <v>210014</v>
      </c>
      <c r="F47" s="118" t="s">
        <v>3262</v>
      </c>
      <c r="G47" s="118" t="s">
        <v>900</v>
      </c>
      <c r="H47" s="118"/>
      <c r="I47" s="118"/>
      <c r="J47" s="118"/>
      <c r="K47" s="21" t="str">
        <f t="shared" si="3"/>
        <v>1</v>
      </c>
      <c r="L47" s="21" t="str">
        <f t="shared" si="4"/>
        <v>1</v>
      </c>
      <c r="M47" s="21" t="str">
        <f t="shared" si="5"/>
        <v>1</v>
      </c>
      <c r="N47" s="118" t="s">
        <v>203</v>
      </c>
      <c r="O47" s="118" t="s">
        <v>3263</v>
      </c>
      <c r="P47" s="21" t="str">
        <f t="shared" ref="P47:P48" si="34">IF(O47="","0","1")</f>
        <v>1</v>
      </c>
      <c r="Q47" s="21" t="str">
        <f t="shared" ref="Q47:Q48" si="35">IF(O47="","0","1")</f>
        <v>1</v>
      </c>
      <c r="R47" s="21" t="str">
        <f t="shared" ref="R47:R48" si="36">IF(O47="","0","1")</f>
        <v>1</v>
      </c>
      <c r="S47" s="21" t="str">
        <f t="shared" ref="S47:S48" si="37">IF(O47="","0","1")</f>
        <v>1</v>
      </c>
      <c r="T47" s="21" t="str">
        <f t="shared" ref="T47:T48" si="38">IF(O47="","0","1")</f>
        <v>1</v>
      </c>
      <c r="U47" s="21" t="str">
        <f t="shared" ref="U47:U48" si="39">IF(O47="","0","1")</f>
        <v>1</v>
      </c>
      <c r="V47" s="21" t="str">
        <f t="shared" ref="V47:V48" si="40">IF(O47="","1","1")</f>
        <v>1</v>
      </c>
      <c r="W47" s="21"/>
      <c r="X47" s="21" t="str">
        <f t="shared" ref="X47:X48" si="41">IF(O47="","","0")</f>
        <v>0</v>
      </c>
      <c r="Y47" s="21" t="str">
        <f t="shared" ref="Y47:Y48" si="42">IF(O47="","","0")</f>
        <v>0</v>
      </c>
      <c r="Z47" s="21" t="str">
        <f t="shared" ref="Z47:Z48" si="43">IF(O47="","","0")</f>
        <v>0</v>
      </c>
      <c r="AA47" s="118"/>
      <c r="AB47" s="118"/>
      <c r="AC47" s="118"/>
      <c r="AD47" s="118"/>
      <c r="AE47" s="118" t="s">
        <v>56</v>
      </c>
      <c r="AF47" s="118"/>
      <c r="AG47" s="118"/>
      <c r="AH47" s="26" t="s">
        <v>121</v>
      </c>
      <c r="AI47" s="26" t="s">
        <v>112</v>
      </c>
      <c r="AJ47" s="21">
        <v>11140</v>
      </c>
      <c r="AK47" s="21" t="str">
        <f t="shared" si="0"/>
        <v>0</v>
      </c>
      <c r="AL47" s="123" t="str">
        <f t="shared" si="33"/>
        <v>14821/택배사코드관리/basic/HdcoMast</v>
      </c>
      <c r="AM47" s="21" t="s">
        <v>3349</v>
      </c>
      <c r="AN47" s="21" t="s">
        <v>3245</v>
      </c>
      <c r="AO47" s="21" t="s">
        <v>3245</v>
      </c>
      <c r="AP47" s="21" t="s">
        <v>3245</v>
      </c>
      <c r="AQ47" s="21" t="s">
        <v>3245</v>
      </c>
      <c r="AR47" s="21" t="s">
        <v>3245</v>
      </c>
      <c r="AS47" s="21" t="s">
        <v>3245</v>
      </c>
      <c r="AT47" s="21" t="s">
        <v>3245</v>
      </c>
      <c r="AU47" s="21" t="s">
        <v>3245</v>
      </c>
      <c r="AV47" s="21" t="s">
        <v>3245</v>
      </c>
      <c r="AW47" s="21" t="s">
        <v>3245</v>
      </c>
      <c r="AX47" s="21" t="s">
        <v>3245</v>
      </c>
      <c r="AY47" s="124"/>
      <c r="AZ47" s="138" t="str">
        <f>IF(C47="","","delete from module_mst where pjt_id = '"&amp;C47&amp;"' and menu_id = '"&amp;E47&amp;"';")</f>
        <v>delete from module_mst where pjt_id = '14821' and menu_id = '210014';</v>
      </c>
      <c r="BA47" s="31" t="str">
        <f>IF(C47&lt;&gt;"",CREATE_QUERY($D$1,C$2:AY$2,C47:AY47),"")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'210014', '택배사코드관리', '', '', '', '', '1', '1', '1', 'basic', 'HdcoMast', '1', '1', '1', '1', '1', '1', '1', '', '0', '0', '0', '', '', '', '', 'Y', '', '', '210000', '4', '11140', '0', '14821/택배사코드관리/basic/HdcoMast', '선택', '');</v>
      </c>
    </row>
    <row r="48" spans="1:53">
      <c r="A48" s="1">
        <v>48</v>
      </c>
      <c r="B48" s="159" t="str">
        <f t="shared" si="16"/>
        <v/>
      </c>
      <c r="C48" s="27" t="str">
        <f t="shared" si="2"/>
        <v/>
      </c>
      <c r="D48" s="121"/>
      <c r="E48" s="21">
        <v>210017</v>
      </c>
      <c r="F48" s="118"/>
      <c r="G48" s="118" t="s">
        <v>900</v>
      </c>
      <c r="H48" s="118"/>
      <c r="I48" s="118"/>
      <c r="J48" s="118"/>
      <c r="K48" s="21" t="str">
        <f t="shared" si="3"/>
        <v/>
      </c>
      <c r="L48" s="21" t="str">
        <f t="shared" si="4"/>
        <v/>
      </c>
      <c r="M48" s="21" t="str">
        <f t="shared" si="5"/>
        <v>0</v>
      </c>
      <c r="N48" s="118"/>
      <c r="O48" s="118"/>
      <c r="P48" s="21" t="str">
        <f t="shared" si="34"/>
        <v>0</v>
      </c>
      <c r="Q48" s="21" t="str">
        <f t="shared" si="35"/>
        <v>0</v>
      </c>
      <c r="R48" s="21" t="str">
        <f t="shared" si="36"/>
        <v>0</v>
      </c>
      <c r="S48" s="21" t="str">
        <f t="shared" si="37"/>
        <v>0</v>
      </c>
      <c r="T48" s="21" t="str">
        <f t="shared" si="38"/>
        <v>0</v>
      </c>
      <c r="U48" s="21" t="str">
        <f t="shared" si="39"/>
        <v>0</v>
      </c>
      <c r="V48" s="21" t="str">
        <f t="shared" si="40"/>
        <v>1</v>
      </c>
      <c r="W48" s="21"/>
      <c r="X48" s="21" t="str">
        <f t="shared" si="41"/>
        <v/>
      </c>
      <c r="Y48" s="21" t="str">
        <f t="shared" si="42"/>
        <v/>
      </c>
      <c r="Z48" s="21" t="str">
        <f t="shared" si="43"/>
        <v/>
      </c>
      <c r="AA48" s="118"/>
      <c r="AB48" s="118"/>
      <c r="AC48" s="118"/>
      <c r="AD48" s="118"/>
      <c r="AE48" s="118" t="s">
        <v>56</v>
      </c>
      <c r="AF48" s="118"/>
      <c r="AG48" s="118"/>
      <c r="AH48" s="26" t="s">
        <v>121</v>
      </c>
      <c r="AI48" s="26" t="s">
        <v>112</v>
      </c>
      <c r="AJ48" s="21">
        <v>11170</v>
      </c>
      <c r="AK48" s="21" t="str">
        <f t="shared" si="0"/>
        <v/>
      </c>
      <c r="AL48" s="123" t="str">
        <f t="shared" ref="AL48" si="44">IF(C48="","",C48&amp;"/"&amp;F48&amp;"/"&amp;N48&amp;"/"&amp;O48)</f>
        <v/>
      </c>
      <c r="AM48" s="21"/>
      <c r="AN48" s="21" t="s">
        <v>3245</v>
      </c>
      <c r="AO48" s="21" t="s">
        <v>3245</v>
      </c>
      <c r="AP48" s="21" t="s">
        <v>3245</v>
      </c>
      <c r="AQ48" s="21" t="s">
        <v>3245</v>
      </c>
      <c r="AR48" s="21" t="s">
        <v>3245</v>
      </c>
      <c r="AS48" s="21" t="s">
        <v>3245</v>
      </c>
      <c r="AT48" s="21" t="s">
        <v>3245</v>
      </c>
      <c r="AU48" s="21" t="s">
        <v>3245</v>
      </c>
      <c r="AV48" s="21" t="s">
        <v>3245</v>
      </c>
      <c r="AW48" s="21" t="s">
        <v>3245</v>
      </c>
      <c r="AX48" s="21" t="s">
        <v>3245</v>
      </c>
      <c r="AY48" s="124"/>
      <c r="AZ48" s="138" t="str">
        <f>IF(C48="","","delete from module_mst where pjt_id = '"&amp;C48&amp;"' and menu_id = '"&amp;E48&amp;"';")</f>
        <v/>
      </c>
      <c r="BA48" s="31" t="str">
        <f>IF(C48&lt;&gt;"",CREATE_QUERY($D$1,C$2:AY$2,C48:AY48),"")</f>
        <v/>
      </c>
    </row>
    <row r="49" spans="1:53">
      <c r="A49" s="1">
        <v>49</v>
      </c>
      <c r="B49" s="164" t="str">
        <f t="shared" si="16"/>
        <v/>
      </c>
      <c r="C49" s="27" t="str">
        <f t="shared" si="2"/>
        <v/>
      </c>
      <c r="D49" s="121"/>
      <c r="E49" s="27"/>
      <c r="F49" s="121"/>
      <c r="G49" s="121" t="s">
        <v>900</v>
      </c>
      <c r="H49" s="121"/>
      <c r="I49" s="121"/>
      <c r="J49" s="121"/>
      <c r="K49" s="27" t="str">
        <f t="shared" si="3"/>
        <v/>
      </c>
      <c r="L49" s="27" t="str">
        <f t="shared" si="4"/>
        <v/>
      </c>
      <c r="M49" s="27" t="str">
        <f t="shared" si="5"/>
        <v>0</v>
      </c>
      <c r="N49" s="121"/>
      <c r="O49" s="121"/>
      <c r="P49" s="27" t="str">
        <f t="shared" si="6"/>
        <v>0</v>
      </c>
      <c r="Q49" s="27" t="str">
        <f t="shared" si="7"/>
        <v>0</v>
      </c>
      <c r="R49" s="27" t="str">
        <f t="shared" si="8"/>
        <v>0</v>
      </c>
      <c r="S49" s="27" t="str">
        <f t="shared" si="9"/>
        <v>0</v>
      </c>
      <c r="T49" s="27" t="str">
        <f t="shared" si="10"/>
        <v>0</v>
      </c>
      <c r="U49" s="27" t="str">
        <f t="shared" si="11"/>
        <v>0</v>
      </c>
      <c r="V49" s="27" t="str">
        <f t="shared" si="12"/>
        <v>1</v>
      </c>
      <c r="W49" s="27"/>
      <c r="X49" s="27" t="str">
        <f t="shared" si="13"/>
        <v/>
      </c>
      <c r="Y49" s="27" t="str">
        <f t="shared" si="14"/>
        <v/>
      </c>
      <c r="Z49" s="27" t="str">
        <f t="shared" si="15"/>
        <v/>
      </c>
      <c r="AA49" s="121"/>
      <c r="AB49" s="121"/>
      <c r="AC49" s="121"/>
      <c r="AD49" s="121"/>
      <c r="AE49" s="121"/>
      <c r="AF49" s="121"/>
      <c r="AG49" s="121"/>
      <c r="AH49" s="27"/>
      <c r="AI49" s="27"/>
      <c r="AJ49" s="27"/>
      <c r="AK49" s="27" t="str">
        <f t="shared" si="0"/>
        <v/>
      </c>
      <c r="AL49" s="123" t="str">
        <f t="shared" si="1"/>
        <v/>
      </c>
      <c r="AM49" s="27"/>
      <c r="AN49" s="27"/>
      <c r="AO49" s="27"/>
      <c r="AP49" s="27"/>
      <c r="AQ49" s="27"/>
      <c r="AR49" s="27"/>
      <c r="AS49" s="27"/>
      <c r="AT49" s="27"/>
      <c r="AU49" s="27"/>
      <c r="AV49" s="27"/>
      <c r="AW49" s="27"/>
      <c r="AX49" s="27"/>
      <c r="AY49" s="124"/>
      <c r="AZ49" s="138" t="str">
        <f>IF(C49="","","delete from module_mst where pjt_id = '"&amp;C49&amp;"' and menu_id = '"&amp;E49&amp;"';")</f>
        <v/>
      </c>
      <c r="BA49" s="31" t="str">
        <f>IF(C49&lt;&gt;"",CREATE_QUERY($D$1,C$2:AY$2,C49:AY49),"")</f>
        <v/>
      </c>
    </row>
    <row r="50" spans="1:53">
      <c r="A50" s="1">
        <v>50</v>
      </c>
      <c r="B50" s="162" t="str">
        <f t="shared" si="16"/>
        <v xml:space="preserve">    └ 사용자관리</v>
      </c>
      <c r="C50" s="27" t="str">
        <f t="shared" si="2"/>
        <v>14821</v>
      </c>
      <c r="D50" s="121"/>
      <c r="E50" s="24" t="s">
        <v>122</v>
      </c>
      <c r="F50" s="127" t="s">
        <v>66</v>
      </c>
      <c r="G50" s="127" t="s">
        <v>3088</v>
      </c>
      <c r="H50" s="127"/>
      <c r="I50" s="127"/>
      <c r="J50" s="127"/>
      <c r="K50" s="25" t="str">
        <f t="shared" si="3"/>
        <v/>
      </c>
      <c r="L50" s="25" t="str">
        <f t="shared" si="4"/>
        <v>1</v>
      </c>
      <c r="M50" s="25" t="str">
        <f t="shared" si="5"/>
        <v>0</v>
      </c>
      <c r="N50" s="127"/>
      <c r="O50" s="127"/>
      <c r="P50" s="25" t="str">
        <f t="shared" si="6"/>
        <v>0</v>
      </c>
      <c r="Q50" s="25" t="str">
        <f t="shared" si="7"/>
        <v>0</v>
      </c>
      <c r="R50" s="25" t="str">
        <f t="shared" si="8"/>
        <v>0</v>
      </c>
      <c r="S50" s="25" t="str">
        <f t="shared" si="9"/>
        <v>0</v>
      </c>
      <c r="T50" s="25" t="str">
        <f t="shared" si="10"/>
        <v>0</v>
      </c>
      <c r="U50" s="25" t="str">
        <f t="shared" si="11"/>
        <v>0</v>
      </c>
      <c r="V50" s="25" t="str">
        <f t="shared" si="12"/>
        <v>1</v>
      </c>
      <c r="W50" s="25"/>
      <c r="X50" s="25" t="str">
        <f t="shared" si="13"/>
        <v/>
      </c>
      <c r="Y50" s="25" t="str">
        <f t="shared" si="14"/>
        <v/>
      </c>
      <c r="Z50" s="25" t="str">
        <f t="shared" si="15"/>
        <v/>
      </c>
      <c r="AA50" s="127"/>
      <c r="AB50" s="127"/>
      <c r="AC50" s="127"/>
      <c r="AD50" s="127"/>
      <c r="AE50" s="127" t="s">
        <v>51</v>
      </c>
      <c r="AF50" s="127"/>
      <c r="AG50" s="127"/>
      <c r="AH50" s="24">
        <v>210000</v>
      </c>
      <c r="AI50" s="24" t="s">
        <v>286</v>
      </c>
      <c r="AJ50" s="24">
        <v>11450</v>
      </c>
      <c r="AK50" s="24" t="str">
        <f t="shared" si="0"/>
        <v>0</v>
      </c>
      <c r="AL50" s="123" t="str">
        <f t="shared" si="1"/>
        <v>14821/사용자관리//</v>
      </c>
      <c r="AM50" s="24" t="s">
        <v>2979</v>
      </c>
      <c r="AN50" s="24" t="str">
        <f>IF(COUNTIF(AN51:AN64,"="&amp;"Y")&gt;0,"Y",IF(COUNTIF(AN51:AN64,"="&amp;"-")&gt;0,"m",""))</f>
        <v>m</v>
      </c>
      <c r="AO50" s="24" t="str">
        <f t="shared" ref="AO50:AX50" si="45">IF(COUNTIF(AO51:AO64,"="&amp;"Y")&gt;0,"Y",IF(COUNTIF(AO51:AO64,"="&amp;"-")&gt;0,"m",""))</f>
        <v>m</v>
      </c>
      <c r="AP50" s="24" t="str">
        <f t="shared" si="45"/>
        <v>m</v>
      </c>
      <c r="AQ50" s="24" t="str">
        <f t="shared" si="45"/>
        <v>m</v>
      </c>
      <c r="AR50" s="24" t="str">
        <f t="shared" si="45"/>
        <v>m</v>
      </c>
      <c r="AS50" s="24" t="str">
        <f t="shared" si="45"/>
        <v>Y</v>
      </c>
      <c r="AT50" s="24" t="str">
        <f t="shared" si="45"/>
        <v>Y</v>
      </c>
      <c r="AU50" s="24" t="str">
        <f t="shared" si="45"/>
        <v>m</v>
      </c>
      <c r="AV50" s="24" t="str">
        <f t="shared" si="45"/>
        <v>m</v>
      </c>
      <c r="AW50" s="24" t="str">
        <f t="shared" si="45"/>
        <v>m</v>
      </c>
      <c r="AX50" s="24" t="str">
        <f t="shared" si="45"/>
        <v>m</v>
      </c>
      <c r="AY50" s="124"/>
      <c r="AZ50" s="138" t="str">
        <f>IF(C50="","","delete from module_mst where pjt_id = '"&amp;C50&amp;"' and menu_id = '"&amp;E50&amp;"';")</f>
        <v>delete from module_mst where pjt_id = '14821' and menu_id = '220000';</v>
      </c>
      <c r="BA50" s="31" t="str">
        <f>IF(C50&lt;&gt;"",CREATE_QUERY($D$1,C$2:AY$2,C50:AY50),"")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'220000', '사용자관리', 'User management', '', '', '', '', '1', '0', '', '', '0', '0', '0', '0', '0', '0', '1', '', '', '', '', '', '', '', '', 'N', '', '', '210000', '4', '11450', '0', '14821/사용자관리//', '메뉴', '');</v>
      </c>
    </row>
    <row r="51" spans="1:53">
      <c r="A51" s="1">
        <v>51</v>
      </c>
      <c r="B51" s="159" t="str">
        <f t="shared" si="16"/>
        <v xml:space="preserve">        └ (공통)부서 코드 관리</v>
      </c>
      <c r="C51" s="27" t="str">
        <f t="shared" si="2"/>
        <v>14821</v>
      </c>
      <c r="D51" s="121"/>
      <c r="E51" s="21">
        <v>220001</v>
      </c>
      <c r="F51" s="118" t="s">
        <v>75</v>
      </c>
      <c r="G51" s="118" t="s">
        <v>3089</v>
      </c>
      <c r="H51" s="118"/>
      <c r="I51" s="118"/>
      <c r="J51" s="118"/>
      <c r="K51" s="21" t="str">
        <f t="shared" si="3"/>
        <v>1</v>
      </c>
      <c r="L51" s="21" t="str">
        <f t="shared" si="4"/>
        <v>1</v>
      </c>
      <c r="M51" s="21" t="str">
        <f t="shared" si="5"/>
        <v>1</v>
      </c>
      <c r="N51" s="118" t="s">
        <v>59</v>
      </c>
      <c r="O51" s="118" t="s">
        <v>76</v>
      </c>
      <c r="P51" s="21" t="str">
        <f t="shared" si="6"/>
        <v>1</v>
      </c>
      <c r="Q51" s="21" t="str">
        <f t="shared" si="7"/>
        <v>1</v>
      </c>
      <c r="R51" s="21" t="str">
        <f t="shared" si="8"/>
        <v>1</v>
      </c>
      <c r="S51" s="21" t="str">
        <f t="shared" si="9"/>
        <v>1</v>
      </c>
      <c r="T51" s="21" t="str">
        <f t="shared" si="10"/>
        <v>1</v>
      </c>
      <c r="U51" s="21" t="str">
        <f t="shared" si="11"/>
        <v>1</v>
      </c>
      <c r="V51" s="21" t="str">
        <f t="shared" si="12"/>
        <v>1</v>
      </c>
      <c r="W51" s="21"/>
      <c r="X51" s="21" t="str">
        <f t="shared" si="13"/>
        <v>0</v>
      </c>
      <c r="Y51" s="21" t="str">
        <f t="shared" si="14"/>
        <v>0</v>
      </c>
      <c r="Z51" s="21" t="str">
        <f t="shared" si="15"/>
        <v>0</v>
      </c>
      <c r="AA51" s="118"/>
      <c r="AB51" s="118"/>
      <c r="AC51" s="118"/>
      <c r="AD51" s="118"/>
      <c r="AE51" s="118" t="s">
        <v>51</v>
      </c>
      <c r="AF51" s="118"/>
      <c r="AG51" s="118"/>
      <c r="AH51" s="26" t="s">
        <v>122</v>
      </c>
      <c r="AI51" s="26" t="s">
        <v>113</v>
      </c>
      <c r="AJ51" s="26">
        <v>11500</v>
      </c>
      <c r="AK51" s="26" t="str">
        <f t="shared" si="0"/>
        <v>0</v>
      </c>
      <c r="AL51" s="123" t="str">
        <f t="shared" si="1"/>
        <v>14821/부서 코드 관리/basic/DeptMast</v>
      </c>
      <c r="AM51" s="26" t="s">
        <v>2981</v>
      </c>
      <c r="AN51" s="26"/>
      <c r="AO51" s="26"/>
      <c r="AP51" s="26"/>
      <c r="AQ51" s="26"/>
      <c r="AR51" s="26"/>
      <c r="AS51" s="26" t="s">
        <v>1829</v>
      </c>
      <c r="AT51" s="26" t="s">
        <v>1829</v>
      </c>
      <c r="AU51" s="26"/>
      <c r="AV51" s="26"/>
      <c r="AW51" s="26"/>
      <c r="AX51" s="26"/>
      <c r="AY51" s="124"/>
      <c r="AZ51" s="138" t="str">
        <f>IF(C51="","","delete from module_mst where pjt_id = '"&amp;C51&amp;"' and menu_id = '"&amp;E51&amp;"';")</f>
        <v>delete from module_mst where pjt_id = '14821' and menu_id = '220001';</v>
      </c>
      <c r="BA51" s="31" t="str">
        <f>IF(C51&lt;&gt;"",CREATE_QUERY($D$1,C$2:AY$2,C51:AY51),"")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'220001', '부서 코드 관리', 'Department code management', '', '', '', '1', '1', '1', 'basic', 'DeptMast', '1', '1', '1', '1', '1', '1', '1', '', '0', '0', '0', '', '', '', '', 'N', '', '', '220000', '5', '11500', '0', '14821/부서 코드 관리/basic/DeptMast', '공통', '');</v>
      </c>
    </row>
    <row r="52" spans="1:53">
      <c r="A52" s="1">
        <v>52</v>
      </c>
      <c r="B52" s="159" t="str">
        <f t="shared" si="16"/>
        <v xml:space="preserve">        └ (공통)직급 코드 관리</v>
      </c>
      <c r="C52" s="27" t="str">
        <f t="shared" si="2"/>
        <v>14821</v>
      </c>
      <c r="D52" s="121"/>
      <c r="E52" s="21">
        <v>220002</v>
      </c>
      <c r="F52" s="118" t="s">
        <v>65</v>
      </c>
      <c r="G52" s="118" t="s">
        <v>3090</v>
      </c>
      <c r="H52" s="118"/>
      <c r="I52" s="118"/>
      <c r="J52" s="118"/>
      <c r="K52" s="21" t="str">
        <f t="shared" si="3"/>
        <v>1</v>
      </c>
      <c r="L52" s="21" t="str">
        <f t="shared" si="4"/>
        <v>1</v>
      </c>
      <c r="M52" s="21" t="str">
        <f t="shared" si="5"/>
        <v>1</v>
      </c>
      <c r="N52" s="118" t="s">
        <v>61</v>
      </c>
      <c r="O52" s="118" t="s">
        <v>68</v>
      </c>
      <c r="P52" s="21" t="str">
        <f t="shared" si="6"/>
        <v>1</v>
      </c>
      <c r="Q52" s="21" t="str">
        <f t="shared" si="7"/>
        <v>1</v>
      </c>
      <c r="R52" s="21" t="str">
        <f t="shared" si="8"/>
        <v>1</v>
      </c>
      <c r="S52" s="21" t="str">
        <f t="shared" si="9"/>
        <v>1</v>
      </c>
      <c r="T52" s="21" t="str">
        <f t="shared" si="10"/>
        <v>1</v>
      </c>
      <c r="U52" s="21" t="str">
        <f t="shared" si="11"/>
        <v>1</v>
      </c>
      <c r="V52" s="21" t="str">
        <f t="shared" si="12"/>
        <v>1</v>
      </c>
      <c r="W52" s="21"/>
      <c r="X52" s="21" t="str">
        <f t="shared" si="13"/>
        <v>0</v>
      </c>
      <c r="Y52" s="21" t="str">
        <f t="shared" si="14"/>
        <v>0</v>
      </c>
      <c r="Z52" s="21" t="str">
        <f t="shared" si="15"/>
        <v>0</v>
      </c>
      <c r="AA52" s="118"/>
      <c r="AB52" s="118"/>
      <c r="AC52" s="118"/>
      <c r="AD52" s="118"/>
      <c r="AE52" s="118" t="s">
        <v>51</v>
      </c>
      <c r="AF52" s="118"/>
      <c r="AG52" s="118"/>
      <c r="AH52" s="26" t="s">
        <v>122</v>
      </c>
      <c r="AI52" s="26" t="s">
        <v>113</v>
      </c>
      <c r="AJ52" s="26">
        <v>11550</v>
      </c>
      <c r="AK52" s="26" t="str">
        <f t="shared" si="0"/>
        <v>0</v>
      </c>
      <c r="AL52" s="123" t="str">
        <f t="shared" si="1"/>
        <v>14821/직급 코드 관리/user/WkrnMast</v>
      </c>
      <c r="AM52" s="26" t="s">
        <v>2981</v>
      </c>
      <c r="AN52" s="26"/>
      <c r="AO52" s="26"/>
      <c r="AP52" s="26"/>
      <c r="AQ52" s="26"/>
      <c r="AR52" s="26"/>
      <c r="AS52" s="26" t="s">
        <v>1829</v>
      </c>
      <c r="AT52" s="26" t="s">
        <v>1829</v>
      </c>
      <c r="AU52" s="26"/>
      <c r="AV52" s="26"/>
      <c r="AW52" s="26"/>
      <c r="AX52" s="26"/>
      <c r="AY52" s="124"/>
      <c r="AZ52" s="138" t="str">
        <f>IF(C52="","","delete from module_mst where pjt_id = '"&amp;C52&amp;"' and menu_id = '"&amp;E52&amp;"';")</f>
        <v>delete from module_mst where pjt_id = '14821' and menu_id = '220002';</v>
      </c>
      <c r="BA52" s="31" t="str">
        <f>IF(C52&lt;&gt;"",CREATE_QUERY($D$1,C$2:AY$2,C52:AY52),"")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'220002', '직급 코드 관리', 'Position code management', '', '', '', '1', '1', '1', 'user', 'WkrnMast', '1', '1', '1', '1', '1', '1', '1', '', '0', '0', '0', '', '', '', '', 'N', '', '', '220000', '5', '11550', '0', '14821/직급 코드 관리/user/WkrnMast', '공통', '');</v>
      </c>
    </row>
    <row r="53" spans="1:53">
      <c r="A53" s="1">
        <v>53</v>
      </c>
      <c r="B53" s="159" t="str">
        <f t="shared" si="16"/>
        <v xml:space="preserve">        └ (공통)사용자 코드 관리</v>
      </c>
      <c r="C53" s="27" t="str">
        <f t="shared" si="2"/>
        <v>14821</v>
      </c>
      <c r="D53" s="121"/>
      <c r="E53" s="21">
        <v>220003</v>
      </c>
      <c r="F53" s="118" t="s">
        <v>63</v>
      </c>
      <c r="G53" s="118" t="s">
        <v>3091</v>
      </c>
      <c r="H53" s="118"/>
      <c r="I53" s="118"/>
      <c r="J53" s="118"/>
      <c r="K53" s="21" t="str">
        <f t="shared" si="3"/>
        <v>1</v>
      </c>
      <c r="L53" s="21" t="str">
        <f t="shared" si="4"/>
        <v>1</v>
      </c>
      <c r="M53" s="21" t="str">
        <f t="shared" si="5"/>
        <v>1</v>
      </c>
      <c r="N53" s="118" t="s">
        <v>61</v>
      </c>
      <c r="O53" s="118" t="s">
        <v>67</v>
      </c>
      <c r="P53" s="21" t="str">
        <f t="shared" si="6"/>
        <v>1</v>
      </c>
      <c r="Q53" s="21" t="str">
        <f t="shared" si="7"/>
        <v>1</v>
      </c>
      <c r="R53" s="21" t="str">
        <f t="shared" si="8"/>
        <v>1</v>
      </c>
      <c r="S53" s="21" t="str">
        <f t="shared" si="9"/>
        <v>1</v>
      </c>
      <c r="T53" s="21" t="str">
        <f t="shared" si="10"/>
        <v>1</v>
      </c>
      <c r="U53" s="21" t="str">
        <f t="shared" si="11"/>
        <v>1</v>
      </c>
      <c r="V53" s="21" t="str">
        <f t="shared" si="12"/>
        <v>1</v>
      </c>
      <c r="W53" s="21"/>
      <c r="X53" s="21" t="str">
        <f t="shared" si="13"/>
        <v>0</v>
      </c>
      <c r="Y53" s="21" t="str">
        <f t="shared" si="14"/>
        <v>0</v>
      </c>
      <c r="Z53" s="21" t="str">
        <f t="shared" si="15"/>
        <v>0</v>
      </c>
      <c r="AA53" s="118"/>
      <c r="AB53" s="118"/>
      <c r="AC53" s="118"/>
      <c r="AD53" s="118"/>
      <c r="AE53" s="118" t="s">
        <v>51</v>
      </c>
      <c r="AF53" s="118"/>
      <c r="AG53" s="118"/>
      <c r="AH53" s="26" t="s">
        <v>122</v>
      </c>
      <c r="AI53" s="26" t="s">
        <v>113</v>
      </c>
      <c r="AJ53" s="26">
        <v>11600</v>
      </c>
      <c r="AK53" s="26" t="str">
        <f t="shared" si="0"/>
        <v>0</v>
      </c>
      <c r="AL53" s="123" t="str">
        <f t="shared" si="1"/>
        <v>14821/사용자 코드 관리/user/UserMast</v>
      </c>
      <c r="AM53" s="26" t="s">
        <v>2981</v>
      </c>
      <c r="AN53" s="26"/>
      <c r="AO53" s="26"/>
      <c r="AP53" s="26"/>
      <c r="AQ53" s="26"/>
      <c r="AR53" s="26"/>
      <c r="AS53" s="26" t="s">
        <v>1829</v>
      </c>
      <c r="AT53" s="26" t="s">
        <v>1829</v>
      </c>
      <c r="AU53" s="26"/>
      <c r="AV53" s="26"/>
      <c r="AW53" s="26"/>
      <c r="AX53" s="26"/>
      <c r="AY53" s="124"/>
      <c r="AZ53" s="138" t="str">
        <f>IF(C53="","","delete from module_mst where pjt_id = '"&amp;C53&amp;"' and menu_id = '"&amp;E53&amp;"';")</f>
        <v>delete from module_mst where pjt_id = '14821' and menu_id = '220003';</v>
      </c>
      <c r="BA53" s="31" t="str">
        <f>IF(C53&lt;&gt;"",CREATE_QUERY($D$1,C$2:AY$2,C53:AY53),"")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'220003', '사용자 코드 관리', 'User code management', '', '', '', '1', '1', '1', 'user', 'UserMast', '1', '1', '1', '1', '1', '1', '1', '', '0', '0', '0', '', '', '', '', 'N', '', '', '220000', '5', '11600', '0', '14821/사용자 코드 관리/user/UserMast', '공통', '');</v>
      </c>
    </row>
    <row r="54" spans="1:53">
      <c r="A54" s="1">
        <v>54</v>
      </c>
      <c r="B54" s="159" t="str">
        <f t="shared" si="16"/>
        <v xml:space="preserve">        └ (공통)메뉴별 사용 권한 관리</v>
      </c>
      <c r="C54" s="27" t="str">
        <f t="shared" si="2"/>
        <v>14821</v>
      </c>
      <c r="D54" s="121"/>
      <c r="E54" s="21">
        <v>220004</v>
      </c>
      <c r="F54" s="118" t="s">
        <v>69</v>
      </c>
      <c r="G54" s="118" t="s">
        <v>3092</v>
      </c>
      <c r="H54" s="118"/>
      <c r="I54" s="118"/>
      <c r="J54" s="118"/>
      <c r="K54" s="21" t="str">
        <f t="shared" si="3"/>
        <v>1</v>
      </c>
      <c r="L54" s="21" t="str">
        <f t="shared" si="4"/>
        <v>1</v>
      </c>
      <c r="M54" s="21" t="str">
        <f t="shared" si="5"/>
        <v>1</v>
      </c>
      <c r="N54" s="118" t="s">
        <v>61</v>
      </c>
      <c r="O54" s="118" t="s">
        <v>70</v>
      </c>
      <c r="P54" s="21" t="str">
        <f t="shared" si="6"/>
        <v>1</v>
      </c>
      <c r="Q54" s="21" t="str">
        <f t="shared" si="7"/>
        <v>1</v>
      </c>
      <c r="R54" s="21" t="str">
        <f t="shared" si="8"/>
        <v>1</v>
      </c>
      <c r="S54" s="21" t="str">
        <f t="shared" si="9"/>
        <v>1</v>
      </c>
      <c r="T54" s="21" t="str">
        <f t="shared" si="10"/>
        <v>1</v>
      </c>
      <c r="U54" s="21" t="str">
        <f t="shared" si="11"/>
        <v>1</v>
      </c>
      <c r="V54" s="21" t="str">
        <f t="shared" si="12"/>
        <v>1</v>
      </c>
      <c r="W54" s="21"/>
      <c r="X54" s="21" t="str">
        <f t="shared" si="13"/>
        <v>0</v>
      </c>
      <c r="Y54" s="21" t="str">
        <f t="shared" si="14"/>
        <v>0</v>
      </c>
      <c r="Z54" s="21" t="str">
        <f t="shared" si="15"/>
        <v>0</v>
      </c>
      <c r="AA54" s="118"/>
      <c r="AB54" s="118"/>
      <c r="AC54" s="118"/>
      <c r="AD54" s="118"/>
      <c r="AE54" s="118" t="s">
        <v>51</v>
      </c>
      <c r="AF54" s="118"/>
      <c r="AG54" s="118"/>
      <c r="AH54" s="26" t="s">
        <v>122</v>
      </c>
      <c r="AI54" s="26" t="s">
        <v>113</v>
      </c>
      <c r="AJ54" s="26">
        <v>11650</v>
      </c>
      <c r="AK54" s="26" t="str">
        <f t="shared" si="0"/>
        <v>0</v>
      </c>
      <c r="AL54" s="123" t="str">
        <f t="shared" si="1"/>
        <v>14821/메뉴별 사용 권한 관리/user/MenuAuth</v>
      </c>
      <c r="AM54" s="26" t="s">
        <v>2981</v>
      </c>
      <c r="AN54" s="26"/>
      <c r="AO54" s="26"/>
      <c r="AP54" s="26"/>
      <c r="AQ54" s="26"/>
      <c r="AR54" s="26"/>
      <c r="AS54" s="26" t="s">
        <v>1829</v>
      </c>
      <c r="AT54" s="26" t="s">
        <v>1829</v>
      </c>
      <c r="AU54" s="26"/>
      <c r="AV54" s="26"/>
      <c r="AW54" s="26"/>
      <c r="AX54" s="26"/>
      <c r="AY54" s="124"/>
      <c r="AZ54" s="138" t="str">
        <f>IF(C54="","","delete from module_mst where pjt_id = '"&amp;C54&amp;"' and menu_id = '"&amp;E54&amp;"';")</f>
        <v>delete from module_mst where pjt_id = '14821' and menu_id = '220004';</v>
      </c>
      <c r="BA54" s="31" t="str">
        <f>IF(C54&lt;&gt;"",CREATE_QUERY($D$1,C$2:AY$2,C54:AY54),"")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'220004', '메뉴별 사용 권한 관리', 'Manage permissions for each menu', '', '', '', '1', '1', '1', 'user', 'MenuAuth', '1', '1', '1', '1', '1', '1', '1', '', '0', '0', '0', '', '', '', '', 'N', '', '', '220000', '5', '11650', '0', '14821/메뉴별 사용 권한 관리/user/MenuAuth', '공통', '');</v>
      </c>
    </row>
    <row r="55" spans="1:53">
      <c r="A55" s="1">
        <v>55</v>
      </c>
      <c r="B55" s="159" t="str">
        <f t="shared" si="16"/>
        <v xml:space="preserve">        └ (공통)사용자 메뉴 권한 관리</v>
      </c>
      <c r="C55" s="27" t="str">
        <f t="shared" si="2"/>
        <v>14821</v>
      </c>
      <c r="D55" s="121"/>
      <c r="E55" s="21">
        <v>220005</v>
      </c>
      <c r="F55" s="118" t="s">
        <v>71</v>
      </c>
      <c r="G55" s="118" t="s">
        <v>3093</v>
      </c>
      <c r="H55" s="118"/>
      <c r="I55" s="118"/>
      <c r="J55" s="118"/>
      <c r="K55" s="21" t="str">
        <f t="shared" si="3"/>
        <v>1</v>
      </c>
      <c r="L55" s="21" t="str">
        <f t="shared" si="4"/>
        <v>1</v>
      </c>
      <c r="M55" s="21" t="str">
        <f t="shared" si="5"/>
        <v>1</v>
      </c>
      <c r="N55" s="118" t="s">
        <v>61</v>
      </c>
      <c r="O55" s="118" t="s">
        <v>72</v>
      </c>
      <c r="P55" s="21" t="str">
        <f t="shared" si="6"/>
        <v>1</v>
      </c>
      <c r="Q55" s="21" t="str">
        <f t="shared" si="7"/>
        <v>1</v>
      </c>
      <c r="R55" s="21" t="str">
        <f t="shared" si="8"/>
        <v>1</v>
      </c>
      <c r="S55" s="21" t="str">
        <f t="shared" si="9"/>
        <v>1</v>
      </c>
      <c r="T55" s="21" t="str">
        <f t="shared" si="10"/>
        <v>1</v>
      </c>
      <c r="U55" s="21" t="str">
        <f t="shared" si="11"/>
        <v>1</v>
      </c>
      <c r="V55" s="21" t="str">
        <f t="shared" si="12"/>
        <v>1</v>
      </c>
      <c r="W55" s="21"/>
      <c r="X55" s="21" t="str">
        <f t="shared" si="13"/>
        <v>0</v>
      </c>
      <c r="Y55" s="21" t="str">
        <f t="shared" si="14"/>
        <v>0</v>
      </c>
      <c r="Z55" s="21" t="str">
        <f t="shared" si="15"/>
        <v>0</v>
      </c>
      <c r="AA55" s="118"/>
      <c r="AB55" s="118"/>
      <c r="AC55" s="118"/>
      <c r="AD55" s="118"/>
      <c r="AE55" s="118" t="s">
        <v>51</v>
      </c>
      <c r="AF55" s="118"/>
      <c r="AG55" s="118"/>
      <c r="AH55" s="26" t="s">
        <v>122</v>
      </c>
      <c r="AI55" s="26" t="s">
        <v>113</v>
      </c>
      <c r="AJ55" s="26">
        <v>11700</v>
      </c>
      <c r="AK55" s="26" t="str">
        <f t="shared" si="0"/>
        <v>0</v>
      </c>
      <c r="AL55" s="123" t="str">
        <f t="shared" si="1"/>
        <v>14821/사용자 메뉴 권한 관리/user/UserAuth</v>
      </c>
      <c r="AM55" s="26" t="s">
        <v>2981</v>
      </c>
      <c r="AN55" s="26"/>
      <c r="AO55" s="26"/>
      <c r="AP55" s="26"/>
      <c r="AQ55" s="26"/>
      <c r="AR55" s="26"/>
      <c r="AS55" s="26" t="s">
        <v>1829</v>
      </c>
      <c r="AT55" s="26" t="s">
        <v>1829</v>
      </c>
      <c r="AU55" s="26"/>
      <c r="AV55" s="26"/>
      <c r="AW55" s="26"/>
      <c r="AX55" s="26"/>
      <c r="AY55" s="124"/>
      <c r="AZ55" s="138" t="str">
        <f>IF(C55="","","delete from module_mst where pjt_id = '"&amp;C55&amp;"' and menu_id = '"&amp;E55&amp;"';")</f>
        <v>delete from module_mst where pjt_id = '14821' and menu_id = '220005';</v>
      </c>
      <c r="BA55" s="31" t="str">
        <f>IF(C55&lt;&gt;"",CREATE_QUERY($D$1,C$2:AY$2,C55:AY55),"")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'220005', '사용자 메뉴 권한 관리', 'User menu authority management', '', '', '', '1', '1', '1', 'user', 'UserAuth', '1', '1', '1', '1', '1', '1', '1', '', '0', '0', '0', '', '', '', '', 'N', '', '', '220000', '5', '11700', '0', '14821/사용자 메뉴 권한 관리/user/UserAuth', '공통', '');</v>
      </c>
    </row>
    <row r="56" spans="1:53">
      <c r="A56" s="1">
        <v>56</v>
      </c>
      <c r="B56" s="159" t="str">
        <f t="shared" si="16"/>
        <v xml:space="preserve">        └ (공통)임율정보 관리</v>
      </c>
      <c r="C56" s="27" t="str">
        <f t="shared" si="2"/>
        <v>14821</v>
      </c>
      <c r="D56" s="121"/>
      <c r="E56" s="21">
        <v>220006</v>
      </c>
      <c r="F56" s="118" t="s">
        <v>394</v>
      </c>
      <c r="G56" s="118" t="s">
        <v>3094</v>
      </c>
      <c r="H56" s="118"/>
      <c r="I56" s="118"/>
      <c r="J56" s="118"/>
      <c r="K56" s="21" t="str">
        <f t="shared" si="3"/>
        <v>1</v>
      </c>
      <c r="L56" s="21" t="str">
        <f t="shared" si="4"/>
        <v>1</v>
      </c>
      <c r="M56" s="21" t="str">
        <f t="shared" si="5"/>
        <v>1</v>
      </c>
      <c r="N56" s="118" t="s">
        <v>61</v>
      </c>
      <c r="O56" s="118" t="s">
        <v>395</v>
      </c>
      <c r="P56" s="21" t="str">
        <f t="shared" si="6"/>
        <v>1</v>
      </c>
      <c r="Q56" s="21" t="str">
        <f t="shared" si="7"/>
        <v>1</v>
      </c>
      <c r="R56" s="21" t="str">
        <f t="shared" si="8"/>
        <v>1</v>
      </c>
      <c r="S56" s="21" t="str">
        <f t="shared" si="9"/>
        <v>1</v>
      </c>
      <c r="T56" s="21" t="str">
        <f t="shared" si="10"/>
        <v>1</v>
      </c>
      <c r="U56" s="21" t="str">
        <f t="shared" si="11"/>
        <v>1</v>
      </c>
      <c r="V56" s="21" t="str">
        <f t="shared" si="12"/>
        <v>1</v>
      </c>
      <c r="W56" s="21"/>
      <c r="X56" s="21" t="str">
        <f t="shared" si="13"/>
        <v>0</v>
      </c>
      <c r="Y56" s="21" t="str">
        <f t="shared" si="14"/>
        <v>0</v>
      </c>
      <c r="Z56" s="21" t="str">
        <f t="shared" si="15"/>
        <v>0</v>
      </c>
      <c r="AA56" s="118"/>
      <c r="AB56" s="118"/>
      <c r="AC56" s="118"/>
      <c r="AD56" s="118"/>
      <c r="AE56" s="118" t="s">
        <v>51</v>
      </c>
      <c r="AF56" s="118"/>
      <c r="AG56" s="118"/>
      <c r="AH56" s="26" t="s">
        <v>122</v>
      </c>
      <c r="AI56" s="26" t="s">
        <v>113</v>
      </c>
      <c r="AJ56" s="26">
        <v>11702</v>
      </c>
      <c r="AK56" s="26" t="str">
        <f t="shared" si="0"/>
        <v>0</v>
      </c>
      <c r="AL56" s="123" t="str">
        <f t="shared" si="1"/>
        <v>14821/임율정보 관리/user/LaboRate</v>
      </c>
      <c r="AM56" s="26" t="s">
        <v>2981</v>
      </c>
      <c r="AN56" s="26"/>
      <c r="AO56" s="26"/>
      <c r="AP56" s="26"/>
      <c r="AQ56" s="26"/>
      <c r="AR56" s="26"/>
      <c r="AS56" s="26"/>
      <c r="AT56" s="26" t="s">
        <v>1829</v>
      </c>
      <c r="AU56" s="26"/>
      <c r="AV56" s="26"/>
      <c r="AW56" s="26"/>
      <c r="AX56" s="26"/>
      <c r="AY56" s="124"/>
      <c r="AZ56" s="138" t="str">
        <f>IF(C56="","","delete from module_mst where pjt_id = '"&amp;C56&amp;"' and menu_id = '"&amp;E56&amp;"';")</f>
        <v>delete from module_mst where pjt_id = '14821' and menu_id = '220006';</v>
      </c>
      <c r="BA56" s="31" t="str">
        <f>IF(C56&lt;&gt;"",CREATE_QUERY($D$1,C$2:AY$2,C56:AY56),"")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'220006', '임율정보 관리', 'Management of wage information', '', '', '', '1', '1', '1', 'user', 'LaboRate', '1', '1', '1', '1', '1', '1', '1', '', '0', '0', '0', '', '', '', '', 'N', '', '', '220000', '5', '11702', '0', '14821/임율정보 관리/user/LaboRate', '공통', '');</v>
      </c>
    </row>
    <row r="57" spans="1:53">
      <c r="A57" s="1">
        <v>57</v>
      </c>
      <c r="B57" s="159" t="str">
        <f t="shared" si="16"/>
        <v xml:space="preserve">        └ (공통)설치코드 관리</v>
      </c>
      <c r="C57" s="27" t="str">
        <f t="shared" si="2"/>
        <v>14821</v>
      </c>
      <c r="D57" s="121"/>
      <c r="E57" s="21">
        <v>220007</v>
      </c>
      <c r="F57" s="118" t="s">
        <v>2317</v>
      </c>
      <c r="G57" s="118" t="s">
        <v>3095</v>
      </c>
      <c r="H57" s="118"/>
      <c r="I57" s="118"/>
      <c r="J57" s="118"/>
      <c r="K57" s="21" t="str">
        <f t="shared" si="3"/>
        <v>1</v>
      </c>
      <c r="L57" s="21" t="str">
        <f t="shared" si="4"/>
        <v>1</v>
      </c>
      <c r="M57" s="21" t="str">
        <f t="shared" si="5"/>
        <v>1</v>
      </c>
      <c r="N57" s="118" t="s">
        <v>2318</v>
      </c>
      <c r="O57" s="118" t="s">
        <v>2319</v>
      </c>
      <c r="P57" s="21" t="str">
        <f t="shared" si="6"/>
        <v>1</v>
      </c>
      <c r="Q57" s="21" t="str">
        <f t="shared" si="7"/>
        <v>1</v>
      </c>
      <c r="R57" s="21" t="str">
        <f t="shared" si="8"/>
        <v>1</v>
      </c>
      <c r="S57" s="21" t="str">
        <f t="shared" si="9"/>
        <v>1</v>
      </c>
      <c r="T57" s="21" t="str">
        <f t="shared" si="10"/>
        <v>1</v>
      </c>
      <c r="U57" s="21" t="str">
        <f t="shared" si="11"/>
        <v>1</v>
      </c>
      <c r="V57" s="21" t="str">
        <f t="shared" si="12"/>
        <v>1</v>
      </c>
      <c r="W57" s="21"/>
      <c r="X57" s="21" t="str">
        <f t="shared" si="13"/>
        <v>0</v>
      </c>
      <c r="Y57" s="21" t="str">
        <f t="shared" si="14"/>
        <v>0</v>
      </c>
      <c r="Z57" s="21" t="str">
        <f t="shared" si="15"/>
        <v>0</v>
      </c>
      <c r="AA57" s="118"/>
      <c r="AB57" s="118"/>
      <c r="AC57" s="118"/>
      <c r="AD57" s="118"/>
      <c r="AE57" s="118" t="s">
        <v>51</v>
      </c>
      <c r="AF57" s="118"/>
      <c r="AG57" s="118"/>
      <c r="AH57" s="26" t="s">
        <v>122</v>
      </c>
      <c r="AI57" s="26" t="s">
        <v>113</v>
      </c>
      <c r="AJ57" s="26">
        <v>11704</v>
      </c>
      <c r="AK57" s="26" t="str">
        <f t="shared" si="0"/>
        <v>0</v>
      </c>
      <c r="AL57" s="123" t="str">
        <f t="shared" ref="AL57:AL63" si="46">IF(C57="","",C57&amp;"/"&amp;F57&amp;"/"&amp;N57&amp;"/"&amp;O57)</f>
        <v>14821/설치코드 관리/project/CertMast</v>
      </c>
      <c r="AM57" s="26" t="s">
        <v>2981</v>
      </c>
      <c r="AN57" s="26"/>
      <c r="AO57" s="26"/>
      <c r="AP57" s="26"/>
      <c r="AQ57" s="26"/>
      <c r="AR57" s="26"/>
      <c r="AS57" s="26"/>
      <c r="AT57" s="26"/>
      <c r="AU57" s="26"/>
      <c r="AV57" s="26"/>
      <c r="AW57" s="26"/>
      <c r="AX57" s="26"/>
      <c r="AY57" s="124"/>
      <c r="AZ57" s="138" t="str">
        <f>IF(C57="","","delete from module_mst where pjt_id = '"&amp;C57&amp;"' and menu_id = '"&amp;E57&amp;"';")</f>
        <v>delete from module_mst where pjt_id = '14821' and menu_id = '220007';</v>
      </c>
      <c r="BA57" s="31" t="str">
        <f>IF(C57&lt;&gt;"",CREATE_QUERY($D$1,C$2:AY$2,C57:AY57),"")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'220007', '설치코드 관리', 'Installation code management', '', '', '', '1', '1', '1', 'project', 'CertMast', '1', '1', '1', '1', '1', '1', '1', '', '0', '0', '0', '', '', '', '', 'N', '', '', '220000', '5', '11704', '0', '14821/설치코드 관리/project/CertMast', '공통', '');</v>
      </c>
    </row>
    <row r="58" spans="1:53">
      <c r="A58" s="1">
        <v>58</v>
      </c>
      <c r="B58" s="159" t="str">
        <f t="shared" si="16"/>
        <v xml:space="preserve">        └ (공통)MES 활용현황</v>
      </c>
      <c r="C58" s="27" t="str">
        <f t="shared" si="2"/>
        <v>14821</v>
      </c>
      <c r="D58" s="121"/>
      <c r="E58" s="21">
        <v>220008</v>
      </c>
      <c r="F58" s="118" t="s">
        <v>3317</v>
      </c>
      <c r="G58" s="118" t="s">
        <v>900</v>
      </c>
      <c r="H58" s="118"/>
      <c r="I58" s="118"/>
      <c r="J58" s="118"/>
      <c r="K58" s="21" t="str">
        <f t="shared" si="3"/>
        <v>1</v>
      </c>
      <c r="L58" s="21" t="str">
        <f t="shared" si="4"/>
        <v>1</v>
      </c>
      <c r="M58" s="21" t="str">
        <f t="shared" si="5"/>
        <v>1</v>
      </c>
      <c r="N58" s="118" t="s">
        <v>3320</v>
      </c>
      <c r="O58" s="118" t="s">
        <v>3318</v>
      </c>
      <c r="P58" s="21" t="str">
        <f t="shared" ref="P58:P64" si="47">IF(O58="","0","1")</f>
        <v>1</v>
      </c>
      <c r="Q58" s="21" t="str">
        <f t="shared" ref="Q58:Q64" si="48">IF(O58="","0","1")</f>
        <v>1</v>
      </c>
      <c r="R58" s="21" t="str">
        <f t="shared" ref="R58:R64" si="49">IF(O58="","0","1")</f>
        <v>1</v>
      </c>
      <c r="S58" s="21" t="str">
        <f t="shared" ref="S58:S64" si="50">IF(O58="","0","1")</f>
        <v>1</v>
      </c>
      <c r="T58" s="21" t="str">
        <f t="shared" ref="T58:T64" si="51">IF(O58="","0","1")</f>
        <v>1</v>
      </c>
      <c r="U58" s="21" t="str">
        <f t="shared" ref="U58:U64" si="52">IF(O58="","0","1")</f>
        <v>1</v>
      </c>
      <c r="V58" s="21" t="str">
        <f t="shared" ref="V58:V64" si="53">IF(O58="","1","1")</f>
        <v>1</v>
      </c>
      <c r="W58" s="21"/>
      <c r="X58" s="21" t="str">
        <f t="shared" ref="X58:X64" si="54">IF(O58="","","0")</f>
        <v>0</v>
      </c>
      <c r="Y58" s="21" t="str">
        <f t="shared" ref="Y58:Y64" si="55">IF(O58="","","0")</f>
        <v>0</v>
      </c>
      <c r="Z58" s="21" t="str">
        <f t="shared" ref="Z58:Z64" si="56">IF(O58="","","0")</f>
        <v>0</v>
      </c>
      <c r="AA58" s="118"/>
      <c r="AB58" s="118"/>
      <c r="AC58" s="118"/>
      <c r="AD58" s="118"/>
      <c r="AE58" s="118" t="s">
        <v>51</v>
      </c>
      <c r="AF58" s="118"/>
      <c r="AG58" s="118"/>
      <c r="AH58" s="26" t="s">
        <v>122</v>
      </c>
      <c r="AI58" s="26" t="s">
        <v>113</v>
      </c>
      <c r="AJ58" s="26">
        <v>11706</v>
      </c>
      <c r="AK58" s="26" t="str">
        <f t="shared" si="0"/>
        <v>0</v>
      </c>
      <c r="AL58" s="123" t="str">
        <f t="shared" si="46"/>
        <v>14821/MES 활용현황/user/MesLog</v>
      </c>
      <c r="AM58" s="26" t="s">
        <v>3319</v>
      </c>
      <c r="AN58" s="26" t="s">
        <v>3245</v>
      </c>
      <c r="AO58" s="26" t="s">
        <v>3245</v>
      </c>
      <c r="AP58" s="26" t="s">
        <v>3245</v>
      </c>
      <c r="AQ58" s="26" t="s">
        <v>3245</v>
      </c>
      <c r="AR58" s="26" t="s">
        <v>3245</v>
      </c>
      <c r="AS58" s="26" t="s">
        <v>3245</v>
      </c>
      <c r="AT58" s="26" t="s">
        <v>3245</v>
      </c>
      <c r="AU58" s="26" t="s">
        <v>3245</v>
      </c>
      <c r="AV58" s="26" t="s">
        <v>3245</v>
      </c>
      <c r="AW58" s="26" t="s">
        <v>3245</v>
      </c>
      <c r="AX58" s="26" t="s">
        <v>3245</v>
      </c>
      <c r="AY58" s="124"/>
      <c r="AZ58" s="138" t="str">
        <f>IF(C58="","","delete from module_mst where pjt_id = '"&amp;C58&amp;"' and menu_id = '"&amp;E58&amp;"';")</f>
        <v>delete from module_mst where pjt_id = '14821' and menu_id = '220008';</v>
      </c>
      <c r="BA58" s="31" t="str">
        <f>IF(C58&lt;&gt;"",CREATE_QUERY($D$1,C$2:AY$2,C58:AY58),"")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'220008', 'MES 활용현황', '', '', '', '', '1', '1', '1', 'user', 'MesLog', '1', '1', '1', '1', '1', '1', '1', '', '0', '0', '0', '', '', '', '', 'N', '', '', '220000', '5', '11706', '0', '14821/MES 활용현황/user/MesLog', '공통', '');</v>
      </c>
    </row>
    <row r="59" spans="1:53">
      <c r="A59" s="1">
        <v>59</v>
      </c>
      <c r="B59" s="159" t="str">
        <f t="shared" si="16"/>
        <v/>
      </c>
      <c r="C59" s="27" t="str">
        <f t="shared" si="2"/>
        <v/>
      </c>
      <c r="D59" s="121"/>
      <c r="E59" s="21">
        <v>220009</v>
      </c>
      <c r="F59" s="118"/>
      <c r="G59" s="118" t="s">
        <v>900</v>
      </c>
      <c r="H59" s="118"/>
      <c r="I59" s="118"/>
      <c r="J59" s="118"/>
      <c r="K59" s="21" t="str">
        <f t="shared" si="3"/>
        <v/>
      </c>
      <c r="L59" s="21" t="str">
        <f t="shared" si="4"/>
        <v/>
      </c>
      <c r="M59" s="21" t="str">
        <f t="shared" si="5"/>
        <v>0</v>
      </c>
      <c r="N59" s="118"/>
      <c r="O59" s="118"/>
      <c r="P59" s="21" t="str">
        <f t="shared" si="47"/>
        <v>0</v>
      </c>
      <c r="Q59" s="21" t="str">
        <f t="shared" si="48"/>
        <v>0</v>
      </c>
      <c r="R59" s="21" t="str">
        <f t="shared" si="49"/>
        <v>0</v>
      </c>
      <c r="S59" s="21" t="str">
        <f t="shared" si="50"/>
        <v>0</v>
      </c>
      <c r="T59" s="21" t="str">
        <f t="shared" si="51"/>
        <v>0</v>
      </c>
      <c r="U59" s="21" t="str">
        <f t="shared" si="52"/>
        <v>0</v>
      </c>
      <c r="V59" s="21" t="str">
        <f t="shared" si="53"/>
        <v>1</v>
      </c>
      <c r="W59" s="21"/>
      <c r="X59" s="21" t="str">
        <f t="shared" si="54"/>
        <v/>
      </c>
      <c r="Y59" s="21" t="str">
        <f t="shared" si="55"/>
        <v/>
      </c>
      <c r="Z59" s="21" t="str">
        <f t="shared" si="56"/>
        <v/>
      </c>
      <c r="AA59" s="118"/>
      <c r="AB59" s="118"/>
      <c r="AC59" s="118"/>
      <c r="AD59" s="118"/>
      <c r="AE59" s="118" t="s">
        <v>51</v>
      </c>
      <c r="AF59" s="118"/>
      <c r="AG59" s="118"/>
      <c r="AH59" s="26" t="s">
        <v>122</v>
      </c>
      <c r="AI59" s="26" t="s">
        <v>113</v>
      </c>
      <c r="AJ59" s="26">
        <v>11708</v>
      </c>
      <c r="AK59" s="26" t="str">
        <f t="shared" si="0"/>
        <v/>
      </c>
      <c r="AL59" s="123" t="str">
        <f t="shared" si="46"/>
        <v/>
      </c>
      <c r="AM59" s="26"/>
      <c r="AN59" s="26" t="s">
        <v>3245</v>
      </c>
      <c r="AO59" s="26" t="s">
        <v>3245</v>
      </c>
      <c r="AP59" s="26" t="s">
        <v>3245</v>
      </c>
      <c r="AQ59" s="26" t="s">
        <v>3245</v>
      </c>
      <c r="AR59" s="26" t="s">
        <v>3245</v>
      </c>
      <c r="AS59" s="26" t="s">
        <v>3245</v>
      </c>
      <c r="AT59" s="26" t="s">
        <v>3245</v>
      </c>
      <c r="AU59" s="26" t="s">
        <v>3245</v>
      </c>
      <c r="AV59" s="26" t="s">
        <v>3245</v>
      </c>
      <c r="AW59" s="26" t="s">
        <v>3245</v>
      </c>
      <c r="AX59" s="26" t="s">
        <v>3245</v>
      </c>
      <c r="AY59" s="124"/>
      <c r="AZ59" s="138" t="str">
        <f>IF(C59="","","delete from module_mst where pjt_id = '"&amp;C59&amp;"' and menu_id = '"&amp;E59&amp;"';")</f>
        <v/>
      </c>
      <c r="BA59" s="31" t="str">
        <f>IF(C59&lt;&gt;"",CREATE_QUERY($D$1,C$2:AY$2,C59:AY59),"")</f>
        <v/>
      </c>
    </row>
    <row r="60" spans="1:53">
      <c r="A60" s="1">
        <v>60</v>
      </c>
      <c r="B60" s="159" t="str">
        <f t="shared" si="16"/>
        <v/>
      </c>
      <c r="C60" s="27" t="str">
        <f t="shared" si="2"/>
        <v/>
      </c>
      <c r="D60" s="121"/>
      <c r="E60" s="21">
        <v>220010</v>
      </c>
      <c r="F60" s="118"/>
      <c r="G60" s="118" t="s">
        <v>900</v>
      </c>
      <c r="H60" s="118"/>
      <c r="I60" s="118"/>
      <c r="J60" s="118"/>
      <c r="K60" s="21" t="str">
        <f t="shared" si="3"/>
        <v/>
      </c>
      <c r="L60" s="21" t="str">
        <f t="shared" si="4"/>
        <v/>
      </c>
      <c r="M60" s="21" t="str">
        <f t="shared" si="5"/>
        <v>0</v>
      </c>
      <c r="N60" s="118"/>
      <c r="O60" s="118"/>
      <c r="P60" s="21" t="str">
        <f t="shared" si="47"/>
        <v>0</v>
      </c>
      <c r="Q60" s="21" t="str">
        <f t="shared" si="48"/>
        <v>0</v>
      </c>
      <c r="R60" s="21" t="str">
        <f t="shared" si="49"/>
        <v>0</v>
      </c>
      <c r="S60" s="21" t="str">
        <f t="shared" si="50"/>
        <v>0</v>
      </c>
      <c r="T60" s="21" t="str">
        <f t="shared" si="51"/>
        <v>0</v>
      </c>
      <c r="U60" s="21" t="str">
        <f t="shared" si="52"/>
        <v>0</v>
      </c>
      <c r="V60" s="21" t="str">
        <f t="shared" si="53"/>
        <v>1</v>
      </c>
      <c r="W60" s="21"/>
      <c r="X60" s="21" t="str">
        <f t="shared" si="54"/>
        <v/>
      </c>
      <c r="Y60" s="21" t="str">
        <f t="shared" si="55"/>
        <v/>
      </c>
      <c r="Z60" s="21" t="str">
        <f t="shared" si="56"/>
        <v/>
      </c>
      <c r="AA60" s="118"/>
      <c r="AB60" s="118"/>
      <c r="AC60" s="118"/>
      <c r="AD60" s="118"/>
      <c r="AE60" s="118" t="s">
        <v>51</v>
      </c>
      <c r="AF60" s="118"/>
      <c r="AG60" s="118"/>
      <c r="AH60" s="26" t="s">
        <v>122</v>
      </c>
      <c r="AI60" s="26" t="s">
        <v>113</v>
      </c>
      <c r="AJ60" s="26">
        <v>11710</v>
      </c>
      <c r="AK60" s="26" t="str">
        <f t="shared" si="0"/>
        <v/>
      </c>
      <c r="AL60" s="123" t="str">
        <f t="shared" si="46"/>
        <v/>
      </c>
      <c r="AM60" s="26"/>
      <c r="AN60" s="26" t="s">
        <v>3245</v>
      </c>
      <c r="AO60" s="26" t="s">
        <v>3245</v>
      </c>
      <c r="AP60" s="26" t="s">
        <v>3245</v>
      </c>
      <c r="AQ60" s="26" t="s">
        <v>3245</v>
      </c>
      <c r="AR60" s="26" t="s">
        <v>3245</v>
      </c>
      <c r="AS60" s="26" t="s">
        <v>3245</v>
      </c>
      <c r="AT60" s="26" t="s">
        <v>3245</v>
      </c>
      <c r="AU60" s="26" t="s">
        <v>3245</v>
      </c>
      <c r="AV60" s="26" t="s">
        <v>3245</v>
      </c>
      <c r="AW60" s="26" t="s">
        <v>3245</v>
      </c>
      <c r="AX60" s="26" t="s">
        <v>3245</v>
      </c>
      <c r="AY60" s="124"/>
      <c r="AZ60" s="138" t="str">
        <f>IF(C60="","","delete from module_mst where pjt_id = '"&amp;C60&amp;"' and menu_id = '"&amp;E60&amp;"';")</f>
        <v/>
      </c>
      <c r="BA60" s="31" t="str">
        <f>IF(C60&lt;&gt;"",CREATE_QUERY($D$1,C$2:AY$2,C60:AY60),"")</f>
        <v/>
      </c>
    </row>
    <row r="61" spans="1:53">
      <c r="A61" s="1">
        <v>61</v>
      </c>
      <c r="B61" s="159" t="str">
        <f t="shared" si="16"/>
        <v/>
      </c>
      <c r="C61" s="27" t="str">
        <f t="shared" si="2"/>
        <v/>
      </c>
      <c r="D61" s="121"/>
      <c r="E61" s="21">
        <v>220011</v>
      </c>
      <c r="F61" s="118"/>
      <c r="G61" s="118" t="s">
        <v>900</v>
      </c>
      <c r="H61" s="118"/>
      <c r="I61" s="118"/>
      <c r="J61" s="118"/>
      <c r="K61" s="21" t="str">
        <f t="shared" si="3"/>
        <v/>
      </c>
      <c r="L61" s="21" t="str">
        <f t="shared" si="4"/>
        <v/>
      </c>
      <c r="M61" s="21" t="str">
        <f t="shared" si="5"/>
        <v>0</v>
      </c>
      <c r="N61" s="118"/>
      <c r="O61" s="118"/>
      <c r="P61" s="21" t="str">
        <f t="shared" si="47"/>
        <v>0</v>
      </c>
      <c r="Q61" s="21" t="str">
        <f t="shared" si="48"/>
        <v>0</v>
      </c>
      <c r="R61" s="21" t="str">
        <f t="shared" si="49"/>
        <v>0</v>
      </c>
      <c r="S61" s="21" t="str">
        <f t="shared" si="50"/>
        <v>0</v>
      </c>
      <c r="T61" s="21" t="str">
        <f t="shared" si="51"/>
        <v>0</v>
      </c>
      <c r="U61" s="21" t="str">
        <f t="shared" si="52"/>
        <v>0</v>
      </c>
      <c r="V61" s="21" t="str">
        <f t="shared" si="53"/>
        <v>1</v>
      </c>
      <c r="W61" s="21"/>
      <c r="X61" s="21" t="str">
        <f t="shared" si="54"/>
        <v/>
      </c>
      <c r="Y61" s="21" t="str">
        <f t="shared" si="55"/>
        <v/>
      </c>
      <c r="Z61" s="21" t="str">
        <f t="shared" si="56"/>
        <v/>
      </c>
      <c r="AA61" s="118"/>
      <c r="AB61" s="118"/>
      <c r="AC61" s="118"/>
      <c r="AD61" s="118"/>
      <c r="AE61" s="118" t="s">
        <v>51</v>
      </c>
      <c r="AF61" s="118"/>
      <c r="AG61" s="118"/>
      <c r="AH61" s="26" t="s">
        <v>122</v>
      </c>
      <c r="AI61" s="26" t="s">
        <v>113</v>
      </c>
      <c r="AJ61" s="26">
        <v>11712</v>
      </c>
      <c r="AK61" s="26" t="str">
        <f t="shared" si="0"/>
        <v/>
      </c>
      <c r="AL61" s="123" t="str">
        <f t="shared" si="46"/>
        <v/>
      </c>
      <c r="AM61" s="26"/>
      <c r="AN61" s="26" t="s">
        <v>3245</v>
      </c>
      <c r="AO61" s="26" t="s">
        <v>3245</v>
      </c>
      <c r="AP61" s="26" t="s">
        <v>3245</v>
      </c>
      <c r="AQ61" s="26" t="s">
        <v>3245</v>
      </c>
      <c r="AR61" s="26" t="s">
        <v>3245</v>
      </c>
      <c r="AS61" s="26" t="s">
        <v>3245</v>
      </c>
      <c r="AT61" s="26" t="s">
        <v>3245</v>
      </c>
      <c r="AU61" s="26" t="s">
        <v>3245</v>
      </c>
      <c r="AV61" s="26" t="s">
        <v>3245</v>
      </c>
      <c r="AW61" s="26" t="s">
        <v>3245</v>
      </c>
      <c r="AX61" s="26" t="s">
        <v>3245</v>
      </c>
      <c r="AY61" s="124"/>
      <c r="AZ61" s="138" t="str">
        <f>IF(C61="","","delete from module_mst where pjt_id = '"&amp;C61&amp;"' and menu_id = '"&amp;E61&amp;"';")</f>
        <v/>
      </c>
      <c r="BA61" s="31" t="str">
        <f>IF(C61&lt;&gt;"",CREATE_QUERY($D$1,C$2:AY$2,C61:AY61),"")</f>
        <v/>
      </c>
    </row>
    <row r="62" spans="1:53">
      <c r="A62" s="1">
        <v>62</v>
      </c>
      <c r="B62" s="159" t="str">
        <f t="shared" si="16"/>
        <v/>
      </c>
      <c r="C62" s="27" t="str">
        <f t="shared" si="2"/>
        <v/>
      </c>
      <c r="D62" s="121"/>
      <c r="E62" s="21">
        <v>220012</v>
      </c>
      <c r="F62" s="118"/>
      <c r="G62" s="118" t="s">
        <v>900</v>
      </c>
      <c r="H62" s="118"/>
      <c r="I62" s="118"/>
      <c r="J62" s="118"/>
      <c r="K62" s="21" t="str">
        <f t="shared" si="3"/>
        <v/>
      </c>
      <c r="L62" s="21" t="str">
        <f t="shared" si="4"/>
        <v/>
      </c>
      <c r="M62" s="21" t="str">
        <f t="shared" si="5"/>
        <v>0</v>
      </c>
      <c r="N62" s="118"/>
      <c r="O62" s="118"/>
      <c r="P62" s="21" t="str">
        <f t="shared" si="47"/>
        <v>0</v>
      </c>
      <c r="Q62" s="21" t="str">
        <f t="shared" si="48"/>
        <v>0</v>
      </c>
      <c r="R62" s="21" t="str">
        <f t="shared" si="49"/>
        <v>0</v>
      </c>
      <c r="S62" s="21" t="str">
        <f t="shared" si="50"/>
        <v>0</v>
      </c>
      <c r="T62" s="21" t="str">
        <f t="shared" si="51"/>
        <v>0</v>
      </c>
      <c r="U62" s="21" t="str">
        <f t="shared" si="52"/>
        <v>0</v>
      </c>
      <c r="V62" s="21" t="str">
        <f t="shared" si="53"/>
        <v>1</v>
      </c>
      <c r="W62" s="21"/>
      <c r="X62" s="21" t="str">
        <f t="shared" si="54"/>
        <v/>
      </c>
      <c r="Y62" s="21" t="str">
        <f t="shared" si="55"/>
        <v/>
      </c>
      <c r="Z62" s="21" t="str">
        <f t="shared" si="56"/>
        <v/>
      </c>
      <c r="AA62" s="118"/>
      <c r="AB62" s="118"/>
      <c r="AC62" s="118"/>
      <c r="AD62" s="118"/>
      <c r="AE62" s="118" t="s">
        <v>51</v>
      </c>
      <c r="AF62" s="118"/>
      <c r="AG62" s="118"/>
      <c r="AH62" s="26" t="s">
        <v>122</v>
      </c>
      <c r="AI62" s="26" t="s">
        <v>113</v>
      </c>
      <c r="AJ62" s="26">
        <v>11714</v>
      </c>
      <c r="AK62" s="26" t="str">
        <f t="shared" si="0"/>
        <v/>
      </c>
      <c r="AL62" s="123" t="str">
        <f t="shared" si="46"/>
        <v/>
      </c>
      <c r="AM62" s="26"/>
      <c r="AN62" s="26" t="s">
        <v>3245</v>
      </c>
      <c r="AO62" s="26" t="s">
        <v>3245</v>
      </c>
      <c r="AP62" s="26" t="s">
        <v>3245</v>
      </c>
      <c r="AQ62" s="26" t="s">
        <v>3245</v>
      </c>
      <c r="AR62" s="26" t="s">
        <v>3245</v>
      </c>
      <c r="AS62" s="26" t="s">
        <v>3245</v>
      </c>
      <c r="AT62" s="26" t="s">
        <v>3245</v>
      </c>
      <c r="AU62" s="26" t="s">
        <v>3245</v>
      </c>
      <c r="AV62" s="26" t="s">
        <v>3245</v>
      </c>
      <c r="AW62" s="26" t="s">
        <v>3245</v>
      </c>
      <c r="AX62" s="26" t="s">
        <v>3245</v>
      </c>
      <c r="AY62" s="124"/>
      <c r="AZ62" s="138" t="str">
        <f>IF(C62="","","delete from module_mst where pjt_id = '"&amp;C62&amp;"' and menu_id = '"&amp;E62&amp;"';")</f>
        <v/>
      </c>
      <c r="BA62" s="31" t="str">
        <f>IF(C62&lt;&gt;"",CREATE_QUERY($D$1,C$2:AY$2,C62:AY62),"")</f>
        <v/>
      </c>
    </row>
    <row r="63" spans="1:53">
      <c r="A63" s="1">
        <v>63</v>
      </c>
      <c r="B63" s="159" t="str">
        <f t="shared" si="16"/>
        <v/>
      </c>
      <c r="C63" s="27" t="str">
        <f t="shared" si="2"/>
        <v/>
      </c>
      <c r="D63" s="121"/>
      <c r="E63" s="21">
        <v>220013</v>
      </c>
      <c r="F63" s="118"/>
      <c r="G63" s="118" t="s">
        <v>900</v>
      </c>
      <c r="H63" s="118"/>
      <c r="I63" s="118"/>
      <c r="J63" s="118"/>
      <c r="K63" s="21" t="str">
        <f t="shared" si="3"/>
        <v/>
      </c>
      <c r="L63" s="21" t="str">
        <f t="shared" si="4"/>
        <v/>
      </c>
      <c r="M63" s="21" t="str">
        <f t="shared" si="5"/>
        <v>0</v>
      </c>
      <c r="N63" s="118"/>
      <c r="O63" s="118"/>
      <c r="P63" s="21" t="str">
        <f t="shared" si="47"/>
        <v>0</v>
      </c>
      <c r="Q63" s="21" t="str">
        <f t="shared" si="48"/>
        <v>0</v>
      </c>
      <c r="R63" s="21" t="str">
        <f t="shared" si="49"/>
        <v>0</v>
      </c>
      <c r="S63" s="21" t="str">
        <f t="shared" si="50"/>
        <v>0</v>
      </c>
      <c r="T63" s="21" t="str">
        <f t="shared" si="51"/>
        <v>0</v>
      </c>
      <c r="U63" s="21" t="str">
        <f t="shared" si="52"/>
        <v>0</v>
      </c>
      <c r="V63" s="21" t="str">
        <f t="shared" si="53"/>
        <v>1</v>
      </c>
      <c r="W63" s="21"/>
      <c r="X63" s="21" t="str">
        <f t="shared" si="54"/>
        <v/>
      </c>
      <c r="Y63" s="21" t="str">
        <f t="shared" si="55"/>
        <v/>
      </c>
      <c r="Z63" s="21" t="str">
        <f t="shared" si="56"/>
        <v/>
      </c>
      <c r="AA63" s="118"/>
      <c r="AB63" s="118"/>
      <c r="AC63" s="118"/>
      <c r="AD63" s="118"/>
      <c r="AE63" s="118" t="s">
        <v>51</v>
      </c>
      <c r="AF63" s="118"/>
      <c r="AG63" s="118"/>
      <c r="AH63" s="26" t="s">
        <v>122</v>
      </c>
      <c r="AI63" s="26" t="s">
        <v>113</v>
      </c>
      <c r="AJ63" s="26">
        <v>11716</v>
      </c>
      <c r="AK63" s="26" t="str">
        <f t="shared" si="0"/>
        <v/>
      </c>
      <c r="AL63" s="123" t="str">
        <f t="shared" si="46"/>
        <v/>
      </c>
      <c r="AM63" s="26"/>
      <c r="AN63" s="26" t="s">
        <v>3245</v>
      </c>
      <c r="AO63" s="26" t="s">
        <v>3245</v>
      </c>
      <c r="AP63" s="26" t="s">
        <v>3245</v>
      </c>
      <c r="AQ63" s="26" t="s">
        <v>3245</v>
      </c>
      <c r="AR63" s="26" t="s">
        <v>3245</v>
      </c>
      <c r="AS63" s="26" t="s">
        <v>3245</v>
      </c>
      <c r="AT63" s="26" t="s">
        <v>3245</v>
      </c>
      <c r="AU63" s="26" t="s">
        <v>3245</v>
      </c>
      <c r="AV63" s="26" t="s">
        <v>3245</v>
      </c>
      <c r="AW63" s="26" t="s">
        <v>3245</v>
      </c>
      <c r="AX63" s="26" t="s">
        <v>3245</v>
      </c>
      <c r="AY63" s="124"/>
      <c r="AZ63" s="138" t="str">
        <f>IF(C63="","","delete from module_mst where pjt_id = '"&amp;C63&amp;"' and menu_id = '"&amp;E63&amp;"';")</f>
        <v/>
      </c>
      <c r="BA63" s="31" t="str">
        <f>IF(C63&lt;&gt;"",CREATE_QUERY($D$1,C$2:AY$2,C63:AY63),"")</f>
        <v/>
      </c>
    </row>
    <row r="64" spans="1:53">
      <c r="A64" s="1">
        <v>64</v>
      </c>
      <c r="B64" s="159" t="str">
        <f t="shared" si="16"/>
        <v/>
      </c>
      <c r="C64" s="27" t="str">
        <f t="shared" si="2"/>
        <v/>
      </c>
      <c r="D64" s="121"/>
      <c r="E64" s="21">
        <v>220014</v>
      </c>
      <c r="F64" s="118"/>
      <c r="G64" s="118" t="s">
        <v>900</v>
      </c>
      <c r="H64" s="118"/>
      <c r="I64" s="118"/>
      <c r="J64" s="118"/>
      <c r="K64" s="21" t="str">
        <f t="shared" si="3"/>
        <v/>
      </c>
      <c r="L64" s="21" t="str">
        <f t="shared" si="4"/>
        <v/>
      </c>
      <c r="M64" s="21" t="str">
        <f t="shared" si="5"/>
        <v>0</v>
      </c>
      <c r="N64" s="118"/>
      <c r="O64" s="118"/>
      <c r="P64" s="21" t="str">
        <f t="shared" si="47"/>
        <v>0</v>
      </c>
      <c r="Q64" s="21" t="str">
        <f t="shared" si="48"/>
        <v>0</v>
      </c>
      <c r="R64" s="21" t="str">
        <f t="shared" si="49"/>
        <v>0</v>
      </c>
      <c r="S64" s="21" t="str">
        <f t="shared" si="50"/>
        <v>0</v>
      </c>
      <c r="T64" s="21" t="str">
        <f t="shared" si="51"/>
        <v>0</v>
      </c>
      <c r="U64" s="21" t="str">
        <f t="shared" si="52"/>
        <v>0</v>
      </c>
      <c r="V64" s="21" t="str">
        <f t="shared" si="53"/>
        <v>1</v>
      </c>
      <c r="W64" s="21"/>
      <c r="X64" s="21" t="str">
        <f t="shared" si="54"/>
        <v/>
      </c>
      <c r="Y64" s="21" t="str">
        <f t="shared" si="55"/>
        <v/>
      </c>
      <c r="Z64" s="21" t="str">
        <f t="shared" si="56"/>
        <v/>
      </c>
      <c r="AA64" s="118"/>
      <c r="AB64" s="118"/>
      <c r="AC64" s="118"/>
      <c r="AD64" s="118"/>
      <c r="AE64" s="118" t="s">
        <v>51</v>
      </c>
      <c r="AF64" s="118"/>
      <c r="AG64" s="118"/>
      <c r="AH64" s="26" t="s">
        <v>122</v>
      </c>
      <c r="AI64" s="26" t="s">
        <v>113</v>
      </c>
      <c r="AJ64" s="26">
        <v>11718</v>
      </c>
      <c r="AK64" s="26" t="str">
        <f t="shared" si="0"/>
        <v/>
      </c>
      <c r="AL64" s="123" t="str">
        <f t="shared" ref="AL64" si="57">IF(C64="","",C64&amp;"/"&amp;F64&amp;"/"&amp;N64&amp;"/"&amp;O64)</f>
        <v/>
      </c>
      <c r="AM64" s="26"/>
      <c r="AN64" s="26" t="s">
        <v>3245</v>
      </c>
      <c r="AO64" s="26" t="s">
        <v>3245</v>
      </c>
      <c r="AP64" s="26" t="s">
        <v>3245</v>
      </c>
      <c r="AQ64" s="26" t="s">
        <v>3245</v>
      </c>
      <c r="AR64" s="26" t="s">
        <v>3245</v>
      </c>
      <c r="AS64" s="26" t="s">
        <v>3245</v>
      </c>
      <c r="AT64" s="26" t="s">
        <v>3245</v>
      </c>
      <c r="AU64" s="26" t="s">
        <v>3245</v>
      </c>
      <c r="AV64" s="26" t="s">
        <v>3245</v>
      </c>
      <c r="AW64" s="26" t="s">
        <v>3245</v>
      </c>
      <c r="AX64" s="26" t="s">
        <v>3245</v>
      </c>
      <c r="AY64" s="124"/>
      <c r="AZ64" s="138" t="str">
        <f>IF(C64="","","delete from module_mst where pjt_id = '"&amp;C64&amp;"' and menu_id = '"&amp;E64&amp;"';")</f>
        <v/>
      </c>
      <c r="BA64" s="31" t="str">
        <f>IF(C64&lt;&gt;"",CREATE_QUERY($D$1,C$2:AY$2,C64:AY64),"")</f>
        <v/>
      </c>
    </row>
    <row r="65" spans="1:53">
      <c r="A65" s="1">
        <v>65</v>
      </c>
      <c r="B65" s="164" t="str">
        <f t="shared" si="16"/>
        <v/>
      </c>
      <c r="C65" s="27" t="str">
        <f t="shared" si="2"/>
        <v/>
      </c>
      <c r="D65" s="121"/>
      <c r="E65" s="27"/>
      <c r="F65" s="121"/>
      <c r="G65" s="121" t="s">
        <v>900</v>
      </c>
      <c r="H65" s="121"/>
      <c r="I65" s="121"/>
      <c r="J65" s="121"/>
      <c r="K65" s="27" t="str">
        <f t="shared" si="3"/>
        <v/>
      </c>
      <c r="L65" s="27" t="str">
        <f t="shared" si="4"/>
        <v/>
      </c>
      <c r="M65" s="27" t="str">
        <f t="shared" si="5"/>
        <v>0</v>
      </c>
      <c r="N65" s="121"/>
      <c r="O65" s="121"/>
      <c r="P65" s="27" t="str">
        <f t="shared" si="6"/>
        <v>0</v>
      </c>
      <c r="Q65" s="27" t="str">
        <f t="shared" si="7"/>
        <v>0</v>
      </c>
      <c r="R65" s="27" t="str">
        <f t="shared" si="8"/>
        <v>0</v>
      </c>
      <c r="S65" s="27" t="str">
        <f t="shared" si="9"/>
        <v>0</v>
      </c>
      <c r="T65" s="27" t="str">
        <f t="shared" si="10"/>
        <v>0</v>
      </c>
      <c r="U65" s="27" t="str">
        <f t="shared" si="11"/>
        <v>0</v>
      </c>
      <c r="V65" s="27" t="str">
        <f t="shared" si="12"/>
        <v>1</v>
      </c>
      <c r="W65" s="27"/>
      <c r="X65" s="27" t="str">
        <f t="shared" si="13"/>
        <v/>
      </c>
      <c r="Y65" s="27" t="str">
        <f t="shared" si="14"/>
        <v/>
      </c>
      <c r="Z65" s="27" t="str">
        <f t="shared" si="15"/>
        <v/>
      </c>
      <c r="AA65" s="121"/>
      <c r="AB65" s="121"/>
      <c r="AC65" s="121"/>
      <c r="AD65" s="121"/>
      <c r="AE65" s="121"/>
      <c r="AF65" s="121"/>
      <c r="AG65" s="121"/>
      <c r="AH65" s="27"/>
      <c r="AI65" s="27"/>
      <c r="AJ65" s="27"/>
      <c r="AK65" s="27" t="str">
        <f t="shared" ref="AK65:AK102" si="58">IF(B65="","","0")</f>
        <v/>
      </c>
      <c r="AL65" s="123" t="str">
        <f t="shared" si="1"/>
        <v/>
      </c>
      <c r="AM65" s="27"/>
      <c r="AN65" s="27"/>
      <c r="AO65" s="27"/>
      <c r="AP65" s="27"/>
      <c r="AQ65" s="27"/>
      <c r="AR65" s="27"/>
      <c r="AS65" s="27" t="s">
        <v>1829</v>
      </c>
      <c r="AT65" s="27"/>
      <c r="AU65" s="27"/>
      <c r="AV65" s="27"/>
      <c r="AW65" s="27"/>
      <c r="AX65" s="27"/>
      <c r="AY65" s="124"/>
      <c r="AZ65" s="138" t="str">
        <f>IF(C65="","","delete from module_mst where pjt_id = '"&amp;C65&amp;"' and menu_id = '"&amp;E65&amp;"';")</f>
        <v/>
      </c>
      <c r="BA65" s="31" t="str">
        <f>IF(C65&lt;&gt;"",CREATE_QUERY($D$1,C$2:AY$2,C65:AY65),"")</f>
        <v/>
      </c>
    </row>
    <row r="66" spans="1:53">
      <c r="A66" s="1">
        <v>66</v>
      </c>
      <c r="B66" s="162" t="str">
        <f t="shared" si="16"/>
        <v xml:space="preserve">    └ 품목정보관리</v>
      </c>
      <c r="C66" s="27" t="str">
        <f t="shared" ref="C66:C103" si="59">IF(F66="","","14821")</f>
        <v>14821</v>
      </c>
      <c r="D66" s="121"/>
      <c r="E66" s="24" t="s">
        <v>124</v>
      </c>
      <c r="F66" s="127" t="s">
        <v>143</v>
      </c>
      <c r="G66" s="127" t="s">
        <v>3096</v>
      </c>
      <c r="H66" s="127"/>
      <c r="I66" s="127"/>
      <c r="J66" s="127"/>
      <c r="K66" s="25" t="str">
        <f t="shared" si="3"/>
        <v/>
      </c>
      <c r="L66" s="25" t="str">
        <f t="shared" ref="L66:L103" si="60">IF(F66="","","1")</f>
        <v>1</v>
      </c>
      <c r="M66" s="25" t="str">
        <f t="shared" si="5"/>
        <v>0</v>
      </c>
      <c r="N66" s="127"/>
      <c r="O66" s="127"/>
      <c r="P66" s="25" t="str">
        <f t="shared" si="6"/>
        <v>0</v>
      </c>
      <c r="Q66" s="25" t="str">
        <f t="shared" si="7"/>
        <v>0</v>
      </c>
      <c r="R66" s="25" t="str">
        <f t="shared" si="8"/>
        <v>0</v>
      </c>
      <c r="S66" s="25" t="str">
        <f t="shared" si="9"/>
        <v>0</v>
      </c>
      <c r="T66" s="25" t="str">
        <f t="shared" si="10"/>
        <v>0</v>
      </c>
      <c r="U66" s="25" t="str">
        <f t="shared" si="11"/>
        <v>0</v>
      </c>
      <c r="V66" s="25" t="str">
        <f t="shared" si="12"/>
        <v>1</v>
      </c>
      <c r="W66" s="25"/>
      <c r="X66" s="25" t="str">
        <f t="shared" si="13"/>
        <v/>
      </c>
      <c r="Y66" s="25" t="str">
        <f t="shared" si="14"/>
        <v/>
      </c>
      <c r="Z66" s="25" t="str">
        <f t="shared" si="15"/>
        <v/>
      </c>
      <c r="AA66" s="127"/>
      <c r="AB66" s="127"/>
      <c r="AC66" s="127"/>
      <c r="AD66" s="127"/>
      <c r="AE66" s="127" t="s">
        <v>51</v>
      </c>
      <c r="AF66" s="127"/>
      <c r="AG66" s="127"/>
      <c r="AH66" s="24" t="s">
        <v>121</v>
      </c>
      <c r="AI66" s="24" t="s">
        <v>112</v>
      </c>
      <c r="AJ66" s="24">
        <v>11850</v>
      </c>
      <c r="AK66" s="24" t="str">
        <f t="shared" si="58"/>
        <v>0</v>
      </c>
      <c r="AL66" s="123" t="str">
        <f t="shared" si="1"/>
        <v>14821/품목정보관리//</v>
      </c>
      <c r="AM66" s="24" t="s">
        <v>2979</v>
      </c>
      <c r="AN66" s="24" t="str">
        <f t="shared" ref="AN66:AX66" si="61">IF(COUNTIF(AN67:AN75,"="&amp;"Y")&gt;0,"Y",IF(COUNTIF(AN67:AN75,"="&amp;"-")&gt;0,"m",""))</f>
        <v>Y</v>
      </c>
      <c r="AO66" s="24" t="str">
        <f t="shared" si="61"/>
        <v>m</v>
      </c>
      <c r="AP66" s="24" t="str">
        <f t="shared" si="61"/>
        <v>m</v>
      </c>
      <c r="AQ66" s="24" t="str">
        <f t="shared" si="61"/>
        <v>m</v>
      </c>
      <c r="AR66" s="24" t="str">
        <f t="shared" si="61"/>
        <v>m</v>
      </c>
      <c r="AS66" s="24" t="str">
        <f t="shared" si="61"/>
        <v>Y</v>
      </c>
      <c r="AT66" s="24" t="str">
        <f t="shared" si="61"/>
        <v>Y</v>
      </c>
      <c r="AU66" s="24" t="str">
        <f t="shared" si="61"/>
        <v>m</v>
      </c>
      <c r="AV66" s="24" t="str">
        <f t="shared" si="61"/>
        <v>Y</v>
      </c>
      <c r="AW66" s="24" t="str">
        <f t="shared" si="61"/>
        <v>m</v>
      </c>
      <c r="AX66" s="24" t="str">
        <f t="shared" si="61"/>
        <v>Y</v>
      </c>
      <c r="AY66" s="124"/>
      <c r="AZ66" s="138" t="str">
        <f>IF(C66="","","delete from module_mst where pjt_id = '"&amp;C66&amp;"' and menu_id = '"&amp;E66&amp;"';")</f>
        <v>delete from module_mst where pjt_id = '14821' and menu_id = '230000';</v>
      </c>
      <c r="BA66" s="31" t="str">
        <f>IF(C66&lt;&gt;"",CREATE_QUERY($D$1,C$2:AY$2,C66:AY66),"")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'230000', '품목정보관리', 'Item Information Management', '', '', '', '', '1', '0', '', '', '0', '0', '0', '0', '0', '0', '1', '', '', '', '', '', '', '', '', 'N', '', '', '210000', '4', '11850', '0', '14821/품목정보관리//', '메뉴', '');</v>
      </c>
    </row>
    <row r="67" spans="1:53">
      <c r="A67" s="1">
        <v>67</v>
      </c>
      <c r="B67" s="159" t="str">
        <f t="shared" ref="B67:B109" si="62">IF(F67="","",IF(AI67="1","",IF(AI67="2","└ ",IF(AI67="3","  └ ",IF(AI67="4","    └ ",IF(AI67="5","        └ ",IF(AI67="6","         └ ",IF(AI67="7"="            └ ",""))))))))&amp;IF(AM67="","",IF(AM67="메뉴","","("&amp;AM67&amp;")"))&amp;F67</f>
        <v xml:space="preserve">        └ (공통)단위코드관리</v>
      </c>
      <c r="C67" s="27" t="str">
        <f t="shared" si="59"/>
        <v>14821</v>
      </c>
      <c r="D67" s="121"/>
      <c r="E67" s="21">
        <v>230001</v>
      </c>
      <c r="F67" s="118" t="s">
        <v>147</v>
      </c>
      <c r="G67" s="118" t="s">
        <v>3097</v>
      </c>
      <c r="H67" s="118"/>
      <c r="I67" s="118"/>
      <c r="J67" s="118"/>
      <c r="K67" s="21" t="str">
        <f t="shared" si="3"/>
        <v>1</v>
      </c>
      <c r="L67" s="21" t="str">
        <f t="shared" si="60"/>
        <v>1</v>
      </c>
      <c r="M67" s="21" t="str">
        <f t="shared" si="5"/>
        <v>1</v>
      </c>
      <c r="N67" s="118" t="s">
        <v>203</v>
      </c>
      <c r="O67" s="118" t="s">
        <v>151</v>
      </c>
      <c r="P67" s="21" t="str">
        <f t="shared" si="6"/>
        <v>1</v>
      </c>
      <c r="Q67" s="21" t="str">
        <f t="shared" si="7"/>
        <v>1</v>
      </c>
      <c r="R67" s="21" t="str">
        <f t="shared" si="8"/>
        <v>1</v>
      </c>
      <c r="S67" s="21" t="str">
        <f t="shared" si="9"/>
        <v>1</v>
      </c>
      <c r="T67" s="21" t="str">
        <f t="shared" si="10"/>
        <v>1</v>
      </c>
      <c r="U67" s="21" t="str">
        <f t="shared" si="11"/>
        <v>1</v>
      </c>
      <c r="V67" s="21" t="str">
        <f t="shared" si="12"/>
        <v>1</v>
      </c>
      <c r="W67" s="21"/>
      <c r="X67" s="21" t="str">
        <f t="shared" si="13"/>
        <v>0</v>
      </c>
      <c r="Y67" s="21" t="str">
        <f t="shared" si="14"/>
        <v>0</v>
      </c>
      <c r="Z67" s="21" t="str">
        <f t="shared" si="15"/>
        <v>0</v>
      </c>
      <c r="AA67" s="118"/>
      <c r="AB67" s="118"/>
      <c r="AC67" s="118"/>
      <c r="AD67" s="118"/>
      <c r="AE67" s="118" t="s">
        <v>51</v>
      </c>
      <c r="AF67" s="118"/>
      <c r="AG67" s="118"/>
      <c r="AH67" s="26" t="s">
        <v>124</v>
      </c>
      <c r="AI67" s="26" t="s">
        <v>113</v>
      </c>
      <c r="AJ67" s="26">
        <v>11900</v>
      </c>
      <c r="AK67" s="26" t="str">
        <f t="shared" si="58"/>
        <v>0</v>
      </c>
      <c r="AL67" s="123" t="str">
        <f t="shared" si="1"/>
        <v>14821/단위코드관리/basic/UnitMast</v>
      </c>
      <c r="AM67" s="26" t="s">
        <v>2981</v>
      </c>
      <c r="AN67" s="26"/>
      <c r="AO67" s="26"/>
      <c r="AP67" s="26"/>
      <c r="AQ67" s="26"/>
      <c r="AR67" s="26"/>
      <c r="AS67" s="26" t="s">
        <v>1829</v>
      </c>
      <c r="AT67" s="26" t="s">
        <v>1829</v>
      </c>
      <c r="AU67" s="26"/>
      <c r="AV67" s="26"/>
      <c r="AW67" s="26"/>
      <c r="AX67" s="26"/>
      <c r="AY67" s="124"/>
      <c r="AZ67" s="138" t="str">
        <f>IF(C67="","","delete from module_mst where pjt_id = '"&amp;C67&amp;"' and menu_id = '"&amp;E67&amp;"';")</f>
        <v>delete from module_mst where pjt_id = '14821' and menu_id = '230001';</v>
      </c>
      <c r="BA67" s="31" t="str">
        <f>IF(C67&lt;&gt;"",CREATE_QUERY($D$1,C$2:AY$2,C67:AY67),"")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'230001', '단위코드관리', 'Unit code management', '', '', '', '1', '1', '1', 'basic', 'UnitMast', '1', '1', '1', '1', '1', '1', '1', '', '0', '0', '0', '', '', '', '', 'N', '', '', '230000', '5', '11900', '0', '14821/단위코드관리/basic/UnitMast', '공통', '');</v>
      </c>
    </row>
    <row r="68" spans="1:53">
      <c r="A68" s="1">
        <v>68</v>
      </c>
      <c r="B68" s="159" t="str">
        <f t="shared" si="62"/>
        <v xml:space="preserve">        └ (공통)품목분류코드관리</v>
      </c>
      <c r="C68" s="27" t="str">
        <f t="shared" si="59"/>
        <v>14821</v>
      </c>
      <c r="D68" s="121"/>
      <c r="E68" s="21">
        <v>230002</v>
      </c>
      <c r="F68" s="118" t="s">
        <v>148</v>
      </c>
      <c r="G68" s="118" t="s">
        <v>3098</v>
      </c>
      <c r="H68" s="118"/>
      <c r="I68" s="118"/>
      <c r="J68" s="118"/>
      <c r="K68" s="21" t="str">
        <f t="shared" si="3"/>
        <v>1</v>
      </c>
      <c r="L68" s="21" t="str">
        <f t="shared" si="60"/>
        <v>1</v>
      </c>
      <c r="M68" s="21" t="str">
        <f t="shared" si="5"/>
        <v>1</v>
      </c>
      <c r="N68" s="118" t="s">
        <v>145</v>
      </c>
      <c r="O68" s="118" t="s">
        <v>152</v>
      </c>
      <c r="P68" s="21" t="str">
        <f t="shared" si="6"/>
        <v>1</v>
      </c>
      <c r="Q68" s="21" t="str">
        <f t="shared" si="7"/>
        <v>1</v>
      </c>
      <c r="R68" s="21" t="str">
        <f t="shared" si="8"/>
        <v>1</v>
      </c>
      <c r="S68" s="21" t="str">
        <f t="shared" si="9"/>
        <v>1</v>
      </c>
      <c r="T68" s="21" t="str">
        <f t="shared" si="10"/>
        <v>1</v>
      </c>
      <c r="U68" s="21" t="str">
        <f t="shared" si="11"/>
        <v>1</v>
      </c>
      <c r="V68" s="21" t="str">
        <f t="shared" si="12"/>
        <v>1</v>
      </c>
      <c r="W68" s="21"/>
      <c r="X68" s="21" t="str">
        <f t="shared" si="13"/>
        <v>0</v>
      </c>
      <c r="Y68" s="21" t="str">
        <f t="shared" si="14"/>
        <v>0</v>
      </c>
      <c r="Z68" s="21" t="str">
        <f t="shared" si="15"/>
        <v>0</v>
      </c>
      <c r="AA68" s="118"/>
      <c r="AB68" s="118"/>
      <c r="AC68" s="118"/>
      <c r="AD68" s="118"/>
      <c r="AE68" s="118" t="s">
        <v>51</v>
      </c>
      <c r="AF68" s="118"/>
      <c r="AG68" s="118"/>
      <c r="AH68" s="26" t="s">
        <v>124</v>
      </c>
      <c r="AI68" s="26" t="s">
        <v>113</v>
      </c>
      <c r="AJ68" s="26">
        <v>12000</v>
      </c>
      <c r="AK68" s="26" t="str">
        <f t="shared" si="58"/>
        <v>0</v>
      </c>
      <c r="AL68" s="123" t="str">
        <f t="shared" si="1"/>
        <v>14821/품목분류코드관리/item/ItemClass</v>
      </c>
      <c r="AM68" s="26" t="s">
        <v>2981</v>
      </c>
      <c r="AN68" s="26"/>
      <c r="AO68" s="26"/>
      <c r="AP68" s="26"/>
      <c r="AQ68" s="26"/>
      <c r="AR68" s="26"/>
      <c r="AS68" s="26" t="s">
        <v>1829</v>
      </c>
      <c r="AT68" s="26" t="s">
        <v>1829</v>
      </c>
      <c r="AU68" s="26"/>
      <c r="AV68" s="26"/>
      <c r="AW68" s="26"/>
      <c r="AX68" s="26"/>
      <c r="AY68" s="124"/>
      <c r="AZ68" s="138" t="str">
        <f>IF(C68="","","delete from module_mst where pjt_id = '"&amp;C68&amp;"' and menu_id = '"&amp;E68&amp;"';")</f>
        <v>delete from module_mst where pjt_id = '14821' and menu_id = '230002';</v>
      </c>
      <c r="BA68" s="31" t="str">
        <f>IF(C68&lt;&gt;"",CREATE_QUERY($D$1,C$2:AY$2,C68:AY68),"")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'230002', '품목분류코드관리', 'Item classification code management', '', '', '', '1', '1', '1', 'item', 'ItemClass', '1', '1', '1', '1', '1', '1', '1', '', '0', '0', '0', '', '', '', '', 'N', '', '', '230000', '5', '12000', '0', '14821/품목분류코드관리/item/ItemClass', '공통', '');</v>
      </c>
    </row>
    <row r="69" spans="1:53">
      <c r="A69" s="1">
        <v>69</v>
      </c>
      <c r="B69" s="159" t="str">
        <f t="shared" si="62"/>
        <v xml:space="preserve">        └ (공통)품목코드관리</v>
      </c>
      <c r="C69" s="27" t="str">
        <f t="shared" si="59"/>
        <v>14821</v>
      </c>
      <c r="D69" s="121"/>
      <c r="E69" s="21">
        <v>230003</v>
      </c>
      <c r="F69" s="118" t="s">
        <v>144</v>
      </c>
      <c r="G69" s="118" t="s">
        <v>3099</v>
      </c>
      <c r="H69" s="118"/>
      <c r="I69" s="118"/>
      <c r="J69" s="118"/>
      <c r="K69" s="21" t="str">
        <f t="shared" si="3"/>
        <v>1</v>
      </c>
      <c r="L69" s="21" t="str">
        <f t="shared" si="60"/>
        <v>1</v>
      </c>
      <c r="M69" s="21" t="str">
        <f t="shared" si="5"/>
        <v>1</v>
      </c>
      <c r="N69" s="118" t="s">
        <v>145</v>
      </c>
      <c r="O69" s="118" t="s">
        <v>146</v>
      </c>
      <c r="P69" s="21" t="str">
        <f t="shared" si="6"/>
        <v>1</v>
      </c>
      <c r="Q69" s="21" t="str">
        <f t="shared" si="7"/>
        <v>1</v>
      </c>
      <c r="R69" s="21" t="str">
        <f t="shared" si="8"/>
        <v>1</v>
      </c>
      <c r="S69" s="21" t="str">
        <f t="shared" si="9"/>
        <v>1</v>
      </c>
      <c r="T69" s="21" t="str">
        <f t="shared" si="10"/>
        <v>1</v>
      </c>
      <c r="U69" s="21" t="str">
        <f t="shared" si="11"/>
        <v>1</v>
      </c>
      <c r="V69" s="21" t="str">
        <f t="shared" si="12"/>
        <v>1</v>
      </c>
      <c r="W69" s="21"/>
      <c r="X69" s="21" t="str">
        <f t="shared" si="13"/>
        <v>0</v>
      </c>
      <c r="Y69" s="21" t="str">
        <f t="shared" si="14"/>
        <v>0</v>
      </c>
      <c r="Z69" s="21" t="str">
        <f t="shared" si="15"/>
        <v>0</v>
      </c>
      <c r="AA69" s="118"/>
      <c r="AB69" s="118"/>
      <c r="AC69" s="118"/>
      <c r="AD69" s="118"/>
      <c r="AE69" s="118" t="s">
        <v>51</v>
      </c>
      <c r="AF69" s="118"/>
      <c r="AG69" s="118"/>
      <c r="AH69" s="26" t="s">
        <v>124</v>
      </c>
      <c r="AI69" s="26" t="s">
        <v>113</v>
      </c>
      <c r="AJ69" s="26">
        <v>12050</v>
      </c>
      <c r="AK69" s="26" t="str">
        <f t="shared" si="58"/>
        <v>0</v>
      </c>
      <c r="AL69" s="123" t="str">
        <f t="shared" si="1"/>
        <v>14821/품목코드관리/item/ItemMast</v>
      </c>
      <c r="AM69" s="26" t="s">
        <v>2981</v>
      </c>
      <c r="AN69" s="26"/>
      <c r="AO69" s="26"/>
      <c r="AP69" s="26"/>
      <c r="AQ69" s="26"/>
      <c r="AR69" s="26"/>
      <c r="AS69" s="26" t="s">
        <v>1829</v>
      </c>
      <c r="AT69" s="26" t="s">
        <v>1829</v>
      </c>
      <c r="AU69" s="26"/>
      <c r="AV69" s="26"/>
      <c r="AW69" s="26"/>
      <c r="AX69" s="26"/>
      <c r="AY69" s="124"/>
      <c r="AZ69" s="138" t="str">
        <f>IF(C69="","","delete from module_mst where pjt_id = '"&amp;C69&amp;"' and menu_id = '"&amp;E69&amp;"';")</f>
        <v>delete from module_mst where pjt_id = '14821' and menu_id = '230003';</v>
      </c>
      <c r="BA69" s="31" t="str">
        <f>IF(C69&lt;&gt;"",CREATE_QUERY($D$1,C$2:AY$2,C69:AY69),"")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'230003', '품목코드관리', 'Item code management', '', '', '', '1', '1', '1', 'item', 'ItemMast', '1', '1', '1', '1', '1', '1', '1', '', '0', '0', '0', '', '', '', '', 'N', '', '', '230000', '5', '12050', '0', '14821/품목코드관리/item/ItemMast', '공통', '');</v>
      </c>
    </row>
    <row r="70" spans="1:53">
      <c r="A70" s="1">
        <v>70</v>
      </c>
      <c r="B70" s="159" t="str">
        <f>IF(F70="","",IF(AI70="1","",IF(AI70="2","└ ",IF(AI70="3","  └ ",IF(AI70="4","    └ ",IF(AI70="5","        └ ",IF(AI70="6","         └ ",IF(AI70="7"="            └ ",""))))))))&amp;IF(AM70="","",IF(AM70="메뉴","","("&amp;AM70&amp;")"))&amp;F70</f>
        <v xml:space="preserve">        └ (선택)품목코드관리</v>
      </c>
      <c r="C70" s="27" t="str">
        <f t="shared" si="59"/>
        <v>14821</v>
      </c>
      <c r="D70" s="121"/>
      <c r="E70" s="21">
        <v>230026</v>
      </c>
      <c r="F70" s="118" t="s">
        <v>144</v>
      </c>
      <c r="G70" s="118" t="s">
        <v>900</v>
      </c>
      <c r="H70" s="118"/>
      <c r="I70" s="118"/>
      <c r="J70" s="118"/>
      <c r="K70" s="21" t="str">
        <f t="shared" si="3"/>
        <v>1</v>
      </c>
      <c r="L70" s="21" t="str">
        <f t="shared" si="60"/>
        <v>1</v>
      </c>
      <c r="M70" s="21" t="str">
        <f t="shared" si="5"/>
        <v>1</v>
      </c>
      <c r="N70" s="118" t="s">
        <v>145</v>
      </c>
      <c r="O70" s="118" t="s">
        <v>3246</v>
      </c>
      <c r="P70" s="21" t="str">
        <f>IF(O70="","0","1")</f>
        <v>1</v>
      </c>
      <c r="Q70" s="21" t="str">
        <f>IF(O70="","0","1")</f>
        <v>1</v>
      </c>
      <c r="R70" s="21" t="str">
        <f>IF(O70="","0","1")</f>
        <v>1</v>
      </c>
      <c r="S70" s="21" t="str">
        <f>IF(O70="","0","1")</f>
        <v>1</v>
      </c>
      <c r="T70" s="21" t="str">
        <f>IF(O70="","0","1")</f>
        <v>1</v>
      </c>
      <c r="U70" s="21" t="str">
        <f>IF(O70="","0","1")</f>
        <v>1</v>
      </c>
      <c r="V70" s="21" t="str">
        <f>IF(O70="","1","1")</f>
        <v>1</v>
      </c>
      <c r="W70" s="21"/>
      <c r="X70" s="21" t="str">
        <f>IF(O70="","","0")</f>
        <v>0</v>
      </c>
      <c r="Y70" s="21" t="str">
        <f>IF(O70="","","0")</f>
        <v>0</v>
      </c>
      <c r="Z70" s="21" t="str">
        <f>IF(O70="","","0")</f>
        <v>0</v>
      </c>
      <c r="AA70" s="118"/>
      <c r="AB70" s="118"/>
      <c r="AC70" s="118"/>
      <c r="AD70" s="118"/>
      <c r="AE70" s="118" t="s">
        <v>51</v>
      </c>
      <c r="AF70" s="118"/>
      <c r="AG70" s="118"/>
      <c r="AH70" s="26" t="s">
        <v>124</v>
      </c>
      <c r="AI70" s="26" t="s">
        <v>113</v>
      </c>
      <c r="AJ70" s="26">
        <v>12050</v>
      </c>
      <c r="AK70" s="26" t="str">
        <f t="shared" si="58"/>
        <v>0</v>
      </c>
      <c r="AL70" s="123" t="str">
        <f>IF(C70="","",C70&amp;"/"&amp;F70&amp;"/"&amp;N70&amp;"/"&amp;O70)</f>
        <v>14821/품목코드관리/item/ItemMast2</v>
      </c>
      <c r="AM70" s="26" t="s">
        <v>3350</v>
      </c>
      <c r="AN70" s="26" t="s">
        <v>3245</v>
      </c>
      <c r="AO70" s="26" t="s">
        <v>3245</v>
      </c>
      <c r="AP70" s="26" t="s">
        <v>3245</v>
      </c>
      <c r="AQ70" s="26" t="s">
        <v>3245</v>
      </c>
      <c r="AR70" s="26" t="s">
        <v>3245</v>
      </c>
      <c r="AS70" s="26" t="s">
        <v>3245</v>
      </c>
      <c r="AT70" s="26" t="s">
        <v>3245</v>
      </c>
      <c r="AU70" s="26" t="s">
        <v>3245</v>
      </c>
      <c r="AV70" s="26" t="s">
        <v>1829</v>
      </c>
      <c r="AW70" s="26" t="s">
        <v>3245</v>
      </c>
      <c r="AX70" s="26" t="s">
        <v>1829</v>
      </c>
      <c r="AY70" s="124"/>
      <c r="AZ70" s="138" t="str">
        <f>IF(C70="","","delete from module_mst where pjt_id = '"&amp;C70&amp;"' and menu_id = '"&amp;E70&amp;"';")</f>
        <v>delete from module_mst where pjt_id = '14821' and menu_id = '230026';</v>
      </c>
      <c r="BA70" s="31" t="str">
        <f>IF(C70&lt;&gt;"",CREATE_QUERY($D$1,C$2:AY$2,C70:AY70),"")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'230026', '품목코드관리', '', '', '', '', '1', '1', '1', 'item', 'ItemMast2', '1', '1', '1', '1', '1', '1', '1', '', '0', '0', '0', '', '', '', '', 'N', '', '', '230000', '5', '12050', '0', '14821/품목코드관리/item/ItemMast2', '선택', '');</v>
      </c>
    </row>
    <row r="71" spans="1:53">
      <c r="A71" s="1">
        <v>71</v>
      </c>
      <c r="B71" s="159" t="str">
        <f t="shared" si="62"/>
        <v xml:space="preserve">        └ (공통)품목리스트</v>
      </c>
      <c r="C71" s="27" t="str">
        <f t="shared" si="59"/>
        <v>14821</v>
      </c>
      <c r="D71" s="121"/>
      <c r="E71" s="21">
        <v>230004</v>
      </c>
      <c r="F71" s="118" t="s">
        <v>149</v>
      </c>
      <c r="G71" s="118" t="s">
        <v>3100</v>
      </c>
      <c r="H71" s="118"/>
      <c r="I71" s="118"/>
      <c r="J71" s="118"/>
      <c r="K71" s="21" t="str">
        <f t="shared" si="3"/>
        <v>1</v>
      </c>
      <c r="L71" s="21" t="str">
        <f t="shared" si="60"/>
        <v>1</v>
      </c>
      <c r="M71" s="21" t="str">
        <f t="shared" si="5"/>
        <v>1</v>
      </c>
      <c r="N71" s="118" t="s">
        <v>145</v>
      </c>
      <c r="O71" s="118" t="s">
        <v>150</v>
      </c>
      <c r="P71" s="21" t="str">
        <f t="shared" si="6"/>
        <v>1</v>
      </c>
      <c r="Q71" s="21" t="str">
        <f t="shared" si="7"/>
        <v>1</v>
      </c>
      <c r="R71" s="21" t="str">
        <f t="shared" si="8"/>
        <v>1</v>
      </c>
      <c r="S71" s="21" t="str">
        <f t="shared" si="9"/>
        <v>1</v>
      </c>
      <c r="T71" s="21" t="str">
        <f t="shared" si="10"/>
        <v>1</v>
      </c>
      <c r="U71" s="21" t="str">
        <f t="shared" si="11"/>
        <v>1</v>
      </c>
      <c r="V71" s="21" t="str">
        <f t="shared" si="12"/>
        <v>1</v>
      </c>
      <c r="W71" s="21"/>
      <c r="X71" s="21" t="str">
        <f t="shared" si="13"/>
        <v>0</v>
      </c>
      <c r="Y71" s="21" t="str">
        <f t="shared" si="14"/>
        <v>0</v>
      </c>
      <c r="Z71" s="21" t="str">
        <f t="shared" si="15"/>
        <v>0</v>
      </c>
      <c r="AA71" s="118"/>
      <c r="AB71" s="118"/>
      <c r="AC71" s="118"/>
      <c r="AD71" s="118"/>
      <c r="AE71" s="118" t="s">
        <v>51</v>
      </c>
      <c r="AF71" s="118"/>
      <c r="AG71" s="118"/>
      <c r="AH71" s="26" t="s">
        <v>124</v>
      </c>
      <c r="AI71" s="26" t="s">
        <v>113</v>
      </c>
      <c r="AJ71" s="26">
        <v>12100</v>
      </c>
      <c r="AK71" s="26" t="str">
        <f t="shared" si="58"/>
        <v>0</v>
      </c>
      <c r="AL71" s="123" t="str">
        <f t="shared" si="1"/>
        <v>14821/품목리스트/item/ItemList</v>
      </c>
      <c r="AM71" s="26" t="s">
        <v>2981</v>
      </c>
      <c r="AN71" s="26"/>
      <c r="AO71" s="26"/>
      <c r="AP71" s="26"/>
      <c r="AQ71" s="26"/>
      <c r="AR71" s="26"/>
      <c r="AS71" s="26" t="s">
        <v>1829</v>
      </c>
      <c r="AT71" s="26" t="s">
        <v>1829</v>
      </c>
      <c r="AU71" s="26"/>
      <c r="AV71" s="26"/>
      <c r="AW71" s="26"/>
      <c r="AX71" s="26"/>
      <c r="AY71" s="124"/>
      <c r="AZ71" s="138" t="str">
        <f>IF(C71="","","delete from module_mst where pjt_id = '"&amp;C71&amp;"' and menu_id = '"&amp;E71&amp;"';")</f>
        <v>delete from module_mst where pjt_id = '14821' and menu_id = '230004';</v>
      </c>
      <c r="BA71" s="31" t="str">
        <f>IF(C71&lt;&gt;"",CREATE_QUERY($D$1,C$2:AY$2,C71:AY71),"")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'230004', '품목리스트', 'Item list', '', '', '', '1', '1', '1', 'item', 'ItemList', '1', '1', '1', '1', '1', '1', '1', '', '0', '0', '0', '', '', '', '', 'N', '', '', '230000', '5', '12100', '0', '14821/품목리스트/item/ItemList', '공통', '');</v>
      </c>
    </row>
    <row r="72" spans="1:53">
      <c r="A72" s="1">
        <v>72</v>
      </c>
      <c r="B72" s="159" t="str">
        <f t="shared" si="62"/>
        <v xml:space="preserve">        └ (공통)가공품 변경 관리</v>
      </c>
      <c r="C72" s="27" t="str">
        <f t="shared" si="59"/>
        <v>14821</v>
      </c>
      <c r="D72" s="121"/>
      <c r="E72" s="21">
        <v>230005</v>
      </c>
      <c r="F72" s="118" t="s">
        <v>3254</v>
      </c>
      <c r="G72" s="118" t="s">
        <v>3101</v>
      </c>
      <c r="H72" s="118"/>
      <c r="I72" s="118"/>
      <c r="J72" s="118"/>
      <c r="K72" s="21" t="str">
        <f t="shared" si="3"/>
        <v>1</v>
      </c>
      <c r="L72" s="21" t="str">
        <f t="shared" si="60"/>
        <v>1</v>
      </c>
      <c r="M72" s="21" t="str">
        <f t="shared" si="5"/>
        <v>1</v>
      </c>
      <c r="N72" s="118" t="s">
        <v>145</v>
      </c>
      <c r="O72" s="118" t="s">
        <v>160</v>
      </c>
      <c r="P72" s="21" t="str">
        <f t="shared" si="6"/>
        <v>1</v>
      </c>
      <c r="Q72" s="21" t="str">
        <f t="shared" si="7"/>
        <v>1</v>
      </c>
      <c r="R72" s="21" t="str">
        <f t="shared" si="8"/>
        <v>1</v>
      </c>
      <c r="S72" s="21" t="str">
        <f t="shared" si="9"/>
        <v>1</v>
      </c>
      <c r="T72" s="21" t="str">
        <f t="shared" si="10"/>
        <v>1</v>
      </c>
      <c r="U72" s="21" t="str">
        <f t="shared" si="11"/>
        <v>1</v>
      </c>
      <c r="V72" s="21" t="str">
        <f t="shared" si="12"/>
        <v>1</v>
      </c>
      <c r="W72" s="21"/>
      <c r="X72" s="21" t="str">
        <f t="shared" si="13"/>
        <v>0</v>
      </c>
      <c r="Y72" s="21" t="str">
        <f t="shared" si="14"/>
        <v>0</v>
      </c>
      <c r="Z72" s="21" t="str">
        <f t="shared" si="15"/>
        <v>0</v>
      </c>
      <c r="AA72" s="118"/>
      <c r="AB72" s="118"/>
      <c r="AC72" s="118"/>
      <c r="AD72" s="118"/>
      <c r="AE72" s="118" t="s">
        <v>51</v>
      </c>
      <c r="AF72" s="118"/>
      <c r="AG72" s="118"/>
      <c r="AH72" s="26" t="s">
        <v>124</v>
      </c>
      <c r="AI72" s="26" t="s">
        <v>113</v>
      </c>
      <c r="AJ72" s="26">
        <v>12150</v>
      </c>
      <c r="AK72" s="26" t="str">
        <f t="shared" si="58"/>
        <v>0</v>
      </c>
      <c r="AL72" s="123" t="str">
        <f t="shared" si="1"/>
        <v>14821/가공품 변경 관리/item/EcoMast</v>
      </c>
      <c r="AM72" s="26" t="s">
        <v>2981</v>
      </c>
      <c r="AN72" s="26"/>
      <c r="AO72" s="26"/>
      <c r="AP72" s="26"/>
      <c r="AQ72" s="26"/>
      <c r="AR72" s="26"/>
      <c r="AS72" s="26"/>
      <c r="AT72" s="26"/>
      <c r="AU72" s="26"/>
      <c r="AV72" s="26"/>
      <c r="AW72" s="26"/>
      <c r="AX72" s="26"/>
      <c r="AY72" s="124"/>
      <c r="AZ72" s="138" t="str">
        <f>IF(C72="","","delete from module_mst where pjt_id = '"&amp;C72&amp;"' and menu_id = '"&amp;E72&amp;"';")</f>
        <v>delete from module_mst where pjt_id = '14821' and menu_id = '230005';</v>
      </c>
      <c r="BA72" s="31" t="str">
        <f>IF(C72&lt;&gt;"",CREATE_QUERY($D$1,C$2:AY$2,C72:AY72),"")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'230005', '가공품 변경 관리', 'BOM change management', '', '', '', '1', '1', '1', 'item', 'EcoMast', '1', '1', '1', '1', '1', '1', '1', '', '0', '0', '0', '', '', '', '', 'N', '', '', '230000', '5', '12150', '0', '14821/가공품 변경 관리/item/EcoMast', '공통', '');</v>
      </c>
    </row>
    <row r="73" spans="1:53">
      <c r="A73" s="1">
        <v>73</v>
      </c>
      <c r="B73" s="159" t="str">
        <f t="shared" si="62"/>
        <v xml:space="preserve">        └ (공통)가공품 구성도 조회</v>
      </c>
      <c r="C73" s="27" t="str">
        <f t="shared" si="59"/>
        <v>14821</v>
      </c>
      <c r="D73" s="121"/>
      <c r="E73" s="21">
        <v>230006</v>
      </c>
      <c r="F73" s="118" t="s">
        <v>3255</v>
      </c>
      <c r="G73" s="118" t="s">
        <v>2178</v>
      </c>
      <c r="H73" s="118"/>
      <c r="I73" s="118"/>
      <c r="J73" s="118"/>
      <c r="K73" s="21" t="str">
        <f t="shared" si="3"/>
        <v>1</v>
      </c>
      <c r="L73" s="21" t="str">
        <f t="shared" si="60"/>
        <v>1</v>
      </c>
      <c r="M73" s="21" t="str">
        <f t="shared" si="5"/>
        <v>1</v>
      </c>
      <c r="N73" s="118" t="s">
        <v>145</v>
      </c>
      <c r="O73" s="118" t="s">
        <v>162</v>
      </c>
      <c r="P73" s="21" t="str">
        <f t="shared" si="6"/>
        <v>1</v>
      </c>
      <c r="Q73" s="21" t="str">
        <f t="shared" si="7"/>
        <v>1</v>
      </c>
      <c r="R73" s="21" t="str">
        <f t="shared" si="8"/>
        <v>1</v>
      </c>
      <c r="S73" s="21" t="str">
        <f t="shared" si="9"/>
        <v>1</v>
      </c>
      <c r="T73" s="21" t="str">
        <f t="shared" si="10"/>
        <v>1</v>
      </c>
      <c r="U73" s="21" t="str">
        <f t="shared" si="11"/>
        <v>1</v>
      </c>
      <c r="V73" s="21" t="str">
        <f t="shared" si="12"/>
        <v>1</v>
      </c>
      <c r="W73" s="21"/>
      <c r="X73" s="21" t="str">
        <f t="shared" si="13"/>
        <v>0</v>
      </c>
      <c r="Y73" s="21" t="str">
        <f t="shared" si="14"/>
        <v>0</v>
      </c>
      <c r="Z73" s="21" t="str">
        <f t="shared" si="15"/>
        <v>0</v>
      </c>
      <c r="AA73" s="118"/>
      <c r="AB73" s="118"/>
      <c r="AC73" s="118"/>
      <c r="AD73" s="118"/>
      <c r="AE73" s="118" t="s">
        <v>51</v>
      </c>
      <c r="AF73" s="118"/>
      <c r="AG73" s="118"/>
      <c r="AH73" s="26" t="s">
        <v>124</v>
      </c>
      <c r="AI73" s="26" t="s">
        <v>113</v>
      </c>
      <c r="AJ73" s="26">
        <v>12200</v>
      </c>
      <c r="AK73" s="26" t="str">
        <f t="shared" si="58"/>
        <v>0</v>
      </c>
      <c r="AL73" s="123" t="str">
        <f t="shared" si="1"/>
        <v>14821/가공품 구성도 조회/item/BomList</v>
      </c>
      <c r="AM73" s="26" t="s">
        <v>2981</v>
      </c>
      <c r="AN73" s="26"/>
      <c r="AO73" s="26"/>
      <c r="AP73" s="26"/>
      <c r="AQ73" s="26"/>
      <c r="AR73" s="26"/>
      <c r="AS73" s="26"/>
      <c r="AT73" s="26"/>
      <c r="AU73" s="26"/>
      <c r="AV73" s="26"/>
      <c r="AW73" s="26"/>
      <c r="AX73" s="26"/>
      <c r="AY73" s="124"/>
      <c r="AZ73" s="138" t="str">
        <f>IF(C73="","","delete from module_mst where pjt_id = '"&amp;C73&amp;"' and menu_id = '"&amp;E73&amp;"';")</f>
        <v>delete from module_mst where pjt_id = '14821' and menu_id = '230006';</v>
      </c>
      <c r="BA73" s="31" t="str">
        <f>IF(C73&lt;&gt;"",CREATE_QUERY($D$1,C$2:AY$2,C73:AY73),"")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'230006', '가공품 구성도 조회', 'BOM List', '', '', '', '1', '1', '1', 'item', 'BomList', '1', '1', '1', '1', '1', '1', '1', '', '0', '0', '0', '', '', '', '', 'N', '', '', '230000', '5', '12200', '0', '14821/가공품 구성도 조회/item/BomList', '공통', '');</v>
      </c>
    </row>
    <row r="74" spans="1:53">
      <c r="A74" s="1">
        <v>74</v>
      </c>
      <c r="B74" s="159" t="str">
        <f t="shared" si="62"/>
        <v xml:space="preserve">        └ (공통)BOM List</v>
      </c>
      <c r="C74" s="27" t="str">
        <f t="shared" si="59"/>
        <v>14821</v>
      </c>
      <c r="D74" s="121"/>
      <c r="E74" s="21">
        <v>230007</v>
      </c>
      <c r="F74" s="118" t="s">
        <v>161</v>
      </c>
      <c r="G74" s="118" t="s">
        <v>2178</v>
      </c>
      <c r="H74" s="118"/>
      <c r="I74" s="118"/>
      <c r="J74" s="118"/>
      <c r="K74" s="21" t="str">
        <f t="shared" si="3"/>
        <v>1</v>
      </c>
      <c r="L74" s="21" t="str">
        <f t="shared" si="60"/>
        <v>1</v>
      </c>
      <c r="M74" s="21" t="str">
        <f t="shared" si="5"/>
        <v>1</v>
      </c>
      <c r="N74" s="118" t="s">
        <v>145</v>
      </c>
      <c r="O74" s="118" t="s">
        <v>2047</v>
      </c>
      <c r="P74" s="21" t="str">
        <f t="shared" si="6"/>
        <v>1</v>
      </c>
      <c r="Q74" s="21" t="str">
        <f t="shared" si="7"/>
        <v>1</v>
      </c>
      <c r="R74" s="21" t="str">
        <f t="shared" si="8"/>
        <v>1</v>
      </c>
      <c r="S74" s="21" t="str">
        <f t="shared" si="9"/>
        <v>1</v>
      </c>
      <c r="T74" s="21" t="str">
        <f t="shared" si="10"/>
        <v>1</v>
      </c>
      <c r="U74" s="21" t="str">
        <f t="shared" si="11"/>
        <v>1</v>
      </c>
      <c r="V74" s="21" t="str">
        <f t="shared" si="12"/>
        <v>1</v>
      </c>
      <c r="W74" s="21"/>
      <c r="X74" s="21" t="str">
        <f t="shared" si="13"/>
        <v>0</v>
      </c>
      <c r="Y74" s="21" t="str">
        <f t="shared" si="14"/>
        <v>0</v>
      </c>
      <c r="Z74" s="21" t="str">
        <f t="shared" si="15"/>
        <v>0</v>
      </c>
      <c r="AA74" s="118"/>
      <c r="AB74" s="118"/>
      <c r="AC74" s="118"/>
      <c r="AD74" s="118"/>
      <c r="AE74" s="118" t="s">
        <v>51</v>
      </c>
      <c r="AF74" s="118"/>
      <c r="AG74" s="118"/>
      <c r="AH74" s="26" t="s">
        <v>124</v>
      </c>
      <c r="AI74" s="26" t="s">
        <v>113</v>
      </c>
      <c r="AJ74" s="26">
        <v>12250</v>
      </c>
      <c r="AK74" s="26" t="str">
        <f t="shared" si="58"/>
        <v>0</v>
      </c>
      <c r="AL74" s="123" t="str">
        <f t="shared" ref="AL74" si="63">IF(C74="","",C74&amp;"/"&amp;F74&amp;"/"&amp;N74&amp;"/"&amp;O74)</f>
        <v>14821/BOM List/item/BomListV2</v>
      </c>
      <c r="AM74" s="26" t="s">
        <v>2984</v>
      </c>
      <c r="AN74" s="26" t="s">
        <v>1829</v>
      </c>
      <c r="AO74" s="26"/>
      <c r="AP74" s="26"/>
      <c r="AQ74" s="26"/>
      <c r="AR74" s="26"/>
      <c r="AS74" s="26"/>
      <c r="AT74" s="26"/>
      <c r="AU74" s="26"/>
      <c r="AV74" s="26"/>
      <c r="AW74" s="26"/>
      <c r="AX74" s="26"/>
      <c r="AY74" s="124"/>
      <c r="AZ74" s="138" t="str">
        <f>IF(C74="","","delete from module_mst where pjt_id = '"&amp;C74&amp;"' and menu_id = '"&amp;E74&amp;"';")</f>
        <v>delete from module_mst where pjt_id = '14821' and menu_id = '230007';</v>
      </c>
      <c r="BA74" s="31" t="str">
        <f>IF(C74&lt;&gt;"",CREATE_QUERY($D$1,C$2:AY$2,C74:AY74),"")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'230007', 'BOM List', 'BOM List', '', '', '', '1', '1', '1', 'item', 'BomListV2', '1', '1', '1', '1', '1', '1', '1', '', '0', '0', '0', '', '', '', '', 'N', '', '', '230000', '5', '12250', '0', '14821/BOM List/item/BomListV2', '공통', '');</v>
      </c>
    </row>
    <row r="75" spans="1:53">
      <c r="A75" s="1">
        <v>75</v>
      </c>
      <c r="B75" s="159" t="str">
        <f t="shared" si="62"/>
        <v xml:space="preserve">        └ (공통)품목단가관리</v>
      </c>
      <c r="C75" s="27" t="str">
        <f t="shared" si="59"/>
        <v>14821</v>
      </c>
      <c r="D75" s="121"/>
      <c r="E75" s="21">
        <v>230011</v>
      </c>
      <c r="F75" s="118" t="s">
        <v>2934</v>
      </c>
      <c r="G75" s="118" t="s">
        <v>3102</v>
      </c>
      <c r="H75" s="118"/>
      <c r="I75" s="118"/>
      <c r="J75" s="118"/>
      <c r="K75" s="21" t="str">
        <f t="shared" si="3"/>
        <v>1</v>
      </c>
      <c r="L75" s="21" t="str">
        <f t="shared" si="60"/>
        <v>1</v>
      </c>
      <c r="M75" s="21" t="str">
        <f t="shared" si="5"/>
        <v>1</v>
      </c>
      <c r="N75" s="118" t="s">
        <v>145</v>
      </c>
      <c r="O75" s="118" t="s">
        <v>2933</v>
      </c>
      <c r="P75" s="21" t="str">
        <f t="shared" si="6"/>
        <v>1</v>
      </c>
      <c r="Q75" s="21" t="str">
        <f t="shared" si="7"/>
        <v>1</v>
      </c>
      <c r="R75" s="21" t="str">
        <f t="shared" si="8"/>
        <v>1</v>
      </c>
      <c r="S75" s="21" t="str">
        <f t="shared" si="9"/>
        <v>1</v>
      </c>
      <c r="T75" s="21" t="str">
        <f t="shared" si="10"/>
        <v>1</v>
      </c>
      <c r="U75" s="21" t="str">
        <f t="shared" si="11"/>
        <v>1</v>
      </c>
      <c r="V75" s="21" t="str">
        <f t="shared" si="12"/>
        <v>1</v>
      </c>
      <c r="W75" s="21"/>
      <c r="X75" s="21" t="str">
        <f t="shared" si="13"/>
        <v>0</v>
      </c>
      <c r="Y75" s="21" t="str">
        <f t="shared" si="14"/>
        <v>0</v>
      </c>
      <c r="Z75" s="21" t="str">
        <f t="shared" si="15"/>
        <v>0</v>
      </c>
      <c r="AA75" s="118"/>
      <c r="AB75" s="118"/>
      <c r="AC75" s="118"/>
      <c r="AD75" s="118"/>
      <c r="AE75" s="118" t="s">
        <v>51</v>
      </c>
      <c r="AF75" s="118"/>
      <c r="AG75" s="118"/>
      <c r="AH75" s="26" t="s">
        <v>124</v>
      </c>
      <c r="AI75" s="26" t="s">
        <v>113</v>
      </c>
      <c r="AJ75" s="26">
        <v>12102</v>
      </c>
      <c r="AK75" s="26" t="str">
        <f t="shared" si="58"/>
        <v>0</v>
      </c>
      <c r="AL75" s="123" t="str">
        <f t="shared" ref="AL75" si="64">IF(C75="","",C75&amp;"/"&amp;F75&amp;"/"&amp;N75&amp;"/"&amp;O75)</f>
        <v>14821/품목단가관리/item/ItemPrice</v>
      </c>
      <c r="AM75" s="26" t="s">
        <v>2984</v>
      </c>
      <c r="AN75" s="26"/>
      <c r="AO75" s="26"/>
      <c r="AP75" s="26"/>
      <c r="AQ75" s="26"/>
      <c r="AR75" s="26"/>
      <c r="AS75" s="26"/>
      <c r="AT75" s="26" t="s">
        <v>1829</v>
      </c>
      <c r="AU75" s="26"/>
      <c r="AV75" s="26"/>
      <c r="AW75" s="26"/>
      <c r="AX75" s="26"/>
      <c r="AY75" s="124"/>
      <c r="AZ75" s="138" t="str">
        <f>IF(C75="","","delete from module_mst where pjt_id = '"&amp;C75&amp;"' and menu_id = '"&amp;E75&amp;"';")</f>
        <v>delete from module_mst where pjt_id = '14821' and menu_id = '230011';</v>
      </c>
      <c r="BA75" s="31" t="str">
        <f>IF(C75&lt;&gt;"",CREATE_QUERY($D$1,C$2:AY$2,C75:AY75),"")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'230011', '품목단가관리', 'Item unit price management', '', '', '', '1', '1', '1', 'item', 'ItemPrice', '1', '1', '1', '1', '1', '1', '1', '', '0', '0', '0', '', '', '', '', 'N', '', '', '230000', '5', '12102', '0', '14821/품목단가관리/item/ItemPrice', '공통', '');</v>
      </c>
    </row>
    <row r="76" spans="1:53">
      <c r="A76" s="1">
        <v>76</v>
      </c>
      <c r="B76" s="159"/>
      <c r="C76" s="27"/>
      <c r="D76" s="121"/>
      <c r="E76" s="21"/>
      <c r="F76" s="118"/>
      <c r="G76" s="118"/>
      <c r="H76" s="118"/>
      <c r="I76" s="118"/>
      <c r="J76" s="118"/>
      <c r="K76" s="21"/>
      <c r="L76" s="21"/>
      <c r="M76" s="21"/>
      <c r="N76" s="118"/>
      <c r="O76" s="118"/>
      <c r="P76" s="21"/>
      <c r="Q76" s="21"/>
      <c r="R76" s="21"/>
      <c r="S76" s="21"/>
      <c r="T76" s="21"/>
      <c r="U76" s="21"/>
      <c r="V76" s="21"/>
      <c r="W76" s="21"/>
      <c r="X76" s="21"/>
      <c r="Y76" s="21"/>
      <c r="Z76" s="21"/>
      <c r="AA76" s="118"/>
      <c r="AB76" s="118"/>
      <c r="AC76" s="118"/>
      <c r="AD76" s="118"/>
      <c r="AE76" s="118"/>
      <c r="AF76" s="118"/>
      <c r="AG76" s="118"/>
      <c r="AH76" s="26"/>
      <c r="AI76" s="26"/>
      <c r="AJ76" s="26"/>
      <c r="AK76" s="26"/>
      <c r="AL76" s="123"/>
      <c r="AM76" s="26"/>
      <c r="AN76" s="26"/>
      <c r="AO76" s="26"/>
      <c r="AP76" s="26"/>
      <c r="AQ76" s="26"/>
      <c r="AR76" s="26"/>
      <c r="AS76" s="26"/>
      <c r="AT76" s="26"/>
      <c r="AU76" s="26"/>
      <c r="AV76" s="26"/>
      <c r="AW76" s="26"/>
      <c r="AX76" s="26"/>
      <c r="AY76" s="124"/>
      <c r="AZ76" s="138" t="str">
        <f>IF(C76="","","delete from module_mst where pjt_id = '"&amp;C76&amp;"' and menu_id = '"&amp;E76&amp;"';")</f>
        <v/>
      </c>
      <c r="BA76" s="31" t="str">
        <f>IF(C76&lt;&gt;"",CREATE_QUERY($D$1,C$2:AY$2,C76:AY76),"")</f>
        <v/>
      </c>
    </row>
    <row r="77" spans="1:53">
      <c r="A77" s="1">
        <v>77</v>
      </c>
      <c r="B77" s="162" t="str">
        <f t="shared" si="62"/>
        <v xml:space="preserve">    └ 거래처정보관리</v>
      </c>
      <c r="C77" s="27" t="str">
        <f t="shared" si="59"/>
        <v>14821</v>
      </c>
      <c r="D77" s="121"/>
      <c r="E77" s="24" t="s">
        <v>136</v>
      </c>
      <c r="F77" s="127" t="s">
        <v>153</v>
      </c>
      <c r="G77" s="127" t="s">
        <v>3103</v>
      </c>
      <c r="H77" s="127"/>
      <c r="I77" s="127"/>
      <c r="J77" s="127"/>
      <c r="K77" s="25" t="str">
        <f t="shared" ref="K77:K110" si="65">IF(O77="","","1")</f>
        <v/>
      </c>
      <c r="L77" s="25" t="str">
        <f t="shared" si="60"/>
        <v>1</v>
      </c>
      <c r="M77" s="25" t="str">
        <f t="shared" ref="M77:M110" si="66">IF(O77="","0","1")</f>
        <v>0</v>
      </c>
      <c r="N77" s="127"/>
      <c r="O77" s="127"/>
      <c r="P77" s="25" t="str">
        <f t="shared" ref="P77:P113" si="67">IF(O77="","0","1")</f>
        <v>0</v>
      </c>
      <c r="Q77" s="25" t="str">
        <f t="shared" ref="Q77:Q113" si="68">IF(O77="","0","1")</f>
        <v>0</v>
      </c>
      <c r="R77" s="25" t="str">
        <f t="shared" ref="R77:R113" si="69">IF(O77="","0","1")</f>
        <v>0</v>
      </c>
      <c r="S77" s="25" t="str">
        <f t="shared" ref="S77:S113" si="70">IF(O77="","0","1")</f>
        <v>0</v>
      </c>
      <c r="T77" s="25" t="str">
        <f t="shared" ref="T77:T113" si="71">IF(O77="","0","1")</f>
        <v>0</v>
      </c>
      <c r="U77" s="25" t="str">
        <f t="shared" ref="U77:U113" si="72">IF(O77="","0","1")</f>
        <v>0</v>
      </c>
      <c r="V77" s="25" t="str">
        <f t="shared" ref="V77:V113" si="73">IF(O77="","1","1")</f>
        <v>1</v>
      </c>
      <c r="W77" s="25"/>
      <c r="X77" s="25" t="str">
        <f t="shared" ref="X77:X113" si="74">IF(O77="","","0")</f>
        <v/>
      </c>
      <c r="Y77" s="25" t="str">
        <f t="shared" ref="Y77:Y113" si="75">IF(O77="","","0")</f>
        <v/>
      </c>
      <c r="Z77" s="25" t="str">
        <f t="shared" ref="Z77:Z113" si="76">IF(O77="","","0")</f>
        <v/>
      </c>
      <c r="AA77" s="127"/>
      <c r="AB77" s="127"/>
      <c r="AC77" s="127"/>
      <c r="AD77" s="127"/>
      <c r="AE77" s="127" t="s">
        <v>51</v>
      </c>
      <c r="AF77" s="127"/>
      <c r="AG77" s="127"/>
      <c r="AH77" s="24" t="s">
        <v>121</v>
      </c>
      <c r="AI77" s="24" t="s">
        <v>112</v>
      </c>
      <c r="AJ77" s="24">
        <v>13100</v>
      </c>
      <c r="AK77" s="24" t="str">
        <f t="shared" si="58"/>
        <v>0</v>
      </c>
      <c r="AL77" s="123" t="str">
        <f t="shared" si="1"/>
        <v>14821/거래처정보관리//</v>
      </c>
      <c r="AM77" s="24" t="s">
        <v>2979</v>
      </c>
      <c r="AN77" s="24" t="str">
        <f t="shared" ref="AN77:AX77" si="77">IF(COUNTIF(AN78:AN90,"="&amp;"Y")&gt;0,"Y",IF(COUNTIF(AN78:AN90,"="&amp;"-")&gt;0,"m",""))</f>
        <v>m</v>
      </c>
      <c r="AO77" s="24" t="str">
        <f t="shared" si="77"/>
        <v>m</v>
      </c>
      <c r="AP77" s="24" t="str">
        <f t="shared" si="77"/>
        <v>m</v>
      </c>
      <c r="AQ77" s="24" t="str">
        <f t="shared" si="77"/>
        <v>m</v>
      </c>
      <c r="AR77" s="24" t="str">
        <f t="shared" si="77"/>
        <v>m</v>
      </c>
      <c r="AS77" s="24" t="str">
        <f t="shared" si="77"/>
        <v>Y</v>
      </c>
      <c r="AT77" s="24" t="str">
        <f t="shared" si="77"/>
        <v>m</v>
      </c>
      <c r="AU77" s="24" t="str">
        <f t="shared" si="77"/>
        <v>m</v>
      </c>
      <c r="AV77" s="24" t="str">
        <f t="shared" si="77"/>
        <v>m</v>
      </c>
      <c r="AW77" s="24" t="str">
        <f t="shared" si="77"/>
        <v>m</v>
      </c>
      <c r="AX77" s="24" t="str">
        <f t="shared" si="77"/>
        <v>m</v>
      </c>
      <c r="AY77" s="124"/>
      <c r="AZ77" s="138" t="str">
        <f>IF(C77="","","delete from module_mst where pjt_id = '"&amp;C77&amp;"' and menu_id = '"&amp;E77&amp;"';")</f>
        <v>delete from module_mst where pjt_id = '14821' and menu_id = '240000';</v>
      </c>
      <c r="BA77" s="31" t="str">
        <f>IF(C77&lt;&gt;"",CREATE_QUERY($D$1,C$2:AY$2,C77:AY77),"")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'240000', '거래처정보관리', 'Customer information', '', '', '', '', '1', '0', '', '', '0', '0', '0', '0', '0', '0', '1', '', '', '', '', '', '', '', '', 'N', '', '', '210000', '4', '13100', '0', '14821/거래처정보관리//', '메뉴', '');</v>
      </c>
    </row>
    <row r="78" spans="1:53">
      <c r="A78" s="1">
        <v>78</v>
      </c>
      <c r="B78" s="159" t="str">
        <f t="shared" si="62"/>
        <v xml:space="preserve">        └ (공통)거래처분류기준</v>
      </c>
      <c r="C78" s="27" t="str">
        <f t="shared" si="59"/>
        <v>14821</v>
      </c>
      <c r="D78" s="121"/>
      <c r="E78" s="21">
        <v>240001</v>
      </c>
      <c r="F78" s="118" t="s">
        <v>2025</v>
      </c>
      <c r="G78" s="118" t="s">
        <v>3104</v>
      </c>
      <c r="H78" s="118"/>
      <c r="I78" s="118"/>
      <c r="J78" s="118"/>
      <c r="K78" s="21" t="str">
        <f t="shared" si="65"/>
        <v>1</v>
      </c>
      <c r="L78" s="21" t="str">
        <f t="shared" si="60"/>
        <v>1</v>
      </c>
      <c r="M78" s="21" t="str">
        <f t="shared" si="66"/>
        <v>1</v>
      </c>
      <c r="N78" s="118" t="s">
        <v>156</v>
      </c>
      <c r="O78" s="118" t="s">
        <v>2026</v>
      </c>
      <c r="P78" s="21" t="str">
        <f t="shared" si="67"/>
        <v>1</v>
      </c>
      <c r="Q78" s="21" t="str">
        <f t="shared" si="68"/>
        <v>1</v>
      </c>
      <c r="R78" s="21" t="str">
        <f t="shared" si="69"/>
        <v>1</v>
      </c>
      <c r="S78" s="21" t="str">
        <f t="shared" si="70"/>
        <v>1</v>
      </c>
      <c r="T78" s="21" t="str">
        <f t="shared" si="71"/>
        <v>1</v>
      </c>
      <c r="U78" s="21" t="str">
        <f t="shared" si="72"/>
        <v>1</v>
      </c>
      <c r="V78" s="21" t="str">
        <f t="shared" si="73"/>
        <v>1</v>
      </c>
      <c r="W78" s="21"/>
      <c r="X78" s="21" t="str">
        <f t="shared" si="74"/>
        <v>0</v>
      </c>
      <c r="Y78" s="21" t="str">
        <f t="shared" si="75"/>
        <v>0</v>
      </c>
      <c r="Z78" s="21" t="str">
        <f t="shared" si="76"/>
        <v>0</v>
      </c>
      <c r="AA78" s="118"/>
      <c r="AB78" s="118"/>
      <c r="AC78" s="118"/>
      <c r="AD78" s="118"/>
      <c r="AE78" s="118" t="s">
        <v>51</v>
      </c>
      <c r="AF78" s="118"/>
      <c r="AG78" s="118"/>
      <c r="AH78" s="26" t="s">
        <v>136</v>
      </c>
      <c r="AI78" s="26" t="s">
        <v>113</v>
      </c>
      <c r="AJ78" s="26">
        <v>13150</v>
      </c>
      <c r="AK78" s="26" t="str">
        <f t="shared" si="58"/>
        <v>0</v>
      </c>
      <c r="AL78" s="123" t="str">
        <f t="shared" si="1"/>
        <v>14821/거래처분류기준/cust/CstmClass</v>
      </c>
      <c r="AM78" s="26" t="s">
        <v>2981</v>
      </c>
      <c r="AN78" s="26"/>
      <c r="AO78" s="26"/>
      <c r="AP78" s="26"/>
      <c r="AQ78" s="26"/>
      <c r="AR78" s="26"/>
      <c r="AS78" s="26" t="s">
        <v>1829</v>
      </c>
      <c r="AT78" s="26"/>
      <c r="AU78" s="26"/>
      <c r="AV78" s="26"/>
      <c r="AW78" s="26"/>
      <c r="AX78" s="26"/>
      <c r="AY78" s="124"/>
      <c r="AZ78" s="138" t="str">
        <f>IF(C78="","","delete from module_mst where pjt_id = '"&amp;C78&amp;"' and menu_id = '"&amp;E78&amp;"';")</f>
        <v>delete from module_mst where pjt_id = '14821' and menu_id = '240001';</v>
      </c>
      <c r="BA78" s="31" t="str">
        <f>IF(C78&lt;&gt;"",CREATE_QUERY($D$1,C$2:AY$2,C78:AY78),"")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'240001', '거래처분류기준', 'Criteria for classification of transactions', '', '', '', '1', '1', '1', 'cust', 'CstmClass', '1', '1', '1', '1', '1', '1', '1', '', '0', '0', '0', '', '', '', '', 'N', '', '', '240000', '5', '13150', '0', '14821/거래처분류기준/cust/CstmClass', '공통', '');</v>
      </c>
    </row>
    <row r="79" spans="1:53">
      <c r="A79" s="1">
        <v>79</v>
      </c>
      <c r="B79" s="159" t="str">
        <f t="shared" si="62"/>
        <v xml:space="preserve">        └ (공통)거래처코드관리</v>
      </c>
      <c r="C79" s="27" t="str">
        <f t="shared" si="59"/>
        <v>14821</v>
      </c>
      <c r="D79" s="121"/>
      <c r="E79" s="21">
        <v>240002</v>
      </c>
      <c r="F79" s="118" t="s">
        <v>154</v>
      </c>
      <c r="G79" s="118" t="s">
        <v>3105</v>
      </c>
      <c r="H79" s="118"/>
      <c r="I79" s="118"/>
      <c r="J79" s="118"/>
      <c r="K79" s="21" t="str">
        <f t="shared" si="65"/>
        <v>1</v>
      </c>
      <c r="L79" s="21" t="str">
        <f t="shared" si="60"/>
        <v>1</v>
      </c>
      <c r="M79" s="21" t="str">
        <f t="shared" si="66"/>
        <v>1</v>
      </c>
      <c r="N79" s="118" t="s">
        <v>156</v>
      </c>
      <c r="O79" s="118" t="s">
        <v>325</v>
      </c>
      <c r="P79" s="21" t="str">
        <f t="shared" si="67"/>
        <v>1</v>
      </c>
      <c r="Q79" s="21" t="str">
        <f t="shared" si="68"/>
        <v>1</v>
      </c>
      <c r="R79" s="21" t="str">
        <f t="shared" si="69"/>
        <v>1</v>
      </c>
      <c r="S79" s="21" t="str">
        <f t="shared" si="70"/>
        <v>1</v>
      </c>
      <c r="T79" s="21" t="str">
        <f t="shared" si="71"/>
        <v>1</v>
      </c>
      <c r="U79" s="21" t="str">
        <f t="shared" si="72"/>
        <v>1</v>
      </c>
      <c r="V79" s="21" t="str">
        <f t="shared" si="73"/>
        <v>1</v>
      </c>
      <c r="W79" s="21"/>
      <c r="X79" s="21" t="str">
        <f t="shared" si="74"/>
        <v>0</v>
      </c>
      <c r="Y79" s="21" t="str">
        <f t="shared" si="75"/>
        <v>0</v>
      </c>
      <c r="Z79" s="21" t="str">
        <f t="shared" si="76"/>
        <v>0</v>
      </c>
      <c r="AA79" s="118"/>
      <c r="AB79" s="118"/>
      <c r="AC79" s="118"/>
      <c r="AD79" s="118"/>
      <c r="AE79" s="118" t="s">
        <v>51</v>
      </c>
      <c r="AF79" s="118"/>
      <c r="AG79" s="118"/>
      <c r="AH79" s="26" t="s">
        <v>136</v>
      </c>
      <c r="AI79" s="26" t="s">
        <v>113</v>
      </c>
      <c r="AJ79" s="26">
        <v>13152</v>
      </c>
      <c r="AK79" s="26" t="str">
        <f t="shared" si="58"/>
        <v>0</v>
      </c>
      <c r="AL79" s="123" t="str">
        <f t="shared" ref="AL79" si="78">IF(C79="","",C79&amp;"/"&amp;F79&amp;"/"&amp;N79&amp;"/"&amp;O79)</f>
        <v>14821/거래처코드관리/cust/CstmMast</v>
      </c>
      <c r="AM79" s="26" t="s">
        <v>2981</v>
      </c>
      <c r="AN79" s="26"/>
      <c r="AO79" s="26"/>
      <c r="AP79" s="26"/>
      <c r="AQ79" s="26"/>
      <c r="AR79" s="26"/>
      <c r="AS79" s="26" t="s">
        <v>1829</v>
      </c>
      <c r="AT79" s="26"/>
      <c r="AU79" s="26"/>
      <c r="AV79" s="26"/>
      <c r="AW79" s="26"/>
      <c r="AX79" s="26"/>
      <c r="AY79" s="124"/>
      <c r="AZ79" s="138" t="str">
        <f>IF(C79="","","delete from module_mst where pjt_id = '"&amp;C79&amp;"' and menu_id = '"&amp;E79&amp;"';")</f>
        <v>delete from module_mst where pjt_id = '14821' and menu_id = '240002';</v>
      </c>
      <c r="BA79" s="31" t="str">
        <f>IF(C79&lt;&gt;"",CREATE_QUERY($D$1,C$2:AY$2,C79:AY79),"")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'240002', '거래처코드관리', 'Customer code management', '', '', '', '1', '1', '1', 'cust', 'CstmMast', '1', '1', '1', '1', '1', '1', '1', '', '0', '0', '0', '', '', '', '', 'N', '', '', '240000', '5', '13152', '0', '14821/거래처코드관리/cust/CstmMast', '공통', '');</v>
      </c>
    </row>
    <row r="80" spans="1:53">
      <c r="A80" s="1">
        <v>80</v>
      </c>
      <c r="B80" s="159" t="str">
        <f t="shared" si="62"/>
        <v xml:space="preserve">        └ (공통)거래처리스트</v>
      </c>
      <c r="C80" s="27" t="str">
        <f t="shared" si="59"/>
        <v>14821</v>
      </c>
      <c r="D80" s="121"/>
      <c r="E80" s="21">
        <v>240003</v>
      </c>
      <c r="F80" s="118" t="s">
        <v>155</v>
      </c>
      <c r="G80" s="118" t="s">
        <v>3106</v>
      </c>
      <c r="H80" s="118"/>
      <c r="I80" s="118"/>
      <c r="J80" s="118"/>
      <c r="K80" s="21" t="str">
        <f t="shared" si="65"/>
        <v>1</v>
      </c>
      <c r="L80" s="21" t="str">
        <f t="shared" si="60"/>
        <v>1</v>
      </c>
      <c r="M80" s="21" t="str">
        <f t="shared" si="66"/>
        <v>1</v>
      </c>
      <c r="N80" s="118" t="s">
        <v>156</v>
      </c>
      <c r="O80" s="118" t="s">
        <v>326</v>
      </c>
      <c r="P80" s="21" t="str">
        <f t="shared" si="67"/>
        <v>1</v>
      </c>
      <c r="Q80" s="21" t="str">
        <f t="shared" si="68"/>
        <v>1</v>
      </c>
      <c r="R80" s="21" t="str">
        <f t="shared" si="69"/>
        <v>1</v>
      </c>
      <c r="S80" s="21" t="str">
        <f t="shared" si="70"/>
        <v>1</v>
      </c>
      <c r="T80" s="21" t="str">
        <f t="shared" si="71"/>
        <v>1</v>
      </c>
      <c r="U80" s="21" t="str">
        <f t="shared" si="72"/>
        <v>1</v>
      </c>
      <c r="V80" s="21" t="str">
        <f t="shared" si="73"/>
        <v>1</v>
      </c>
      <c r="W80" s="21"/>
      <c r="X80" s="21" t="str">
        <f t="shared" si="74"/>
        <v>0</v>
      </c>
      <c r="Y80" s="21" t="str">
        <f t="shared" si="75"/>
        <v>0</v>
      </c>
      <c r="Z80" s="21" t="str">
        <f t="shared" si="76"/>
        <v>0</v>
      </c>
      <c r="AA80" s="118"/>
      <c r="AB80" s="118"/>
      <c r="AC80" s="118"/>
      <c r="AD80" s="118"/>
      <c r="AE80" s="118" t="s">
        <v>51</v>
      </c>
      <c r="AF80" s="118"/>
      <c r="AG80" s="118"/>
      <c r="AH80" s="26" t="s">
        <v>136</v>
      </c>
      <c r="AI80" s="26" t="s">
        <v>113</v>
      </c>
      <c r="AJ80" s="26">
        <v>13154</v>
      </c>
      <c r="AK80" s="26" t="str">
        <f t="shared" si="58"/>
        <v>0</v>
      </c>
      <c r="AL80" s="123" t="str">
        <f t="shared" si="1"/>
        <v>14821/거래처리스트/cust/CstmList</v>
      </c>
      <c r="AM80" s="26" t="s">
        <v>2981</v>
      </c>
      <c r="AN80" s="26"/>
      <c r="AO80" s="26"/>
      <c r="AP80" s="26"/>
      <c r="AQ80" s="26"/>
      <c r="AR80" s="26"/>
      <c r="AS80" s="26" t="s">
        <v>1829</v>
      </c>
      <c r="AT80" s="26"/>
      <c r="AU80" s="26"/>
      <c r="AV80" s="26"/>
      <c r="AW80" s="26"/>
      <c r="AX80" s="26"/>
      <c r="AY80" s="124"/>
      <c r="AZ80" s="138" t="str">
        <f>IF(C80="","","delete from module_mst where pjt_id = '"&amp;C80&amp;"' and menu_id = '"&amp;E80&amp;"';")</f>
        <v>delete from module_mst where pjt_id = '14821' and menu_id = '240003';</v>
      </c>
      <c r="BA80" s="31" t="str">
        <f>IF(C80&lt;&gt;"",CREATE_QUERY($D$1,C$2:AY$2,C80:AY80),"")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'240003', '거래처리스트', 'Customer list', '', '', '', '1', '1', '1', 'cust', 'CstmList', '1', '1', '1', '1', '1', '1', '1', '', '0', '0', '0', '', '', '', '', 'N', '', '', '240000', '5', '13154', '0', '14821/거래처리스트/cust/CstmList', '공통', '');</v>
      </c>
    </row>
    <row r="81" spans="1:53">
      <c r="A81" s="1">
        <v>81</v>
      </c>
      <c r="B81" s="159" t="str">
        <f t="shared" si="62"/>
        <v xml:space="preserve">        └ 거래처신용등급 관리</v>
      </c>
      <c r="C81" s="27" t="str">
        <f t="shared" si="59"/>
        <v>14821</v>
      </c>
      <c r="D81" s="121"/>
      <c r="E81" s="21">
        <v>240005</v>
      </c>
      <c r="F81" s="118" t="s">
        <v>3281</v>
      </c>
      <c r="G81" s="118" t="s">
        <v>900</v>
      </c>
      <c r="H81" s="118"/>
      <c r="I81" s="118"/>
      <c r="J81" s="118"/>
      <c r="K81" s="21" t="str">
        <f t="shared" si="65"/>
        <v>1</v>
      </c>
      <c r="L81" s="21" t="str">
        <f t="shared" si="60"/>
        <v>1</v>
      </c>
      <c r="M81" s="21" t="str">
        <f t="shared" si="66"/>
        <v>1</v>
      </c>
      <c r="N81" s="118" t="s">
        <v>156</v>
      </c>
      <c r="O81" s="118" t="s">
        <v>3282</v>
      </c>
      <c r="P81" s="21" t="str">
        <f t="shared" ref="P81:P82" si="79">IF(O81="","0","1")</f>
        <v>1</v>
      </c>
      <c r="Q81" s="21" t="str">
        <f t="shared" ref="Q81:Q82" si="80">IF(O81="","0","1")</f>
        <v>1</v>
      </c>
      <c r="R81" s="21" t="str">
        <f t="shared" ref="R81:R82" si="81">IF(O81="","0","1")</f>
        <v>1</v>
      </c>
      <c r="S81" s="21" t="str">
        <f t="shared" ref="S81:S82" si="82">IF(O81="","0","1")</f>
        <v>1</v>
      </c>
      <c r="T81" s="21" t="str">
        <f t="shared" ref="T81:T82" si="83">IF(O81="","0","1")</f>
        <v>1</v>
      </c>
      <c r="U81" s="21" t="str">
        <f t="shared" ref="U81:U82" si="84">IF(O81="","0","1")</f>
        <v>1</v>
      </c>
      <c r="V81" s="21" t="str">
        <f t="shared" ref="V81:V82" si="85">IF(O81="","1","1")</f>
        <v>1</v>
      </c>
      <c r="W81" s="21"/>
      <c r="X81" s="21" t="str">
        <f t="shared" ref="X81:X82" si="86">IF(O81="","","0")</f>
        <v>0</v>
      </c>
      <c r="Y81" s="21" t="str">
        <f t="shared" ref="Y81:Y82" si="87">IF(O81="","","0")</f>
        <v>0</v>
      </c>
      <c r="Z81" s="21" t="str">
        <f t="shared" ref="Z81:Z82" si="88">IF(O81="","","0")</f>
        <v>0</v>
      </c>
      <c r="AA81" s="118"/>
      <c r="AB81" s="118"/>
      <c r="AC81" s="118"/>
      <c r="AD81" s="118"/>
      <c r="AE81" s="118" t="s">
        <v>51</v>
      </c>
      <c r="AF81" s="118"/>
      <c r="AG81" s="118"/>
      <c r="AH81" s="26" t="s">
        <v>136</v>
      </c>
      <c r="AI81" s="26" t="s">
        <v>113</v>
      </c>
      <c r="AJ81" s="26">
        <v>13158</v>
      </c>
      <c r="AK81" s="26" t="str">
        <f t="shared" si="58"/>
        <v>0</v>
      </c>
      <c r="AL81" s="123" t="str">
        <f t="shared" ref="AL81:AL82" si="89">IF(C81="","",C81&amp;"/"&amp;F81&amp;"/"&amp;N81&amp;"/"&amp;O81)</f>
        <v>14821/거래처신용등급 관리/cust/CstmCredit</v>
      </c>
      <c r="AM81" s="26"/>
      <c r="AN81" s="26" t="s">
        <v>3245</v>
      </c>
      <c r="AO81" s="26" t="s">
        <v>3245</v>
      </c>
      <c r="AP81" s="26" t="s">
        <v>3245</v>
      </c>
      <c r="AQ81" s="26" t="s">
        <v>3245</v>
      </c>
      <c r="AR81" s="26" t="s">
        <v>3245</v>
      </c>
      <c r="AS81" s="26" t="s">
        <v>3245</v>
      </c>
      <c r="AT81" s="26" t="s">
        <v>3245</v>
      </c>
      <c r="AU81" s="26" t="s">
        <v>3245</v>
      </c>
      <c r="AV81" s="26" t="s">
        <v>3245</v>
      </c>
      <c r="AW81" s="26" t="s">
        <v>3245</v>
      </c>
      <c r="AX81" s="26" t="s">
        <v>3245</v>
      </c>
      <c r="AY81" s="124"/>
      <c r="AZ81" s="138" t="str">
        <f>IF(C81="","","delete from module_mst where pjt_id = '"&amp;C81&amp;"' and menu_id = '"&amp;E81&amp;"';")</f>
        <v>delete from module_mst where pjt_id = '14821' and menu_id = '240005';</v>
      </c>
      <c r="BA81" s="31" t="str">
        <f>IF(C81&lt;&gt;"",CREATE_QUERY($D$1,C$2:AY$2,C81:AY81),"")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'240005', '거래처신용등급 관리', '', '', '', '', '1', '1', '1', 'cust', 'CstmCredit', '1', '1', '1', '1', '1', '1', '1', '', '0', '0', '0', '', '', '', '', 'N', '', '', '240000', '5', '13158', '0', '14821/거래처신용등급 관리/cust/CstmCredit', '', '');</v>
      </c>
    </row>
    <row r="82" spans="1:53">
      <c r="A82" s="1">
        <v>82</v>
      </c>
      <c r="B82" s="159" t="str">
        <f t="shared" si="62"/>
        <v/>
      </c>
      <c r="C82" s="27" t="str">
        <f t="shared" si="59"/>
        <v/>
      </c>
      <c r="D82" s="121"/>
      <c r="E82" s="21">
        <v>240006</v>
      </c>
      <c r="F82" s="118"/>
      <c r="G82" s="118" t="s">
        <v>900</v>
      </c>
      <c r="H82" s="118"/>
      <c r="I82" s="118"/>
      <c r="J82" s="118"/>
      <c r="K82" s="21" t="str">
        <f t="shared" si="65"/>
        <v/>
      </c>
      <c r="L82" s="21" t="str">
        <f t="shared" si="60"/>
        <v/>
      </c>
      <c r="M82" s="21" t="str">
        <f t="shared" si="66"/>
        <v>0</v>
      </c>
      <c r="N82" s="118"/>
      <c r="O82" s="118"/>
      <c r="P82" s="21" t="str">
        <f t="shared" si="79"/>
        <v>0</v>
      </c>
      <c r="Q82" s="21" t="str">
        <f t="shared" si="80"/>
        <v>0</v>
      </c>
      <c r="R82" s="21" t="str">
        <f t="shared" si="81"/>
        <v>0</v>
      </c>
      <c r="S82" s="21" t="str">
        <f t="shared" si="82"/>
        <v>0</v>
      </c>
      <c r="T82" s="21" t="str">
        <f t="shared" si="83"/>
        <v>0</v>
      </c>
      <c r="U82" s="21" t="str">
        <f t="shared" si="84"/>
        <v>0</v>
      </c>
      <c r="V82" s="21" t="str">
        <f t="shared" si="85"/>
        <v>1</v>
      </c>
      <c r="W82" s="21"/>
      <c r="X82" s="21" t="str">
        <f t="shared" si="86"/>
        <v/>
      </c>
      <c r="Y82" s="21" t="str">
        <f t="shared" si="87"/>
        <v/>
      </c>
      <c r="Z82" s="21" t="str">
        <f t="shared" si="88"/>
        <v/>
      </c>
      <c r="AA82" s="118"/>
      <c r="AB82" s="118"/>
      <c r="AC82" s="118"/>
      <c r="AD82" s="118"/>
      <c r="AE82" s="118" t="s">
        <v>51</v>
      </c>
      <c r="AF82" s="118"/>
      <c r="AG82" s="118"/>
      <c r="AH82" s="26" t="s">
        <v>136</v>
      </c>
      <c r="AI82" s="26" t="s">
        <v>113</v>
      </c>
      <c r="AJ82" s="26">
        <v>13160</v>
      </c>
      <c r="AK82" s="26" t="str">
        <f t="shared" si="58"/>
        <v/>
      </c>
      <c r="AL82" s="123" t="str">
        <f t="shared" si="89"/>
        <v/>
      </c>
      <c r="AM82" s="26"/>
      <c r="AN82" s="26" t="s">
        <v>3245</v>
      </c>
      <c r="AO82" s="26" t="s">
        <v>3245</v>
      </c>
      <c r="AP82" s="26" t="s">
        <v>3245</v>
      </c>
      <c r="AQ82" s="26" t="s">
        <v>3245</v>
      </c>
      <c r="AR82" s="26" t="s">
        <v>3245</v>
      </c>
      <c r="AS82" s="26" t="s">
        <v>3245</v>
      </c>
      <c r="AT82" s="26" t="s">
        <v>3245</v>
      </c>
      <c r="AU82" s="26" t="s">
        <v>3245</v>
      </c>
      <c r="AV82" s="26" t="s">
        <v>3245</v>
      </c>
      <c r="AW82" s="26" t="s">
        <v>3245</v>
      </c>
      <c r="AX82" s="26" t="s">
        <v>3245</v>
      </c>
      <c r="AY82" s="124"/>
      <c r="AZ82" s="138" t="str">
        <f>IF(C82="","","delete from module_mst where pjt_id = '"&amp;C82&amp;"' and menu_id = '"&amp;E82&amp;"';")</f>
        <v/>
      </c>
      <c r="BA82" s="31" t="str">
        <f>IF(C82&lt;&gt;"",CREATE_QUERY($D$1,C$2:AY$2,C82:AY82),"")</f>
        <v/>
      </c>
    </row>
    <row r="83" spans="1:53">
      <c r="A83" s="1">
        <v>83</v>
      </c>
      <c r="B83" s="159" t="str">
        <f t="shared" si="62"/>
        <v/>
      </c>
      <c r="C83" s="27" t="str">
        <f t="shared" si="59"/>
        <v/>
      </c>
      <c r="D83" s="121"/>
      <c r="E83" s="21">
        <v>240007</v>
      </c>
      <c r="F83" s="118"/>
      <c r="G83" s="118" t="s">
        <v>900</v>
      </c>
      <c r="H83" s="118"/>
      <c r="I83" s="118"/>
      <c r="J83" s="118"/>
      <c r="K83" s="21" t="str">
        <f t="shared" si="65"/>
        <v/>
      </c>
      <c r="L83" s="21" t="str">
        <f t="shared" si="60"/>
        <v/>
      </c>
      <c r="M83" s="21" t="str">
        <f t="shared" si="66"/>
        <v>0</v>
      </c>
      <c r="N83" s="118"/>
      <c r="O83" s="118"/>
      <c r="P83" s="21" t="str">
        <f t="shared" ref="P83:P87" si="90">IF(O83="","0","1")</f>
        <v>0</v>
      </c>
      <c r="Q83" s="21" t="str">
        <f t="shared" ref="Q83:Q87" si="91">IF(O83="","0","1")</f>
        <v>0</v>
      </c>
      <c r="R83" s="21" t="str">
        <f t="shared" ref="R83:R87" si="92">IF(O83="","0","1")</f>
        <v>0</v>
      </c>
      <c r="S83" s="21" t="str">
        <f t="shared" ref="S83:S87" si="93">IF(O83="","0","1")</f>
        <v>0</v>
      </c>
      <c r="T83" s="21" t="str">
        <f t="shared" ref="T83:T87" si="94">IF(O83="","0","1")</f>
        <v>0</v>
      </c>
      <c r="U83" s="21" t="str">
        <f t="shared" ref="U83:U87" si="95">IF(O83="","0","1")</f>
        <v>0</v>
      </c>
      <c r="V83" s="21" t="str">
        <f t="shared" ref="V83:V87" si="96">IF(O83="","1","1")</f>
        <v>1</v>
      </c>
      <c r="W83" s="21"/>
      <c r="X83" s="21" t="str">
        <f t="shared" ref="X83:X87" si="97">IF(O83="","","0")</f>
        <v/>
      </c>
      <c r="Y83" s="21" t="str">
        <f t="shared" ref="Y83:Y87" si="98">IF(O83="","","0")</f>
        <v/>
      </c>
      <c r="Z83" s="21" t="str">
        <f t="shared" ref="Z83:Z87" si="99">IF(O83="","","0")</f>
        <v/>
      </c>
      <c r="AA83" s="118"/>
      <c r="AB83" s="118"/>
      <c r="AC83" s="118"/>
      <c r="AD83" s="118"/>
      <c r="AE83" s="118" t="s">
        <v>51</v>
      </c>
      <c r="AF83" s="118"/>
      <c r="AG83" s="118"/>
      <c r="AH83" s="26" t="s">
        <v>136</v>
      </c>
      <c r="AI83" s="26" t="s">
        <v>113</v>
      </c>
      <c r="AJ83" s="26">
        <v>13162</v>
      </c>
      <c r="AK83" s="26" t="str">
        <f t="shared" si="58"/>
        <v/>
      </c>
      <c r="AL83" s="123" t="str">
        <f t="shared" ref="AL83:AL87" si="100">IF(C83="","",C83&amp;"/"&amp;F83&amp;"/"&amp;N83&amp;"/"&amp;O83)</f>
        <v/>
      </c>
      <c r="AM83" s="26"/>
      <c r="AN83" s="26" t="s">
        <v>3245</v>
      </c>
      <c r="AO83" s="26" t="s">
        <v>3245</v>
      </c>
      <c r="AP83" s="26" t="s">
        <v>3245</v>
      </c>
      <c r="AQ83" s="26" t="s">
        <v>3245</v>
      </c>
      <c r="AR83" s="26" t="s">
        <v>3245</v>
      </c>
      <c r="AS83" s="26" t="s">
        <v>3245</v>
      </c>
      <c r="AT83" s="26" t="s">
        <v>3245</v>
      </c>
      <c r="AU83" s="26" t="s">
        <v>3245</v>
      </c>
      <c r="AV83" s="26" t="s">
        <v>3245</v>
      </c>
      <c r="AW83" s="26" t="s">
        <v>3245</v>
      </c>
      <c r="AX83" s="26" t="s">
        <v>3245</v>
      </c>
      <c r="AY83" s="124"/>
      <c r="AZ83" s="138" t="str">
        <f>IF(C83="","","delete from module_mst where pjt_id = '"&amp;C83&amp;"' and menu_id = '"&amp;E83&amp;"';")</f>
        <v/>
      </c>
      <c r="BA83" s="31" t="str">
        <f>IF(C83&lt;&gt;"",CREATE_QUERY($D$1,C$2:AY$2,C83:AY83),"")</f>
        <v/>
      </c>
    </row>
    <row r="84" spans="1:53">
      <c r="A84" s="1">
        <v>84</v>
      </c>
      <c r="B84" s="159" t="str">
        <f t="shared" si="62"/>
        <v/>
      </c>
      <c r="C84" s="27" t="str">
        <f t="shared" si="59"/>
        <v/>
      </c>
      <c r="D84" s="121"/>
      <c r="E84" s="21">
        <v>240008</v>
      </c>
      <c r="F84" s="118"/>
      <c r="G84" s="118" t="s">
        <v>900</v>
      </c>
      <c r="H84" s="118"/>
      <c r="I84" s="118"/>
      <c r="J84" s="118"/>
      <c r="K84" s="21" t="str">
        <f t="shared" si="65"/>
        <v/>
      </c>
      <c r="L84" s="21" t="str">
        <f t="shared" si="60"/>
        <v/>
      </c>
      <c r="M84" s="21" t="str">
        <f t="shared" si="66"/>
        <v>0</v>
      </c>
      <c r="N84" s="118"/>
      <c r="O84" s="118"/>
      <c r="P84" s="21" t="str">
        <f t="shared" si="90"/>
        <v>0</v>
      </c>
      <c r="Q84" s="21" t="str">
        <f t="shared" si="91"/>
        <v>0</v>
      </c>
      <c r="R84" s="21" t="str">
        <f t="shared" si="92"/>
        <v>0</v>
      </c>
      <c r="S84" s="21" t="str">
        <f t="shared" si="93"/>
        <v>0</v>
      </c>
      <c r="T84" s="21" t="str">
        <f t="shared" si="94"/>
        <v>0</v>
      </c>
      <c r="U84" s="21" t="str">
        <f t="shared" si="95"/>
        <v>0</v>
      </c>
      <c r="V84" s="21" t="str">
        <f t="shared" si="96"/>
        <v>1</v>
      </c>
      <c r="W84" s="21"/>
      <c r="X84" s="21" t="str">
        <f t="shared" si="97"/>
        <v/>
      </c>
      <c r="Y84" s="21" t="str">
        <f t="shared" si="98"/>
        <v/>
      </c>
      <c r="Z84" s="21" t="str">
        <f t="shared" si="99"/>
        <v/>
      </c>
      <c r="AA84" s="118"/>
      <c r="AB84" s="118"/>
      <c r="AC84" s="118"/>
      <c r="AD84" s="118"/>
      <c r="AE84" s="118" t="s">
        <v>51</v>
      </c>
      <c r="AF84" s="118"/>
      <c r="AG84" s="118"/>
      <c r="AH84" s="26" t="s">
        <v>136</v>
      </c>
      <c r="AI84" s="26" t="s">
        <v>113</v>
      </c>
      <c r="AJ84" s="26">
        <v>13164</v>
      </c>
      <c r="AK84" s="26" t="str">
        <f t="shared" si="58"/>
        <v/>
      </c>
      <c r="AL84" s="123" t="str">
        <f t="shared" si="100"/>
        <v/>
      </c>
      <c r="AM84" s="26"/>
      <c r="AN84" s="26" t="s">
        <v>3245</v>
      </c>
      <c r="AO84" s="26" t="s">
        <v>3245</v>
      </c>
      <c r="AP84" s="26" t="s">
        <v>3245</v>
      </c>
      <c r="AQ84" s="26" t="s">
        <v>3245</v>
      </c>
      <c r="AR84" s="26" t="s">
        <v>3245</v>
      </c>
      <c r="AS84" s="26" t="s">
        <v>3245</v>
      </c>
      <c r="AT84" s="26" t="s">
        <v>3245</v>
      </c>
      <c r="AU84" s="26" t="s">
        <v>3245</v>
      </c>
      <c r="AV84" s="26" t="s">
        <v>3245</v>
      </c>
      <c r="AW84" s="26" t="s">
        <v>3245</v>
      </c>
      <c r="AX84" s="26" t="s">
        <v>3245</v>
      </c>
      <c r="AY84" s="124"/>
      <c r="AZ84" s="138" t="str">
        <f>IF(C84="","","delete from module_mst where pjt_id = '"&amp;C84&amp;"' and menu_id = '"&amp;E84&amp;"';")</f>
        <v/>
      </c>
      <c r="BA84" s="31" t="str">
        <f>IF(C84&lt;&gt;"",CREATE_QUERY($D$1,C$2:AY$2,C84:AY84),"")</f>
        <v/>
      </c>
    </row>
    <row r="85" spans="1:53">
      <c r="A85" s="1">
        <v>85</v>
      </c>
      <c r="B85" s="159" t="str">
        <f t="shared" si="62"/>
        <v/>
      </c>
      <c r="C85" s="27" t="str">
        <f t="shared" si="59"/>
        <v/>
      </c>
      <c r="D85" s="121"/>
      <c r="E85" s="21">
        <v>240009</v>
      </c>
      <c r="F85" s="118"/>
      <c r="G85" s="118" t="s">
        <v>900</v>
      </c>
      <c r="H85" s="118"/>
      <c r="I85" s="118"/>
      <c r="J85" s="118"/>
      <c r="K85" s="21" t="str">
        <f t="shared" si="65"/>
        <v/>
      </c>
      <c r="L85" s="21" t="str">
        <f t="shared" si="60"/>
        <v/>
      </c>
      <c r="M85" s="21" t="str">
        <f t="shared" si="66"/>
        <v>0</v>
      </c>
      <c r="N85" s="118"/>
      <c r="O85" s="118"/>
      <c r="P85" s="21" t="str">
        <f t="shared" si="90"/>
        <v>0</v>
      </c>
      <c r="Q85" s="21" t="str">
        <f t="shared" si="91"/>
        <v>0</v>
      </c>
      <c r="R85" s="21" t="str">
        <f t="shared" si="92"/>
        <v>0</v>
      </c>
      <c r="S85" s="21" t="str">
        <f t="shared" si="93"/>
        <v>0</v>
      </c>
      <c r="T85" s="21" t="str">
        <f t="shared" si="94"/>
        <v>0</v>
      </c>
      <c r="U85" s="21" t="str">
        <f t="shared" si="95"/>
        <v>0</v>
      </c>
      <c r="V85" s="21" t="str">
        <f t="shared" si="96"/>
        <v>1</v>
      </c>
      <c r="W85" s="21"/>
      <c r="X85" s="21" t="str">
        <f t="shared" si="97"/>
        <v/>
      </c>
      <c r="Y85" s="21" t="str">
        <f t="shared" si="98"/>
        <v/>
      </c>
      <c r="Z85" s="21" t="str">
        <f t="shared" si="99"/>
        <v/>
      </c>
      <c r="AA85" s="118"/>
      <c r="AB85" s="118"/>
      <c r="AC85" s="118"/>
      <c r="AD85" s="118"/>
      <c r="AE85" s="118" t="s">
        <v>51</v>
      </c>
      <c r="AF85" s="118"/>
      <c r="AG85" s="118"/>
      <c r="AH85" s="26" t="s">
        <v>136</v>
      </c>
      <c r="AI85" s="26" t="s">
        <v>113</v>
      </c>
      <c r="AJ85" s="26">
        <v>13166</v>
      </c>
      <c r="AK85" s="26" t="str">
        <f t="shared" si="58"/>
        <v/>
      </c>
      <c r="AL85" s="123" t="str">
        <f t="shared" si="100"/>
        <v/>
      </c>
      <c r="AM85" s="26"/>
      <c r="AN85" s="26" t="s">
        <v>3245</v>
      </c>
      <c r="AO85" s="26" t="s">
        <v>3245</v>
      </c>
      <c r="AP85" s="26" t="s">
        <v>3245</v>
      </c>
      <c r="AQ85" s="26" t="s">
        <v>3245</v>
      </c>
      <c r="AR85" s="26" t="s">
        <v>3245</v>
      </c>
      <c r="AS85" s="26" t="s">
        <v>3245</v>
      </c>
      <c r="AT85" s="26" t="s">
        <v>3245</v>
      </c>
      <c r="AU85" s="26" t="s">
        <v>3245</v>
      </c>
      <c r="AV85" s="26" t="s">
        <v>3245</v>
      </c>
      <c r="AW85" s="26" t="s">
        <v>3245</v>
      </c>
      <c r="AX85" s="26" t="s">
        <v>3245</v>
      </c>
      <c r="AY85" s="124"/>
      <c r="AZ85" s="138" t="str">
        <f>IF(C85="","","delete from module_mst where pjt_id = '"&amp;C85&amp;"' and menu_id = '"&amp;E85&amp;"';")</f>
        <v/>
      </c>
      <c r="BA85" s="31" t="str">
        <f>IF(C85&lt;&gt;"",CREATE_QUERY($D$1,C$2:AY$2,C85:AY85),"")</f>
        <v/>
      </c>
    </row>
    <row r="86" spans="1:53">
      <c r="A86" s="1">
        <v>86</v>
      </c>
      <c r="B86" s="159" t="str">
        <f t="shared" si="62"/>
        <v/>
      </c>
      <c r="C86" s="27" t="str">
        <f t="shared" si="59"/>
        <v/>
      </c>
      <c r="D86" s="121"/>
      <c r="E86" s="21">
        <v>240010</v>
      </c>
      <c r="F86" s="118"/>
      <c r="G86" s="118" t="s">
        <v>900</v>
      </c>
      <c r="H86" s="118"/>
      <c r="I86" s="118"/>
      <c r="J86" s="118"/>
      <c r="K86" s="21" t="str">
        <f t="shared" si="65"/>
        <v/>
      </c>
      <c r="L86" s="21" t="str">
        <f t="shared" si="60"/>
        <v/>
      </c>
      <c r="M86" s="21" t="str">
        <f t="shared" si="66"/>
        <v>0</v>
      </c>
      <c r="N86" s="118"/>
      <c r="O86" s="118"/>
      <c r="P86" s="21" t="str">
        <f t="shared" si="90"/>
        <v>0</v>
      </c>
      <c r="Q86" s="21" t="str">
        <f t="shared" si="91"/>
        <v>0</v>
      </c>
      <c r="R86" s="21" t="str">
        <f t="shared" si="92"/>
        <v>0</v>
      </c>
      <c r="S86" s="21" t="str">
        <f t="shared" si="93"/>
        <v>0</v>
      </c>
      <c r="T86" s="21" t="str">
        <f t="shared" si="94"/>
        <v>0</v>
      </c>
      <c r="U86" s="21" t="str">
        <f t="shared" si="95"/>
        <v>0</v>
      </c>
      <c r="V86" s="21" t="str">
        <f t="shared" si="96"/>
        <v>1</v>
      </c>
      <c r="W86" s="21"/>
      <c r="X86" s="21" t="str">
        <f t="shared" si="97"/>
        <v/>
      </c>
      <c r="Y86" s="21" t="str">
        <f t="shared" si="98"/>
        <v/>
      </c>
      <c r="Z86" s="21" t="str">
        <f t="shared" si="99"/>
        <v/>
      </c>
      <c r="AA86" s="118"/>
      <c r="AB86" s="118"/>
      <c r="AC86" s="118"/>
      <c r="AD86" s="118"/>
      <c r="AE86" s="118" t="s">
        <v>51</v>
      </c>
      <c r="AF86" s="118"/>
      <c r="AG86" s="118"/>
      <c r="AH86" s="26" t="s">
        <v>136</v>
      </c>
      <c r="AI86" s="26" t="s">
        <v>113</v>
      </c>
      <c r="AJ86" s="26">
        <v>13168</v>
      </c>
      <c r="AK86" s="26" t="str">
        <f t="shared" si="58"/>
        <v/>
      </c>
      <c r="AL86" s="123" t="str">
        <f t="shared" si="100"/>
        <v/>
      </c>
      <c r="AM86" s="26"/>
      <c r="AN86" s="26" t="s">
        <v>3245</v>
      </c>
      <c r="AO86" s="26" t="s">
        <v>3245</v>
      </c>
      <c r="AP86" s="26" t="s">
        <v>3245</v>
      </c>
      <c r="AQ86" s="26" t="s">
        <v>3245</v>
      </c>
      <c r="AR86" s="26" t="s">
        <v>3245</v>
      </c>
      <c r="AS86" s="26" t="s">
        <v>3245</v>
      </c>
      <c r="AT86" s="26" t="s">
        <v>3245</v>
      </c>
      <c r="AU86" s="26" t="s">
        <v>3245</v>
      </c>
      <c r="AV86" s="26" t="s">
        <v>3245</v>
      </c>
      <c r="AW86" s="26" t="s">
        <v>3245</v>
      </c>
      <c r="AX86" s="26" t="s">
        <v>3245</v>
      </c>
      <c r="AY86" s="124"/>
      <c r="AZ86" s="138" t="str">
        <f>IF(C86="","","delete from module_mst where pjt_id = '"&amp;C86&amp;"' and menu_id = '"&amp;E86&amp;"';")</f>
        <v/>
      </c>
      <c r="BA86" s="31" t="str">
        <f>IF(C86&lt;&gt;"",CREATE_QUERY($D$1,C$2:AY$2,C86:AY86),"")</f>
        <v/>
      </c>
    </row>
    <row r="87" spans="1:53">
      <c r="A87" s="1">
        <v>87</v>
      </c>
      <c r="B87" s="159" t="str">
        <f t="shared" si="62"/>
        <v/>
      </c>
      <c r="C87" s="27" t="str">
        <f t="shared" si="59"/>
        <v/>
      </c>
      <c r="D87" s="121"/>
      <c r="E87" s="21">
        <v>240011</v>
      </c>
      <c r="F87" s="118"/>
      <c r="G87" s="118" t="s">
        <v>900</v>
      </c>
      <c r="H87" s="118"/>
      <c r="I87" s="118"/>
      <c r="J87" s="118"/>
      <c r="K87" s="21" t="str">
        <f t="shared" si="65"/>
        <v/>
      </c>
      <c r="L87" s="21" t="str">
        <f t="shared" si="60"/>
        <v/>
      </c>
      <c r="M87" s="21" t="str">
        <f t="shared" si="66"/>
        <v>0</v>
      </c>
      <c r="N87" s="118"/>
      <c r="O87" s="118"/>
      <c r="P87" s="21" t="str">
        <f t="shared" si="90"/>
        <v>0</v>
      </c>
      <c r="Q87" s="21" t="str">
        <f t="shared" si="91"/>
        <v>0</v>
      </c>
      <c r="R87" s="21" t="str">
        <f t="shared" si="92"/>
        <v>0</v>
      </c>
      <c r="S87" s="21" t="str">
        <f t="shared" si="93"/>
        <v>0</v>
      </c>
      <c r="T87" s="21" t="str">
        <f t="shared" si="94"/>
        <v>0</v>
      </c>
      <c r="U87" s="21" t="str">
        <f t="shared" si="95"/>
        <v>0</v>
      </c>
      <c r="V87" s="21" t="str">
        <f t="shared" si="96"/>
        <v>1</v>
      </c>
      <c r="W87" s="21"/>
      <c r="X87" s="21" t="str">
        <f t="shared" si="97"/>
        <v/>
      </c>
      <c r="Y87" s="21" t="str">
        <f t="shared" si="98"/>
        <v/>
      </c>
      <c r="Z87" s="21" t="str">
        <f t="shared" si="99"/>
        <v/>
      </c>
      <c r="AA87" s="118"/>
      <c r="AB87" s="118"/>
      <c r="AC87" s="118"/>
      <c r="AD87" s="118"/>
      <c r="AE87" s="118" t="s">
        <v>51</v>
      </c>
      <c r="AF87" s="118"/>
      <c r="AG87" s="118"/>
      <c r="AH87" s="26" t="s">
        <v>136</v>
      </c>
      <c r="AI87" s="26" t="s">
        <v>113</v>
      </c>
      <c r="AJ87" s="26">
        <v>13170</v>
      </c>
      <c r="AK87" s="26" t="str">
        <f t="shared" si="58"/>
        <v/>
      </c>
      <c r="AL87" s="123" t="str">
        <f t="shared" si="100"/>
        <v/>
      </c>
      <c r="AM87" s="26"/>
      <c r="AN87" s="26" t="s">
        <v>3245</v>
      </c>
      <c r="AO87" s="26" t="s">
        <v>3245</v>
      </c>
      <c r="AP87" s="26" t="s">
        <v>3245</v>
      </c>
      <c r="AQ87" s="26" t="s">
        <v>3245</v>
      </c>
      <c r="AR87" s="26" t="s">
        <v>3245</v>
      </c>
      <c r="AS87" s="26" t="s">
        <v>3245</v>
      </c>
      <c r="AT87" s="26" t="s">
        <v>3245</v>
      </c>
      <c r="AU87" s="26" t="s">
        <v>3245</v>
      </c>
      <c r="AV87" s="26" t="s">
        <v>3245</v>
      </c>
      <c r="AW87" s="26" t="s">
        <v>3245</v>
      </c>
      <c r="AX87" s="26" t="s">
        <v>3245</v>
      </c>
      <c r="AY87" s="124"/>
      <c r="AZ87" s="138" t="str">
        <f>IF(C87="","","delete from module_mst where pjt_id = '"&amp;C87&amp;"' and menu_id = '"&amp;E87&amp;"';")</f>
        <v/>
      </c>
      <c r="BA87" s="31" t="str">
        <f>IF(C87&lt;&gt;"",CREATE_QUERY($D$1,C$2:AY$2,C87:AY87),"")</f>
        <v/>
      </c>
    </row>
    <row r="88" spans="1:53">
      <c r="A88" s="1">
        <v>88</v>
      </c>
      <c r="B88" s="159" t="str">
        <f t="shared" si="62"/>
        <v/>
      </c>
      <c r="C88" s="27" t="str">
        <f t="shared" si="59"/>
        <v/>
      </c>
      <c r="D88" s="121"/>
      <c r="E88" s="21">
        <v>240012</v>
      </c>
      <c r="F88" s="118"/>
      <c r="G88" s="118" t="s">
        <v>900</v>
      </c>
      <c r="H88" s="118"/>
      <c r="I88" s="118"/>
      <c r="J88" s="118"/>
      <c r="K88" s="21" t="str">
        <f t="shared" si="65"/>
        <v/>
      </c>
      <c r="L88" s="21" t="str">
        <f t="shared" si="60"/>
        <v/>
      </c>
      <c r="M88" s="21" t="str">
        <f t="shared" si="66"/>
        <v>0</v>
      </c>
      <c r="N88" s="118"/>
      <c r="O88" s="118"/>
      <c r="P88" s="21" t="str">
        <f t="shared" ref="P88:P90" si="101">IF(O88="","0","1")</f>
        <v>0</v>
      </c>
      <c r="Q88" s="21" t="str">
        <f t="shared" ref="Q88:Q90" si="102">IF(O88="","0","1")</f>
        <v>0</v>
      </c>
      <c r="R88" s="21" t="str">
        <f t="shared" ref="R88:R90" si="103">IF(O88="","0","1")</f>
        <v>0</v>
      </c>
      <c r="S88" s="21" t="str">
        <f t="shared" ref="S88:S90" si="104">IF(O88="","0","1")</f>
        <v>0</v>
      </c>
      <c r="T88" s="21" t="str">
        <f t="shared" ref="T88:T90" si="105">IF(O88="","0","1")</f>
        <v>0</v>
      </c>
      <c r="U88" s="21" t="str">
        <f t="shared" ref="U88:U90" si="106">IF(O88="","0","1")</f>
        <v>0</v>
      </c>
      <c r="V88" s="21" t="str">
        <f t="shared" ref="V88:V90" si="107">IF(O88="","1","1")</f>
        <v>1</v>
      </c>
      <c r="W88" s="21"/>
      <c r="X88" s="21" t="str">
        <f t="shared" ref="X88:X90" si="108">IF(O88="","","0")</f>
        <v/>
      </c>
      <c r="Y88" s="21" t="str">
        <f t="shared" ref="Y88:Y90" si="109">IF(O88="","","0")</f>
        <v/>
      </c>
      <c r="Z88" s="21" t="str">
        <f t="shared" ref="Z88:Z90" si="110">IF(O88="","","0")</f>
        <v/>
      </c>
      <c r="AA88" s="118"/>
      <c r="AB88" s="118"/>
      <c r="AC88" s="118"/>
      <c r="AD88" s="118"/>
      <c r="AE88" s="118" t="s">
        <v>51</v>
      </c>
      <c r="AF88" s="118"/>
      <c r="AG88" s="118"/>
      <c r="AH88" s="26" t="s">
        <v>136</v>
      </c>
      <c r="AI88" s="26" t="s">
        <v>113</v>
      </c>
      <c r="AJ88" s="26">
        <v>13172</v>
      </c>
      <c r="AK88" s="26" t="str">
        <f t="shared" si="58"/>
        <v/>
      </c>
      <c r="AL88" s="123" t="str">
        <f t="shared" ref="AL88:AL90" si="111">IF(C88="","",C88&amp;"/"&amp;F88&amp;"/"&amp;N88&amp;"/"&amp;O88)</f>
        <v/>
      </c>
      <c r="AM88" s="26"/>
      <c r="AN88" s="26" t="s">
        <v>3245</v>
      </c>
      <c r="AO88" s="26" t="s">
        <v>3245</v>
      </c>
      <c r="AP88" s="26" t="s">
        <v>3245</v>
      </c>
      <c r="AQ88" s="26" t="s">
        <v>3245</v>
      </c>
      <c r="AR88" s="26" t="s">
        <v>3245</v>
      </c>
      <c r="AS88" s="26" t="s">
        <v>3245</v>
      </c>
      <c r="AT88" s="26" t="s">
        <v>3245</v>
      </c>
      <c r="AU88" s="26" t="s">
        <v>3245</v>
      </c>
      <c r="AV88" s="26" t="s">
        <v>3245</v>
      </c>
      <c r="AW88" s="26" t="s">
        <v>3245</v>
      </c>
      <c r="AX88" s="26" t="s">
        <v>3245</v>
      </c>
      <c r="AY88" s="124"/>
      <c r="AZ88" s="138" t="str">
        <f>IF(C88="","","delete from module_mst where pjt_id = '"&amp;C88&amp;"' and menu_id = '"&amp;E88&amp;"';")</f>
        <v/>
      </c>
      <c r="BA88" s="31" t="str">
        <f>IF(C88&lt;&gt;"",CREATE_QUERY($D$1,C$2:AY$2,C88:AY88),"")</f>
        <v/>
      </c>
    </row>
    <row r="89" spans="1:53">
      <c r="A89" s="1">
        <v>89</v>
      </c>
      <c r="B89" s="159" t="str">
        <f t="shared" si="62"/>
        <v/>
      </c>
      <c r="C89" s="27" t="str">
        <f t="shared" si="59"/>
        <v/>
      </c>
      <c r="D89" s="121"/>
      <c r="E89" s="21">
        <v>240013</v>
      </c>
      <c r="F89" s="118"/>
      <c r="G89" s="118" t="s">
        <v>900</v>
      </c>
      <c r="H89" s="118"/>
      <c r="I89" s="118"/>
      <c r="J89" s="118"/>
      <c r="K89" s="21" t="str">
        <f t="shared" si="65"/>
        <v/>
      </c>
      <c r="L89" s="21" t="str">
        <f t="shared" si="60"/>
        <v/>
      </c>
      <c r="M89" s="21" t="str">
        <f t="shared" si="66"/>
        <v>0</v>
      </c>
      <c r="N89" s="118"/>
      <c r="O89" s="118"/>
      <c r="P89" s="21" t="str">
        <f t="shared" si="101"/>
        <v>0</v>
      </c>
      <c r="Q89" s="21" t="str">
        <f t="shared" si="102"/>
        <v>0</v>
      </c>
      <c r="R89" s="21" t="str">
        <f t="shared" si="103"/>
        <v>0</v>
      </c>
      <c r="S89" s="21" t="str">
        <f t="shared" si="104"/>
        <v>0</v>
      </c>
      <c r="T89" s="21" t="str">
        <f t="shared" si="105"/>
        <v>0</v>
      </c>
      <c r="U89" s="21" t="str">
        <f t="shared" si="106"/>
        <v>0</v>
      </c>
      <c r="V89" s="21" t="str">
        <f t="shared" si="107"/>
        <v>1</v>
      </c>
      <c r="W89" s="21"/>
      <c r="X89" s="21" t="str">
        <f t="shared" si="108"/>
        <v/>
      </c>
      <c r="Y89" s="21" t="str">
        <f t="shared" si="109"/>
        <v/>
      </c>
      <c r="Z89" s="21" t="str">
        <f t="shared" si="110"/>
        <v/>
      </c>
      <c r="AA89" s="118"/>
      <c r="AB89" s="118"/>
      <c r="AC89" s="118"/>
      <c r="AD89" s="118"/>
      <c r="AE89" s="118" t="s">
        <v>51</v>
      </c>
      <c r="AF89" s="118"/>
      <c r="AG89" s="118"/>
      <c r="AH89" s="26" t="s">
        <v>136</v>
      </c>
      <c r="AI89" s="26" t="s">
        <v>113</v>
      </c>
      <c r="AJ89" s="26">
        <v>13174</v>
      </c>
      <c r="AK89" s="26" t="str">
        <f t="shared" si="58"/>
        <v/>
      </c>
      <c r="AL89" s="123" t="str">
        <f t="shared" si="111"/>
        <v/>
      </c>
      <c r="AM89" s="26"/>
      <c r="AN89" s="26" t="s">
        <v>3245</v>
      </c>
      <c r="AO89" s="26" t="s">
        <v>3245</v>
      </c>
      <c r="AP89" s="26" t="s">
        <v>3245</v>
      </c>
      <c r="AQ89" s="26" t="s">
        <v>3245</v>
      </c>
      <c r="AR89" s="26" t="s">
        <v>3245</v>
      </c>
      <c r="AS89" s="26" t="s">
        <v>3245</v>
      </c>
      <c r="AT89" s="26" t="s">
        <v>3245</v>
      </c>
      <c r="AU89" s="26" t="s">
        <v>3245</v>
      </c>
      <c r="AV89" s="26" t="s">
        <v>3245</v>
      </c>
      <c r="AW89" s="26" t="s">
        <v>3245</v>
      </c>
      <c r="AX89" s="26" t="s">
        <v>3245</v>
      </c>
      <c r="AY89" s="124"/>
      <c r="AZ89" s="138" t="str">
        <f>IF(C89="","","delete from module_mst where pjt_id = '"&amp;C89&amp;"' and menu_id = '"&amp;E89&amp;"';")</f>
        <v/>
      </c>
      <c r="BA89" s="31" t="str">
        <f>IF(C89&lt;&gt;"",CREATE_QUERY($D$1,C$2:AY$2,C89:AY89),"")</f>
        <v/>
      </c>
    </row>
    <row r="90" spans="1:53">
      <c r="A90" s="1">
        <v>90</v>
      </c>
      <c r="B90" s="159" t="str">
        <f t="shared" si="62"/>
        <v/>
      </c>
      <c r="C90" s="27" t="str">
        <f t="shared" si="59"/>
        <v/>
      </c>
      <c r="D90" s="121"/>
      <c r="E90" s="21">
        <v>240014</v>
      </c>
      <c r="F90" s="118"/>
      <c r="G90" s="118" t="s">
        <v>900</v>
      </c>
      <c r="H90" s="118"/>
      <c r="I90" s="118"/>
      <c r="J90" s="118"/>
      <c r="K90" s="21" t="str">
        <f t="shared" si="65"/>
        <v/>
      </c>
      <c r="L90" s="21" t="str">
        <f t="shared" si="60"/>
        <v/>
      </c>
      <c r="M90" s="21" t="str">
        <f t="shared" si="66"/>
        <v>0</v>
      </c>
      <c r="N90" s="118"/>
      <c r="O90" s="118"/>
      <c r="P90" s="21" t="str">
        <f t="shared" si="101"/>
        <v>0</v>
      </c>
      <c r="Q90" s="21" t="str">
        <f t="shared" si="102"/>
        <v>0</v>
      </c>
      <c r="R90" s="21" t="str">
        <f t="shared" si="103"/>
        <v>0</v>
      </c>
      <c r="S90" s="21" t="str">
        <f t="shared" si="104"/>
        <v>0</v>
      </c>
      <c r="T90" s="21" t="str">
        <f t="shared" si="105"/>
        <v>0</v>
      </c>
      <c r="U90" s="21" t="str">
        <f t="shared" si="106"/>
        <v>0</v>
      </c>
      <c r="V90" s="21" t="str">
        <f t="shared" si="107"/>
        <v>1</v>
      </c>
      <c r="W90" s="21"/>
      <c r="X90" s="21" t="str">
        <f t="shared" si="108"/>
        <v/>
      </c>
      <c r="Y90" s="21" t="str">
        <f t="shared" si="109"/>
        <v/>
      </c>
      <c r="Z90" s="21" t="str">
        <f t="shared" si="110"/>
        <v/>
      </c>
      <c r="AA90" s="118"/>
      <c r="AB90" s="118"/>
      <c r="AC90" s="118"/>
      <c r="AD90" s="118"/>
      <c r="AE90" s="118" t="s">
        <v>51</v>
      </c>
      <c r="AF90" s="118"/>
      <c r="AG90" s="118"/>
      <c r="AH90" s="26" t="s">
        <v>136</v>
      </c>
      <c r="AI90" s="26" t="s">
        <v>113</v>
      </c>
      <c r="AJ90" s="26">
        <v>13176</v>
      </c>
      <c r="AK90" s="26" t="str">
        <f t="shared" si="58"/>
        <v/>
      </c>
      <c r="AL90" s="123" t="str">
        <f t="shared" si="111"/>
        <v/>
      </c>
      <c r="AM90" s="26"/>
      <c r="AN90" s="26" t="s">
        <v>3245</v>
      </c>
      <c r="AO90" s="26" t="s">
        <v>3245</v>
      </c>
      <c r="AP90" s="26" t="s">
        <v>3245</v>
      </c>
      <c r="AQ90" s="26" t="s">
        <v>3245</v>
      </c>
      <c r="AR90" s="26" t="s">
        <v>3245</v>
      </c>
      <c r="AS90" s="26" t="s">
        <v>3245</v>
      </c>
      <c r="AT90" s="26" t="s">
        <v>3245</v>
      </c>
      <c r="AU90" s="26" t="s">
        <v>3245</v>
      </c>
      <c r="AV90" s="26" t="s">
        <v>3245</v>
      </c>
      <c r="AW90" s="26" t="s">
        <v>3245</v>
      </c>
      <c r="AX90" s="26" t="s">
        <v>3245</v>
      </c>
      <c r="AY90" s="124"/>
      <c r="AZ90" s="138" t="str">
        <f>IF(C90="","","delete from module_mst where pjt_id = '"&amp;C90&amp;"' and menu_id = '"&amp;E90&amp;"';")</f>
        <v/>
      </c>
      <c r="BA90" s="31" t="str">
        <f>IF(C90&lt;&gt;"",CREATE_QUERY($D$1,C$2:AY$2,C90:AY90),"")</f>
        <v/>
      </c>
    </row>
    <row r="91" spans="1:53">
      <c r="A91" s="1">
        <v>91</v>
      </c>
      <c r="B91" s="164" t="str">
        <f t="shared" si="62"/>
        <v/>
      </c>
      <c r="C91" s="27" t="str">
        <f t="shared" si="59"/>
        <v/>
      </c>
      <c r="D91" s="121"/>
      <c r="E91" s="27"/>
      <c r="F91" s="121"/>
      <c r="G91" s="121" t="s">
        <v>900</v>
      </c>
      <c r="H91" s="121"/>
      <c r="I91" s="121"/>
      <c r="J91" s="121"/>
      <c r="K91" s="27" t="str">
        <f t="shared" si="65"/>
        <v/>
      </c>
      <c r="L91" s="27" t="str">
        <f t="shared" si="60"/>
        <v/>
      </c>
      <c r="M91" s="27" t="str">
        <f t="shared" si="66"/>
        <v>0</v>
      </c>
      <c r="N91" s="121"/>
      <c r="O91" s="121"/>
      <c r="P91" s="27" t="str">
        <f t="shared" si="67"/>
        <v>0</v>
      </c>
      <c r="Q91" s="27" t="str">
        <f t="shared" si="68"/>
        <v>0</v>
      </c>
      <c r="R91" s="27" t="str">
        <f t="shared" si="69"/>
        <v>0</v>
      </c>
      <c r="S91" s="27" t="str">
        <f t="shared" si="70"/>
        <v>0</v>
      </c>
      <c r="T91" s="27" t="str">
        <f t="shared" si="71"/>
        <v>0</v>
      </c>
      <c r="U91" s="27" t="str">
        <f t="shared" si="72"/>
        <v>0</v>
      </c>
      <c r="V91" s="27" t="str">
        <f t="shared" si="73"/>
        <v>1</v>
      </c>
      <c r="W91" s="27"/>
      <c r="X91" s="27" t="str">
        <f t="shared" si="74"/>
        <v/>
      </c>
      <c r="Y91" s="27" t="str">
        <f t="shared" si="75"/>
        <v/>
      </c>
      <c r="Z91" s="27" t="str">
        <f t="shared" si="76"/>
        <v/>
      </c>
      <c r="AA91" s="121"/>
      <c r="AB91" s="121"/>
      <c r="AC91" s="121"/>
      <c r="AD91" s="121"/>
      <c r="AE91" s="121"/>
      <c r="AF91" s="121"/>
      <c r="AG91" s="121"/>
      <c r="AH91" s="27"/>
      <c r="AI91" s="27"/>
      <c r="AJ91" s="27"/>
      <c r="AK91" s="27" t="str">
        <f t="shared" si="58"/>
        <v/>
      </c>
      <c r="AL91" s="123" t="str">
        <f t="shared" si="1"/>
        <v/>
      </c>
      <c r="AM91" s="27"/>
      <c r="AN91" s="27"/>
      <c r="AO91" s="27"/>
      <c r="AP91" s="27"/>
      <c r="AQ91" s="27"/>
      <c r="AR91" s="27"/>
      <c r="AS91" s="27"/>
      <c r="AT91" s="27"/>
      <c r="AU91" s="27"/>
      <c r="AV91" s="27"/>
      <c r="AW91" s="27"/>
      <c r="AX91" s="27"/>
      <c r="AY91" s="124"/>
      <c r="AZ91" s="138" t="str">
        <f>IF(C91="","","delete from module_mst where pjt_id = '"&amp;C91&amp;"' and menu_id = '"&amp;E91&amp;"';")</f>
        <v/>
      </c>
      <c r="BA91" s="31" t="str">
        <f>IF(C91&lt;&gt;"",CREATE_QUERY($D$1,C$2:AY$2,C91:AY91),"")</f>
        <v/>
      </c>
    </row>
    <row r="92" spans="1:53">
      <c r="A92" s="1">
        <v>92</v>
      </c>
      <c r="B92" s="162" t="str">
        <f t="shared" si="62"/>
        <v xml:space="preserve">  └ 영업관리</v>
      </c>
      <c r="C92" s="27" t="str">
        <f t="shared" si="59"/>
        <v>14821</v>
      </c>
      <c r="D92" s="121"/>
      <c r="E92" s="24" t="s">
        <v>163</v>
      </c>
      <c r="F92" s="127" t="s">
        <v>123</v>
      </c>
      <c r="G92" s="127" t="s">
        <v>3107</v>
      </c>
      <c r="H92" s="127"/>
      <c r="I92" s="127"/>
      <c r="J92" s="127"/>
      <c r="K92" s="25" t="str">
        <f t="shared" si="65"/>
        <v/>
      </c>
      <c r="L92" s="25" t="str">
        <f t="shared" si="60"/>
        <v>1</v>
      </c>
      <c r="M92" s="25" t="str">
        <f t="shared" si="66"/>
        <v>0</v>
      </c>
      <c r="N92" s="127"/>
      <c r="O92" s="127"/>
      <c r="P92" s="25" t="str">
        <f t="shared" si="67"/>
        <v>0</v>
      </c>
      <c r="Q92" s="25" t="str">
        <f t="shared" si="68"/>
        <v>0</v>
      </c>
      <c r="R92" s="25" t="str">
        <f t="shared" si="69"/>
        <v>0</v>
      </c>
      <c r="S92" s="25" t="str">
        <f t="shared" si="70"/>
        <v>0</v>
      </c>
      <c r="T92" s="25" t="str">
        <f t="shared" si="71"/>
        <v>0</v>
      </c>
      <c r="U92" s="25" t="str">
        <f t="shared" si="72"/>
        <v>0</v>
      </c>
      <c r="V92" s="25" t="str">
        <f t="shared" si="73"/>
        <v>1</v>
      </c>
      <c r="W92" s="25"/>
      <c r="X92" s="25" t="str">
        <f t="shared" si="74"/>
        <v/>
      </c>
      <c r="Y92" s="25" t="str">
        <f t="shared" si="75"/>
        <v/>
      </c>
      <c r="Z92" s="25" t="str">
        <f t="shared" si="76"/>
        <v/>
      </c>
      <c r="AA92" s="127"/>
      <c r="AB92" s="127"/>
      <c r="AC92" s="127"/>
      <c r="AD92" s="127"/>
      <c r="AE92" s="127" t="s">
        <v>51</v>
      </c>
      <c r="AF92" s="127"/>
      <c r="AG92" s="127"/>
      <c r="AH92" s="24" t="s">
        <v>120</v>
      </c>
      <c r="AI92" s="24" t="s">
        <v>111</v>
      </c>
      <c r="AJ92" s="24">
        <v>20000</v>
      </c>
      <c r="AK92" s="24" t="str">
        <f t="shared" si="58"/>
        <v>0</v>
      </c>
      <c r="AL92" s="123" t="str">
        <f t="shared" si="1"/>
        <v>14821/영업관리//</v>
      </c>
      <c r="AM92" s="24" t="s">
        <v>2979</v>
      </c>
      <c r="AN92" s="24" t="str">
        <f t="shared" ref="AN92:AX92" si="112">IF(COUNTIF(AN93:AN161,"="&amp;"Y")&gt;0,"Y",IF(COUNTIF(AN93:AN161,"="&amp;"-")&gt;0,"m",""))</f>
        <v>m</v>
      </c>
      <c r="AO92" s="24" t="str">
        <f t="shared" si="112"/>
        <v>Y</v>
      </c>
      <c r="AP92" s="24" t="str">
        <f t="shared" si="112"/>
        <v>m</v>
      </c>
      <c r="AQ92" s="24" t="str">
        <f t="shared" si="112"/>
        <v>m</v>
      </c>
      <c r="AR92" s="24" t="str">
        <f t="shared" si="112"/>
        <v>m</v>
      </c>
      <c r="AS92" s="24" t="str">
        <f t="shared" si="112"/>
        <v>Y</v>
      </c>
      <c r="AT92" s="24" t="str">
        <f t="shared" si="112"/>
        <v>Y</v>
      </c>
      <c r="AU92" s="24" t="str">
        <f t="shared" si="112"/>
        <v>m</v>
      </c>
      <c r="AV92" s="24" t="str">
        <f t="shared" si="112"/>
        <v>m</v>
      </c>
      <c r="AW92" s="24" t="str">
        <f t="shared" si="112"/>
        <v>Y</v>
      </c>
      <c r="AX92" s="24" t="str">
        <f t="shared" si="112"/>
        <v>Y</v>
      </c>
      <c r="AY92" s="124"/>
      <c r="AZ92" s="138" t="str">
        <f>IF(C92="","","delete from module_mst where pjt_id = '"&amp;C92&amp;"' and menu_id = '"&amp;E92&amp;"';")</f>
        <v>delete from module_mst where pjt_id = '14821' and menu_id = '250000';</v>
      </c>
      <c r="BA92" s="31" t="str">
        <f>IF(C92&lt;&gt;"",CREATE_QUERY($D$1,C$2:AY$2,C92:AY92),"")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'250000', '영업관리', 'Sales management', '', '', '', '', '1', '0', '', '', '0', '0', '0', '0', '0', '0', '1', '', '', '', '', '', '', '', '', 'N', '', '', '200000', '3', '20000', '0', '14821/영업관리//', '메뉴', '');</v>
      </c>
    </row>
    <row r="93" spans="1:53">
      <c r="A93" s="1">
        <v>93</v>
      </c>
      <c r="B93" s="159" t="str">
        <f t="shared" si="62"/>
        <v xml:space="preserve">    └ 영업기초</v>
      </c>
      <c r="C93" s="27" t="str">
        <f t="shared" si="59"/>
        <v>14821</v>
      </c>
      <c r="D93" s="121"/>
      <c r="E93" s="21">
        <v>251000</v>
      </c>
      <c r="F93" s="118" t="s">
        <v>165</v>
      </c>
      <c r="G93" s="118" t="s">
        <v>3109</v>
      </c>
      <c r="H93" s="118"/>
      <c r="I93" s="118"/>
      <c r="J93" s="118"/>
      <c r="K93" s="21" t="str">
        <f t="shared" si="65"/>
        <v/>
      </c>
      <c r="L93" s="21" t="str">
        <f t="shared" si="60"/>
        <v>1</v>
      </c>
      <c r="M93" s="21" t="str">
        <f t="shared" si="66"/>
        <v>0</v>
      </c>
      <c r="N93" s="118"/>
      <c r="O93" s="118"/>
      <c r="P93" s="21" t="str">
        <f t="shared" si="67"/>
        <v>0</v>
      </c>
      <c r="Q93" s="21" t="str">
        <f t="shared" si="68"/>
        <v>0</v>
      </c>
      <c r="R93" s="21" t="str">
        <f t="shared" si="69"/>
        <v>0</v>
      </c>
      <c r="S93" s="21" t="str">
        <f t="shared" si="70"/>
        <v>0</v>
      </c>
      <c r="T93" s="21" t="str">
        <f t="shared" si="71"/>
        <v>0</v>
      </c>
      <c r="U93" s="21" t="str">
        <f t="shared" si="72"/>
        <v>0</v>
      </c>
      <c r="V93" s="21" t="str">
        <f t="shared" si="73"/>
        <v>1</v>
      </c>
      <c r="W93" s="21"/>
      <c r="X93" s="21" t="str">
        <f t="shared" si="74"/>
        <v/>
      </c>
      <c r="Y93" s="21" t="str">
        <f t="shared" si="75"/>
        <v/>
      </c>
      <c r="Z93" s="21" t="str">
        <f t="shared" si="76"/>
        <v/>
      </c>
      <c r="AA93" s="118"/>
      <c r="AB93" s="118"/>
      <c r="AC93" s="118"/>
      <c r="AD93" s="118"/>
      <c r="AE93" s="118" t="s">
        <v>51</v>
      </c>
      <c r="AF93" s="118"/>
      <c r="AG93" s="118"/>
      <c r="AH93" s="26" t="s">
        <v>163</v>
      </c>
      <c r="AI93" s="26" t="s">
        <v>112</v>
      </c>
      <c r="AJ93" s="26">
        <v>20050</v>
      </c>
      <c r="AK93" s="26" t="str">
        <f t="shared" si="58"/>
        <v>0</v>
      </c>
      <c r="AL93" s="123" t="str">
        <f t="shared" si="1"/>
        <v>14821/영업기초//</v>
      </c>
      <c r="AM93" s="26" t="s">
        <v>2979</v>
      </c>
      <c r="AN93" s="26" t="str">
        <f>IF(COUNTIF(AN94:AN101,"="&amp;"Y")&gt;0,"Y",IF(COUNTIF(AN94:AN101,"="&amp;"-")&gt;0,"m",""))</f>
        <v>m</v>
      </c>
      <c r="AO93" s="26" t="str">
        <f t="shared" ref="AO93:AX93" si="113">IF(COUNTIF(AO94:AO101,"="&amp;"Y")&gt;0,"Y",IF(COUNTIF(AO94:AO101,"="&amp;"-")&gt;0,"m",""))</f>
        <v>m</v>
      </c>
      <c r="AP93" s="26" t="str">
        <f t="shared" si="113"/>
        <v>m</v>
      </c>
      <c r="AQ93" s="26" t="str">
        <f t="shared" si="113"/>
        <v>m</v>
      </c>
      <c r="AR93" s="26" t="str">
        <f t="shared" si="113"/>
        <v>m</v>
      </c>
      <c r="AS93" s="26" t="str">
        <f t="shared" si="113"/>
        <v>m</v>
      </c>
      <c r="AT93" s="26" t="str">
        <f t="shared" si="113"/>
        <v>m</v>
      </c>
      <c r="AU93" s="26" t="str">
        <f t="shared" si="113"/>
        <v>m</v>
      </c>
      <c r="AV93" s="26" t="str">
        <f t="shared" si="113"/>
        <v>m</v>
      </c>
      <c r="AW93" s="26" t="str">
        <f t="shared" si="113"/>
        <v>m</v>
      </c>
      <c r="AX93" s="26" t="str">
        <f t="shared" si="113"/>
        <v>m</v>
      </c>
      <c r="AY93" s="124"/>
      <c r="AZ93" s="138" t="str">
        <f>IF(C93="","","delete from module_mst where pjt_id = '"&amp;C93&amp;"' and menu_id = '"&amp;E93&amp;"';")</f>
        <v>delete from module_mst where pjt_id = '14821' and menu_id = '251000';</v>
      </c>
      <c r="BA93" s="31" t="str">
        <f>IF(C93&lt;&gt;"",CREATE_QUERY($D$1,C$2:AY$2,C93:AY93),"")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'251000', '영업기초', 'Sales Basics', '', '', '', '', '1', '0', '', '', '0', '0', '0', '0', '0', '0', '1', '', '', '', '', '', '', '', '', 'N', '', '', '250000', '4', '20050', '0', '14821/영업기초//', '메뉴', '');</v>
      </c>
    </row>
    <row r="94" spans="1:53">
      <c r="A94" s="1">
        <v>94</v>
      </c>
      <c r="B94" s="164" t="str">
        <f t="shared" si="62"/>
        <v xml:space="preserve">        └ (공통)계약사항 관리</v>
      </c>
      <c r="C94" s="27" t="str">
        <f t="shared" si="59"/>
        <v>14821</v>
      </c>
      <c r="D94" s="121"/>
      <c r="E94" s="27">
        <v>250001</v>
      </c>
      <c r="F94" s="121" t="s">
        <v>166</v>
      </c>
      <c r="G94" s="121" t="s">
        <v>3108</v>
      </c>
      <c r="H94" s="121"/>
      <c r="I94" s="121"/>
      <c r="J94" s="121"/>
      <c r="K94" s="27" t="str">
        <f t="shared" si="65"/>
        <v>1</v>
      </c>
      <c r="L94" s="27" t="str">
        <f t="shared" si="60"/>
        <v>1</v>
      </c>
      <c r="M94" s="27" t="str">
        <f t="shared" si="66"/>
        <v>1</v>
      </c>
      <c r="N94" s="121" t="s">
        <v>304</v>
      </c>
      <c r="O94" s="121" t="s">
        <v>291</v>
      </c>
      <c r="P94" s="27" t="str">
        <f t="shared" si="67"/>
        <v>1</v>
      </c>
      <c r="Q94" s="27" t="str">
        <f t="shared" si="68"/>
        <v>1</v>
      </c>
      <c r="R94" s="27" t="str">
        <f t="shared" si="69"/>
        <v>1</v>
      </c>
      <c r="S94" s="27" t="str">
        <f t="shared" si="70"/>
        <v>1</v>
      </c>
      <c r="T94" s="27" t="str">
        <f t="shared" si="71"/>
        <v>1</v>
      </c>
      <c r="U94" s="27" t="str">
        <f t="shared" si="72"/>
        <v>1</v>
      </c>
      <c r="V94" s="27" t="str">
        <f t="shared" si="73"/>
        <v>1</v>
      </c>
      <c r="W94" s="27"/>
      <c r="X94" s="27" t="str">
        <f t="shared" si="74"/>
        <v>0</v>
      </c>
      <c r="Y94" s="27" t="str">
        <f t="shared" si="75"/>
        <v>0</v>
      </c>
      <c r="Z94" s="27" t="str">
        <f t="shared" si="76"/>
        <v>0</v>
      </c>
      <c r="AA94" s="121"/>
      <c r="AB94" s="121"/>
      <c r="AC94" s="121"/>
      <c r="AD94" s="121"/>
      <c r="AE94" s="121" t="s">
        <v>51</v>
      </c>
      <c r="AF94" s="121"/>
      <c r="AG94" s="121"/>
      <c r="AH94" s="28" t="s">
        <v>164</v>
      </c>
      <c r="AI94" s="28" t="s">
        <v>113</v>
      </c>
      <c r="AJ94" s="28">
        <v>20100</v>
      </c>
      <c r="AK94" s="28" t="str">
        <f t="shared" si="58"/>
        <v>0</v>
      </c>
      <c r="AL94" s="123" t="str">
        <f t="shared" si="1"/>
        <v>14821/계약사항 관리/sale.basic/ItemSales</v>
      </c>
      <c r="AM94" s="28" t="s">
        <v>2981</v>
      </c>
      <c r="AN94" s="28"/>
      <c r="AO94" s="28"/>
      <c r="AP94" s="28"/>
      <c r="AQ94" s="28"/>
      <c r="AR94" s="28"/>
      <c r="AS94" s="28"/>
      <c r="AT94" s="28"/>
      <c r="AU94" s="28"/>
      <c r="AV94" s="28"/>
      <c r="AW94" s="28"/>
      <c r="AX94" s="28"/>
      <c r="AY94" s="124"/>
      <c r="AZ94" s="138" t="str">
        <f>IF(C94="","","delete from module_mst where pjt_id = '"&amp;C94&amp;"' and menu_id = '"&amp;E94&amp;"';")</f>
        <v>delete from module_mst where pjt_id = '14821' and menu_id = '250001';</v>
      </c>
      <c r="BA94" s="31" t="str">
        <f>IF(C94&lt;&gt;"",CREATE_QUERY($D$1,C$2:AY$2,C94:AY94),"")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'250001', '계약사항 관리', 'Contract management', '', '', '', '1', '1', '1', 'sale.basic', 'ItemSales', '1', '1', '1', '1', '1', '1', '1', '', '0', '0', '0', '', '', '', '', 'N', '', '', '251000', '5', '20100', '0', '14821/계약사항 관리/sale.basic/ItemSales', '공통', '');</v>
      </c>
    </row>
    <row r="95" spans="1:53">
      <c r="A95" s="1">
        <v>95</v>
      </c>
      <c r="B95" s="164" t="str">
        <f t="shared" si="62"/>
        <v xml:space="preserve">        └ (공통)거래처 방문일지</v>
      </c>
      <c r="C95" s="27" t="str">
        <f t="shared" si="59"/>
        <v>14821</v>
      </c>
      <c r="D95" s="121"/>
      <c r="E95" s="27">
        <v>250002</v>
      </c>
      <c r="F95" s="121" t="s">
        <v>1901</v>
      </c>
      <c r="G95" s="121" t="s">
        <v>3220</v>
      </c>
      <c r="H95" s="121"/>
      <c r="I95" s="121"/>
      <c r="J95" s="121"/>
      <c r="K95" s="27" t="str">
        <f t="shared" si="65"/>
        <v>1</v>
      </c>
      <c r="L95" s="27" t="str">
        <f t="shared" si="60"/>
        <v>1</v>
      </c>
      <c r="M95" s="27" t="str">
        <f t="shared" si="66"/>
        <v>1</v>
      </c>
      <c r="N95" s="121" t="s">
        <v>156</v>
      </c>
      <c r="O95" s="121" t="s">
        <v>1902</v>
      </c>
      <c r="P95" s="27" t="str">
        <f t="shared" si="67"/>
        <v>1</v>
      </c>
      <c r="Q95" s="27" t="str">
        <f t="shared" si="68"/>
        <v>1</v>
      </c>
      <c r="R95" s="27" t="str">
        <f t="shared" si="69"/>
        <v>1</v>
      </c>
      <c r="S95" s="27" t="str">
        <f t="shared" si="70"/>
        <v>1</v>
      </c>
      <c r="T95" s="27" t="str">
        <f t="shared" si="71"/>
        <v>1</v>
      </c>
      <c r="U95" s="27" t="str">
        <f t="shared" si="72"/>
        <v>1</v>
      </c>
      <c r="V95" s="27" t="str">
        <f t="shared" si="73"/>
        <v>1</v>
      </c>
      <c r="W95" s="27"/>
      <c r="X95" s="27" t="str">
        <f t="shared" si="74"/>
        <v>0</v>
      </c>
      <c r="Y95" s="27" t="str">
        <f t="shared" si="75"/>
        <v>0</v>
      </c>
      <c r="Z95" s="27" t="str">
        <f t="shared" si="76"/>
        <v>0</v>
      </c>
      <c r="AA95" s="121"/>
      <c r="AB95" s="121"/>
      <c r="AC95" s="121"/>
      <c r="AD95" s="121"/>
      <c r="AE95" s="121" t="s">
        <v>51</v>
      </c>
      <c r="AF95" s="121"/>
      <c r="AG95" s="121"/>
      <c r="AH95" s="28" t="s">
        <v>164</v>
      </c>
      <c r="AI95" s="28" t="s">
        <v>113</v>
      </c>
      <c r="AJ95" s="28">
        <v>20102</v>
      </c>
      <c r="AK95" s="28" t="str">
        <f t="shared" si="58"/>
        <v>0</v>
      </c>
      <c r="AL95" s="123" t="str">
        <f t="shared" si="1"/>
        <v>14821/거래처 방문일지/cust/CstmVist</v>
      </c>
      <c r="AM95" s="28" t="s">
        <v>2981</v>
      </c>
      <c r="AN95" s="28"/>
      <c r="AO95" s="28"/>
      <c r="AP95" s="28"/>
      <c r="AQ95" s="28"/>
      <c r="AR95" s="28"/>
      <c r="AS95" s="28"/>
      <c r="AT95" s="28"/>
      <c r="AU95" s="28"/>
      <c r="AV95" s="28"/>
      <c r="AW95" s="28"/>
      <c r="AX95" s="28"/>
      <c r="AY95" s="124"/>
      <c r="AZ95" s="138" t="str">
        <f>IF(C95="","","delete from module_mst where pjt_id = '"&amp;C95&amp;"' and menu_id = '"&amp;E95&amp;"';")</f>
        <v>delete from module_mst where pjt_id = '14821' and menu_id = '250002';</v>
      </c>
      <c r="BA95" s="31" t="str">
        <f>IF(C95&lt;&gt;"",CREATE_QUERY($D$1,C$2:AY$2,C95:AY95),"")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'250002', '거래처 방문일지', 'Customer visit log', '', '', '', '1', '1', '1', 'cust', 'CstmVist', '1', '1', '1', '1', '1', '1', '1', '', '0', '0', '0', '', '', '', '', 'N', '', '', '251000', '5', '20102', '0', '14821/거래처 방문일지/cust/CstmVist', '공통', '');</v>
      </c>
    </row>
    <row r="96" spans="1:53">
      <c r="A96" s="1">
        <v>96</v>
      </c>
      <c r="B96" s="164" t="str">
        <f t="shared" si="62"/>
        <v/>
      </c>
      <c r="C96" s="27" t="str">
        <f t="shared" si="59"/>
        <v/>
      </c>
      <c r="D96" s="121"/>
      <c r="E96" s="27">
        <v>250003</v>
      </c>
      <c r="F96" s="121"/>
      <c r="G96" s="121" t="s">
        <v>900</v>
      </c>
      <c r="H96" s="121"/>
      <c r="I96" s="121"/>
      <c r="J96" s="121"/>
      <c r="K96" s="27" t="str">
        <f t="shared" si="65"/>
        <v/>
      </c>
      <c r="L96" s="27" t="str">
        <f t="shared" si="60"/>
        <v/>
      </c>
      <c r="M96" s="27" t="str">
        <f t="shared" si="66"/>
        <v>0</v>
      </c>
      <c r="N96" s="121"/>
      <c r="O96" s="121"/>
      <c r="P96" s="27" t="str">
        <f t="shared" ref="P96:P99" si="114">IF(O96="","0","1")</f>
        <v>0</v>
      </c>
      <c r="Q96" s="27" t="str">
        <f t="shared" ref="Q96:Q99" si="115">IF(O96="","0","1")</f>
        <v>0</v>
      </c>
      <c r="R96" s="27" t="str">
        <f t="shared" ref="R96:R99" si="116">IF(O96="","0","1")</f>
        <v>0</v>
      </c>
      <c r="S96" s="27" t="str">
        <f t="shared" ref="S96:S99" si="117">IF(O96="","0","1")</f>
        <v>0</v>
      </c>
      <c r="T96" s="27" t="str">
        <f t="shared" ref="T96:T99" si="118">IF(O96="","0","1")</f>
        <v>0</v>
      </c>
      <c r="U96" s="27" t="str">
        <f t="shared" ref="U96:U99" si="119">IF(O96="","0","1")</f>
        <v>0</v>
      </c>
      <c r="V96" s="27" t="str">
        <f t="shared" ref="V96:V99" si="120">IF(O96="","1","1")</f>
        <v>1</v>
      </c>
      <c r="W96" s="27"/>
      <c r="X96" s="27" t="str">
        <f t="shared" ref="X96:X99" si="121">IF(O96="","","0")</f>
        <v/>
      </c>
      <c r="Y96" s="27" t="str">
        <f t="shared" ref="Y96:Y99" si="122">IF(O96="","","0")</f>
        <v/>
      </c>
      <c r="Z96" s="27" t="str">
        <f t="shared" ref="Z96:Z99" si="123">IF(O96="","","0")</f>
        <v/>
      </c>
      <c r="AA96" s="121"/>
      <c r="AB96" s="121"/>
      <c r="AC96" s="121"/>
      <c r="AD96" s="121"/>
      <c r="AE96" s="121" t="s">
        <v>51</v>
      </c>
      <c r="AF96" s="121"/>
      <c r="AG96" s="121"/>
      <c r="AH96" s="28" t="s">
        <v>164</v>
      </c>
      <c r="AI96" s="28" t="s">
        <v>113</v>
      </c>
      <c r="AJ96" s="28">
        <v>20104</v>
      </c>
      <c r="AK96" s="28" t="str">
        <f t="shared" si="58"/>
        <v/>
      </c>
      <c r="AL96" s="123" t="str">
        <f t="shared" ref="AL96:AL99" si="124">IF(C96="","",C96&amp;"/"&amp;F96&amp;"/"&amp;N96&amp;"/"&amp;O96)</f>
        <v/>
      </c>
      <c r="AM96" s="28"/>
      <c r="AN96" s="28" t="s">
        <v>3245</v>
      </c>
      <c r="AO96" s="28" t="s">
        <v>3245</v>
      </c>
      <c r="AP96" s="28" t="s">
        <v>3245</v>
      </c>
      <c r="AQ96" s="28" t="s">
        <v>3245</v>
      </c>
      <c r="AR96" s="28" t="s">
        <v>3245</v>
      </c>
      <c r="AS96" s="28" t="s">
        <v>3245</v>
      </c>
      <c r="AT96" s="28" t="s">
        <v>3245</v>
      </c>
      <c r="AU96" s="28" t="s">
        <v>3245</v>
      </c>
      <c r="AV96" s="28" t="s">
        <v>3245</v>
      </c>
      <c r="AW96" s="28" t="s">
        <v>3245</v>
      </c>
      <c r="AX96" s="28" t="s">
        <v>3245</v>
      </c>
      <c r="AY96" s="124"/>
      <c r="AZ96" s="138" t="str">
        <f>IF(C96="","","delete from module_mst where pjt_id = '"&amp;C96&amp;"' and menu_id = '"&amp;E96&amp;"';")</f>
        <v/>
      </c>
      <c r="BA96" s="31" t="str">
        <f>IF(C96&lt;&gt;"",CREATE_QUERY($D$1,C$2:AY$2,C96:AY96),"")</f>
        <v/>
      </c>
    </row>
    <row r="97" spans="1:53">
      <c r="A97" s="1">
        <v>97</v>
      </c>
      <c r="B97" s="164" t="str">
        <f t="shared" si="62"/>
        <v/>
      </c>
      <c r="C97" s="27" t="str">
        <f t="shared" si="59"/>
        <v/>
      </c>
      <c r="D97" s="121"/>
      <c r="E97" s="27">
        <v>250004</v>
      </c>
      <c r="F97" s="121"/>
      <c r="G97" s="121" t="s">
        <v>900</v>
      </c>
      <c r="H97" s="121"/>
      <c r="I97" s="121"/>
      <c r="J97" s="121"/>
      <c r="K97" s="27" t="str">
        <f t="shared" si="65"/>
        <v/>
      </c>
      <c r="L97" s="27" t="str">
        <f t="shared" si="60"/>
        <v/>
      </c>
      <c r="M97" s="27" t="str">
        <f t="shared" si="66"/>
        <v>0</v>
      </c>
      <c r="N97" s="121"/>
      <c r="O97" s="121"/>
      <c r="P97" s="27" t="str">
        <f t="shared" si="114"/>
        <v>0</v>
      </c>
      <c r="Q97" s="27" t="str">
        <f t="shared" si="115"/>
        <v>0</v>
      </c>
      <c r="R97" s="27" t="str">
        <f t="shared" si="116"/>
        <v>0</v>
      </c>
      <c r="S97" s="27" t="str">
        <f t="shared" si="117"/>
        <v>0</v>
      </c>
      <c r="T97" s="27" t="str">
        <f t="shared" si="118"/>
        <v>0</v>
      </c>
      <c r="U97" s="27" t="str">
        <f t="shared" si="119"/>
        <v>0</v>
      </c>
      <c r="V97" s="27" t="str">
        <f t="shared" si="120"/>
        <v>1</v>
      </c>
      <c r="W97" s="27"/>
      <c r="X97" s="27" t="str">
        <f t="shared" si="121"/>
        <v/>
      </c>
      <c r="Y97" s="27" t="str">
        <f t="shared" si="122"/>
        <v/>
      </c>
      <c r="Z97" s="27" t="str">
        <f t="shared" si="123"/>
        <v/>
      </c>
      <c r="AA97" s="121"/>
      <c r="AB97" s="121"/>
      <c r="AC97" s="121"/>
      <c r="AD97" s="121"/>
      <c r="AE97" s="121" t="s">
        <v>51</v>
      </c>
      <c r="AF97" s="121"/>
      <c r="AG97" s="121"/>
      <c r="AH97" s="28" t="s">
        <v>164</v>
      </c>
      <c r="AI97" s="28" t="s">
        <v>113</v>
      </c>
      <c r="AJ97" s="28">
        <v>20106</v>
      </c>
      <c r="AK97" s="28" t="str">
        <f t="shared" si="58"/>
        <v/>
      </c>
      <c r="AL97" s="123" t="str">
        <f t="shared" si="124"/>
        <v/>
      </c>
      <c r="AM97" s="28"/>
      <c r="AN97" s="28" t="s">
        <v>3245</v>
      </c>
      <c r="AO97" s="28" t="s">
        <v>3245</v>
      </c>
      <c r="AP97" s="28" t="s">
        <v>3245</v>
      </c>
      <c r="AQ97" s="28" t="s">
        <v>3245</v>
      </c>
      <c r="AR97" s="28" t="s">
        <v>3245</v>
      </c>
      <c r="AS97" s="28" t="s">
        <v>3245</v>
      </c>
      <c r="AT97" s="28" t="s">
        <v>3245</v>
      </c>
      <c r="AU97" s="28" t="s">
        <v>3245</v>
      </c>
      <c r="AV97" s="28" t="s">
        <v>3245</v>
      </c>
      <c r="AW97" s="28" t="s">
        <v>3245</v>
      </c>
      <c r="AX97" s="28" t="s">
        <v>3245</v>
      </c>
      <c r="AY97" s="124"/>
      <c r="AZ97" s="138" t="str">
        <f>IF(C97="","","delete from module_mst where pjt_id = '"&amp;C97&amp;"' and menu_id = '"&amp;E97&amp;"';")</f>
        <v/>
      </c>
      <c r="BA97" s="31" t="str">
        <f>IF(C97&lt;&gt;"",CREATE_QUERY($D$1,C$2:AY$2,C97:AY97),"")</f>
        <v/>
      </c>
    </row>
    <row r="98" spans="1:53">
      <c r="A98" s="1">
        <v>98</v>
      </c>
      <c r="B98" s="164" t="str">
        <f t="shared" si="62"/>
        <v/>
      </c>
      <c r="C98" s="27" t="str">
        <f t="shared" si="59"/>
        <v/>
      </c>
      <c r="D98" s="121"/>
      <c r="E98" s="27">
        <v>250005</v>
      </c>
      <c r="F98" s="121"/>
      <c r="G98" s="121" t="s">
        <v>900</v>
      </c>
      <c r="H98" s="121"/>
      <c r="I98" s="121"/>
      <c r="J98" s="121"/>
      <c r="K98" s="27" t="str">
        <f t="shared" si="65"/>
        <v/>
      </c>
      <c r="L98" s="27" t="str">
        <f t="shared" si="60"/>
        <v/>
      </c>
      <c r="M98" s="27" t="str">
        <f t="shared" si="66"/>
        <v>0</v>
      </c>
      <c r="N98" s="121"/>
      <c r="O98" s="121"/>
      <c r="P98" s="27" t="str">
        <f t="shared" si="114"/>
        <v>0</v>
      </c>
      <c r="Q98" s="27" t="str">
        <f t="shared" si="115"/>
        <v>0</v>
      </c>
      <c r="R98" s="27" t="str">
        <f t="shared" si="116"/>
        <v>0</v>
      </c>
      <c r="S98" s="27" t="str">
        <f t="shared" si="117"/>
        <v>0</v>
      </c>
      <c r="T98" s="27" t="str">
        <f t="shared" si="118"/>
        <v>0</v>
      </c>
      <c r="U98" s="27" t="str">
        <f t="shared" si="119"/>
        <v>0</v>
      </c>
      <c r="V98" s="27" t="str">
        <f t="shared" si="120"/>
        <v>1</v>
      </c>
      <c r="W98" s="27"/>
      <c r="X98" s="27" t="str">
        <f t="shared" si="121"/>
        <v/>
      </c>
      <c r="Y98" s="27" t="str">
        <f t="shared" si="122"/>
        <v/>
      </c>
      <c r="Z98" s="27" t="str">
        <f t="shared" si="123"/>
        <v/>
      </c>
      <c r="AA98" s="121"/>
      <c r="AB98" s="121"/>
      <c r="AC98" s="121"/>
      <c r="AD98" s="121"/>
      <c r="AE98" s="121" t="s">
        <v>51</v>
      </c>
      <c r="AF98" s="121"/>
      <c r="AG98" s="121"/>
      <c r="AH98" s="28" t="s">
        <v>164</v>
      </c>
      <c r="AI98" s="28" t="s">
        <v>113</v>
      </c>
      <c r="AJ98" s="28">
        <v>20108</v>
      </c>
      <c r="AK98" s="28" t="str">
        <f t="shared" si="58"/>
        <v/>
      </c>
      <c r="AL98" s="123" t="str">
        <f t="shared" si="124"/>
        <v/>
      </c>
      <c r="AM98" s="28"/>
      <c r="AN98" s="28" t="s">
        <v>3245</v>
      </c>
      <c r="AO98" s="28" t="s">
        <v>3245</v>
      </c>
      <c r="AP98" s="28" t="s">
        <v>3245</v>
      </c>
      <c r="AQ98" s="28" t="s">
        <v>3245</v>
      </c>
      <c r="AR98" s="28" t="s">
        <v>3245</v>
      </c>
      <c r="AS98" s="28" t="s">
        <v>3245</v>
      </c>
      <c r="AT98" s="28" t="s">
        <v>3245</v>
      </c>
      <c r="AU98" s="28" t="s">
        <v>3245</v>
      </c>
      <c r="AV98" s="28" t="s">
        <v>3245</v>
      </c>
      <c r="AW98" s="28" t="s">
        <v>3245</v>
      </c>
      <c r="AX98" s="28" t="s">
        <v>3245</v>
      </c>
      <c r="AY98" s="124"/>
      <c r="AZ98" s="138" t="str">
        <f>IF(C98="","","delete from module_mst where pjt_id = '"&amp;C98&amp;"' and menu_id = '"&amp;E98&amp;"';")</f>
        <v/>
      </c>
      <c r="BA98" s="31" t="str">
        <f>IF(C98&lt;&gt;"",CREATE_QUERY($D$1,C$2:AY$2,C98:AY98),"")</f>
        <v/>
      </c>
    </row>
    <row r="99" spans="1:53">
      <c r="A99" s="1">
        <v>99</v>
      </c>
      <c r="B99" s="164" t="str">
        <f t="shared" si="62"/>
        <v/>
      </c>
      <c r="C99" s="27" t="str">
        <f t="shared" si="59"/>
        <v/>
      </c>
      <c r="D99" s="121"/>
      <c r="E99" s="27">
        <v>250006</v>
      </c>
      <c r="F99" s="121"/>
      <c r="G99" s="121" t="s">
        <v>900</v>
      </c>
      <c r="H99" s="121"/>
      <c r="I99" s="121"/>
      <c r="J99" s="121"/>
      <c r="K99" s="27" t="str">
        <f t="shared" si="65"/>
        <v/>
      </c>
      <c r="L99" s="27" t="str">
        <f t="shared" si="60"/>
        <v/>
      </c>
      <c r="M99" s="27" t="str">
        <f t="shared" si="66"/>
        <v>0</v>
      </c>
      <c r="N99" s="121"/>
      <c r="O99" s="121"/>
      <c r="P99" s="27" t="str">
        <f t="shared" si="114"/>
        <v>0</v>
      </c>
      <c r="Q99" s="27" t="str">
        <f t="shared" si="115"/>
        <v>0</v>
      </c>
      <c r="R99" s="27" t="str">
        <f t="shared" si="116"/>
        <v>0</v>
      </c>
      <c r="S99" s="27" t="str">
        <f t="shared" si="117"/>
        <v>0</v>
      </c>
      <c r="T99" s="27" t="str">
        <f t="shared" si="118"/>
        <v>0</v>
      </c>
      <c r="U99" s="27" t="str">
        <f t="shared" si="119"/>
        <v>0</v>
      </c>
      <c r="V99" s="27" t="str">
        <f t="shared" si="120"/>
        <v>1</v>
      </c>
      <c r="W99" s="27"/>
      <c r="X99" s="27" t="str">
        <f t="shared" si="121"/>
        <v/>
      </c>
      <c r="Y99" s="27" t="str">
        <f t="shared" si="122"/>
        <v/>
      </c>
      <c r="Z99" s="27" t="str">
        <f t="shared" si="123"/>
        <v/>
      </c>
      <c r="AA99" s="121"/>
      <c r="AB99" s="121"/>
      <c r="AC99" s="121"/>
      <c r="AD99" s="121"/>
      <c r="AE99" s="121" t="s">
        <v>51</v>
      </c>
      <c r="AF99" s="121"/>
      <c r="AG99" s="121"/>
      <c r="AH99" s="28" t="s">
        <v>164</v>
      </c>
      <c r="AI99" s="28" t="s">
        <v>113</v>
      </c>
      <c r="AJ99" s="28">
        <v>20110</v>
      </c>
      <c r="AK99" s="28" t="str">
        <f t="shared" si="58"/>
        <v/>
      </c>
      <c r="AL99" s="123" t="str">
        <f t="shared" si="124"/>
        <v/>
      </c>
      <c r="AM99" s="28"/>
      <c r="AN99" s="28" t="s">
        <v>3245</v>
      </c>
      <c r="AO99" s="28" t="s">
        <v>3245</v>
      </c>
      <c r="AP99" s="28" t="s">
        <v>3245</v>
      </c>
      <c r="AQ99" s="28" t="s">
        <v>3245</v>
      </c>
      <c r="AR99" s="28" t="s">
        <v>3245</v>
      </c>
      <c r="AS99" s="28" t="s">
        <v>3245</v>
      </c>
      <c r="AT99" s="28" t="s">
        <v>3245</v>
      </c>
      <c r="AU99" s="28" t="s">
        <v>3245</v>
      </c>
      <c r="AV99" s="28" t="s">
        <v>3245</v>
      </c>
      <c r="AW99" s="28" t="s">
        <v>3245</v>
      </c>
      <c r="AX99" s="28" t="s">
        <v>3245</v>
      </c>
      <c r="AY99" s="124"/>
      <c r="AZ99" s="138" t="str">
        <f>IF(C99="","","delete from module_mst where pjt_id = '"&amp;C99&amp;"' and menu_id = '"&amp;E99&amp;"';")</f>
        <v/>
      </c>
      <c r="BA99" s="31" t="str">
        <f>IF(C99&lt;&gt;"",CREATE_QUERY($D$1,C$2:AY$2,C99:AY99),"")</f>
        <v/>
      </c>
    </row>
    <row r="100" spans="1:53">
      <c r="A100" s="1">
        <v>100</v>
      </c>
      <c r="B100" s="164" t="str">
        <f t="shared" si="62"/>
        <v/>
      </c>
      <c r="C100" s="27" t="str">
        <f t="shared" si="59"/>
        <v/>
      </c>
      <c r="D100" s="121"/>
      <c r="E100" s="27">
        <v>250007</v>
      </c>
      <c r="F100" s="121"/>
      <c r="G100" s="121" t="s">
        <v>900</v>
      </c>
      <c r="H100" s="121"/>
      <c r="I100" s="121"/>
      <c r="J100" s="121"/>
      <c r="K100" s="27" t="str">
        <f t="shared" si="65"/>
        <v/>
      </c>
      <c r="L100" s="27" t="str">
        <f t="shared" si="60"/>
        <v/>
      </c>
      <c r="M100" s="27" t="str">
        <f t="shared" si="66"/>
        <v>0</v>
      </c>
      <c r="N100" s="121"/>
      <c r="O100" s="121"/>
      <c r="P100" s="27" t="str">
        <f t="shared" ref="P100:P101" si="125">IF(O100="","0","1")</f>
        <v>0</v>
      </c>
      <c r="Q100" s="27" t="str">
        <f t="shared" ref="Q100:Q101" si="126">IF(O100="","0","1")</f>
        <v>0</v>
      </c>
      <c r="R100" s="27" t="str">
        <f t="shared" ref="R100:R101" si="127">IF(O100="","0","1")</f>
        <v>0</v>
      </c>
      <c r="S100" s="27" t="str">
        <f t="shared" ref="S100:S101" si="128">IF(O100="","0","1")</f>
        <v>0</v>
      </c>
      <c r="T100" s="27" t="str">
        <f t="shared" ref="T100:T101" si="129">IF(O100="","0","1")</f>
        <v>0</v>
      </c>
      <c r="U100" s="27" t="str">
        <f t="shared" ref="U100:U101" si="130">IF(O100="","0","1")</f>
        <v>0</v>
      </c>
      <c r="V100" s="27" t="str">
        <f t="shared" ref="V100:V101" si="131">IF(O100="","1","1")</f>
        <v>1</v>
      </c>
      <c r="W100" s="27"/>
      <c r="X100" s="27" t="str">
        <f t="shared" ref="X100:X101" si="132">IF(O100="","","0")</f>
        <v/>
      </c>
      <c r="Y100" s="27" t="str">
        <f t="shared" ref="Y100:Y101" si="133">IF(O100="","","0")</f>
        <v/>
      </c>
      <c r="Z100" s="27" t="str">
        <f t="shared" ref="Z100:Z101" si="134">IF(O100="","","0")</f>
        <v/>
      </c>
      <c r="AA100" s="121"/>
      <c r="AB100" s="121"/>
      <c r="AC100" s="121"/>
      <c r="AD100" s="121"/>
      <c r="AE100" s="121" t="s">
        <v>51</v>
      </c>
      <c r="AF100" s="121"/>
      <c r="AG100" s="121"/>
      <c r="AH100" s="28" t="s">
        <v>164</v>
      </c>
      <c r="AI100" s="28" t="s">
        <v>113</v>
      </c>
      <c r="AJ100" s="28">
        <v>20112</v>
      </c>
      <c r="AK100" s="28" t="str">
        <f t="shared" si="58"/>
        <v/>
      </c>
      <c r="AL100" s="123" t="str">
        <f t="shared" ref="AL100:AL101" si="135">IF(C100="","",C100&amp;"/"&amp;F100&amp;"/"&amp;N100&amp;"/"&amp;O100)</f>
        <v/>
      </c>
      <c r="AM100" s="28"/>
      <c r="AN100" s="28" t="s">
        <v>3245</v>
      </c>
      <c r="AO100" s="28" t="s">
        <v>3245</v>
      </c>
      <c r="AP100" s="28" t="s">
        <v>3245</v>
      </c>
      <c r="AQ100" s="28" t="s">
        <v>3245</v>
      </c>
      <c r="AR100" s="28" t="s">
        <v>3245</v>
      </c>
      <c r="AS100" s="28" t="s">
        <v>3245</v>
      </c>
      <c r="AT100" s="28" t="s">
        <v>3245</v>
      </c>
      <c r="AU100" s="28" t="s">
        <v>3245</v>
      </c>
      <c r="AV100" s="28" t="s">
        <v>3245</v>
      </c>
      <c r="AW100" s="28" t="s">
        <v>3245</v>
      </c>
      <c r="AX100" s="28" t="s">
        <v>3245</v>
      </c>
      <c r="AY100" s="124"/>
      <c r="AZ100" s="138" t="str">
        <f>IF(C100="","","delete from module_mst where pjt_id = '"&amp;C100&amp;"' and menu_id = '"&amp;E100&amp;"';")</f>
        <v/>
      </c>
      <c r="BA100" s="31" t="str">
        <f>IF(C100&lt;&gt;"",CREATE_QUERY($D$1,C$2:AY$2,C100:AY100),"")</f>
        <v/>
      </c>
    </row>
    <row r="101" spans="1:53">
      <c r="A101" s="1">
        <v>101</v>
      </c>
      <c r="B101" s="164" t="str">
        <f t="shared" si="62"/>
        <v/>
      </c>
      <c r="C101" s="27" t="str">
        <f t="shared" si="59"/>
        <v/>
      </c>
      <c r="D101" s="121"/>
      <c r="E101" s="27">
        <v>250008</v>
      </c>
      <c r="F101" s="121"/>
      <c r="G101" s="121" t="s">
        <v>900</v>
      </c>
      <c r="H101" s="121"/>
      <c r="I101" s="121"/>
      <c r="J101" s="121"/>
      <c r="K101" s="27" t="str">
        <f t="shared" si="65"/>
        <v/>
      </c>
      <c r="L101" s="27" t="str">
        <f t="shared" si="60"/>
        <v/>
      </c>
      <c r="M101" s="27" t="str">
        <f t="shared" si="66"/>
        <v>0</v>
      </c>
      <c r="N101" s="121"/>
      <c r="O101" s="121"/>
      <c r="P101" s="27" t="str">
        <f t="shared" si="125"/>
        <v>0</v>
      </c>
      <c r="Q101" s="27" t="str">
        <f t="shared" si="126"/>
        <v>0</v>
      </c>
      <c r="R101" s="27" t="str">
        <f t="shared" si="127"/>
        <v>0</v>
      </c>
      <c r="S101" s="27" t="str">
        <f t="shared" si="128"/>
        <v>0</v>
      </c>
      <c r="T101" s="27" t="str">
        <f t="shared" si="129"/>
        <v>0</v>
      </c>
      <c r="U101" s="27" t="str">
        <f t="shared" si="130"/>
        <v>0</v>
      </c>
      <c r="V101" s="27" t="str">
        <f t="shared" si="131"/>
        <v>1</v>
      </c>
      <c r="W101" s="27"/>
      <c r="X101" s="27" t="str">
        <f t="shared" si="132"/>
        <v/>
      </c>
      <c r="Y101" s="27" t="str">
        <f t="shared" si="133"/>
        <v/>
      </c>
      <c r="Z101" s="27" t="str">
        <f t="shared" si="134"/>
        <v/>
      </c>
      <c r="AA101" s="121"/>
      <c r="AB101" s="121"/>
      <c r="AC101" s="121"/>
      <c r="AD101" s="121"/>
      <c r="AE101" s="121" t="s">
        <v>51</v>
      </c>
      <c r="AF101" s="121"/>
      <c r="AG101" s="121"/>
      <c r="AH101" s="28" t="s">
        <v>164</v>
      </c>
      <c r="AI101" s="28" t="s">
        <v>113</v>
      </c>
      <c r="AJ101" s="28">
        <v>20114</v>
      </c>
      <c r="AK101" s="28" t="str">
        <f t="shared" si="58"/>
        <v/>
      </c>
      <c r="AL101" s="123" t="str">
        <f t="shared" si="135"/>
        <v/>
      </c>
      <c r="AM101" s="28"/>
      <c r="AN101" s="28" t="s">
        <v>3245</v>
      </c>
      <c r="AO101" s="28" t="s">
        <v>3245</v>
      </c>
      <c r="AP101" s="28" t="s">
        <v>3245</v>
      </c>
      <c r="AQ101" s="28" t="s">
        <v>3245</v>
      </c>
      <c r="AR101" s="28" t="s">
        <v>3245</v>
      </c>
      <c r="AS101" s="28" t="s">
        <v>3245</v>
      </c>
      <c r="AT101" s="28" t="s">
        <v>3245</v>
      </c>
      <c r="AU101" s="28" t="s">
        <v>3245</v>
      </c>
      <c r="AV101" s="28" t="s">
        <v>3245</v>
      </c>
      <c r="AW101" s="28" t="s">
        <v>3245</v>
      </c>
      <c r="AX101" s="28" t="s">
        <v>3245</v>
      </c>
      <c r="AY101" s="124"/>
      <c r="AZ101" s="138" t="str">
        <f>IF(C101="","","delete from module_mst where pjt_id = '"&amp;C101&amp;"' and menu_id = '"&amp;E101&amp;"';")</f>
        <v/>
      </c>
      <c r="BA101" s="31" t="str">
        <f>IF(C101&lt;&gt;"",CREATE_QUERY($D$1,C$2:AY$2,C101:AY101),"")</f>
        <v/>
      </c>
    </row>
    <row r="102" spans="1:53">
      <c r="A102" s="1">
        <v>102</v>
      </c>
      <c r="B102" s="164" t="str">
        <f t="shared" si="62"/>
        <v/>
      </c>
      <c r="C102" s="27" t="str">
        <f t="shared" si="59"/>
        <v/>
      </c>
      <c r="D102" s="121"/>
      <c r="E102" s="27"/>
      <c r="F102" s="121"/>
      <c r="G102" s="121" t="s">
        <v>900</v>
      </c>
      <c r="H102" s="121"/>
      <c r="I102" s="121"/>
      <c r="J102" s="121"/>
      <c r="K102" s="27" t="str">
        <f t="shared" si="65"/>
        <v/>
      </c>
      <c r="L102" s="27" t="str">
        <f t="shared" si="60"/>
        <v/>
      </c>
      <c r="M102" s="27" t="str">
        <f t="shared" si="66"/>
        <v>0</v>
      </c>
      <c r="N102" s="121"/>
      <c r="O102" s="121"/>
      <c r="P102" s="27" t="str">
        <f t="shared" si="67"/>
        <v>0</v>
      </c>
      <c r="Q102" s="27" t="str">
        <f t="shared" si="68"/>
        <v>0</v>
      </c>
      <c r="R102" s="27" t="str">
        <f t="shared" si="69"/>
        <v>0</v>
      </c>
      <c r="S102" s="27" t="str">
        <f t="shared" si="70"/>
        <v>0</v>
      </c>
      <c r="T102" s="27" t="str">
        <f t="shared" si="71"/>
        <v>0</v>
      </c>
      <c r="U102" s="27" t="str">
        <f t="shared" si="72"/>
        <v>0</v>
      </c>
      <c r="V102" s="27" t="str">
        <f t="shared" si="73"/>
        <v>1</v>
      </c>
      <c r="W102" s="27"/>
      <c r="X102" s="27" t="str">
        <f t="shared" si="74"/>
        <v/>
      </c>
      <c r="Y102" s="27" t="str">
        <f t="shared" si="75"/>
        <v/>
      </c>
      <c r="Z102" s="27" t="str">
        <f t="shared" si="76"/>
        <v/>
      </c>
      <c r="AA102" s="121"/>
      <c r="AB102" s="121"/>
      <c r="AC102" s="121"/>
      <c r="AD102" s="121"/>
      <c r="AE102" s="121"/>
      <c r="AF102" s="121"/>
      <c r="AG102" s="121"/>
      <c r="AH102" s="27"/>
      <c r="AI102" s="27"/>
      <c r="AJ102" s="27" t="s">
        <v>900</v>
      </c>
      <c r="AK102" s="27" t="str">
        <f t="shared" si="58"/>
        <v/>
      </c>
      <c r="AL102" s="123" t="str">
        <f t="shared" si="1"/>
        <v/>
      </c>
      <c r="AM102" s="27"/>
      <c r="AN102" s="27"/>
      <c r="AO102" s="27"/>
      <c r="AP102" s="27"/>
      <c r="AQ102" s="27"/>
      <c r="AR102" s="27"/>
      <c r="AS102" s="27"/>
      <c r="AT102" s="27"/>
      <c r="AU102" s="27"/>
      <c r="AV102" s="27"/>
      <c r="AW102" s="27"/>
      <c r="AX102" s="27"/>
      <c r="AY102" s="124"/>
      <c r="AZ102" s="138" t="str">
        <f>IF(C102="","","delete from module_mst where pjt_id = '"&amp;C102&amp;"' and menu_id = '"&amp;E102&amp;"';")</f>
        <v/>
      </c>
      <c r="BA102" s="31" t="str">
        <f>IF(C102&lt;&gt;"",CREATE_QUERY($D$1,C$2:AY$2,C102:AY102),"")</f>
        <v/>
      </c>
    </row>
    <row r="103" spans="1:53">
      <c r="A103" s="1">
        <v>103</v>
      </c>
      <c r="B103" s="159" t="str">
        <f t="shared" si="62"/>
        <v xml:space="preserve">    └ 영업오더관리</v>
      </c>
      <c r="C103" s="27" t="str">
        <f t="shared" si="59"/>
        <v>14821</v>
      </c>
      <c r="D103" s="121"/>
      <c r="E103" s="21" t="s">
        <v>355</v>
      </c>
      <c r="F103" s="118" t="s">
        <v>125</v>
      </c>
      <c r="G103" s="118" t="s">
        <v>3110</v>
      </c>
      <c r="H103" s="118"/>
      <c r="I103" s="118"/>
      <c r="J103" s="118"/>
      <c r="K103" s="21" t="str">
        <f t="shared" si="65"/>
        <v/>
      </c>
      <c r="L103" s="21" t="str">
        <f t="shared" si="60"/>
        <v>1</v>
      </c>
      <c r="M103" s="21" t="str">
        <f t="shared" si="66"/>
        <v>0</v>
      </c>
      <c r="N103" s="118"/>
      <c r="O103" s="118"/>
      <c r="P103" s="21" t="str">
        <f t="shared" si="67"/>
        <v>0</v>
      </c>
      <c r="Q103" s="21" t="str">
        <f t="shared" si="68"/>
        <v>0</v>
      </c>
      <c r="R103" s="21" t="str">
        <f t="shared" si="69"/>
        <v>0</v>
      </c>
      <c r="S103" s="21" t="str">
        <f t="shared" si="70"/>
        <v>0</v>
      </c>
      <c r="T103" s="21" t="str">
        <f t="shared" si="71"/>
        <v>0</v>
      </c>
      <c r="U103" s="21" t="str">
        <f t="shared" si="72"/>
        <v>0</v>
      </c>
      <c r="V103" s="21" t="str">
        <f t="shared" si="73"/>
        <v>1</v>
      </c>
      <c r="W103" s="21"/>
      <c r="X103" s="21" t="str">
        <f t="shared" si="74"/>
        <v/>
      </c>
      <c r="Y103" s="21" t="str">
        <f t="shared" si="75"/>
        <v/>
      </c>
      <c r="Z103" s="21" t="str">
        <f t="shared" si="76"/>
        <v/>
      </c>
      <c r="AA103" s="118"/>
      <c r="AB103" s="118"/>
      <c r="AC103" s="118"/>
      <c r="AD103" s="118"/>
      <c r="AE103" s="118" t="s">
        <v>51</v>
      </c>
      <c r="AF103" s="118"/>
      <c r="AG103" s="118"/>
      <c r="AH103" s="26" t="s">
        <v>163</v>
      </c>
      <c r="AI103" s="26" t="s">
        <v>112</v>
      </c>
      <c r="AJ103" s="26">
        <v>20200</v>
      </c>
      <c r="AK103" s="26" t="str">
        <f t="shared" ref="AK103:AK134" si="136">IF(B103="","","0")</f>
        <v>0</v>
      </c>
      <c r="AL103" s="123" t="str">
        <f t="shared" si="1"/>
        <v>14821/영업오더관리//</v>
      </c>
      <c r="AM103" s="26" t="s">
        <v>2979</v>
      </c>
      <c r="AN103" s="26" t="str">
        <f t="shared" ref="AN103:AX103" si="137">IF(COUNTIF(AN104:AN115,"="&amp;"Y")&gt;0,"Y",IF(COUNTIF(AN104:AN115,"="&amp;"-")&gt;0,"m",""))</f>
        <v>m</v>
      </c>
      <c r="AO103" s="26" t="str">
        <f t="shared" si="137"/>
        <v>Y</v>
      </c>
      <c r="AP103" s="26" t="str">
        <f t="shared" si="137"/>
        <v>m</v>
      </c>
      <c r="AQ103" s="26" t="str">
        <f t="shared" si="137"/>
        <v>m</v>
      </c>
      <c r="AR103" s="26" t="str">
        <f t="shared" si="137"/>
        <v>m</v>
      </c>
      <c r="AS103" s="26" t="str">
        <f t="shared" si="137"/>
        <v>Y</v>
      </c>
      <c r="AT103" s="26" t="str">
        <f t="shared" si="137"/>
        <v>Y</v>
      </c>
      <c r="AU103" s="26" t="str">
        <f t="shared" si="137"/>
        <v>m</v>
      </c>
      <c r="AV103" s="26" t="str">
        <f t="shared" si="137"/>
        <v>m</v>
      </c>
      <c r="AW103" s="26" t="str">
        <f t="shared" si="137"/>
        <v>Y</v>
      </c>
      <c r="AX103" s="26" t="str">
        <f t="shared" si="137"/>
        <v>Y</v>
      </c>
      <c r="AY103" s="124"/>
      <c r="AZ103" s="138" t="str">
        <f>IF(C103="","","delete from module_mst where pjt_id = '"&amp;C103&amp;"' and menu_id = '"&amp;E103&amp;"';")</f>
        <v>delete from module_mst where pjt_id = '14821' and menu_id = '252000';</v>
      </c>
      <c r="BA103" s="31" t="str">
        <f>IF(C103&lt;&gt;"",CREATE_QUERY($D$1,C$2:AY$2,C103:AY103),"")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'252000', '영업오더관리', 'Sales order management', '', '', '', '', '1', '0', '', '', '0', '0', '0', '0', '0', '0', '1', '', '', '', '', '', '', '', '', 'N', '', '', '250000', '4', '20200', '0', '14821/영업오더관리//', '메뉴', '');</v>
      </c>
    </row>
    <row r="104" spans="1:53">
      <c r="A104" s="1">
        <v>104</v>
      </c>
      <c r="B104" s="164" t="str">
        <f t="shared" si="62"/>
        <v xml:space="preserve">        └ (공통)견적서관리</v>
      </c>
      <c r="C104" s="27" t="str">
        <f t="shared" ref="C104:C139" si="138">IF(F104="","","14821")</f>
        <v>14821</v>
      </c>
      <c r="D104" s="121"/>
      <c r="E104" s="27">
        <v>252001</v>
      </c>
      <c r="F104" s="121" t="s">
        <v>126</v>
      </c>
      <c r="G104" s="121" t="s">
        <v>3221</v>
      </c>
      <c r="H104" s="121"/>
      <c r="I104" s="121"/>
      <c r="J104" s="121"/>
      <c r="K104" s="27" t="str">
        <f t="shared" si="65"/>
        <v>1</v>
      </c>
      <c r="L104" s="27" t="str">
        <f t="shared" ref="L104:L139" si="139">IF(F104="","","1")</f>
        <v>1</v>
      </c>
      <c r="M104" s="27" t="str">
        <f t="shared" si="66"/>
        <v>1</v>
      </c>
      <c r="N104" s="121" t="s">
        <v>303</v>
      </c>
      <c r="O104" s="121" t="s">
        <v>129</v>
      </c>
      <c r="P104" s="27" t="str">
        <f t="shared" si="67"/>
        <v>1</v>
      </c>
      <c r="Q104" s="27" t="str">
        <f t="shared" si="68"/>
        <v>1</v>
      </c>
      <c r="R104" s="27" t="str">
        <f t="shared" si="69"/>
        <v>1</v>
      </c>
      <c r="S104" s="27" t="str">
        <f t="shared" si="70"/>
        <v>1</v>
      </c>
      <c r="T104" s="27" t="str">
        <f t="shared" si="71"/>
        <v>1</v>
      </c>
      <c r="U104" s="27" t="str">
        <f t="shared" si="72"/>
        <v>1</v>
      </c>
      <c r="V104" s="27" t="str">
        <f t="shared" si="73"/>
        <v>1</v>
      </c>
      <c r="W104" s="27"/>
      <c r="X104" s="27" t="str">
        <f t="shared" si="74"/>
        <v>0</v>
      </c>
      <c r="Y104" s="27" t="str">
        <f t="shared" si="75"/>
        <v>0</v>
      </c>
      <c r="Z104" s="27" t="str">
        <f t="shared" si="76"/>
        <v>0</v>
      </c>
      <c r="AA104" s="121"/>
      <c r="AB104" s="121"/>
      <c r="AC104" s="121"/>
      <c r="AD104" s="121"/>
      <c r="AE104" s="121" t="s">
        <v>51</v>
      </c>
      <c r="AF104" s="121"/>
      <c r="AG104" s="121"/>
      <c r="AH104" s="28" t="s">
        <v>167</v>
      </c>
      <c r="AI104" s="28" t="s">
        <v>113</v>
      </c>
      <c r="AJ104" s="27">
        <v>20201</v>
      </c>
      <c r="AK104" s="27" t="str">
        <f t="shared" si="136"/>
        <v>0</v>
      </c>
      <c r="AL104" s="123" t="str">
        <f t="shared" si="1"/>
        <v>14821/견적서관리/sale.order/EstiMast</v>
      </c>
      <c r="AM104" s="27" t="s">
        <v>2981</v>
      </c>
      <c r="AN104" s="27"/>
      <c r="AO104" s="27"/>
      <c r="AP104" s="27"/>
      <c r="AQ104" s="27"/>
      <c r="AR104" s="27"/>
      <c r="AS104" s="27"/>
      <c r="AT104" s="27" t="s">
        <v>1829</v>
      </c>
      <c r="AU104" s="27"/>
      <c r="AV104" s="27"/>
      <c r="AW104" s="27"/>
      <c r="AX104" s="27"/>
      <c r="AY104" s="124"/>
      <c r="AZ104" s="138" t="str">
        <f>IF(C104="","","delete from module_mst where pjt_id = '"&amp;C104&amp;"' and menu_id = '"&amp;E104&amp;"';")</f>
        <v>delete from module_mst where pjt_id = '14821' and menu_id = '252001';</v>
      </c>
      <c r="BA104" s="31" t="str">
        <f>IF(C104&lt;&gt;"",CREATE_QUERY($D$1,C$2:AY$2,C104:AY104),"")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'252001', '견적서관리', 'Quotation Management', '', '', '', '1', '1', '1', 'sale.order', 'EstiMast', '1', '1', '1', '1', '1', '1', '1', '', '0', '0', '0', '', '', '', '', 'N', '', '', '252000', '5', '20201', '0', '14821/견적서관리/sale.order/EstiMast', '공통', '');</v>
      </c>
    </row>
    <row r="105" spans="1:53">
      <c r="A105" s="1">
        <v>105</v>
      </c>
      <c r="B105" s="164" t="str">
        <f t="shared" si="62"/>
        <v xml:space="preserve">        └ (공통)주문오더관리</v>
      </c>
      <c r="C105" s="27" t="str">
        <f t="shared" si="138"/>
        <v>14821</v>
      </c>
      <c r="D105" s="121"/>
      <c r="E105" s="27">
        <v>252006</v>
      </c>
      <c r="F105" s="121" t="s">
        <v>1889</v>
      </c>
      <c r="G105" s="121" t="s">
        <v>3112</v>
      </c>
      <c r="H105" s="121"/>
      <c r="I105" s="121"/>
      <c r="J105" s="121"/>
      <c r="K105" s="27" t="str">
        <f t="shared" si="65"/>
        <v>1</v>
      </c>
      <c r="L105" s="27" t="str">
        <f t="shared" si="139"/>
        <v>1</v>
      </c>
      <c r="M105" s="27" t="str">
        <f t="shared" si="66"/>
        <v>1</v>
      </c>
      <c r="N105" s="121" t="s">
        <v>303</v>
      </c>
      <c r="O105" s="121" t="s">
        <v>131</v>
      </c>
      <c r="P105" s="27" t="str">
        <f t="shared" si="67"/>
        <v>1</v>
      </c>
      <c r="Q105" s="27" t="str">
        <f t="shared" si="68"/>
        <v>1</v>
      </c>
      <c r="R105" s="27" t="str">
        <f t="shared" si="69"/>
        <v>1</v>
      </c>
      <c r="S105" s="27" t="str">
        <f t="shared" si="70"/>
        <v>1</v>
      </c>
      <c r="T105" s="27" t="str">
        <f t="shared" si="71"/>
        <v>1</v>
      </c>
      <c r="U105" s="27" t="str">
        <f t="shared" si="72"/>
        <v>1</v>
      </c>
      <c r="V105" s="27" t="str">
        <f t="shared" si="73"/>
        <v>1</v>
      </c>
      <c r="W105" s="27"/>
      <c r="X105" s="27" t="str">
        <f t="shared" si="74"/>
        <v>0</v>
      </c>
      <c r="Y105" s="27" t="str">
        <f t="shared" si="75"/>
        <v>0</v>
      </c>
      <c r="Z105" s="27" t="str">
        <f t="shared" si="76"/>
        <v>0</v>
      </c>
      <c r="AA105" s="121"/>
      <c r="AB105" s="121"/>
      <c r="AC105" s="121"/>
      <c r="AD105" s="121"/>
      <c r="AE105" s="121" t="s">
        <v>51</v>
      </c>
      <c r="AF105" s="121"/>
      <c r="AG105" s="121"/>
      <c r="AH105" s="28" t="s">
        <v>167</v>
      </c>
      <c r="AI105" s="28" t="s">
        <v>113</v>
      </c>
      <c r="AJ105" s="27">
        <v>20204</v>
      </c>
      <c r="AK105" s="27" t="str">
        <f t="shared" si="136"/>
        <v>0</v>
      </c>
      <c r="AL105" s="123" t="str">
        <f t="shared" ref="AL105:AL334" si="140">IF(C105="","",C105&amp;"/"&amp;F105&amp;"/"&amp;N105&amp;"/"&amp;O105)</f>
        <v>14821/주문오더관리/sale.order/SaleOrder</v>
      </c>
      <c r="AM105" s="27" t="s">
        <v>2981</v>
      </c>
      <c r="AN105" s="27"/>
      <c r="AO105" s="27"/>
      <c r="AP105" s="27"/>
      <c r="AQ105" s="27"/>
      <c r="AR105" s="27"/>
      <c r="AS105" s="27"/>
      <c r="AT105" s="27"/>
      <c r="AU105" s="27"/>
      <c r="AV105" s="27"/>
      <c r="AW105" s="27"/>
      <c r="AX105" s="27"/>
      <c r="AY105" s="124"/>
      <c r="AZ105" s="138" t="str">
        <f>IF(C105="","","delete from module_mst where pjt_id = '"&amp;C105&amp;"' and menu_id = '"&amp;E105&amp;"';")</f>
        <v>delete from module_mst where pjt_id = '14821' and menu_id = '252006';</v>
      </c>
      <c r="BA105" s="31" t="str">
        <f>IF(C105&lt;&gt;"",CREATE_QUERY($D$1,C$2:AY$2,C105:AY105),"")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'252006', '주문오더관리', 'Order management', '', '', '', '1', '1', '1', 'sale.order', 'SaleOrder', '1', '1', '1', '1', '1', '1', '1', '', '0', '0', '0', '', '', '', '', 'N', '', '', '252000', '5', '20204', '0', '14821/주문오더관리/sale.order/SaleOrder', '공통', '');</v>
      </c>
    </row>
    <row r="106" spans="1:53">
      <c r="A106" s="1">
        <v>106</v>
      </c>
      <c r="B106" s="164" t="str">
        <f t="shared" si="62"/>
        <v xml:space="preserve">        └ (공통)주문잔량현황</v>
      </c>
      <c r="C106" s="27" t="str">
        <f t="shared" si="138"/>
        <v>14821</v>
      </c>
      <c r="D106" s="121"/>
      <c r="E106" s="27">
        <v>252008</v>
      </c>
      <c r="F106" s="121" t="s">
        <v>134</v>
      </c>
      <c r="G106" s="121" t="s">
        <v>3113</v>
      </c>
      <c r="H106" s="121"/>
      <c r="I106" s="121"/>
      <c r="J106" s="121"/>
      <c r="K106" s="27" t="str">
        <f t="shared" si="65"/>
        <v>1</v>
      </c>
      <c r="L106" s="27" t="str">
        <f t="shared" si="139"/>
        <v>1</v>
      </c>
      <c r="M106" s="27" t="str">
        <f t="shared" si="66"/>
        <v>1</v>
      </c>
      <c r="N106" s="121" t="s">
        <v>303</v>
      </c>
      <c r="O106" s="121" t="s">
        <v>141</v>
      </c>
      <c r="P106" s="27" t="str">
        <f t="shared" si="67"/>
        <v>1</v>
      </c>
      <c r="Q106" s="27" t="str">
        <f t="shared" si="68"/>
        <v>1</v>
      </c>
      <c r="R106" s="27" t="str">
        <f t="shared" si="69"/>
        <v>1</v>
      </c>
      <c r="S106" s="27" t="str">
        <f t="shared" si="70"/>
        <v>1</v>
      </c>
      <c r="T106" s="27" t="str">
        <f t="shared" si="71"/>
        <v>1</v>
      </c>
      <c r="U106" s="27" t="str">
        <f t="shared" si="72"/>
        <v>1</v>
      </c>
      <c r="V106" s="27" t="str">
        <f t="shared" si="73"/>
        <v>1</v>
      </c>
      <c r="W106" s="27"/>
      <c r="X106" s="27" t="str">
        <f t="shared" si="74"/>
        <v>0</v>
      </c>
      <c r="Y106" s="27" t="str">
        <f t="shared" si="75"/>
        <v>0</v>
      </c>
      <c r="Z106" s="27" t="str">
        <f t="shared" si="76"/>
        <v>0</v>
      </c>
      <c r="AA106" s="121"/>
      <c r="AB106" s="121"/>
      <c r="AC106" s="121"/>
      <c r="AD106" s="121"/>
      <c r="AE106" s="121" t="s">
        <v>51</v>
      </c>
      <c r="AF106" s="121"/>
      <c r="AG106" s="121"/>
      <c r="AH106" s="28" t="s">
        <v>167</v>
      </c>
      <c r="AI106" s="28" t="s">
        <v>113</v>
      </c>
      <c r="AJ106" s="27">
        <v>20206</v>
      </c>
      <c r="AK106" s="27" t="str">
        <f t="shared" si="136"/>
        <v>0</v>
      </c>
      <c r="AL106" s="123" t="str">
        <f t="shared" si="140"/>
        <v>14821/주문잔량현황/sale.order/SlorList1</v>
      </c>
      <c r="AM106" s="27" t="s">
        <v>2981</v>
      </c>
      <c r="AN106" s="27"/>
      <c r="AO106" s="27"/>
      <c r="AP106" s="27"/>
      <c r="AQ106" s="27"/>
      <c r="AR106" s="27"/>
      <c r="AS106" s="27"/>
      <c r="AT106" s="27" t="s">
        <v>1829</v>
      </c>
      <c r="AU106" s="27"/>
      <c r="AV106" s="27"/>
      <c r="AW106" s="27"/>
      <c r="AX106" s="27"/>
      <c r="AY106" s="124"/>
      <c r="AZ106" s="138" t="str">
        <f>IF(C106="","","delete from module_mst where pjt_id = '"&amp;C106&amp;"' and menu_id = '"&amp;E106&amp;"';")</f>
        <v>delete from module_mst where pjt_id = '14821' and menu_id = '252008';</v>
      </c>
      <c r="BA106" s="31" t="str">
        <f>IF(C106&lt;&gt;"",CREATE_QUERY($D$1,C$2:AY$2,C106:AY106),"")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'252008', '주문잔량현황', 'Order balance status', '', '', '', '1', '1', '1', 'sale.order', 'SlorList1', '1', '1', '1', '1', '1', '1', '1', '', '0', '0', '0', '', '', '', '', 'N', '', '', '252000', '5', '20206', '0', '14821/주문잔량현황/sale.order/SlorList1', '공통', '');</v>
      </c>
    </row>
    <row r="107" spans="1:53">
      <c r="A107" s="1">
        <v>107</v>
      </c>
      <c r="B107" s="164" t="str">
        <f t="shared" si="62"/>
        <v xml:space="preserve">        └ (공통)주문현황</v>
      </c>
      <c r="C107" s="27" t="str">
        <f t="shared" si="138"/>
        <v>14821</v>
      </c>
      <c r="D107" s="121"/>
      <c r="E107" s="27">
        <v>252012</v>
      </c>
      <c r="F107" s="121" t="s">
        <v>1954</v>
      </c>
      <c r="G107" s="121" t="s">
        <v>3116</v>
      </c>
      <c r="H107" s="121"/>
      <c r="I107" s="121"/>
      <c r="J107" s="121"/>
      <c r="K107" s="27" t="str">
        <f t="shared" si="65"/>
        <v>1</v>
      </c>
      <c r="L107" s="27" t="str">
        <f t="shared" si="139"/>
        <v>1</v>
      </c>
      <c r="M107" s="27" t="str">
        <f t="shared" si="66"/>
        <v>1</v>
      </c>
      <c r="N107" s="121" t="s">
        <v>303</v>
      </c>
      <c r="O107" s="121" t="s">
        <v>1903</v>
      </c>
      <c r="P107" s="27" t="str">
        <f t="shared" si="67"/>
        <v>1</v>
      </c>
      <c r="Q107" s="27" t="str">
        <f t="shared" si="68"/>
        <v>1</v>
      </c>
      <c r="R107" s="27" t="str">
        <f t="shared" si="69"/>
        <v>1</v>
      </c>
      <c r="S107" s="27" t="str">
        <f t="shared" si="70"/>
        <v>1</v>
      </c>
      <c r="T107" s="27" t="str">
        <f t="shared" si="71"/>
        <v>1</v>
      </c>
      <c r="U107" s="27" t="str">
        <f t="shared" si="72"/>
        <v>1</v>
      </c>
      <c r="V107" s="27" t="str">
        <f t="shared" si="73"/>
        <v>1</v>
      </c>
      <c r="W107" s="27"/>
      <c r="X107" s="27" t="str">
        <f t="shared" si="74"/>
        <v>0</v>
      </c>
      <c r="Y107" s="27" t="str">
        <f t="shared" si="75"/>
        <v>0</v>
      </c>
      <c r="Z107" s="27" t="str">
        <f t="shared" si="76"/>
        <v>0</v>
      </c>
      <c r="AA107" s="121"/>
      <c r="AB107" s="121"/>
      <c r="AC107" s="121"/>
      <c r="AD107" s="121"/>
      <c r="AE107" s="121" t="s">
        <v>51</v>
      </c>
      <c r="AF107" s="121"/>
      <c r="AG107" s="121"/>
      <c r="AH107" s="28" t="s">
        <v>167</v>
      </c>
      <c r="AI107" s="28" t="s">
        <v>113</v>
      </c>
      <c r="AJ107" s="27">
        <v>20208</v>
      </c>
      <c r="AK107" s="27" t="str">
        <f t="shared" si="136"/>
        <v>0</v>
      </c>
      <c r="AL107" s="123" t="str">
        <f t="shared" si="140"/>
        <v>14821/주문현황/sale.order/SlorList2</v>
      </c>
      <c r="AM107" s="27" t="s">
        <v>2981</v>
      </c>
      <c r="AN107" s="27"/>
      <c r="AO107" s="27"/>
      <c r="AP107" s="27"/>
      <c r="AQ107" s="27"/>
      <c r="AR107" s="27"/>
      <c r="AS107" s="27"/>
      <c r="AT107" s="27" t="s">
        <v>1829</v>
      </c>
      <c r="AU107" s="27"/>
      <c r="AV107" s="27"/>
      <c r="AW107" s="27"/>
      <c r="AX107" s="27"/>
      <c r="AY107" s="124"/>
      <c r="AZ107" s="138" t="str">
        <f>IF(C107="","","delete from module_mst where pjt_id = '"&amp;C107&amp;"' and menu_id = '"&amp;E107&amp;"';")</f>
        <v>delete from module_mst where pjt_id = '14821' and menu_id = '252012';</v>
      </c>
      <c r="BA107" s="31" t="str">
        <f>IF(C107&lt;&gt;"",CREATE_QUERY($D$1,C$2:AY$2,C107:AY107),"")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'252012', '주문현황', 'Order Status', '', '', '', '1', '1', '1', 'sale.order', 'SlorList2', '1', '1', '1', '1', '1', '1', '1', '', '0', '0', '0', '', '', '', '', 'N', '', '', '252000', '5', '20208', '0', '14821/주문현황/sale.order/SlorList2', '공통', '');</v>
      </c>
    </row>
    <row r="108" spans="1:53">
      <c r="A108" s="1">
        <v>108</v>
      </c>
      <c r="B108" s="164" t="str">
        <f t="shared" si="62"/>
        <v xml:space="preserve">        └ (공통)납기 준수율</v>
      </c>
      <c r="C108" s="27" t="str">
        <f t="shared" si="138"/>
        <v>14821</v>
      </c>
      <c r="D108" s="121"/>
      <c r="E108" s="27">
        <v>252013</v>
      </c>
      <c r="F108" s="121" t="s">
        <v>1909</v>
      </c>
      <c r="G108" s="121" t="s">
        <v>3117</v>
      </c>
      <c r="H108" s="121"/>
      <c r="I108" s="121"/>
      <c r="J108" s="121"/>
      <c r="K108" s="27" t="str">
        <f t="shared" si="65"/>
        <v>1</v>
      </c>
      <c r="L108" s="27" t="str">
        <f t="shared" si="139"/>
        <v>1</v>
      </c>
      <c r="M108" s="27" t="str">
        <f t="shared" si="66"/>
        <v>1</v>
      </c>
      <c r="N108" s="121" t="s">
        <v>303</v>
      </c>
      <c r="O108" s="121" t="s">
        <v>1910</v>
      </c>
      <c r="P108" s="27" t="str">
        <f t="shared" si="67"/>
        <v>1</v>
      </c>
      <c r="Q108" s="27" t="str">
        <f t="shared" si="68"/>
        <v>1</v>
      </c>
      <c r="R108" s="27" t="str">
        <f t="shared" si="69"/>
        <v>1</v>
      </c>
      <c r="S108" s="27" t="str">
        <f t="shared" si="70"/>
        <v>1</v>
      </c>
      <c r="T108" s="27" t="str">
        <f t="shared" si="71"/>
        <v>1</v>
      </c>
      <c r="U108" s="27" t="str">
        <f t="shared" si="72"/>
        <v>1</v>
      </c>
      <c r="V108" s="27" t="str">
        <f t="shared" si="73"/>
        <v>1</v>
      </c>
      <c r="W108" s="27"/>
      <c r="X108" s="27" t="str">
        <f t="shared" si="74"/>
        <v>0</v>
      </c>
      <c r="Y108" s="27" t="str">
        <f t="shared" si="75"/>
        <v>0</v>
      </c>
      <c r="Z108" s="27" t="str">
        <f t="shared" si="76"/>
        <v>0</v>
      </c>
      <c r="AA108" s="121"/>
      <c r="AB108" s="121"/>
      <c r="AC108" s="121"/>
      <c r="AD108" s="121"/>
      <c r="AE108" s="121" t="s">
        <v>51</v>
      </c>
      <c r="AF108" s="121"/>
      <c r="AG108" s="121"/>
      <c r="AH108" s="28" t="s">
        <v>167</v>
      </c>
      <c r="AI108" s="28" t="s">
        <v>113</v>
      </c>
      <c r="AJ108" s="27">
        <v>20210</v>
      </c>
      <c r="AK108" s="27" t="str">
        <f t="shared" si="136"/>
        <v>0</v>
      </c>
      <c r="AL108" s="123" t="str">
        <f t="shared" si="140"/>
        <v>14821/납기 준수율/sale.order/SlorList5</v>
      </c>
      <c r="AM108" s="27" t="s">
        <v>2981</v>
      </c>
      <c r="AN108" s="27"/>
      <c r="AO108" s="27"/>
      <c r="AP108" s="27"/>
      <c r="AQ108" s="27"/>
      <c r="AR108" s="27"/>
      <c r="AS108" s="27"/>
      <c r="AT108" s="27" t="s">
        <v>1829</v>
      </c>
      <c r="AU108" s="27"/>
      <c r="AV108" s="27"/>
      <c r="AW108" s="27"/>
      <c r="AX108" s="27"/>
      <c r="AY108" s="124"/>
      <c r="AZ108" s="138" t="str">
        <f>IF(C108="","","delete from module_mst where pjt_id = '"&amp;C108&amp;"' and menu_id = '"&amp;E108&amp;"';")</f>
        <v>delete from module_mst where pjt_id = '14821' and menu_id = '252013';</v>
      </c>
      <c r="BA108" s="31" t="str">
        <f>IF(C108&lt;&gt;"",CREATE_QUERY($D$1,C$2:AY$2,C108:AY108),"")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'252013', '납기 준수율', 'Delivery compliance rate', '', '', '', '1', '1', '1', 'sale.order', 'SlorList5', '1', '1', '1', '1', '1', '1', '1', '', '0', '0', '0', '', '', '', '', 'N', '', '', '252000', '5', '20210', '0', '14821/납기 준수율/sale.order/SlorList5', '공통', '');</v>
      </c>
    </row>
    <row r="109" spans="1:53">
      <c r="A109" s="1">
        <v>109</v>
      </c>
      <c r="B109" s="164" t="str">
        <f t="shared" si="62"/>
        <v xml:space="preserve">        └ (공통)출하지시</v>
      </c>
      <c r="C109" s="27" t="str">
        <f t="shared" si="138"/>
        <v>14821</v>
      </c>
      <c r="D109" s="121"/>
      <c r="E109" s="27">
        <v>252009</v>
      </c>
      <c r="F109" s="121" t="s">
        <v>130</v>
      </c>
      <c r="G109" s="121" t="s">
        <v>3114</v>
      </c>
      <c r="H109" s="121"/>
      <c r="I109" s="121"/>
      <c r="J109" s="121"/>
      <c r="K109" s="27" t="str">
        <f t="shared" si="65"/>
        <v>1</v>
      </c>
      <c r="L109" s="27" t="str">
        <f t="shared" si="139"/>
        <v>1</v>
      </c>
      <c r="M109" s="27" t="str">
        <f t="shared" si="66"/>
        <v>1</v>
      </c>
      <c r="N109" s="121" t="s">
        <v>305</v>
      </c>
      <c r="O109" s="121" t="s">
        <v>133</v>
      </c>
      <c r="P109" s="27" t="str">
        <f t="shared" si="67"/>
        <v>1</v>
      </c>
      <c r="Q109" s="27" t="str">
        <f t="shared" si="68"/>
        <v>1</v>
      </c>
      <c r="R109" s="27" t="str">
        <f t="shared" si="69"/>
        <v>1</v>
      </c>
      <c r="S109" s="27" t="str">
        <f t="shared" si="70"/>
        <v>1</v>
      </c>
      <c r="T109" s="27" t="str">
        <f t="shared" si="71"/>
        <v>1</v>
      </c>
      <c r="U109" s="27" t="str">
        <f t="shared" si="72"/>
        <v>1</v>
      </c>
      <c r="V109" s="27" t="str">
        <f t="shared" si="73"/>
        <v>1</v>
      </c>
      <c r="W109" s="27"/>
      <c r="X109" s="27" t="str">
        <f t="shared" si="74"/>
        <v>0</v>
      </c>
      <c r="Y109" s="27" t="str">
        <f t="shared" si="75"/>
        <v>0</v>
      </c>
      <c r="Z109" s="27" t="str">
        <f t="shared" si="76"/>
        <v>0</v>
      </c>
      <c r="AA109" s="121"/>
      <c r="AB109" s="121"/>
      <c r="AC109" s="121"/>
      <c r="AD109" s="121"/>
      <c r="AE109" s="121" t="s">
        <v>51</v>
      </c>
      <c r="AF109" s="121"/>
      <c r="AG109" s="121"/>
      <c r="AH109" s="28" t="s">
        <v>167</v>
      </c>
      <c r="AI109" s="28" t="s">
        <v>113</v>
      </c>
      <c r="AJ109" s="27">
        <v>20212</v>
      </c>
      <c r="AK109" s="27" t="str">
        <f t="shared" si="136"/>
        <v>0</v>
      </c>
      <c r="AL109" s="123" t="str">
        <f t="shared" si="140"/>
        <v>14821/출하지시/sale.spts/SptsMast</v>
      </c>
      <c r="AM109" s="27" t="s">
        <v>2981</v>
      </c>
      <c r="AN109" s="27"/>
      <c r="AO109" s="27"/>
      <c r="AP109" s="27"/>
      <c r="AQ109" s="27"/>
      <c r="AR109" s="27"/>
      <c r="AS109" s="27" t="s">
        <v>1829</v>
      </c>
      <c r="AT109" s="27" t="s">
        <v>1829</v>
      </c>
      <c r="AU109" s="27"/>
      <c r="AV109" s="27"/>
      <c r="AW109" s="27"/>
      <c r="AX109" s="27"/>
      <c r="AY109" s="124"/>
      <c r="AZ109" s="138" t="str">
        <f>IF(C109="","","delete from module_mst where pjt_id = '"&amp;C109&amp;"' and menu_id = '"&amp;E109&amp;"';")</f>
        <v>delete from module_mst where pjt_id = '14821' and menu_id = '252009';</v>
      </c>
      <c r="BA109" s="31" t="str">
        <f>IF(C109&lt;&gt;"",CREATE_QUERY($D$1,C$2:AY$2,C109:AY109),"")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'252009', '출하지시', 'Shipping order', '', '', '', '1', '1', '1', 'sale.spts', 'SptsMast', '1', '1', '1', '1', '1', '1', '1', '', '0', '0', '0', '', '', '', '', 'N', '', '', '252000', '5', '20212', '0', '14821/출하지시/sale.spts/SptsMast', '공통', '');</v>
      </c>
    </row>
    <row r="110" spans="1:53">
      <c r="A110" s="1">
        <v>110</v>
      </c>
      <c r="B110" s="164" t="str">
        <f t="shared" ref="B110:B161" si="141">IF(F110="","",IF(AI110="1","",IF(AI110="2","└ ",IF(AI110="3","  └ ",IF(AI110="4","    └ ",IF(AI110="5","        └ ",IF(AI110="6","         └ ",IF(AI110="7"="            └ ",""))))))))&amp;IF(AM110="","",IF(AM110="메뉴","","("&amp;AM110&amp;")"))&amp;F110</f>
        <v xml:space="preserve">        └ (선택)진행관리</v>
      </c>
      <c r="C110" s="27" t="str">
        <f t="shared" si="138"/>
        <v>14821</v>
      </c>
      <c r="D110" s="121"/>
      <c r="E110" s="27">
        <v>252005</v>
      </c>
      <c r="F110" s="121" t="s">
        <v>2058</v>
      </c>
      <c r="G110" s="121" t="s">
        <v>3111</v>
      </c>
      <c r="H110" s="121"/>
      <c r="I110" s="121"/>
      <c r="J110" s="121"/>
      <c r="K110" s="27" t="str">
        <f t="shared" si="65"/>
        <v>1</v>
      </c>
      <c r="L110" s="27" t="str">
        <f t="shared" si="139"/>
        <v>1</v>
      </c>
      <c r="M110" s="27" t="str">
        <f t="shared" si="66"/>
        <v>1</v>
      </c>
      <c r="N110" s="121" t="s">
        <v>344</v>
      </c>
      <c r="O110" s="121" t="s">
        <v>335</v>
      </c>
      <c r="P110" s="27" t="str">
        <f t="shared" si="67"/>
        <v>1</v>
      </c>
      <c r="Q110" s="27" t="str">
        <f t="shared" si="68"/>
        <v>1</v>
      </c>
      <c r="R110" s="27" t="str">
        <f t="shared" si="69"/>
        <v>1</v>
      </c>
      <c r="S110" s="27" t="str">
        <f t="shared" si="70"/>
        <v>1</v>
      </c>
      <c r="T110" s="27" t="str">
        <f t="shared" si="71"/>
        <v>1</v>
      </c>
      <c r="U110" s="27" t="str">
        <f t="shared" si="72"/>
        <v>1</v>
      </c>
      <c r="V110" s="27" t="str">
        <f t="shared" si="73"/>
        <v>1</v>
      </c>
      <c r="W110" s="27"/>
      <c r="X110" s="27" t="str">
        <f t="shared" si="74"/>
        <v>0</v>
      </c>
      <c r="Y110" s="27" t="str">
        <f t="shared" si="75"/>
        <v>0</v>
      </c>
      <c r="Z110" s="27" t="str">
        <f t="shared" si="76"/>
        <v>0</v>
      </c>
      <c r="AA110" s="121"/>
      <c r="AB110" s="121"/>
      <c r="AC110" s="121"/>
      <c r="AD110" s="121"/>
      <c r="AE110" s="121" t="s">
        <v>51</v>
      </c>
      <c r="AF110" s="121"/>
      <c r="AG110" s="121"/>
      <c r="AH110" s="28" t="s">
        <v>167</v>
      </c>
      <c r="AI110" s="28" t="s">
        <v>113</v>
      </c>
      <c r="AJ110" s="27">
        <v>20228</v>
      </c>
      <c r="AK110" s="27" t="str">
        <f t="shared" si="136"/>
        <v>0</v>
      </c>
      <c r="AL110" s="123" t="str">
        <f t="shared" ref="AL110" si="142">IF(C110="","",C110&amp;"/"&amp;F110&amp;"/"&amp;N110&amp;"/"&amp;O110)</f>
        <v>14821/진행관리/sale.project/PrjtProcess</v>
      </c>
      <c r="AM110" s="27" t="s">
        <v>3350</v>
      </c>
      <c r="AN110" s="27"/>
      <c r="AO110" s="27" t="s">
        <v>1829</v>
      </c>
      <c r="AP110" s="27"/>
      <c r="AQ110" s="27"/>
      <c r="AR110" s="27"/>
      <c r="AS110" s="27"/>
      <c r="AT110" s="27"/>
      <c r="AU110" s="27"/>
      <c r="AV110" s="27"/>
      <c r="AW110" s="27"/>
      <c r="AX110" s="27"/>
      <c r="AY110" s="124"/>
      <c r="AZ110" s="138" t="str">
        <f>IF(C110="","","delete from module_mst where pjt_id = '"&amp;C110&amp;"' and menu_id = '"&amp;E110&amp;"';")</f>
        <v>delete from module_mst where pjt_id = '14821' and menu_id = '252005';</v>
      </c>
      <c r="BA110" s="31" t="str">
        <f>IF(C110&lt;&gt;"",CREATE_QUERY($D$1,C$2:AY$2,C110:AY110),"")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'252005', '진행관리', 'Progress management', '', '', '', '1', '1', '1', 'sale.project', 'PrjtProcess', '1', '1', '1', '1', '1', '1', '1', '', '0', '0', '0', '', '', '', '', 'N', '', '', '252000', '5', '20228', '0', '14821/진행관리/sale.project/PrjtProcess', '선택', '');</v>
      </c>
    </row>
    <row r="111" spans="1:53">
      <c r="A111" s="1">
        <v>111</v>
      </c>
      <c r="B111" s="164" t="str">
        <f t="shared" si="141"/>
        <v xml:space="preserve">        └ (공통)납품현황</v>
      </c>
      <c r="C111" s="27" t="str">
        <f t="shared" si="138"/>
        <v>14821</v>
      </c>
      <c r="D111" s="121"/>
      <c r="E111" s="27">
        <v>252029</v>
      </c>
      <c r="F111" s="121" t="s">
        <v>2927</v>
      </c>
      <c r="G111" s="121" t="s">
        <v>3118</v>
      </c>
      <c r="H111" s="121"/>
      <c r="I111" s="121"/>
      <c r="J111" s="121"/>
      <c r="K111" s="27" t="str">
        <f t="shared" ref="K111:K143" si="143">IF(O111="","","1")</f>
        <v>1</v>
      </c>
      <c r="L111" s="27" t="str">
        <f t="shared" si="139"/>
        <v>1</v>
      </c>
      <c r="M111" s="27" t="str">
        <f t="shared" ref="M111:M143" si="144">IF(O111="","0","1")</f>
        <v>1</v>
      </c>
      <c r="N111" s="121" t="s">
        <v>2366</v>
      </c>
      <c r="O111" s="121" t="s">
        <v>2928</v>
      </c>
      <c r="P111" s="27" t="str">
        <f t="shared" ref="P111" si="145">IF(O111="","0","1")</f>
        <v>1</v>
      </c>
      <c r="Q111" s="27" t="str">
        <f t="shared" ref="Q111" si="146">IF(O111="","0","1")</f>
        <v>1</v>
      </c>
      <c r="R111" s="27" t="str">
        <f t="shared" ref="R111" si="147">IF(O111="","0","1")</f>
        <v>1</v>
      </c>
      <c r="S111" s="27" t="str">
        <f t="shared" ref="S111" si="148">IF(O111="","0","1")</f>
        <v>1</v>
      </c>
      <c r="T111" s="27" t="str">
        <f t="shared" ref="T111" si="149">IF(O111="","0","1")</f>
        <v>1</v>
      </c>
      <c r="U111" s="27" t="str">
        <f t="shared" ref="U111" si="150">IF(O111="","0","1")</f>
        <v>1</v>
      </c>
      <c r="V111" s="27" t="str">
        <f t="shared" ref="V111" si="151">IF(O111="","1","1")</f>
        <v>1</v>
      </c>
      <c r="W111" s="27"/>
      <c r="X111" s="27" t="str">
        <f t="shared" ref="X111" si="152">IF(O111="","","0")</f>
        <v>0</v>
      </c>
      <c r="Y111" s="27" t="str">
        <f t="shared" ref="Y111" si="153">IF(O111="","","0")</f>
        <v>0</v>
      </c>
      <c r="Z111" s="27" t="str">
        <f t="shared" ref="Z111" si="154">IF(O111="","","0")</f>
        <v>0</v>
      </c>
      <c r="AA111" s="121"/>
      <c r="AB111" s="121"/>
      <c r="AC111" s="121"/>
      <c r="AD111" s="121"/>
      <c r="AE111" s="121" t="s">
        <v>51</v>
      </c>
      <c r="AF111" s="121"/>
      <c r="AG111" s="121"/>
      <c r="AH111" s="28" t="s">
        <v>167</v>
      </c>
      <c r="AI111" s="28" t="s">
        <v>113</v>
      </c>
      <c r="AJ111" s="27">
        <v>20258</v>
      </c>
      <c r="AK111" s="27" t="str">
        <f t="shared" si="136"/>
        <v>0</v>
      </c>
      <c r="AL111" s="123" t="str">
        <f t="shared" ref="AL111" si="155">IF(C111="","",C111&amp;"/"&amp;F111&amp;"/"&amp;N111&amp;"/"&amp;O111)</f>
        <v>14821/납품현황/sale.sale/SaleOsttList</v>
      </c>
      <c r="AM111" s="27" t="s">
        <v>2981</v>
      </c>
      <c r="AN111" s="27"/>
      <c r="AO111" s="27"/>
      <c r="AP111" s="27"/>
      <c r="AQ111" s="27"/>
      <c r="AR111" s="27"/>
      <c r="AS111" s="27"/>
      <c r="AT111" s="27"/>
      <c r="AU111" s="27"/>
      <c r="AV111" s="27"/>
      <c r="AW111" s="27"/>
      <c r="AX111" s="27"/>
      <c r="AY111" s="124"/>
      <c r="AZ111" s="138" t="str">
        <f>IF(C111="","","delete from module_mst where pjt_id = '"&amp;C111&amp;"' and menu_id = '"&amp;E111&amp;"';")</f>
        <v>delete from module_mst where pjt_id = '14821' and menu_id = '252029';</v>
      </c>
      <c r="BA111" s="31" t="str">
        <f>IF(C111&lt;&gt;"",CREATE_QUERY($D$1,C$2:AY$2,C111:AY111),"")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'252029', '납품현황', 'Delivery status', '', '', '', '1', '1', '1', 'sale.sale', 'SaleOsttList', '1', '1', '1', '1', '1', '1', '1', '', '0', '0', '0', '', '', '', '', 'N', '', '', '252000', '5', '20258', '0', '14821/납품현황/sale.sale/SaleOsttList', '공통', '');</v>
      </c>
    </row>
    <row r="112" spans="1:53">
      <c r="A112" s="1">
        <v>112</v>
      </c>
      <c r="B112" s="164" t="str">
        <f t="shared" si="141"/>
        <v xml:space="preserve">        └ (선택)주문오더관리</v>
      </c>
      <c r="C112" s="27" t="str">
        <f t="shared" si="138"/>
        <v>14821</v>
      </c>
      <c r="D112" s="121"/>
      <c r="E112" s="27">
        <v>252032</v>
      </c>
      <c r="F112" s="121" t="s">
        <v>1889</v>
      </c>
      <c r="G112" s="121" t="s">
        <v>3112</v>
      </c>
      <c r="H112" s="121"/>
      <c r="I112" s="121"/>
      <c r="J112" s="121"/>
      <c r="K112" s="27" t="str">
        <f t="shared" si="143"/>
        <v>1</v>
      </c>
      <c r="L112" s="27" t="str">
        <f t="shared" si="139"/>
        <v>1</v>
      </c>
      <c r="M112" s="27" t="str">
        <f t="shared" si="144"/>
        <v>1</v>
      </c>
      <c r="N112" s="121" t="s">
        <v>2946</v>
      </c>
      <c r="O112" s="121" t="s">
        <v>131</v>
      </c>
      <c r="P112" s="27" t="str">
        <f t="shared" si="67"/>
        <v>1</v>
      </c>
      <c r="Q112" s="27" t="str">
        <f t="shared" si="68"/>
        <v>1</v>
      </c>
      <c r="R112" s="27" t="str">
        <f t="shared" si="69"/>
        <v>1</v>
      </c>
      <c r="S112" s="27" t="str">
        <f t="shared" si="70"/>
        <v>1</v>
      </c>
      <c r="T112" s="27" t="str">
        <f t="shared" si="71"/>
        <v>1</v>
      </c>
      <c r="U112" s="27" t="str">
        <f t="shared" si="72"/>
        <v>1</v>
      </c>
      <c r="V112" s="27" t="str">
        <f t="shared" si="73"/>
        <v>1</v>
      </c>
      <c r="W112" s="27"/>
      <c r="X112" s="27" t="str">
        <f t="shared" si="74"/>
        <v>0</v>
      </c>
      <c r="Y112" s="27" t="str">
        <f t="shared" si="75"/>
        <v>0</v>
      </c>
      <c r="Z112" s="27" t="str">
        <f t="shared" si="76"/>
        <v>0</v>
      </c>
      <c r="AA112" s="121"/>
      <c r="AB112" s="121"/>
      <c r="AC112" s="121"/>
      <c r="AD112" s="121"/>
      <c r="AE112" s="121" t="s">
        <v>51</v>
      </c>
      <c r="AF112" s="121"/>
      <c r="AG112" s="121"/>
      <c r="AH112" s="28" t="s">
        <v>167</v>
      </c>
      <c r="AI112" s="28" t="s">
        <v>113</v>
      </c>
      <c r="AJ112" s="27">
        <v>20204</v>
      </c>
      <c r="AK112" s="27" t="str">
        <f t="shared" si="136"/>
        <v>0</v>
      </c>
      <c r="AL112" s="123" t="str">
        <f t="shared" ref="AL112" si="156">IF(C112="","",C112&amp;"/"&amp;F112&amp;"/"&amp;N112&amp;"/"&amp;O112)</f>
        <v>14821/주문오더관리/custom.hjsys.sale.order/SaleOrder</v>
      </c>
      <c r="AM112" s="27" t="s">
        <v>3350</v>
      </c>
      <c r="AN112" s="27"/>
      <c r="AO112" s="27"/>
      <c r="AP112" s="27"/>
      <c r="AQ112" s="27"/>
      <c r="AR112" s="27"/>
      <c r="AS112" s="27"/>
      <c r="AT112" s="27"/>
      <c r="AU112" s="27"/>
      <c r="AV112" s="27"/>
      <c r="AW112" s="27"/>
      <c r="AX112" s="27" t="s">
        <v>1829</v>
      </c>
      <c r="AY112" s="124"/>
      <c r="AZ112" s="138" t="str">
        <f>IF(C112="","","delete from module_mst where pjt_id = '"&amp;C112&amp;"' and menu_id = '"&amp;E112&amp;"';")</f>
        <v>delete from module_mst where pjt_id = '14821' and menu_id = '252032';</v>
      </c>
      <c r="BA112" s="31" t="str">
        <f>IF(C112&lt;&gt;"",CREATE_QUERY($D$1,C$2:AY$2,C112:AY112),"")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'252032', '주문오더관리', 'Order management', '', '', '', '1', '1', '1', 'custom.hjsys.sale.order', 'SaleOrder', '1', '1', '1', '1', '1', '1', '1', '', '0', '0', '0', '', '', '', '', 'N', '', '', '252000', '5', '20204', '0', '14821/주문오더관리/custom.hjsys.sale.order/SaleOrder', '선택', '');</v>
      </c>
    </row>
    <row r="113" spans="1:53">
      <c r="A113" s="1">
        <v>113</v>
      </c>
      <c r="B113" s="164" t="str">
        <f t="shared" si="141"/>
        <v xml:space="preserve">        └ (선택)월간수주현황</v>
      </c>
      <c r="C113" s="27" t="str">
        <f t="shared" si="138"/>
        <v>14821</v>
      </c>
      <c r="D113" s="121"/>
      <c r="E113" s="27">
        <v>252033</v>
      </c>
      <c r="F113" s="121" t="s">
        <v>2947</v>
      </c>
      <c r="G113" s="121" t="s">
        <v>3119</v>
      </c>
      <c r="H113" s="121"/>
      <c r="I113" s="121"/>
      <c r="J113" s="121"/>
      <c r="K113" s="27" t="str">
        <f t="shared" si="143"/>
        <v>1</v>
      </c>
      <c r="L113" s="27" t="str">
        <f t="shared" si="139"/>
        <v>1</v>
      </c>
      <c r="M113" s="27" t="str">
        <f t="shared" si="144"/>
        <v>1</v>
      </c>
      <c r="N113" s="121" t="s">
        <v>2948</v>
      </c>
      <c r="O113" s="121" t="s">
        <v>141</v>
      </c>
      <c r="P113" s="27" t="str">
        <f t="shared" si="67"/>
        <v>1</v>
      </c>
      <c r="Q113" s="27" t="str">
        <f t="shared" si="68"/>
        <v>1</v>
      </c>
      <c r="R113" s="27" t="str">
        <f t="shared" si="69"/>
        <v>1</v>
      </c>
      <c r="S113" s="27" t="str">
        <f t="shared" si="70"/>
        <v>1</v>
      </c>
      <c r="T113" s="27" t="str">
        <f t="shared" si="71"/>
        <v>1</v>
      </c>
      <c r="U113" s="27" t="str">
        <f t="shared" si="72"/>
        <v>1</v>
      </c>
      <c r="V113" s="27" t="str">
        <f t="shared" si="73"/>
        <v>1</v>
      </c>
      <c r="W113" s="27"/>
      <c r="X113" s="27" t="str">
        <f t="shared" si="74"/>
        <v>0</v>
      </c>
      <c r="Y113" s="27" t="str">
        <f t="shared" si="75"/>
        <v>0</v>
      </c>
      <c r="Z113" s="27" t="str">
        <f t="shared" si="76"/>
        <v>0</v>
      </c>
      <c r="AA113" s="121"/>
      <c r="AB113" s="121"/>
      <c r="AC113" s="121"/>
      <c r="AD113" s="121"/>
      <c r="AE113" s="121" t="s">
        <v>51</v>
      </c>
      <c r="AF113" s="121"/>
      <c r="AG113" s="121"/>
      <c r="AH113" s="28" t="s">
        <v>167</v>
      </c>
      <c r="AI113" s="28" t="s">
        <v>113</v>
      </c>
      <c r="AJ113" s="27">
        <v>20264</v>
      </c>
      <c r="AK113" s="27" t="str">
        <f t="shared" si="136"/>
        <v>0</v>
      </c>
      <c r="AL113" s="123" t="str">
        <f t="shared" ref="AL113" si="157">IF(C113="","",C113&amp;"/"&amp;F113&amp;"/"&amp;N113&amp;"/"&amp;O113)</f>
        <v>14821/월간수주현황/custom.hjsys.sale/SlorList1</v>
      </c>
      <c r="AM113" s="27" t="s">
        <v>3350</v>
      </c>
      <c r="AN113" s="27"/>
      <c r="AO113" s="27"/>
      <c r="AP113" s="27"/>
      <c r="AQ113" s="27"/>
      <c r="AR113" s="27"/>
      <c r="AS113" s="27"/>
      <c r="AT113" s="27"/>
      <c r="AU113" s="27"/>
      <c r="AV113" s="27"/>
      <c r="AW113" s="27"/>
      <c r="AX113" s="27" t="s">
        <v>1829</v>
      </c>
      <c r="AY113" s="124"/>
      <c r="AZ113" s="138" t="str">
        <f>IF(C113="","","delete from module_mst where pjt_id = '"&amp;C113&amp;"' and menu_id = '"&amp;E113&amp;"';")</f>
        <v>delete from module_mst where pjt_id = '14821' and menu_id = '252033';</v>
      </c>
      <c r="BA113" s="31" t="str">
        <f>IF(C113&lt;&gt;"",CREATE_QUERY($D$1,C$2:AY$2,C113:AY113),"")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'252033', '월간수주현황', 'Monthly Order Status', '', '', '', '1', '1', '1', 'custom.hjsys.sale', 'SlorList1', '1', '1', '1', '1', '1', '1', '1', '', '0', '0', '0', '', '', '', '', 'N', '', '', '252000', '5', '20264', '0', '14821/월간수주현황/custom.hjsys.sale/SlorList1', '선택', '');</v>
      </c>
    </row>
    <row r="114" spans="1:53">
      <c r="A114" s="1">
        <v>114</v>
      </c>
      <c r="B114" s="164" t="str">
        <f>IF(F114="","",IF(AI114="1","",IF(AI114="2","└ ",IF(AI114="3","  └ ",IF(AI114="4","    └ ",IF(AI114="5","        └ ",IF(AI114="6","         └ ",IF(AI114="7"="            └ ",""))))))))&amp;IF(AM114="","",IF(AM114="메뉴","","("&amp;AM114&amp;")"))&amp;F114</f>
        <v xml:space="preserve">        └ (선택)월간실적 통계</v>
      </c>
      <c r="C114" s="27" t="str">
        <f t="shared" ref="C114:C127" si="158">IF(F114="","","14821")</f>
        <v>14821</v>
      </c>
      <c r="D114" s="121"/>
      <c r="E114" s="27">
        <v>252061</v>
      </c>
      <c r="F114" s="121" t="s">
        <v>3322</v>
      </c>
      <c r="G114" s="121" t="s">
        <v>3309</v>
      </c>
      <c r="H114" s="121" t="s">
        <v>3321</v>
      </c>
      <c r="I114" s="121"/>
      <c r="J114" s="121"/>
      <c r="K114" s="27" t="str">
        <f t="shared" ref="K114:K120" si="159">IF(O114="","","1")</f>
        <v>1</v>
      </c>
      <c r="L114" s="27" t="str">
        <f t="shared" ref="L114:L120" si="160">IF(F114="","","1")</f>
        <v>1</v>
      </c>
      <c r="M114" s="27" t="str">
        <f t="shared" ref="M114:M120" si="161">IF(O114="","0","1")</f>
        <v>1</v>
      </c>
      <c r="N114" s="121" t="s">
        <v>3309</v>
      </c>
      <c r="O114" s="121" t="s">
        <v>3321</v>
      </c>
      <c r="P114" s="27" t="str">
        <f t="shared" ref="P114:P128" si="162">IF(O114="","0","1")</f>
        <v>1</v>
      </c>
      <c r="Q114" s="27" t="str">
        <f t="shared" ref="Q114:Q128" si="163">IF(O114="","0","1")</f>
        <v>1</v>
      </c>
      <c r="R114" s="27" t="str">
        <f t="shared" ref="R114:R128" si="164">IF(O114="","0","1")</f>
        <v>1</v>
      </c>
      <c r="S114" s="27" t="str">
        <f t="shared" ref="S114:S128" si="165">IF(O114="","0","1")</f>
        <v>1</v>
      </c>
      <c r="T114" s="27" t="str">
        <f t="shared" ref="T114:T128" si="166">IF(O114="","0","1")</f>
        <v>1</v>
      </c>
      <c r="U114" s="27" t="str">
        <f t="shared" ref="U114:U128" si="167">IF(O114="","0","1")</f>
        <v>1</v>
      </c>
      <c r="V114" s="27" t="str">
        <f t="shared" ref="V114:V128" si="168">IF(O114="","1","1")</f>
        <v>1</v>
      </c>
      <c r="W114" s="27"/>
      <c r="X114" s="27" t="str">
        <f t="shared" ref="X114:X128" si="169">IF(O114="","","0")</f>
        <v>0</v>
      </c>
      <c r="Y114" s="27" t="str">
        <f t="shared" ref="Y114:Y128" si="170">IF(O114="","","0")</f>
        <v>0</v>
      </c>
      <c r="Z114" s="27" t="str">
        <f t="shared" ref="Z114:Z128" si="171">IF(O114="","","0")</f>
        <v>0</v>
      </c>
      <c r="AA114" s="121"/>
      <c r="AB114" s="121"/>
      <c r="AC114" s="121"/>
      <c r="AD114" s="121"/>
      <c r="AE114" s="121"/>
      <c r="AF114" s="121"/>
      <c r="AG114" s="121"/>
      <c r="AH114" s="28" t="s">
        <v>167</v>
      </c>
      <c r="AI114" s="28" t="s">
        <v>113</v>
      </c>
      <c r="AJ114" s="27">
        <v>20300</v>
      </c>
      <c r="AK114" s="27"/>
      <c r="AL114" s="123"/>
      <c r="AM114" s="27" t="s">
        <v>3349</v>
      </c>
      <c r="AN114" s="27" t="s">
        <v>3245</v>
      </c>
      <c r="AO114" s="27" t="s">
        <v>3245</v>
      </c>
      <c r="AP114" s="27" t="s">
        <v>3245</v>
      </c>
      <c r="AQ114" s="27" t="s">
        <v>3245</v>
      </c>
      <c r="AR114" s="27" t="s">
        <v>3245</v>
      </c>
      <c r="AS114" s="27" t="s">
        <v>3245</v>
      </c>
      <c r="AT114" s="27" t="s">
        <v>3245</v>
      </c>
      <c r="AU114" s="27" t="s">
        <v>3245</v>
      </c>
      <c r="AV114" s="27" t="s">
        <v>3245</v>
      </c>
      <c r="AW114" s="27" t="s">
        <v>3245</v>
      </c>
      <c r="AX114" s="27" t="s">
        <v>3245</v>
      </c>
      <c r="AY114" s="124"/>
      <c r="AZ114" s="138" t="str">
        <f>IF(C114="","","delete from module_mst where pjt_id = '"&amp;C114&amp;"' and menu_id = '"&amp;E114&amp;"';")</f>
        <v>delete from module_mst where pjt_id = '14821' and menu_id = '252061';</v>
      </c>
      <c r="BA114" s="31" t="str">
        <f>IF(C114&lt;&gt;"",CREATE_QUERY($D$1,C$2:AY$2,C114:AY114),"")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'252061', '월간실적 통계', 'custom.aone.sale.order', 'SorderSumList2', '', '', '1', '1', '1', 'custom.aone.sale.order', 'SorderSumList2', '1', '1', '1', '1', '1', '1', '1', '', '0', '0', '0', '', '', '', '', '', '', '', '252000', '5', '20300', '', '', '선택', '');</v>
      </c>
    </row>
    <row r="115" spans="1:53">
      <c r="A115" s="1">
        <v>115</v>
      </c>
      <c r="B115" s="164" t="str">
        <f>IF(F115="","",IF(AI115="1","",IF(AI115="2","└ ",IF(AI115="3","  └ ",IF(AI115="4","    └ ",IF(AI115="5","        └ ",IF(AI115="6","         └ ",IF(AI115="7"="            └ ",""))))))))&amp;IF(AM115="","",IF(AM115="메뉴","","("&amp;AM115&amp;")"))&amp;F115</f>
        <v xml:space="preserve">        └ (선택)영업목표 관리</v>
      </c>
      <c r="C115" s="27" t="str">
        <f>IF(F115="","","14821")</f>
        <v>14821</v>
      </c>
      <c r="D115" s="121"/>
      <c r="E115" s="27">
        <v>252034</v>
      </c>
      <c r="F115" s="121" t="s">
        <v>2953</v>
      </c>
      <c r="G115" s="121" t="s">
        <v>3120</v>
      </c>
      <c r="H115" s="121"/>
      <c r="I115" s="121"/>
      <c r="J115" s="121"/>
      <c r="K115" s="27" t="str">
        <f>IF(O115="","","1")</f>
        <v>1</v>
      </c>
      <c r="L115" s="27" t="str">
        <f>IF(F115="","","1")</f>
        <v>1</v>
      </c>
      <c r="M115" s="27" t="str">
        <f>IF(O115="","0","1")</f>
        <v>1</v>
      </c>
      <c r="N115" s="121" t="s">
        <v>2954</v>
      </c>
      <c r="O115" s="121" t="s">
        <v>2955</v>
      </c>
      <c r="P115" s="27" t="str">
        <f>IF(O115="","0","1")</f>
        <v>1</v>
      </c>
      <c r="Q115" s="27" t="str">
        <f>IF(O115="","0","1")</f>
        <v>1</v>
      </c>
      <c r="R115" s="27" t="str">
        <f>IF(O115="","0","1")</f>
        <v>1</v>
      </c>
      <c r="S115" s="27" t="str">
        <f>IF(O115="","0","1")</f>
        <v>1</v>
      </c>
      <c r="T115" s="27" t="str">
        <f>IF(O115="","0","1")</f>
        <v>1</v>
      </c>
      <c r="U115" s="27" t="str">
        <f>IF(O115="","0","1")</f>
        <v>1</v>
      </c>
      <c r="V115" s="27" t="str">
        <f>IF(O115="","1","1")</f>
        <v>1</v>
      </c>
      <c r="W115" s="27"/>
      <c r="X115" s="27" t="str">
        <f>IF(O115="","","0")</f>
        <v>0</v>
      </c>
      <c r="Y115" s="27" t="str">
        <f>IF(O115="","","0")</f>
        <v>0</v>
      </c>
      <c r="Z115" s="27" t="str">
        <f>IF(O115="","","0")</f>
        <v>0</v>
      </c>
      <c r="AA115" s="121"/>
      <c r="AB115" s="121"/>
      <c r="AC115" s="121"/>
      <c r="AD115" s="121"/>
      <c r="AE115" s="121" t="s">
        <v>51</v>
      </c>
      <c r="AF115" s="121"/>
      <c r="AG115" s="121"/>
      <c r="AH115" s="28" t="s">
        <v>167</v>
      </c>
      <c r="AI115" s="28" t="s">
        <v>113</v>
      </c>
      <c r="AJ115" s="27">
        <v>20200</v>
      </c>
      <c r="AK115" s="27" t="str">
        <f>IF(B115="","","0")</f>
        <v>0</v>
      </c>
      <c r="AL115" s="123" t="str">
        <f>IF(C115="","",C115&amp;"/"&amp;F115&amp;"/"&amp;N115&amp;"/"&amp;O115)</f>
        <v>14821/영업목표 관리/sale/SalePlan</v>
      </c>
      <c r="AM115" s="27" t="s">
        <v>3349</v>
      </c>
      <c r="AN115" s="27"/>
      <c r="AO115" s="27"/>
      <c r="AP115" s="27"/>
      <c r="AQ115" s="27"/>
      <c r="AR115" s="27"/>
      <c r="AS115" s="27"/>
      <c r="AT115" s="27"/>
      <c r="AU115" s="27"/>
      <c r="AV115" s="27"/>
      <c r="AW115" s="27" t="s">
        <v>1829</v>
      </c>
      <c r="AX115" s="27"/>
      <c r="AY115" s="124"/>
      <c r="AZ115" s="138" t="str">
        <f>IF(C115="","","delete from module_mst where pjt_id = '"&amp;C115&amp;"' and menu_id = '"&amp;E115&amp;"';")</f>
        <v>delete from module_mst where pjt_id = '14821' and menu_id = '252034';</v>
      </c>
      <c r="BA115" s="31" t="str">
        <f>IF(C115&lt;&gt;"",CREATE_QUERY($D$1,C$2:AY$2,C115:AY115),"")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'252034', '영업목표 관리', 'Sales target management', '', '', '', '1', '1', '1', 'sale', 'SalePlan', '1', '1', '1', '1', '1', '1', '1', '', '0', '0', '0', '', '', '', '', 'N', '', '', '252000', '5', '20200', '0', '14821/영업목표 관리/sale/SalePlan', '선택', '');</v>
      </c>
    </row>
    <row r="116" spans="1:53">
      <c r="A116" s="1">
        <v>116</v>
      </c>
      <c r="B116" s="164" t="str">
        <f t="shared" ref="B116:B128" si="172">IF(F116="","",IF(AI116="1","",IF(AI116="2","└ ",IF(AI116="3","  └ ",IF(AI116="4","    └ ",IF(AI116="5","        └ ",IF(AI116="6","         └ ",IF(AI116="7"="            └ ",""))))))))&amp;IF(AM116="","",IF(AM116="메뉴","","("&amp;AM116&amp;")"))&amp;F116</f>
        <v xml:space="preserve">        └ (공통)년간영업목표 등록</v>
      </c>
      <c r="C116" s="27" t="str">
        <f t="shared" si="158"/>
        <v>14821</v>
      </c>
      <c r="D116" s="121"/>
      <c r="E116" s="27">
        <v>252066</v>
      </c>
      <c r="F116" s="121" t="s">
        <v>3336</v>
      </c>
      <c r="G116" s="121"/>
      <c r="H116" s="121"/>
      <c r="I116" s="121"/>
      <c r="J116" s="121"/>
      <c r="K116" s="27" t="str">
        <f t="shared" si="159"/>
        <v>1</v>
      </c>
      <c r="L116" s="27" t="str">
        <f t="shared" si="160"/>
        <v>1</v>
      </c>
      <c r="M116" s="27" t="str">
        <f t="shared" si="161"/>
        <v>1</v>
      </c>
      <c r="N116" s="121" t="s">
        <v>3339</v>
      </c>
      <c r="O116" s="121" t="s">
        <v>3335</v>
      </c>
      <c r="P116" s="27" t="str">
        <f t="shared" si="162"/>
        <v>1</v>
      </c>
      <c r="Q116" s="27" t="str">
        <f t="shared" si="163"/>
        <v>1</v>
      </c>
      <c r="R116" s="27" t="str">
        <f t="shared" si="164"/>
        <v>1</v>
      </c>
      <c r="S116" s="27" t="str">
        <f t="shared" si="165"/>
        <v>1</v>
      </c>
      <c r="T116" s="27" t="str">
        <f t="shared" si="166"/>
        <v>1</v>
      </c>
      <c r="U116" s="27" t="str">
        <f t="shared" si="167"/>
        <v>1</v>
      </c>
      <c r="V116" s="27" t="str">
        <f t="shared" si="168"/>
        <v>1</v>
      </c>
      <c r="W116" s="27"/>
      <c r="X116" s="27" t="str">
        <f t="shared" si="169"/>
        <v>0</v>
      </c>
      <c r="Y116" s="27" t="str">
        <f t="shared" si="170"/>
        <v>0</v>
      </c>
      <c r="Z116" s="27" t="str">
        <f t="shared" si="171"/>
        <v>0</v>
      </c>
      <c r="AA116" s="121"/>
      <c r="AB116" s="121"/>
      <c r="AC116" s="121"/>
      <c r="AD116" s="121"/>
      <c r="AE116" s="121" t="s">
        <v>51</v>
      </c>
      <c r="AF116" s="121"/>
      <c r="AG116" s="121"/>
      <c r="AH116" s="28" t="s">
        <v>167</v>
      </c>
      <c r="AI116" s="28" t="s">
        <v>113</v>
      </c>
      <c r="AJ116" s="27">
        <v>20296</v>
      </c>
      <c r="AK116" s="27" t="str">
        <f t="shared" ref="AK116:AK120" si="173">IF(B116="","","0")</f>
        <v>0</v>
      </c>
      <c r="AL116" s="123" t="str">
        <f t="shared" ref="AL116:AL120" si="174">IF(C116="","",C116&amp;"/"&amp;F116&amp;"/"&amp;N116&amp;"/"&amp;O116)</f>
        <v>14821/년간영업목표 등록/custom.dhtec.sale.order/SalePlanOrder</v>
      </c>
      <c r="AM116" s="27" t="s">
        <v>2984</v>
      </c>
      <c r="AN116" s="27" t="s">
        <v>3245</v>
      </c>
      <c r="AO116" s="27" t="s">
        <v>3245</v>
      </c>
      <c r="AP116" s="27" t="s">
        <v>3245</v>
      </c>
      <c r="AQ116" s="27" t="s">
        <v>3245</v>
      </c>
      <c r="AR116" s="27" t="s">
        <v>3245</v>
      </c>
      <c r="AS116" s="27" t="s">
        <v>3245</v>
      </c>
      <c r="AT116" s="27" t="s">
        <v>3245</v>
      </c>
      <c r="AU116" s="27" t="s">
        <v>3245</v>
      </c>
      <c r="AV116" s="27" t="s">
        <v>3245</v>
      </c>
      <c r="AW116" s="27" t="s">
        <v>3245</v>
      </c>
      <c r="AX116" s="27" t="s">
        <v>3245</v>
      </c>
      <c r="AY116" s="124"/>
      <c r="AZ116" s="138" t="str">
        <f>IF(C116="","","delete from module_mst where pjt_id = '"&amp;C116&amp;"' and menu_id = '"&amp;E116&amp;"';")</f>
        <v>delete from module_mst where pjt_id = '14821' and menu_id = '252066';</v>
      </c>
      <c r="BA116" s="31" t="str">
        <f>IF(C116&lt;&gt;"",CREATE_QUERY($D$1,C$2:AY$2,C116:AY116),"")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'252066', '년간영업목표 등록', '', '', '', '', '1', '1', '1', 'custom.dhtec.sale.order', 'SalePlanOrder', '1', '1', '1', '1', '1', '1', '1', '', '0', '0', '0', '', '', '', '', 'N', '', '', '252000', '5', '20296', '0', '14821/년간영업목표 등록/custom.dhtec.sale.order/SalePlanOrder', '공통', '');</v>
      </c>
    </row>
    <row r="117" spans="1:53">
      <c r="A117" s="1">
        <v>117</v>
      </c>
      <c r="B117" s="164" t="str">
        <f t="shared" si="172"/>
        <v xml:space="preserve">        └ (공통)월간영업목표 등록</v>
      </c>
      <c r="C117" s="27" t="str">
        <f t="shared" si="158"/>
        <v>14821</v>
      </c>
      <c r="D117" s="121"/>
      <c r="E117" s="27">
        <v>252067</v>
      </c>
      <c r="F117" s="121" t="s">
        <v>3337</v>
      </c>
      <c r="G117" s="121" t="s">
        <v>900</v>
      </c>
      <c r="H117" s="121"/>
      <c r="I117" s="121"/>
      <c r="J117" s="121"/>
      <c r="K117" s="27" t="str">
        <f t="shared" si="159"/>
        <v>1</v>
      </c>
      <c r="L117" s="27" t="str">
        <f t="shared" si="160"/>
        <v>1</v>
      </c>
      <c r="M117" s="27" t="str">
        <f t="shared" si="161"/>
        <v>1</v>
      </c>
      <c r="N117" s="121" t="s">
        <v>3339</v>
      </c>
      <c r="O117" s="121" t="s">
        <v>3338</v>
      </c>
      <c r="P117" s="27" t="str">
        <f t="shared" si="162"/>
        <v>1</v>
      </c>
      <c r="Q117" s="27" t="str">
        <f t="shared" si="163"/>
        <v>1</v>
      </c>
      <c r="R117" s="27" t="str">
        <f t="shared" si="164"/>
        <v>1</v>
      </c>
      <c r="S117" s="27" t="str">
        <f t="shared" si="165"/>
        <v>1</v>
      </c>
      <c r="T117" s="27" t="str">
        <f t="shared" si="166"/>
        <v>1</v>
      </c>
      <c r="U117" s="27" t="str">
        <f t="shared" si="167"/>
        <v>1</v>
      </c>
      <c r="V117" s="27" t="str">
        <f t="shared" si="168"/>
        <v>1</v>
      </c>
      <c r="W117" s="27"/>
      <c r="X117" s="27" t="str">
        <f t="shared" si="169"/>
        <v>0</v>
      </c>
      <c r="Y117" s="27" t="str">
        <f t="shared" si="170"/>
        <v>0</v>
      </c>
      <c r="Z117" s="27" t="str">
        <f t="shared" si="171"/>
        <v>0</v>
      </c>
      <c r="AA117" s="121"/>
      <c r="AB117" s="121"/>
      <c r="AC117" s="121"/>
      <c r="AD117" s="121"/>
      <c r="AE117" s="121" t="s">
        <v>51</v>
      </c>
      <c r="AF117" s="121"/>
      <c r="AG117" s="121"/>
      <c r="AH117" s="28" t="s">
        <v>167</v>
      </c>
      <c r="AI117" s="28" t="s">
        <v>113</v>
      </c>
      <c r="AJ117" s="27">
        <v>20298</v>
      </c>
      <c r="AK117" s="27" t="str">
        <f t="shared" si="173"/>
        <v>0</v>
      </c>
      <c r="AL117" s="123" t="str">
        <f t="shared" si="174"/>
        <v>14821/월간영업목표 등록/custom.dhtec.sale.order/SalePlanOrder2</v>
      </c>
      <c r="AM117" s="27" t="s">
        <v>2984</v>
      </c>
      <c r="AN117" s="27" t="s">
        <v>3245</v>
      </c>
      <c r="AO117" s="27" t="s">
        <v>3245</v>
      </c>
      <c r="AP117" s="27" t="s">
        <v>3245</v>
      </c>
      <c r="AQ117" s="27" t="s">
        <v>3245</v>
      </c>
      <c r="AR117" s="27" t="s">
        <v>3245</v>
      </c>
      <c r="AS117" s="27" t="s">
        <v>3245</v>
      </c>
      <c r="AT117" s="27" t="s">
        <v>3245</v>
      </c>
      <c r="AU117" s="27" t="s">
        <v>3245</v>
      </c>
      <c r="AV117" s="27" t="s">
        <v>3245</v>
      </c>
      <c r="AW117" s="27" t="s">
        <v>3245</v>
      </c>
      <c r="AX117" s="27" t="s">
        <v>3245</v>
      </c>
      <c r="AY117" s="124"/>
      <c r="AZ117" s="138" t="str">
        <f>IF(C117="","","delete from module_mst where pjt_id = '"&amp;C117&amp;"' and menu_id = '"&amp;E117&amp;"';")</f>
        <v>delete from module_mst where pjt_id = '14821' and menu_id = '252067';</v>
      </c>
      <c r="BA117" s="31" t="str">
        <f>IF(C117&lt;&gt;"",CREATE_QUERY($D$1,C$2:AY$2,C117:AY117),"")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'252067', '월간영업목표 등록', '', '', '', '', '1', '1', '1', 'custom.dhtec.sale.order', 'SalePlanOrder2', '1', '1', '1', '1', '1', '1', '1', '', '0', '0', '0', '', '', '', '', 'N', '', '', '252000', '5', '20298', '0', '14821/월간영업목표 등록/custom.dhtec.sale.order/SalePlanOrder2', '공통', '');</v>
      </c>
    </row>
    <row r="118" spans="1:53">
      <c r="A118" s="1">
        <v>118</v>
      </c>
      <c r="B118" s="164" t="str">
        <f>IF(F118="","",IF(AI118="1","",IF(AI118="2","└ ",IF(AI118="3","  └ ",IF(AI118="4","    └ ",IF(AI118="5","        └ ",IF(AI118="6","         └ ",IF(AI118="7"="            └ ",""))))))))&amp;IF(AM118="","",IF(AM118="메뉴","","("&amp;AM118&amp;")"))&amp;F118</f>
        <v xml:space="preserve">        └ (공통)년간 계획대비 실적현황</v>
      </c>
      <c r="C118" s="27" t="str">
        <f>IF(F118="","","14821")</f>
        <v>14821</v>
      </c>
      <c r="D118" s="121"/>
      <c r="E118" s="27">
        <v>252064</v>
      </c>
      <c r="F118" s="121" t="s">
        <v>3331</v>
      </c>
      <c r="G118" s="121"/>
      <c r="H118" s="121"/>
      <c r="I118" s="121"/>
      <c r="J118" s="121"/>
      <c r="K118" s="27" t="str">
        <f>IF(O118="","","1")</f>
        <v>1</v>
      </c>
      <c r="L118" s="27" t="str">
        <f>IF(F118="","","1")</f>
        <v>1</v>
      </c>
      <c r="M118" s="27" t="str">
        <f>IF(O118="","0","1")</f>
        <v>1</v>
      </c>
      <c r="N118" s="121" t="s">
        <v>3330</v>
      </c>
      <c r="O118" s="121" t="s">
        <v>3332</v>
      </c>
      <c r="P118" s="27" t="str">
        <f>IF(O118="","0","1")</f>
        <v>1</v>
      </c>
      <c r="Q118" s="27" t="str">
        <f>IF(O118="","0","1")</f>
        <v>1</v>
      </c>
      <c r="R118" s="27" t="str">
        <f>IF(O118="","0","1")</f>
        <v>1</v>
      </c>
      <c r="S118" s="27" t="str">
        <f>IF(O118="","0","1")</f>
        <v>1</v>
      </c>
      <c r="T118" s="27" t="str">
        <f>IF(O118="","0","1")</f>
        <v>1</v>
      </c>
      <c r="U118" s="27" t="str">
        <f>IF(O118="","0","1")</f>
        <v>1</v>
      </c>
      <c r="V118" s="27" t="str">
        <f>IF(O118="","1","1")</f>
        <v>1</v>
      </c>
      <c r="W118" s="27"/>
      <c r="X118" s="27" t="str">
        <f>IF(O118="","","0")</f>
        <v>0</v>
      </c>
      <c r="Y118" s="27" t="str">
        <f>IF(O118="","","0")</f>
        <v>0</v>
      </c>
      <c r="Z118" s="27" t="str">
        <f>IF(O118="","","0")</f>
        <v>0</v>
      </c>
      <c r="AA118" s="121"/>
      <c r="AB118" s="121"/>
      <c r="AC118" s="121"/>
      <c r="AD118" s="121"/>
      <c r="AE118" s="121" t="s">
        <v>51</v>
      </c>
      <c r="AF118" s="121"/>
      <c r="AG118" s="121"/>
      <c r="AH118" s="28" t="s">
        <v>167</v>
      </c>
      <c r="AI118" s="28" t="s">
        <v>113</v>
      </c>
      <c r="AJ118" s="27">
        <v>20296</v>
      </c>
      <c r="AK118" s="27" t="str">
        <f>IF(B118="","","0")</f>
        <v>0</v>
      </c>
      <c r="AL118" s="123" t="str">
        <f>IF(C118="","",C118&amp;"/"&amp;F118&amp;"/"&amp;N118&amp;"/"&amp;O118)</f>
        <v>14821/년간 계획대비 실적현황/custom.dhtec.sale/SalePlanList</v>
      </c>
      <c r="AM118" s="27" t="s">
        <v>2984</v>
      </c>
      <c r="AN118" s="27" t="s">
        <v>3245</v>
      </c>
      <c r="AO118" s="27" t="s">
        <v>3245</v>
      </c>
      <c r="AP118" s="27" t="s">
        <v>3245</v>
      </c>
      <c r="AQ118" s="27" t="s">
        <v>3245</v>
      </c>
      <c r="AR118" s="27" t="s">
        <v>3245</v>
      </c>
      <c r="AS118" s="27" t="s">
        <v>3245</v>
      </c>
      <c r="AT118" s="27" t="s">
        <v>3245</v>
      </c>
      <c r="AU118" s="27" t="s">
        <v>3245</v>
      </c>
      <c r="AV118" s="27" t="s">
        <v>3245</v>
      </c>
      <c r="AW118" s="27" t="s">
        <v>3245</v>
      </c>
      <c r="AX118" s="27" t="s">
        <v>3245</v>
      </c>
      <c r="AY118" s="124"/>
      <c r="AZ118" s="138" t="str">
        <f>IF(C118="","","delete from module_mst where pjt_id = '"&amp;C118&amp;"' and menu_id = '"&amp;E118&amp;"';")</f>
        <v>delete from module_mst where pjt_id = '14821' and menu_id = '252064';</v>
      </c>
      <c r="BA118" s="31" t="str">
        <f>IF(C118&lt;&gt;"",CREATE_QUERY($D$1,C$2:AY$2,C118:AY118),"")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'252064', '년간 계획대비 실적현황', '', '', '', '', '1', '1', '1', 'custom.dhtec.sale', 'SalePlanList', '1', '1', '1', '1', '1', '1', '1', '', '0', '0', '0', '', '', '', '', 'N', '', '', '252000', '5', '20296', '0', '14821/년간 계획대비 실적현황/custom.dhtec.sale/SalePlanList', '공통', '');</v>
      </c>
    </row>
    <row r="119" spans="1:53">
      <c r="A119" s="1">
        <v>119</v>
      </c>
      <c r="B119" s="164" t="str">
        <f>IF(F119="","",IF(AI119="1","",IF(AI119="2","└ ",IF(AI119="3","  └ ",IF(AI119="4","    └ ",IF(AI119="5","        └ ",IF(AI119="6","         └ ",IF(AI119="7"="            └ ",""))))))))&amp;IF(AM119="","",IF(AM119="메뉴","","("&amp;AM119&amp;")"))&amp;F119</f>
        <v xml:space="preserve">        └ (공통)월간 계획대비 실적현황</v>
      </c>
      <c r="C119" s="27" t="str">
        <f>IF(F119="","","14821")</f>
        <v>14821</v>
      </c>
      <c r="D119" s="121"/>
      <c r="E119" s="27">
        <v>252065</v>
      </c>
      <c r="F119" s="121" t="s">
        <v>3334</v>
      </c>
      <c r="G119" s="121"/>
      <c r="H119" s="121"/>
      <c r="I119" s="121"/>
      <c r="J119" s="121"/>
      <c r="K119" s="27" t="str">
        <f>IF(O119="","","1")</f>
        <v>1</v>
      </c>
      <c r="L119" s="27" t="str">
        <f>IF(F119="","","1")</f>
        <v>1</v>
      </c>
      <c r="M119" s="27" t="str">
        <f>IF(O119="","0","1")</f>
        <v>1</v>
      </c>
      <c r="N119" s="121" t="s">
        <v>3330</v>
      </c>
      <c r="O119" s="121" t="s">
        <v>3333</v>
      </c>
      <c r="P119" s="27" t="str">
        <f>IF(O119="","0","1")</f>
        <v>1</v>
      </c>
      <c r="Q119" s="27" t="str">
        <f>IF(O119="","0","1")</f>
        <v>1</v>
      </c>
      <c r="R119" s="27" t="str">
        <f>IF(O119="","0","1")</f>
        <v>1</v>
      </c>
      <c r="S119" s="27" t="str">
        <f>IF(O119="","0","1")</f>
        <v>1</v>
      </c>
      <c r="T119" s="27" t="str">
        <f>IF(O119="","0","1")</f>
        <v>1</v>
      </c>
      <c r="U119" s="27" t="str">
        <f>IF(O119="","0","1")</f>
        <v>1</v>
      </c>
      <c r="V119" s="27" t="str">
        <f>IF(O119="","1","1")</f>
        <v>1</v>
      </c>
      <c r="W119" s="27"/>
      <c r="X119" s="27" t="str">
        <f>IF(O119="","","0")</f>
        <v>0</v>
      </c>
      <c r="Y119" s="27" t="str">
        <f>IF(O119="","","0")</f>
        <v>0</v>
      </c>
      <c r="Z119" s="27" t="str">
        <f>IF(O119="","","0")</f>
        <v>0</v>
      </c>
      <c r="AA119" s="121"/>
      <c r="AB119" s="121"/>
      <c r="AC119" s="121"/>
      <c r="AD119" s="121"/>
      <c r="AE119" s="121" t="s">
        <v>51</v>
      </c>
      <c r="AF119" s="121"/>
      <c r="AG119" s="121"/>
      <c r="AH119" s="28" t="s">
        <v>167</v>
      </c>
      <c r="AI119" s="28" t="s">
        <v>113</v>
      </c>
      <c r="AJ119" s="27">
        <v>20296</v>
      </c>
      <c r="AK119" s="27" t="str">
        <f>IF(B119="","","0")</f>
        <v>0</v>
      </c>
      <c r="AL119" s="123" t="str">
        <f>IF(C119="","",C119&amp;"/"&amp;F119&amp;"/"&amp;N119&amp;"/"&amp;O119)</f>
        <v>14821/월간 계획대비 실적현황/custom.dhtec.sale/SalePlanList2</v>
      </c>
      <c r="AM119" s="27" t="s">
        <v>2984</v>
      </c>
      <c r="AN119" s="27" t="s">
        <v>3245</v>
      </c>
      <c r="AO119" s="27" t="s">
        <v>3245</v>
      </c>
      <c r="AP119" s="27" t="s">
        <v>3245</v>
      </c>
      <c r="AQ119" s="27" t="s">
        <v>3245</v>
      </c>
      <c r="AR119" s="27" t="s">
        <v>3245</v>
      </c>
      <c r="AS119" s="27" t="s">
        <v>3245</v>
      </c>
      <c r="AT119" s="27" t="s">
        <v>3245</v>
      </c>
      <c r="AU119" s="27" t="s">
        <v>3245</v>
      </c>
      <c r="AV119" s="27" t="s">
        <v>3245</v>
      </c>
      <c r="AW119" s="27" t="s">
        <v>3245</v>
      </c>
      <c r="AX119" s="27" t="s">
        <v>3245</v>
      </c>
      <c r="AY119" s="124"/>
      <c r="AZ119" s="138" t="str">
        <f>IF(C119="","","delete from module_mst where pjt_id = '"&amp;C119&amp;"' and menu_id = '"&amp;E119&amp;"';")</f>
        <v>delete from module_mst where pjt_id = '14821' and menu_id = '252065';</v>
      </c>
      <c r="BA119" s="31" t="str">
        <f>IF(C119&lt;&gt;"",CREATE_QUERY($D$1,C$2:AY$2,C119:AY119),"")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'252065', '월간 계획대비 실적현황', '', '', '', '', '1', '1', '1', 'custom.dhtec.sale', 'SalePlanList2', '1', '1', '1', '1', '1', '1', '1', '', '0', '0', '0', '', '', '', '', 'N', '', '', '252000', '5', '20296', '0', '14821/월간 계획대비 실적현황/custom.dhtec.sale/SalePlanList2', '공통', '');</v>
      </c>
    </row>
    <row r="120" spans="1:53">
      <c r="A120" s="1">
        <v>120</v>
      </c>
      <c r="B120" s="164" t="str">
        <f t="shared" si="172"/>
        <v/>
      </c>
      <c r="C120" s="27" t="str">
        <f t="shared" si="158"/>
        <v/>
      </c>
      <c r="D120" s="121"/>
      <c r="E120" s="27">
        <v>252068</v>
      </c>
      <c r="F120" s="121"/>
      <c r="G120" s="121" t="s">
        <v>900</v>
      </c>
      <c r="H120" s="121"/>
      <c r="I120" s="121"/>
      <c r="J120" s="121"/>
      <c r="K120" s="27" t="str">
        <f t="shared" si="159"/>
        <v/>
      </c>
      <c r="L120" s="27" t="str">
        <f t="shared" si="160"/>
        <v/>
      </c>
      <c r="M120" s="27" t="str">
        <f t="shared" si="161"/>
        <v>0</v>
      </c>
      <c r="N120" s="121"/>
      <c r="O120" s="121"/>
      <c r="P120" s="27" t="str">
        <f t="shared" si="162"/>
        <v>0</v>
      </c>
      <c r="Q120" s="27" t="str">
        <f t="shared" si="163"/>
        <v>0</v>
      </c>
      <c r="R120" s="27" t="str">
        <f t="shared" si="164"/>
        <v>0</v>
      </c>
      <c r="S120" s="27" t="str">
        <f t="shared" si="165"/>
        <v>0</v>
      </c>
      <c r="T120" s="27" t="str">
        <f t="shared" si="166"/>
        <v>0</v>
      </c>
      <c r="U120" s="27" t="str">
        <f t="shared" si="167"/>
        <v>0</v>
      </c>
      <c r="V120" s="27" t="str">
        <f t="shared" si="168"/>
        <v>1</v>
      </c>
      <c r="W120" s="27"/>
      <c r="X120" s="27" t="str">
        <f t="shared" si="169"/>
        <v/>
      </c>
      <c r="Y120" s="27" t="str">
        <f t="shared" si="170"/>
        <v/>
      </c>
      <c r="Z120" s="27" t="str">
        <f t="shared" si="171"/>
        <v/>
      </c>
      <c r="AA120" s="121"/>
      <c r="AB120" s="121"/>
      <c r="AC120" s="121"/>
      <c r="AD120" s="121"/>
      <c r="AE120" s="121" t="s">
        <v>51</v>
      </c>
      <c r="AF120" s="121"/>
      <c r="AG120" s="121"/>
      <c r="AH120" s="28" t="s">
        <v>167</v>
      </c>
      <c r="AI120" s="28" t="s">
        <v>113</v>
      </c>
      <c r="AJ120" s="27">
        <v>20300</v>
      </c>
      <c r="AK120" s="27" t="str">
        <f t="shared" si="173"/>
        <v/>
      </c>
      <c r="AL120" s="123" t="str">
        <f t="shared" si="174"/>
        <v/>
      </c>
      <c r="AM120" s="27"/>
      <c r="AN120" s="27" t="s">
        <v>3245</v>
      </c>
      <c r="AO120" s="27" t="s">
        <v>3245</v>
      </c>
      <c r="AP120" s="27" t="s">
        <v>3245</v>
      </c>
      <c r="AQ120" s="27" t="s">
        <v>3245</v>
      </c>
      <c r="AR120" s="27" t="s">
        <v>3245</v>
      </c>
      <c r="AS120" s="27" t="s">
        <v>3245</v>
      </c>
      <c r="AT120" s="27" t="s">
        <v>3245</v>
      </c>
      <c r="AU120" s="27" t="s">
        <v>3245</v>
      </c>
      <c r="AV120" s="27" t="s">
        <v>3245</v>
      </c>
      <c r="AW120" s="27" t="s">
        <v>3245</v>
      </c>
      <c r="AX120" s="27" t="s">
        <v>3245</v>
      </c>
      <c r="AY120" s="124"/>
      <c r="AZ120" s="138" t="str">
        <f>IF(C120="","","delete from module_mst where pjt_id = '"&amp;C120&amp;"' and menu_id = '"&amp;E120&amp;"';")</f>
        <v/>
      </c>
      <c r="BA120" s="31" t="str">
        <f>IF(C120&lt;&gt;"",CREATE_QUERY($D$1,C$2:AY$2,C120:AY120),"")</f>
        <v/>
      </c>
    </row>
    <row r="121" spans="1:53">
      <c r="A121" s="1">
        <v>121</v>
      </c>
      <c r="B121" s="164" t="str">
        <f t="shared" si="172"/>
        <v/>
      </c>
      <c r="C121" s="27" t="str">
        <f t="shared" si="158"/>
        <v/>
      </c>
      <c r="D121" s="121"/>
      <c r="E121" s="27">
        <v>252069</v>
      </c>
      <c r="F121" s="121"/>
      <c r="G121" s="121"/>
      <c r="H121" s="121"/>
      <c r="I121" s="121"/>
      <c r="J121" s="121"/>
      <c r="K121" s="27"/>
      <c r="L121" s="27"/>
      <c r="M121" s="27"/>
      <c r="N121" s="121"/>
      <c r="O121" s="121"/>
      <c r="P121" s="27" t="str">
        <f t="shared" si="162"/>
        <v>0</v>
      </c>
      <c r="Q121" s="27" t="str">
        <f t="shared" si="163"/>
        <v>0</v>
      </c>
      <c r="R121" s="27" t="str">
        <f t="shared" si="164"/>
        <v>0</v>
      </c>
      <c r="S121" s="27" t="str">
        <f t="shared" si="165"/>
        <v>0</v>
      </c>
      <c r="T121" s="27" t="str">
        <f t="shared" si="166"/>
        <v>0</v>
      </c>
      <c r="U121" s="27" t="str">
        <f t="shared" si="167"/>
        <v>0</v>
      </c>
      <c r="V121" s="27" t="str">
        <f t="shared" si="168"/>
        <v>1</v>
      </c>
      <c r="W121" s="27"/>
      <c r="X121" s="27" t="str">
        <f t="shared" si="169"/>
        <v/>
      </c>
      <c r="Y121" s="27" t="str">
        <f t="shared" si="170"/>
        <v/>
      </c>
      <c r="Z121" s="27" t="str">
        <f t="shared" si="171"/>
        <v/>
      </c>
      <c r="AA121" s="121"/>
      <c r="AB121" s="121"/>
      <c r="AC121" s="121"/>
      <c r="AD121" s="121"/>
      <c r="AE121" s="121"/>
      <c r="AF121" s="121"/>
      <c r="AG121" s="121"/>
      <c r="AH121" s="28" t="s">
        <v>167</v>
      </c>
      <c r="AI121" s="28" t="s">
        <v>113</v>
      </c>
      <c r="AJ121" s="27">
        <v>20300</v>
      </c>
      <c r="AK121" s="27"/>
      <c r="AL121" s="123"/>
      <c r="AM121" s="27"/>
      <c r="AN121" s="27" t="s">
        <v>3245</v>
      </c>
      <c r="AO121" s="27" t="s">
        <v>3245</v>
      </c>
      <c r="AP121" s="27" t="s">
        <v>3245</v>
      </c>
      <c r="AQ121" s="27" t="s">
        <v>3245</v>
      </c>
      <c r="AR121" s="27" t="s">
        <v>3245</v>
      </c>
      <c r="AS121" s="27" t="s">
        <v>3245</v>
      </c>
      <c r="AT121" s="27" t="s">
        <v>3245</v>
      </c>
      <c r="AU121" s="27" t="s">
        <v>3245</v>
      </c>
      <c r="AV121" s="27" t="s">
        <v>3245</v>
      </c>
      <c r="AW121" s="27" t="s">
        <v>3245</v>
      </c>
      <c r="AX121" s="27" t="s">
        <v>3245</v>
      </c>
      <c r="AY121" s="124"/>
      <c r="AZ121" s="138" t="str">
        <f>IF(C121="","","delete from module_mst where pjt_id = '"&amp;C121&amp;"' and menu_id = '"&amp;E121&amp;"';")</f>
        <v/>
      </c>
      <c r="BA121" s="31" t="str">
        <f>IF(C121&lt;&gt;"",CREATE_QUERY($D$1,C$2:AY$2,C121:AY121),"")</f>
        <v/>
      </c>
    </row>
    <row r="122" spans="1:53">
      <c r="A122" s="1">
        <v>122</v>
      </c>
      <c r="B122" s="164" t="str">
        <f t="shared" si="172"/>
        <v/>
      </c>
      <c r="C122" s="27" t="str">
        <f t="shared" si="158"/>
        <v/>
      </c>
      <c r="D122" s="121"/>
      <c r="E122" s="27">
        <v>252070</v>
      </c>
      <c r="F122" s="121"/>
      <c r="G122" s="121"/>
      <c r="H122" s="121"/>
      <c r="I122" s="121"/>
      <c r="J122" s="121"/>
      <c r="K122" s="27"/>
      <c r="L122" s="27"/>
      <c r="M122" s="27"/>
      <c r="N122" s="121"/>
      <c r="O122" s="121"/>
      <c r="P122" s="27" t="str">
        <f t="shared" si="162"/>
        <v>0</v>
      </c>
      <c r="Q122" s="27" t="str">
        <f t="shared" si="163"/>
        <v>0</v>
      </c>
      <c r="R122" s="27" t="str">
        <f t="shared" si="164"/>
        <v>0</v>
      </c>
      <c r="S122" s="27" t="str">
        <f t="shared" si="165"/>
        <v>0</v>
      </c>
      <c r="T122" s="27" t="str">
        <f t="shared" si="166"/>
        <v>0</v>
      </c>
      <c r="U122" s="27" t="str">
        <f t="shared" si="167"/>
        <v>0</v>
      </c>
      <c r="V122" s="27" t="str">
        <f t="shared" si="168"/>
        <v>1</v>
      </c>
      <c r="W122" s="27"/>
      <c r="X122" s="27" t="str">
        <f t="shared" si="169"/>
        <v/>
      </c>
      <c r="Y122" s="27" t="str">
        <f t="shared" si="170"/>
        <v/>
      </c>
      <c r="Z122" s="27" t="str">
        <f t="shared" si="171"/>
        <v/>
      </c>
      <c r="AA122" s="121"/>
      <c r="AB122" s="121"/>
      <c r="AC122" s="121"/>
      <c r="AD122" s="121"/>
      <c r="AE122" s="121"/>
      <c r="AF122" s="121"/>
      <c r="AG122" s="121"/>
      <c r="AH122" s="28" t="s">
        <v>167</v>
      </c>
      <c r="AI122" s="28" t="s">
        <v>113</v>
      </c>
      <c r="AJ122" s="27">
        <v>20300</v>
      </c>
      <c r="AK122" s="27"/>
      <c r="AL122" s="123"/>
      <c r="AM122" s="27"/>
      <c r="AN122" s="27" t="s">
        <v>3245</v>
      </c>
      <c r="AO122" s="27" t="s">
        <v>3245</v>
      </c>
      <c r="AP122" s="27" t="s">
        <v>3245</v>
      </c>
      <c r="AQ122" s="27" t="s">
        <v>3245</v>
      </c>
      <c r="AR122" s="27" t="s">
        <v>3245</v>
      </c>
      <c r="AS122" s="27" t="s">
        <v>3245</v>
      </c>
      <c r="AT122" s="27" t="s">
        <v>3245</v>
      </c>
      <c r="AU122" s="27" t="s">
        <v>3245</v>
      </c>
      <c r="AV122" s="27" t="s">
        <v>3245</v>
      </c>
      <c r="AW122" s="27" t="s">
        <v>3245</v>
      </c>
      <c r="AX122" s="27" t="s">
        <v>3245</v>
      </c>
      <c r="AY122" s="124"/>
      <c r="AZ122" s="138" t="str">
        <f>IF(C122="","","delete from module_mst where pjt_id = '"&amp;C122&amp;"' and menu_id = '"&amp;E122&amp;"';")</f>
        <v/>
      </c>
      <c r="BA122" s="31" t="str">
        <f>IF(C122&lt;&gt;"",CREATE_QUERY($D$1,C$2:AY$2,C122:AY122),"")</f>
        <v/>
      </c>
    </row>
    <row r="123" spans="1:53">
      <c r="A123" s="1">
        <v>123</v>
      </c>
      <c r="B123" s="164" t="str">
        <f t="shared" si="172"/>
        <v/>
      </c>
      <c r="C123" s="27" t="str">
        <f t="shared" si="158"/>
        <v/>
      </c>
      <c r="D123" s="121"/>
      <c r="E123" s="27">
        <v>252071</v>
      </c>
      <c r="F123" s="121"/>
      <c r="G123" s="121"/>
      <c r="H123" s="121"/>
      <c r="I123" s="121"/>
      <c r="J123" s="121"/>
      <c r="K123" s="27"/>
      <c r="L123" s="27"/>
      <c r="M123" s="27"/>
      <c r="N123" s="121"/>
      <c r="O123" s="121"/>
      <c r="P123" s="27" t="str">
        <f t="shared" si="162"/>
        <v>0</v>
      </c>
      <c r="Q123" s="27" t="str">
        <f t="shared" si="163"/>
        <v>0</v>
      </c>
      <c r="R123" s="27" t="str">
        <f t="shared" si="164"/>
        <v>0</v>
      </c>
      <c r="S123" s="27" t="str">
        <f t="shared" si="165"/>
        <v>0</v>
      </c>
      <c r="T123" s="27" t="str">
        <f t="shared" si="166"/>
        <v>0</v>
      </c>
      <c r="U123" s="27" t="str">
        <f t="shared" si="167"/>
        <v>0</v>
      </c>
      <c r="V123" s="27" t="str">
        <f t="shared" si="168"/>
        <v>1</v>
      </c>
      <c r="W123" s="27"/>
      <c r="X123" s="27" t="str">
        <f t="shared" si="169"/>
        <v/>
      </c>
      <c r="Y123" s="27" t="str">
        <f t="shared" si="170"/>
        <v/>
      </c>
      <c r="Z123" s="27" t="str">
        <f t="shared" si="171"/>
        <v/>
      </c>
      <c r="AA123" s="121"/>
      <c r="AB123" s="121"/>
      <c r="AC123" s="121"/>
      <c r="AD123" s="121"/>
      <c r="AE123" s="121"/>
      <c r="AF123" s="121"/>
      <c r="AG123" s="121"/>
      <c r="AH123" s="28" t="s">
        <v>167</v>
      </c>
      <c r="AI123" s="28" t="s">
        <v>113</v>
      </c>
      <c r="AJ123" s="27">
        <v>20300</v>
      </c>
      <c r="AK123" s="27"/>
      <c r="AL123" s="123"/>
      <c r="AM123" s="27"/>
      <c r="AN123" s="27" t="s">
        <v>3245</v>
      </c>
      <c r="AO123" s="27" t="s">
        <v>3245</v>
      </c>
      <c r="AP123" s="27" t="s">
        <v>3245</v>
      </c>
      <c r="AQ123" s="27" t="s">
        <v>3245</v>
      </c>
      <c r="AR123" s="27" t="s">
        <v>3245</v>
      </c>
      <c r="AS123" s="27" t="s">
        <v>3245</v>
      </c>
      <c r="AT123" s="27" t="s">
        <v>3245</v>
      </c>
      <c r="AU123" s="27" t="s">
        <v>3245</v>
      </c>
      <c r="AV123" s="27" t="s">
        <v>3245</v>
      </c>
      <c r="AW123" s="27" t="s">
        <v>3245</v>
      </c>
      <c r="AX123" s="27" t="s">
        <v>3245</v>
      </c>
      <c r="AY123" s="124"/>
      <c r="AZ123" s="138" t="str">
        <f>IF(C123="","","delete from module_mst where pjt_id = '"&amp;C123&amp;"' and menu_id = '"&amp;E123&amp;"';")</f>
        <v/>
      </c>
      <c r="BA123" s="31" t="str">
        <f>IF(C123&lt;&gt;"",CREATE_QUERY($D$1,C$2:AY$2,C123:AY123),"")</f>
        <v/>
      </c>
    </row>
    <row r="124" spans="1:53">
      <c r="A124" s="1">
        <v>124</v>
      </c>
      <c r="B124" s="164" t="str">
        <f t="shared" si="172"/>
        <v/>
      </c>
      <c r="C124" s="27" t="str">
        <f t="shared" si="158"/>
        <v/>
      </c>
      <c r="D124" s="121"/>
      <c r="E124" s="27">
        <v>252072</v>
      </c>
      <c r="F124" s="121"/>
      <c r="G124" s="121"/>
      <c r="H124" s="121"/>
      <c r="I124" s="121"/>
      <c r="J124" s="121"/>
      <c r="K124" s="27"/>
      <c r="L124" s="27"/>
      <c r="M124" s="27"/>
      <c r="N124" s="121"/>
      <c r="O124" s="121"/>
      <c r="P124" s="27" t="str">
        <f t="shared" si="162"/>
        <v>0</v>
      </c>
      <c r="Q124" s="27" t="str">
        <f t="shared" si="163"/>
        <v>0</v>
      </c>
      <c r="R124" s="27" t="str">
        <f t="shared" si="164"/>
        <v>0</v>
      </c>
      <c r="S124" s="27" t="str">
        <f t="shared" si="165"/>
        <v>0</v>
      </c>
      <c r="T124" s="27" t="str">
        <f t="shared" si="166"/>
        <v>0</v>
      </c>
      <c r="U124" s="27" t="str">
        <f t="shared" si="167"/>
        <v>0</v>
      </c>
      <c r="V124" s="27" t="str">
        <f t="shared" si="168"/>
        <v>1</v>
      </c>
      <c r="W124" s="27"/>
      <c r="X124" s="27" t="str">
        <f t="shared" si="169"/>
        <v/>
      </c>
      <c r="Y124" s="27" t="str">
        <f t="shared" si="170"/>
        <v/>
      </c>
      <c r="Z124" s="27" t="str">
        <f t="shared" si="171"/>
        <v/>
      </c>
      <c r="AA124" s="121"/>
      <c r="AB124" s="121"/>
      <c r="AC124" s="121"/>
      <c r="AD124" s="121"/>
      <c r="AE124" s="121"/>
      <c r="AF124" s="121"/>
      <c r="AG124" s="121"/>
      <c r="AH124" s="28" t="s">
        <v>167</v>
      </c>
      <c r="AI124" s="28" t="s">
        <v>113</v>
      </c>
      <c r="AJ124" s="27">
        <v>20300</v>
      </c>
      <c r="AK124" s="27"/>
      <c r="AL124" s="123"/>
      <c r="AM124" s="27"/>
      <c r="AN124" s="27" t="s">
        <v>3245</v>
      </c>
      <c r="AO124" s="27" t="s">
        <v>3245</v>
      </c>
      <c r="AP124" s="27" t="s">
        <v>3245</v>
      </c>
      <c r="AQ124" s="27" t="s">
        <v>3245</v>
      </c>
      <c r="AR124" s="27" t="s">
        <v>3245</v>
      </c>
      <c r="AS124" s="27" t="s">
        <v>3245</v>
      </c>
      <c r="AT124" s="27" t="s">
        <v>3245</v>
      </c>
      <c r="AU124" s="27" t="s">
        <v>3245</v>
      </c>
      <c r="AV124" s="27" t="s">
        <v>3245</v>
      </c>
      <c r="AW124" s="27" t="s">
        <v>3245</v>
      </c>
      <c r="AX124" s="27" t="s">
        <v>3245</v>
      </c>
      <c r="AY124" s="124"/>
      <c r="AZ124" s="138" t="str">
        <f>IF(C124="","","delete from module_mst where pjt_id = '"&amp;C124&amp;"' and menu_id = '"&amp;E124&amp;"';")</f>
        <v/>
      </c>
      <c r="BA124" s="31" t="str">
        <f>IF(C124&lt;&gt;"",CREATE_QUERY($D$1,C$2:AY$2,C124:AY124),"")</f>
        <v/>
      </c>
    </row>
    <row r="125" spans="1:53">
      <c r="A125" s="1">
        <v>125</v>
      </c>
      <c r="B125" s="164" t="str">
        <f t="shared" si="172"/>
        <v/>
      </c>
      <c r="C125" s="27" t="str">
        <f t="shared" si="158"/>
        <v/>
      </c>
      <c r="D125" s="121"/>
      <c r="E125" s="27">
        <v>252073</v>
      </c>
      <c r="F125" s="121"/>
      <c r="G125" s="121"/>
      <c r="H125" s="121"/>
      <c r="I125" s="121"/>
      <c r="J125" s="121"/>
      <c r="K125" s="27"/>
      <c r="L125" s="27"/>
      <c r="M125" s="27"/>
      <c r="N125" s="121"/>
      <c r="O125" s="121"/>
      <c r="P125" s="27" t="str">
        <f t="shared" si="162"/>
        <v>0</v>
      </c>
      <c r="Q125" s="27" t="str">
        <f t="shared" si="163"/>
        <v>0</v>
      </c>
      <c r="R125" s="27" t="str">
        <f t="shared" si="164"/>
        <v>0</v>
      </c>
      <c r="S125" s="27" t="str">
        <f t="shared" si="165"/>
        <v>0</v>
      </c>
      <c r="T125" s="27" t="str">
        <f t="shared" si="166"/>
        <v>0</v>
      </c>
      <c r="U125" s="27" t="str">
        <f t="shared" si="167"/>
        <v>0</v>
      </c>
      <c r="V125" s="27" t="str">
        <f t="shared" si="168"/>
        <v>1</v>
      </c>
      <c r="W125" s="27"/>
      <c r="X125" s="27" t="str">
        <f t="shared" si="169"/>
        <v/>
      </c>
      <c r="Y125" s="27" t="str">
        <f t="shared" si="170"/>
        <v/>
      </c>
      <c r="Z125" s="27" t="str">
        <f t="shared" si="171"/>
        <v/>
      </c>
      <c r="AA125" s="121"/>
      <c r="AB125" s="121"/>
      <c r="AC125" s="121"/>
      <c r="AD125" s="121"/>
      <c r="AE125" s="121"/>
      <c r="AF125" s="121"/>
      <c r="AG125" s="121"/>
      <c r="AH125" s="28" t="s">
        <v>167</v>
      </c>
      <c r="AI125" s="28" t="s">
        <v>113</v>
      </c>
      <c r="AJ125" s="27">
        <v>20300</v>
      </c>
      <c r="AK125" s="27"/>
      <c r="AL125" s="123"/>
      <c r="AM125" s="27"/>
      <c r="AN125" s="27" t="s">
        <v>3245</v>
      </c>
      <c r="AO125" s="27" t="s">
        <v>3245</v>
      </c>
      <c r="AP125" s="27" t="s">
        <v>3245</v>
      </c>
      <c r="AQ125" s="27" t="s">
        <v>3245</v>
      </c>
      <c r="AR125" s="27" t="s">
        <v>3245</v>
      </c>
      <c r="AS125" s="27" t="s">
        <v>3245</v>
      </c>
      <c r="AT125" s="27" t="s">
        <v>3245</v>
      </c>
      <c r="AU125" s="27" t="s">
        <v>3245</v>
      </c>
      <c r="AV125" s="27" t="s">
        <v>3245</v>
      </c>
      <c r="AW125" s="27" t="s">
        <v>3245</v>
      </c>
      <c r="AX125" s="27" t="s">
        <v>3245</v>
      </c>
      <c r="AY125" s="124"/>
      <c r="AZ125" s="138" t="str">
        <f>IF(C125="","","delete from module_mst where pjt_id = '"&amp;C125&amp;"' and menu_id = '"&amp;E125&amp;"';")</f>
        <v/>
      </c>
      <c r="BA125" s="31" t="str">
        <f>IF(C125&lt;&gt;"",CREATE_QUERY($D$1,C$2:AY$2,C125:AY125),"")</f>
        <v/>
      </c>
    </row>
    <row r="126" spans="1:53">
      <c r="A126" s="1">
        <v>126</v>
      </c>
      <c r="B126" s="164" t="str">
        <f t="shared" si="172"/>
        <v/>
      </c>
      <c r="C126" s="27" t="str">
        <f t="shared" si="158"/>
        <v/>
      </c>
      <c r="D126" s="121"/>
      <c r="E126" s="27">
        <v>252074</v>
      </c>
      <c r="F126" s="121"/>
      <c r="G126" s="121"/>
      <c r="H126" s="121"/>
      <c r="I126" s="121"/>
      <c r="J126" s="121"/>
      <c r="K126" s="27"/>
      <c r="L126" s="27"/>
      <c r="M126" s="27"/>
      <c r="N126" s="121"/>
      <c r="O126" s="121"/>
      <c r="P126" s="27" t="str">
        <f t="shared" si="162"/>
        <v>0</v>
      </c>
      <c r="Q126" s="27" t="str">
        <f t="shared" si="163"/>
        <v>0</v>
      </c>
      <c r="R126" s="27" t="str">
        <f t="shared" si="164"/>
        <v>0</v>
      </c>
      <c r="S126" s="27" t="str">
        <f t="shared" si="165"/>
        <v>0</v>
      </c>
      <c r="T126" s="27" t="str">
        <f t="shared" si="166"/>
        <v>0</v>
      </c>
      <c r="U126" s="27" t="str">
        <f t="shared" si="167"/>
        <v>0</v>
      </c>
      <c r="V126" s="27" t="str">
        <f t="shared" si="168"/>
        <v>1</v>
      </c>
      <c r="W126" s="27"/>
      <c r="X126" s="27" t="str">
        <f t="shared" si="169"/>
        <v/>
      </c>
      <c r="Y126" s="27" t="str">
        <f t="shared" si="170"/>
        <v/>
      </c>
      <c r="Z126" s="27" t="str">
        <f t="shared" si="171"/>
        <v/>
      </c>
      <c r="AA126" s="121"/>
      <c r="AB126" s="121"/>
      <c r="AC126" s="121"/>
      <c r="AD126" s="121"/>
      <c r="AE126" s="121"/>
      <c r="AF126" s="121"/>
      <c r="AG126" s="121"/>
      <c r="AH126" s="28" t="s">
        <v>167</v>
      </c>
      <c r="AI126" s="28" t="s">
        <v>113</v>
      </c>
      <c r="AJ126" s="27">
        <v>20300</v>
      </c>
      <c r="AK126" s="27"/>
      <c r="AL126" s="123"/>
      <c r="AM126" s="27"/>
      <c r="AN126" s="27" t="s">
        <v>3245</v>
      </c>
      <c r="AO126" s="27" t="s">
        <v>3245</v>
      </c>
      <c r="AP126" s="27" t="s">
        <v>3245</v>
      </c>
      <c r="AQ126" s="27" t="s">
        <v>3245</v>
      </c>
      <c r="AR126" s="27" t="s">
        <v>3245</v>
      </c>
      <c r="AS126" s="27" t="s">
        <v>3245</v>
      </c>
      <c r="AT126" s="27" t="s">
        <v>3245</v>
      </c>
      <c r="AU126" s="27" t="s">
        <v>3245</v>
      </c>
      <c r="AV126" s="27" t="s">
        <v>3245</v>
      </c>
      <c r="AW126" s="27" t="s">
        <v>3245</v>
      </c>
      <c r="AX126" s="27" t="s">
        <v>3245</v>
      </c>
      <c r="AY126" s="124"/>
      <c r="AZ126" s="138" t="str">
        <f>IF(C126="","","delete from module_mst where pjt_id = '"&amp;C126&amp;"' and menu_id = '"&amp;E126&amp;"';")</f>
        <v/>
      </c>
      <c r="BA126" s="31" t="str">
        <f>IF(C126&lt;&gt;"",CREATE_QUERY($D$1,C$2:AY$2,C126:AY126),"")</f>
        <v/>
      </c>
    </row>
    <row r="127" spans="1:53">
      <c r="A127" s="1">
        <v>127</v>
      </c>
      <c r="B127" s="164" t="str">
        <f t="shared" si="172"/>
        <v/>
      </c>
      <c r="C127" s="27" t="str">
        <f t="shared" si="158"/>
        <v/>
      </c>
      <c r="D127" s="121"/>
      <c r="E127" s="27">
        <v>252075</v>
      </c>
      <c r="F127" s="121"/>
      <c r="G127" s="121" t="s">
        <v>900</v>
      </c>
      <c r="H127" s="121"/>
      <c r="I127" s="121"/>
      <c r="J127" s="121"/>
      <c r="K127" s="27" t="str">
        <f t="shared" ref="K127" si="175">IF(O127="","","1")</f>
        <v/>
      </c>
      <c r="L127" s="27" t="str">
        <f t="shared" ref="L127" si="176">IF(F127="","","1")</f>
        <v/>
      </c>
      <c r="M127" s="27" t="str">
        <f t="shared" ref="M127" si="177">IF(O127="","0","1")</f>
        <v>0</v>
      </c>
      <c r="N127" s="121"/>
      <c r="O127" s="121"/>
      <c r="P127" s="27" t="str">
        <f t="shared" si="162"/>
        <v>0</v>
      </c>
      <c r="Q127" s="27" t="str">
        <f t="shared" si="163"/>
        <v>0</v>
      </c>
      <c r="R127" s="27" t="str">
        <f t="shared" si="164"/>
        <v>0</v>
      </c>
      <c r="S127" s="27" t="str">
        <f t="shared" si="165"/>
        <v>0</v>
      </c>
      <c r="T127" s="27" t="str">
        <f t="shared" si="166"/>
        <v>0</v>
      </c>
      <c r="U127" s="27" t="str">
        <f t="shared" si="167"/>
        <v>0</v>
      </c>
      <c r="V127" s="27" t="str">
        <f t="shared" si="168"/>
        <v>1</v>
      </c>
      <c r="W127" s="27"/>
      <c r="X127" s="27" t="str">
        <f t="shared" si="169"/>
        <v/>
      </c>
      <c r="Y127" s="27" t="str">
        <f t="shared" si="170"/>
        <v/>
      </c>
      <c r="Z127" s="27" t="str">
        <f t="shared" si="171"/>
        <v/>
      </c>
      <c r="AA127" s="121"/>
      <c r="AB127" s="121"/>
      <c r="AC127" s="121"/>
      <c r="AD127" s="121"/>
      <c r="AE127" s="121" t="s">
        <v>51</v>
      </c>
      <c r="AF127" s="121"/>
      <c r="AG127" s="121"/>
      <c r="AH127" s="28" t="s">
        <v>167</v>
      </c>
      <c r="AI127" s="28" t="s">
        <v>113</v>
      </c>
      <c r="AJ127" s="27">
        <v>20300</v>
      </c>
      <c r="AK127" s="27" t="str">
        <f t="shared" ref="AK127" si="178">IF(B127="","","0")</f>
        <v/>
      </c>
      <c r="AL127" s="123" t="str">
        <f t="shared" ref="AL127" si="179">IF(C127="","",C127&amp;"/"&amp;F127&amp;"/"&amp;N127&amp;"/"&amp;O127)</f>
        <v/>
      </c>
      <c r="AM127" s="27"/>
      <c r="AN127" s="27" t="s">
        <v>3245</v>
      </c>
      <c r="AO127" s="27" t="s">
        <v>3245</v>
      </c>
      <c r="AP127" s="27" t="s">
        <v>3245</v>
      </c>
      <c r="AQ127" s="27" t="s">
        <v>3245</v>
      </c>
      <c r="AR127" s="27" t="s">
        <v>3245</v>
      </c>
      <c r="AS127" s="27" t="s">
        <v>3245</v>
      </c>
      <c r="AT127" s="27" t="s">
        <v>3245</v>
      </c>
      <c r="AU127" s="27" t="s">
        <v>3245</v>
      </c>
      <c r="AV127" s="27" t="s">
        <v>3245</v>
      </c>
      <c r="AW127" s="27" t="s">
        <v>3245</v>
      </c>
      <c r="AX127" s="27" t="s">
        <v>3245</v>
      </c>
      <c r="AY127" s="124"/>
      <c r="AZ127" s="138" t="str">
        <f>IF(C127="","","delete from module_mst where pjt_id = '"&amp;C127&amp;"' and menu_id = '"&amp;E127&amp;"';")</f>
        <v/>
      </c>
      <c r="BA127" s="31" t="str">
        <f>IF(C127&lt;&gt;"",CREATE_QUERY($D$1,C$2:AY$2,C127:AY127),"")</f>
        <v/>
      </c>
    </row>
    <row r="128" spans="1:53">
      <c r="A128" s="1">
        <v>128</v>
      </c>
      <c r="B128" s="164" t="str">
        <f t="shared" si="172"/>
        <v/>
      </c>
      <c r="C128" s="27" t="str">
        <f t="shared" ref="C128" si="180">IF(F128="","","14821")</f>
        <v/>
      </c>
      <c r="D128" s="121"/>
      <c r="E128" s="27">
        <v>252076</v>
      </c>
      <c r="F128" s="121"/>
      <c r="G128" s="121"/>
      <c r="H128" s="121"/>
      <c r="I128" s="121"/>
      <c r="J128" s="121"/>
      <c r="K128" s="27"/>
      <c r="L128" s="27"/>
      <c r="M128" s="27"/>
      <c r="N128" s="121"/>
      <c r="O128" s="121"/>
      <c r="P128" s="27" t="str">
        <f t="shared" si="162"/>
        <v>0</v>
      </c>
      <c r="Q128" s="27" t="str">
        <f t="shared" si="163"/>
        <v>0</v>
      </c>
      <c r="R128" s="27" t="str">
        <f t="shared" si="164"/>
        <v>0</v>
      </c>
      <c r="S128" s="27" t="str">
        <f t="shared" si="165"/>
        <v>0</v>
      </c>
      <c r="T128" s="27" t="str">
        <f t="shared" si="166"/>
        <v>0</v>
      </c>
      <c r="U128" s="27" t="str">
        <f t="shared" si="167"/>
        <v>0</v>
      </c>
      <c r="V128" s="27" t="str">
        <f t="shared" si="168"/>
        <v>1</v>
      </c>
      <c r="W128" s="27"/>
      <c r="X128" s="27" t="str">
        <f t="shared" si="169"/>
        <v/>
      </c>
      <c r="Y128" s="27" t="str">
        <f t="shared" si="170"/>
        <v/>
      </c>
      <c r="Z128" s="27" t="str">
        <f t="shared" si="171"/>
        <v/>
      </c>
      <c r="AA128" s="121"/>
      <c r="AB128" s="121"/>
      <c r="AC128" s="121"/>
      <c r="AD128" s="121"/>
      <c r="AE128" s="121"/>
      <c r="AF128" s="121"/>
      <c r="AG128" s="121"/>
      <c r="AH128" s="28" t="s">
        <v>167</v>
      </c>
      <c r="AI128" s="28" t="s">
        <v>113</v>
      </c>
      <c r="AJ128" s="27">
        <v>20300</v>
      </c>
      <c r="AK128" s="27"/>
      <c r="AL128" s="123"/>
      <c r="AM128" s="27"/>
      <c r="AN128" s="27" t="s">
        <v>3245</v>
      </c>
      <c r="AO128" s="27" t="s">
        <v>3245</v>
      </c>
      <c r="AP128" s="27" t="s">
        <v>3245</v>
      </c>
      <c r="AQ128" s="27" t="s">
        <v>3245</v>
      </c>
      <c r="AR128" s="27" t="s">
        <v>3245</v>
      </c>
      <c r="AS128" s="27" t="s">
        <v>3245</v>
      </c>
      <c r="AT128" s="27" t="s">
        <v>3245</v>
      </c>
      <c r="AU128" s="27" t="s">
        <v>3245</v>
      </c>
      <c r="AV128" s="27" t="s">
        <v>3245</v>
      </c>
      <c r="AW128" s="27" t="s">
        <v>3245</v>
      </c>
      <c r="AX128" s="27" t="s">
        <v>3245</v>
      </c>
      <c r="AY128" s="124"/>
      <c r="AZ128" s="138" t="str">
        <f>IF(C128="","","delete from module_mst where pjt_id = '"&amp;C128&amp;"' and menu_id = '"&amp;E128&amp;"';")</f>
        <v/>
      </c>
      <c r="BA128" s="31" t="str">
        <f>IF(C128&lt;&gt;"",CREATE_QUERY($D$1,C$2:AY$2,C128:AY128),"")</f>
        <v/>
      </c>
    </row>
    <row r="129" spans="1:53">
      <c r="A129" s="1">
        <v>129</v>
      </c>
      <c r="B129" s="164"/>
      <c r="C129" s="27"/>
      <c r="D129" s="121"/>
      <c r="E129" s="27"/>
      <c r="F129" s="121"/>
      <c r="G129" s="121"/>
      <c r="H129" s="121"/>
      <c r="I129" s="121"/>
      <c r="J129" s="121"/>
      <c r="K129" s="27"/>
      <c r="L129" s="27"/>
      <c r="M129" s="27"/>
      <c r="N129" s="121"/>
      <c r="O129" s="121"/>
      <c r="P129" s="27"/>
      <c r="Q129" s="27"/>
      <c r="R129" s="27"/>
      <c r="S129" s="27"/>
      <c r="T129" s="27"/>
      <c r="U129" s="27"/>
      <c r="V129" s="27"/>
      <c r="W129" s="27"/>
      <c r="X129" s="27"/>
      <c r="Y129" s="27"/>
      <c r="Z129" s="27"/>
      <c r="AA129" s="121"/>
      <c r="AB129" s="121"/>
      <c r="AC129" s="121"/>
      <c r="AD129" s="121"/>
      <c r="AE129" s="121"/>
      <c r="AF129" s="121"/>
      <c r="AG129" s="121"/>
      <c r="AH129" s="28"/>
      <c r="AI129" s="28"/>
      <c r="AJ129" s="27"/>
      <c r="AK129" s="27"/>
      <c r="AL129" s="123"/>
      <c r="AM129" s="27"/>
      <c r="AN129" s="27"/>
      <c r="AO129" s="27"/>
      <c r="AP129" s="27"/>
      <c r="AQ129" s="27"/>
      <c r="AR129" s="27"/>
      <c r="AS129" s="27"/>
      <c r="AT129" s="27"/>
      <c r="AU129" s="27"/>
      <c r="AV129" s="27"/>
      <c r="AW129" s="27"/>
      <c r="AX129" s="27"/>
      <c r="AY129" s="124"/>
    </row>
    <row r="130" spans="1:53">
      <c r="A130" s="1">
        <v>130</v>
      </c>
      <c r="B130" s="164"/>
      <c r="C130" s="27"/>
      <c r="D130" s="121"/>
      <c r="E130" s="27"/>
      <c r="F130" s="121"/>
      <c r="G130" s="121"/>
      <c r="H130" s="121"/>
      <c r="I130" s="121"/>
      <c r="J130" s="121"/>
      <c r="K130" s="27"/>
      <c r="L130" s="27"/>
      <c r="M130" s="27"/>
      <c r="N130" s="121"/>
      <c r="O130" s="121"/>
      <c r="P130" s="27"/>
      <c r="Q130" s="27"/>
      <c r="R130" s="27"/>
      <c r="S130" s="27"/>
      <c r="T130" s="27"/>
      <c r="U130" s="27"/>
      <c r="V130" s="27"/>
      <c r="W130" s="27"/>
      <c r="X130" s="27"/>
      <c r="Y130" s="27"/>
      <c r="Z130" s="27"/>
      <c r="AA130" s="121"/>
      <c r="AB130" s="121"/>
      <c r="AC130" s="121"/>
      <c r="AD130" s="121"/>
      <c r="AE130" s="121"/>
      <c r="AF130" s="121"/>
      <c r="AG130" s="121"/>
      <c r="AH130" s="28"/>
      <c r="AI130" s="28"/>
      <c r="AJ130" s="27"/>
      <c r="AK130" s="27"/>
      <c r="AL130" s="123"/>
      <c r="AM130" s="27"/>
      <c r="AN130" s="27"/>
      <c r="AO130" s="27"/>
      <c r="AP130" s="27"/>
      <c r="AQ130" s="27"/>
      <c r="AR130" s="27"/>
      <c r="AS130" s="27"/>
      <c r="AT130" s="27"/>
      <c r="AU130" s="27"/>
      <c r="AV130" s="27"/>
      <c r="AW130" s="27"/>
      <c r="AX130" s="27"/>
      <c r="AY130" s="124"/>
    </row>
    <row r="131" spans="1:53">
      <c r="A131" s="1">
        <v>131</v>
      </c>
      <c r="B131" s="164"/>
      <c r="C131" s="27"/>
      <c r="D131" s="121"/>
      <c r="E131" s="27"/>
      <c r="F131" s="121"/>
      <c r="G131" s="121"/>
      <c r="H131" s="121"/>
      <c r="I131" s="121"/>
      <c r="J131" s="121"/>
      <c r="K131" s="27"/>
      <c r="L131" s="27"/>
      <c r="M131" s="27"/>
      <c r="N131" s="121"/>
      <c r="O131" s="121"/>
      <c r="P131" s="27"/>
      <c r="Q131" s="27"/>
      <c r="R131" s="27"/>
      <c r="S131" s="27"/>
      <c r="T131" s="27"/>
      <c r="U131" s="27"/>
      <c r="V131" s="27"/>
      <c r="W131" s="27"/>
      <c r="X131" s="27"/>
      <c r="Y131" s="27"/>
      <c r="Z131" s="27"/>
      <c r="AA131" s="121"/>
      <c r="AB131" s="121"/>
      <c r="AC131" s="121"/>
      <c r="AD131" s="121"/>
      <c r="AE131" s="121"/>
      <c r="AF131" s="121"/>
      <c r="AG131" s="121"/>
      <c r="AH131" s="28"/>
      <c r="AI131" s="28"/>
      <c r="AJ131" s="27"/>
      <c r="AK131" s="27"/>
      <c r="AL131" s="123"/>
      <c r="AM131" s="27"/>
      <c r="AN131" s="27"/>
      <c r="AO131" s="27"/>
      <c r="AP131" s="27"/>
      <c r="AQ131" s="27"/>
      <c r="AR131" s="27"/>
      <c r="AS131" s="27"/>
      <c r="AT131" s="27"/>
      <c r="AU131" s="27"/>
      <c r="AV131" s="27"/>
      <c r="AW131" s="27"/>
      <c r="AX131" s="27"/>
      <c r="AY131" s="124"/>
    </row>
    <row r="132" spans="1:53">
      <c r="A132" s="1">
        <v>132</v>
      </c>
      <c r="B132" s="159" t="str">
        <f t="shared" si="141"/>
        <v xml:space="preserve">    └ 매출관리</v>
      </c>
      <c r="C132" s="27" t="str">
        <f t="shared" si="138"/>
        <v>14821</v>
      </c>
      <c r="D132" s="121"/>
      <c r="E132" s="21">
        <v>254000</v>
      </c>
      <c r="F132" s="118" t="s">
        <v>2960</v>
      </c>
      <c r="G132" s="118" t="s">
        <v>3107</v>
      </c>
      <c r="H132" s="118"/>
      <c r="I132" s="118"/>
      <c r="J132" s="118"/>
      <c r="K132" s="21" t="str">
        <f t="shared" si="143"/>
        <v/>
      </c>
      <c r="L132" s="21" t="str">
        <f t="shared" si="139"/>
        <v>1</v>
      </c>
      <c r="M132" s="21" t="str">
        <f t="shared" si="144"/>
        <v>0</v>
      </c>
      <c r="N132" s="118"/>
      <c r="O132" s="118"/>
      <c r="P132" s="21" t="str">
        <f t="shared" ref="P132:P143" si="181">IF(O132="","0","1")</f>
        <v>0</v>
      </c>
      <c r="Q132" s="21" t="str">
        <f t="shared" ref="Q132:Q143" si="182">IF(O132="","0","1")</f>
        <v>0</v>
      </c>
      <c r="R132" s="21" t="str">
        <f t="shared" ref="R132:R143" si="183">IF(O132="","0","1")</f>
        <v>0</v>
      </c>
      <c r="S132" s="21" t="str">
        <f t="shared" ref="S132:S143" si="184">IF(O132="","0","1")</f>
        <v>0</v>
      </c>
      <c r="T132" s="21" t="str">
        <f t="shared" ref="T132:T143" si="185">IF(O132="","0","1")</f>
        <v>0</v>
      </c>
      <c r="U132" s="21" t="str">
        <f t="shared" ref="U132:U143" si="186">IF(O132="","0","1")</f>
        <v>0</v>
      </c>
      <c r="V132" s="21" t="str">
        <f t="shared" ref="V132:V143" si="187">IF(O132="","1","1")</f>
        <v>1</v>
      </c>
      <c r="W132" s="21"/>
      <c r="X132" s="21" t="str">
        <f t="shared" ref="X132:X143" si="188">IF(O132="","","0")</f>
        <v/>
      </c>
      <c r="Y132" s="21" t="str">
        <f t="shared" ref="Y132:Y143" si="189">IF(O132="","","0")</f>
        <v/>
      </c>
      <c r="Z132" s="21" t="str">
        <f t="shared" ref="Z132:Z143" si="190">IF(O132="","","0")</f>
        <v/>
      </c>
      <c r="AA132" s="118"/>
      <c r="AB132" s="118"/>
      <c r="AC132" s="118"/>
      <c r="AD132" s="118"/>
      <c r="AE132" s="118" t="s">
        <v>51</v>
      </c>
      <c r="AF132" s="118"/>
      <c r="AG132" s="118"/>
      <c r="AH132" s="26" t="s">
        <v>163</v>
      </c>
      <c r="AI132" s="26" t="s">
        <v>112</v>
      </c>
      <c r="AJ132" s="26">
        <v>254000</v>
      </c>
      <c r="AK132" s="26" t="str">
        <f t="shared" si="136"/>
        <v>0</v>
      </c>
      <c r="AL132" s="123" t="str">
        <f t="shared" ref="AL132:AL161" si="191">IF(C132="","",C132&amp;"/"&amp;F132&amp;"/"&amp;N132&amp;"/"&amp;O132)</f>
        <v>14821/매출관리//</v>
      </c>
      <c r="AM132" s="26" t="s">
        <v>2979</v>
      </c>
      <c r="AN132" s="26" t="str">
        <f t="shared" ref="AN132:AX132" si="192">IF(COUNTIF(AN133:AN143,"="&amp;"Y")&gt;0,"Y",IF(COUNTIF(AN133:AN143,"="&amp;"-")&gt;0,"m",""))</f>
        <v>m</v>
      </c>
      <c r="AO132" s="26" t="str">
        <f t="shared" si="192"/>
        <v>m</v>
      </c>
      <c r="AP132" s="26" t="str">
        <f t="shared" si="192"/>
        <v>m</v>
      </c>
      <c r="AQ132" s="26" t="str">
        <f t="shared" si="192"/>
        <v>m</v>
      </c>
      <c r="AR132" s="26" t="str">
        <f t="shared" si="192"/>
        <v>m</v>
      </c>
      <c r="AS132" s="26" t="str">
        <f t="shared" si="192"/>
        <v>m</v>
      </c>
      <c r="AT132" s="26" t="str">
        <f t="shared" si="192"/>
        <v>m</v>
      </c>
      <c r="AU132" s="26" t="str">
        <f t="shared" si="192"/>
        <v>m</v>
      </c>
      <c r="AV132" s="26" t="str">
        <f t="shared" si="192"/>
        <v>m</v>
      </c>
      <c r="AW132" s="26" t="str">
        <f t="shared" si="192"/>
        <v>Y</v>
      </c>
      <c r="AX132" s="26" t="str">
        <f t="shared" si="192"/>
        <v>m</v>
      </c>
      <c r="AY132" s="124"/>
      <c r="AZ132" s="138" t="str">
        <f>IF(C132="","","delete from module_mst where pjt_id = '"&amp;C132&amp;"' and menu_id = '"&amp;E132&amp;"';")</f>
        <v>delete from module_mst where pjt_id = '14821' and menu_id = '254000';</v>
      </c>
      <c r="BA132" s="31" t="str">
        <f>IF(C132&lt;&gt;"",CREATE_QUERY($D$1,C$2:AY$2,C132:AY132),"")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'254000', '매출관리', 'Sales management', '', '', '', '', '1', '0', '', '', '0', '0', '0', '0', '0', '0', '1', '', '', '', '', '', '', '', '', 'N', '', '', '250000', '4', '254000', '0', '14821/매출관리//', '메뉴', '');</v>
      </c>
    </row>
    <row r="133" spans="1:53">
      <c r="A133" s="1">
        <v>133</v>
      </c>
      <c r="B133" s="164" t="str">
        <f t="shared" si="141"/>
        <v xml:space="preserve">        └ (공통)청구내역 관리</v>
      </c>
      <c r="C133" s="27" t="str">
        <f t="shared" si="138"/>
        <v>14821</v>
      </c>
      <c r="D133" s="121"/>
      <c r="E133" s="27">
        <v>254013</v>
      </c>
      <c r="F133" s="121" t="s">
        <v>2969</v>
      </c>
      <c r="G133" s="121" t="s">
        <v>3123</v>
      </c>
      <c r="H133" s="121"/>
      <c r="I133" s="121"/>
      <c r="J133" s="121"/>
      <c r="K133" s="27" t="str">
        <f t="shared" si="143"/>
        <v>1</v>
      </c>
      <c r="L133" s="27" t="str">
        <f t="shared" si="139"/>
        <v>1</v>
      </c>
      <c r="M133" s="27" t="str">
        <f t="shared" si="144"/>
        <v>1</v>
      </c>
      <c r="N133" s="121" t="s">
        <v>2970</v>
      </c>
      <c r="O133" s="121" t="s">
        <v>2971</v>
      </c>
      <c r="P133" s="27" t="str">
        <f t="shared" si="181"/>
        <v>1</v>
      </c>
      <c r="Q133" s="27" t="str">
        <f t="shared" si="182"/>
        <v>1</v>
      </c>
      <c r="R133" s="27" t="str">
        <f t="shared" si="183"/>
        <v>1</v>
      </c>
      <c r="S133" s="27" t="str">
        <f t="shared" si="184"/>
        <v>1</v>
      </c>
      <c r="T133" s="27" t="str">
        <f t="shared" si="185"/>
        <v>1</v>
      </c>
      <c r="U133" s="27" t="str">
        <f t="shared" si="186"/>
        <v>1</v>
      </c>
      <c r="V133" s="27" t="str">
        <f t="shared" si="187"/>
        <v>1</v>
      </c>
      <c r="W133" s="27"/>
      <c r="X133" s="27" t="str">
        <f t="shared" si="188"/>
        <v>0</v>
      </c>
      <c r="Y133" s="27" t="str">
        <f t="shared" si="189"/>
        <v>0</v>
      </c>
      <c r="Z133" s="27" t="str">
        <f t="shared" si="190"/>
        <v>0</v>
      </c>
      <c r="AA133" s="121"/>
      <c r="AB133" s="121"/>
      <c r="AC133" s="121"/>
      <c r="AD133" s="121"/>
      <c r="AE133" s="121" t="s">
        <v>51</v>
      </c>
      <c r="AF133" s="121"/>
      <c r="AG133" s="121"/>
      <c r="AH133" s="28" t="s">
        <v>2959</v>
      </c>
      <c r="AI133" s="28" t="s">
        <v>113</v>
      </c>
      <c r="AJ133" s="27">
        <v>254050</v>
      </c>
      <c r="AK133" s="27" t="str">
        <f t="shared" si="136"/>
        <v>0</v>
      </c>
      <c r="AL133" s="123" t="str">
        <f t="shared" si="191"/>
        <v>14821/청구내역 관리/custom.iypkg.sale.sale/RqstWork</v>
      </c>
      <c r="AM133" s="27" t="s">
        <v>2984</v>
      </c>
      <c r="AN133" s="27"/>
      <c r="AO133" s="27"/>
      <c r="AP133" s="27"/>
      <c r="AQ133" s="27"/>
      <c r="AR133" s="27"/>
      <c r="AS133" s="27"/>
      <c r="AT133" s="27"/>
      <c r="AU133" s="27"/>
      <c r="AV133" s="27"/>
      <c r="AW133" s="27" t="s">
        <v>1829</v>
      </c>
      <c r="AX133" s="27"/>
      <c r="AY133" s="124"/>
      <c r="AZ133" s="138" t="str">
        <f>IF(C133="","","delete from module_mst where pjt_id = '"&amp;C133&amp;"' and menu_id = '"&amp;E133&amp;"';")</f>
        <v>delete from module_mst where pjt_id = '14821' and menu_id = '254013';</v>
      </c>
      <c r="BA133" s="31" t="str">
        <f>IF(C133&lt;&gt;"",CREATE_QUERY($D$1,C$2:AY$2,C133:AY133),"")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'254013', '청구내역 관리', 'Billing history management', '', '', '', '1', '1', '1', 'custom.iypkg.sale.sale', 'RqstWork', '1', '1', '1', '1', '1', '1', '1', '', '0', '0', '0', '', '', '', '', 'N', '', '', '254000', '5', '254050', '0', '14821/청구내역 관리/custom.iypkg.sale.sale/RqstWork', '공통', '');</v>
      </c>
    </row>
    <row r="134" spans="1:53">
      <c r="A134" s="1">
        <v>134</v>
      </c>
      <c r="B134" s="164" t="str">
        <f t="shared" si="141"/>
        <v xml:space="preserve">        └ (선택)매출 세금계산서 관리</v>
      </c>
      <c r="C134" s="27" t="str">
        <f t="shared" si="138"/>
        <v>14821</v>
      </c>
      <c r="D134" s="121"/>
      <c r="E134" s="27">
        <v>254034</v>
      </c>
      <c r="F134" s="121" t="s">
        <v>3268</v>
      </c>
      <c r="G134" s="121" t="s">
        <v>900</v>
      </c>
      <c r="H134" s="121"/>
      <c r="I134" s="121"/>
      <c r="J134" s="121"/>
      <c r="K134" s="27" t="str">
        <f t="shared" si="143"/>
        <v>1</v>
      </c>
      <c r="L134" s="27" t="str">
        <f t="shared" si="139"/>
        <v>1</v>
      </c>
      <c r="M134" s="27" t="str">
        <f t="shared" si="144"/>
        <v>1</v>
      </c>
      <c r="N134" s="121" t="s">
        <v>3265</v>
      </c>
      <c r="O134" s="121" t="s">
        <v>3269</v>
      </c>
      <c r="P134" s="27" t="str">
        <f t="shared" si="181"/>
        <v>1</v>
      </c>
      <c r="Q134" s="27" t="str">
        <f t="shared" si="182"/>
        <v>1</v>
      </c>
      <c r="R134" s="27" t="str">
        <f t="shared" si="183"/>
        <v>1</v>
      </c>
      <c r="S134" s="27" t="str">
        <f t="shared" si="184"/>
        <v>1</v>
      </c>
      <c r="T134" s="27" t="str">
        <f t="shared" si="185"/>
        <v>1</v>
      </c>
      <c r="U134" s="27" t="str">
        <f t="shared" si="186"/>
        <v>1</v>
      </c>
      <c r="V134" s="27" t="str">
        <f t="shared" si="187"/>
        <v>1</v>
      </c>
      <c r="W134" s="27"/>
      <c r="X134" s="27" t="str">
        <f t="shared" si="188"/>
        <v>0</v>
      </c>
      <c r="Y134" s="27" t="str">
        <f t="shared" si="189"/>
        <v>0</v>
      </c>
      <c r="Z134" s="27" t="str">
        <f t="shared" si="190"/>
        <v>0</v>
      </c>
      <c r="AA134" s="121"/>
      <c r="AB134" s="121"/>
      <c r="AC134" s="121"/>
      <c r="AD134" s="121"/>
      <c r="AE134" s="121" t="s">
        <v>51</v>
      </c>
      <c r="AF134" s="121"/>
      <c r="AG134" s="121"/>
      <c r="AH134" s="28" t="s">
        <v>2959</v>
      </c>
      <c r="AI134" s="28" t="s">
        <v>113</v>
      </c>
      <c r="AJ134" s="27">
        <v>254120</v>
      </c>
      <c r="AK134" s="27" t="str">
        <f t="shared" si="136"/>
        <v>0</v>
      </c>
      <c r="AL134" s="123" t="str">
        <f t="shared" si="191"/>
        <v>14821/매출 세금계산서 관리/sale.sale/SaleWork</v>
      </c>
      <c r="AM134" s="27" t="s">
        <v>3350</v>
      </c>
      <c r="AN134" s="27" t="s">
        <v>3245</v>
      </c>
      <c r="AO134" s="27" t="s">
        <v>3245</v>
      </c>
      <c r="AP134" s="27" t="s">
        <v>3245</v>
      </c>
      <c r="AQ134" s="27" t="s">
        <v>3245</v>
      </c>
      <c r="AR134" s="27" t="s">
        <v>3245</v>
      </c>
      <c r="AS134" s="27" t="s">
        <v>3245</v>
      </c>
      <c r="AT134" s="27" t="s">
        <v>3245</v>
      </c>
      <c r="AU134" s="27" t="s">
        <v>3245</v>
      </c>
      <c r="AV134" s="27" t="s">
        <v>3245</v>
      </c>
      <c r="AW134" s="27" t="s">
        <v>3245</v>
      </c>
      <c r="AX134" s="27" t="s">
        <v>3245</v>
      </c>
      <c r="AY134" s="124"/>
      <c r="AZ134" s="138" t="str">
        <f>IF(C134="","","delete from module_mst where pjt_id = '"&amp;C134&amp;"' and menu_id = '"&amp;E134&amp;"';")</f>
        <v>delete from module_mst where pjt_id = '14821' and menu_id = '254034';</v>
      </c>
      <c r="BA134" s="31" t="str">
        <f>IF(C134&lt;&gt;"",CREATE_QUERY($D$1,C$2:AY$2,C134:AY134),"")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'254034', '매출 세금계산서 관리', '', '', '', '', '1', '1', '1', 'sale.sale', 'SaleWork', '1', '1', '1', '1', '1', '1', '1', '', '0', '0', '0', '', '', '', '', 'N', '', '', '254000', '5', '254120', '0', '14821/매출 세금계산서 관리/sale.sale/SaleWork', '선택', '');</v>
      </c>
    </row>
    <row r="135" spans="1:53">
      <c r="A135" s="1">
        <v>135</v>
      </c>
      <c r="B135" s="164" t="str">
        <f>IF(F135="","",IF(AI135="1","",IF(AI135="2","└ ",IF(AI135="3","  └ ",IF(AI135="4","    └ ",IF(AI135="5","        └ ",IF(AI135="6","         └ ",IF(AI135="7"="            └ ",""))))))))&amp;IF(AM135="","",IF(AM135="메뉴","","("&amp;AM135&amp;")"))&amp;F135</f>
        <v xml:space="preserve">        └ (선택)매출 세금계산서 관리</v>
      </c>
      <c r="C135" s="27" t="str">
        <f>IF(F135="","","14821")</f>
        <v>14821</v>
      </c>
      <c r="D135" s="121"/>
      <c r="E135" s="27"/>
      <c r="F135" s="121" t="s">
        <v>3268</v>
      </c>
      <c r="G135" s="121"/>
      <c r="H135" s="121"/>
      <c r="I135" s="121"/>
      <c r="J135" s="121"/>
      <c r="K135" s="27" t="str">
        <f>IF(O135="","","1")</f>
        <v>1</v>
      </c>
      <c r="L135" s="27" t="str">
        <f>IF(F135="","","1")</f>
        <v>1</v>
      </c>
      <c r="M135" s="27" t="str">
        <f>IF(O135="","0","1")</f>
        <v>1</v>
      </c>
      <c r="N135" s="121" t="s">
        <v>3307</v>
      </c>
      <c r="O135" s="121" t="s">
        <v>2365</v>
      </c>
      <c r="P135" s="27" t="str">
        <f>IF(O135="","0","1")</f>
        <v>1</v>
      </c>
      <c r="Q135" s="27" t="str">
        <f>IF(O135="","0","1")</f>
        <v>1</v>
      </c>
      <c r="R135" s="27" t="str">
        <f>IF(O135="","0","1")</f>
        <v>1</v>
      </c>
      <c r="S135" s="27" t="str">
        <f>IF(O135="","0","1")</f>
        <v>1</v>
      </c>
      <c r="T135" s="27" t="str">
        <f>IF(O135="","0","1")</f>
        <v>1</v>
      </c>
      <c r="U135" s="27" t="str">
        <f>IF(O135="","0","1")</f>
        <v>1</v>
      </c>
      <c r="V135" s="27" t="str">
        <f>IF(O135="","1","1")</f>
        <v>1</v>
      </c>
      <c r="W135" s="27"/>
      <c r="X135" s="27" t="str">
        <f>IF(O135="","","0")</f>
        <v>0</v>
      </c>
      <c r="Y135" s="27" t="str">
        <f>IF(O135="","","0")</f>
        <v>0</v>
      </c>
      <c r="Z135" s="27" t="str">
        <f>IF(O135="","","0")</f>
        <v>0</v>
      </c>
      <c r="AA135" s="121"/>
      <c r="AB135" s="121"/>
      <c r="AC135" s="121"/>
      <c r="AD135" s="121"/>
      <c r="AE135" s="121"/>
      <c r="AF135" s="121"/>
      <c r="AG135" s="121"/>
      <c r="AH135" s="28" t="s">
        <v>2959</v>
      </c>
      <c r="AI135" s="28" t="s">
        <v>113</v>
      </c>
      <c r="AJ135" s="27">
        <v>254200</v>
      </c>
      <c r="AK135" s="27" t="str">
        <f>IF(B135="","","0")</f>
        <v>0</v>
      </c>
      <c r="AL135" s="123" t="str">
        <f>IF(C135="","",C135&amp;"/"&amp;F135&amp;"/"&amp;N135&amp;"/"&amp;O135)</f>
        <v>14821/매출 세금계산서 관리/custom.sjflv.sale.sale/SaleWork</v>
      </c>
      <c r="AM135" s="27" t="s">
        <v>3350</v>
      </c>
      <c r="AN135" s="27"/>
      <c r="AO135" s="27"/>
      <c r="AP135" s="27"/>
      <c r="AQ135" s="27"/>
      <c r="AR135" s="27"/>
      <c r="AS135" s="27"/>
      <c r="AT135" s="27"/>
      <c r="AU135" s="27"/>
      <c r="AV135" s="27"/>
      <c r="AW135" s="27"/>
      <c r="AX135" s="27"/>
      <c r="AY135" s="124"/>
      <c r="AZ135" s="138" t="str">
        <f>IF(C135="","","delete from module_mst where pjt_id = '"&amp;C135&amp;"' and menu_id = '"&amp;E135&amp;"';")</f>
        <v>delete from module_mst where pjt_id = '14821' and menu_id = '';</v>
      </c>
      <c r="BA135" s="31" t="str">
        <f>IF(C135&lt;&gt;"",CREATE_QUERY($D$1,C$2:AY$2,C135:AY135),"")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 '매출 세금계산서 관리', '', '', '', '', '1', '1', '1', 'custom.sjflv.sale.sale', 'SaleWork', '1', '1', '1', '1', '1', '1', '1', '', '0', '0', '0', '', '', '', '', '', '', '', '254000', '5', '254200', '0', '14821/매출 세금계산서 관리/custom.sjflv.sale.sale/SaleWork', '선택', '');</v>
      </c>
    </row>
    <row r="136" spans="1:53">
      <c r="A136" s="1">
        <v>136</v>
      </c>
      <c r="B136" s="164" t="str">
        <f>IF(F136="","",IF(AI136="1","",IF(AI136="2","└ ",IF(AI136="3","  └ ",IF(AI136="4","    └ ",IF(AI136="5","        └ ",IF(AI136="6","         └ ",IF(AI136="7"="            └ ",""))))))))&amp;IF(AM136="","",IF(AM136="메뉴","","("&amp;AM136&amp;")"))&amp;F136</f>
        <v xml:space="preserve">        └ (공통)매출일보</v>
      </c>
      <c r="C136" s="27" t="str">
        <f>IF(F136="","","14821")</f>
        <v>14821</v>
      </c>
      <c r="D136" s="121"/>
      <c r="E136" s="27">
        <v>254016</v>
      </c>
      <c r="F136" s="121" t="s">
        <v>3004</v>
      </c>
      <c r="G136" s="121" t="s">
        <v>3122</v>
      </c>
      <c r="H136" s="121"/>
      <c r="I136" s="121"/>
      <c r="J136" s="121"/>
      <c r="K136" s="27" t="str">
        <f>IF(O136="","","1")</f>
        <v>1</v>
      </c>
      <c r="L136" s="27" t="str">
        <f>IF(F136="","","1")</f>
        <v>1</v>
      </c>
      <c r="M136" s="27" t="str">
        <f>IF(O136="","0","1")</f>
        <v>1</v>
      </c>
      <c r="N136" s="121" t="s">
        <v>2970</v>
      </c>
      <c r="O136" s="121" t="s">
        <v>3048</v>
      </c>
      <c r="P136" s="27" t="str">
        <f>IF(O136="","0","1")</f>
        <v>1</v>
      </c>
      <c r="Q136" s="27" t="str">
        <f>IF(O136="","0","1")</f>
        <v>1</v>
      </c>
      <c r="R136" s="27" t="str">
        <f>IF(O136="","0","1")</f>
        <v>1</v>
      </c>
      <c r="S136" s="27" t="str">
        <f>IF(O136="","0","1")</f>
        <v>1</v>
      </c>
      <c r="T136" s="27" t="str">
        <f>IF(O136="","0","1")</f>
        <v>1</v>
      </c>
      <c r="U136" s="27" t="str">
        <f>IF(O136="","0","1")</f>
        <v>1</v>
      </c>
      <c r="V136" s="27" t="str">
        <f>IF(O136="","1","1")</f>
        <v>1</v>
      </c>
      <c r="W136" s="27"/>
      <c r="X136" s="27" t="str">
        <f>IF(O136="","","0")</f>
        <v>0</v>
      </c>
      <c r="Y136" s="27" t="str">
        <f>IF(O136="","","0")</f>
        <v>0</v>
      </c>
      <c r="Z136" s="27" t="str">
        <f>IF(O136="","","0")</f>
        <v>0</v>
      </c>
      <c r="AA136" s="121"/>
      <c r="AB136" s="121"/>
      <c r="AC136" s="121"/>
      <c r="AD136" s="121"/>
      <c r="AE136" s="121" t="s">
        <v>51</v>
      </c>
      <c r="AF136" s="121"/>
      <c r="AG136" s="121"/>
      <c r="AH136" s="28" t="s">
        <v>2959</v>
      </c>
      <c r="AI136" s="28" t="s">
        <v>113</v>
      </c>
      <c r="AJ136" s="27">
        <v>254060</v>
      </c>
      <c r="AK136" s="27" t="str">
        <f>IF(B136="","","0")</f>
        <v>0</v>
      </c>
      <c r="AL136" s="123" t="str">
        <f>IF(C136="","",C136&amp;"/"&amp;F136&amp;"/"&amp;N136&amp;"/"&amp;O136)</f>
        <v>14821/매출일보/custom.iypkg.sale.sale/DailySaleList</v>
      </c>
      <c r="AM136" s="27" t="s">
        <v>2984</v>
      </c>
      <c r="AN136" s="27"/>
      <c r="AO136" s="27"/>
      <c r="AP136" s="27"/>
      <c r="AQ136" s="27"/>
      <c r="AR136" s="27"/>
      <c r="AS136" s="27"/>
      <c r="AT136" s="27"/>
      <c r="AU136" s="27"/>
      <c r="AV136" s="27"/>
      <c r="AW136" s="27" t="s">
        <v>1829</v>
      </c>
      <c r="AX136" s="27"/>
      <c r="AY136" s="124"/>
      <c r="AZ136" s="138" t="str">
        <f>IF(C136="","","delete from module_mst where pjt_id = '"&amp;C136&amp;"' and menu_id = '"&amp;E136&amp;"';")</f>
        <v>delete from module_mst where pjt_id = '14821' and menu_id = '254016';</v>
      </c>
      <c r="BA136" s="31" t="str">
        <f>IF(C136&lt;&gt;"",CREATE_QUERY($D$1,C$2:AY$2,C136:AY136),"")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'254016', '매출일보', 'Sales Daily', '', '', '', '1', '1', '1', 'custom.iypkg.sale.sale', 'DailySaleList', '1', '1', '1', '1', '1', '1', '1', '', '0', '0', '0', '', '', '', '', 'N', '', '', '254000', '5', '254060', '0', '14821/매출일보/custom.iypkg.sale.sale/DailySaleList', '공통', '');</v>
      </c>
    </row>
    <row r="137" spans="1:53">
      <c r="A137" s="1">
        <v>137</v>
      </c>
      <c r="B137" s="164" t="str">
        <f>IF(F137="","",IF(AI137="1","",IF(AI137="2","└ ",IF(AI137="3","  └ ",IF(AI137="4","    └ ",IF(AI137="5","        └ ",IF(AI137="6","         └ ",IF(AI137="7"="            └ ",""))))))))&amp;IF(AM137="","",IF(AM137="메뉴","","("&amp;AM137&amp;")"))&amp;F137</f>
        <v xml:space="preserve">        └ (공통)매출집계 현황</v>
      </c>
      <c r="C137" s="27" t="str">
        <f>IF(F137="","","14821")</f>
        <v>14821</v>
      </c>
      <c r="D137" s="121"/>
      <c r="E137" s="27">
        <v>254019</v>
      </c>
      <c r="F137" s="121" t="s">
        <v>3052</v>
      </c>
      <c r="G137" s="121" t="s">
        <v>3124</v>
      </c>
      <c r="H137" s="121"/>
      <c r="I137" s="121"/>
      <c r="J137" s="121"/>
      <c r="K137" s="27" t="str">
        <f>IF(O137="","","1")</f>
        <v>1</v>
      </c>
      <c r="L137" s="27" t="str">
        <f>IF(F137="","","1")</f>
        <v>1</v>
      </c>
      <c r="M137" s="27" t="str">
        <f>IF(O137="","0","1")</f>
        <v>1</v>
      </c>
      <c r="N137" s="121" t="s">
        <v>2970</v>
      </c>
      <c r="O137" s="121" t="s">
        <v>3053</v>
      </c>
      <c r="P137" s="27" t="str">
        <f>IF(O137="","0","1")</f>
        <v>1</v>
      </c>
      <c r="Q137" s="27" t="str">
        <f>IF(O137="","0","1")</f>
        <v>1</v>
      </c>
      <c r="R137" s="27" t="str">
        <f>IF(O137="","0","1")</f>
        <v>1</v>
      </c>
      <c r="S137" s="27" t="str">
        <f>IF(O137="","0","1")</f>
        <v>1</v>
      </c>
      <c r="T137" s="27" t="str">
        <f>IF(O137="","0","1")</f>
        <v>1</v>
      </c>
      <c r="U137" s="27" t="str">
        <f>IF(O137="","0","1")</f>
        <v>1</v>
      </c>
      <c r="V137" s="27" t="str">
        <f>IF(O137="","1","1")</f>
        <v>1</v>
      </c>
      <c r="W137" s="27"/>
      <c r="X137" s="27" t="str">
        <f>IF(O137="","","0")</f>
        <v>0</v>
      </c>
      <c r="Y137" s="27" t="str">
        <f>IF(O137="","","0")</f>
        <v>0</v>
      </c>
      <c r="Z137" s="27" t="str">
        <f>IF(O137="","","0")</f>
        <v>0</v>
      </c>
      <c r="AA137" s="121"/>
      <c r="AB137" s="121"/>
      <c r="AC137" s="121"/>
      <c r="AD137" s="121"/>
      <c r="AE137" s="121" t="s">
        <v>51</v>
      </c>
      <c r="AF137" s="121"/>
      <c r="AG137" s="121"/>
      <c r="AH137" s="28" t="s">
        <v>2959</v>
      </c>
      <c r="AI137" s="28" t="s">
        <v>113</v>
      </c>
      <c r="AJ137" s="27">
        <v>254070</v>
      </c>
      <c r="AK137" s="27" t="str">
        <f>IF(B137="","","0")</f>
        <v>0</v>
      </c>
      <c r="AL137" s="123" t="str">
        <f>IF(C137="","",C137&amp;"/"&amp;F137&amp;"/"&amp;N137&amp;"/"&amp;O137)</f>
        <v>14821/매출집계 현황/custom.iypkg.sale.sale/SaleSumList</v>
      </c>
      <c r="AM137" s="27" t="s">
        <v>2984</v>
      </c>
      <c r="AN137" s="27"/>
      <c r="AO137" s="27"/>
      <c r="AP137" s="27"/>
      <c r="AQ137" s="27"/>
      <c r="AR137" s="27"/>
      <c r="AS137" s="27"/>
      <c r="AT137" s="27"/>
      <c r="AU137" s="27"/>
      <c r="AV137" s="27"/>
      <c r="AW137" s="27" t="s">
        <v>1829</v>
      </c>
      <c r="AX137" s="27"/>
      <c r="AY137" s="124"/>
      <c r="AZ137" s="138" t="str">
        <f>IF(C137="","","delete from module_mst where pjt_id = '"&amp;C137&amp;"' and menu_id = '"&amp;E137&amp;"';")</f>
        <v>delete from module_mst where pjt_id = '14821' and menu_id = '254019';</v>
      </c>
      <c r="BA137" s="31" t="str">
        <f>IF(C137&lt;&gt;"",CREATE_QUERY($D$1,C$2:AY$2,C137:AY137),"")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'254019', '매출집계 현황', 'Sales aggregation status', '', '', '', '1', '1', '1', 'custom.iypkg.sale.sale', 'SaleSumList', '1', '1', '1', '1', '1', '1', '1', '', '0', '0', '0', '', '', '', '', 'N', '', '', '254000', '5', '254070', '0', '14821/매출집계 현황/custom.iypkg.sale.sale/SaleSumList', '공통', '');</v>
      </c>
    </row>
    <row r="138" spans="1:53">
      <c r="A138" s="1">
        <v>138</v>
      </c>
      <c r="B138" s="164" t="str">
        <f>IF(F138="","",IF(AI138="1","",IF(AI138="2","└ ",IF(AI138="3","  └ ",IF(AI138="4","    └ ",IF(AI138="5","        └ ",IF(AI138="6","         └ ",IF(AI138="7"="            └ ",""))))))))&amp;IF(AM138="","",IF(AM138="메뉴","","("&amp;AM138&amp;")"))&amp;F138</f>
        <v xml:space="preserve">        └ (공통)매출현황</v>
      </c>
      <c r="C138" s="27" t="str">
        <f>IF(F138="","","14821")</f>
        <v>14821</v>
      </c>
      <c r="D138" s="121"/>
      <c r="E138" s="27">
        <v>254022</v>
      </c>
      <c r="F138" s="121" t="s">
        <v>1840</v>
      </c>
      <c r="G138" s="121" t="s">
        <v>3115</v>
      </c>
      <c r="H138" s="121"/>
      <c r="I138" s="121"/>
      <c r="J138" s="121"/>
      <c r="K138" s="27" t="str">
        <f>IF(O138="","","1")</f>
        <v>1</v>
      </c>
      <c r="L138" s="27" t="str">
        <f>IF(F138="","","1")</f>
        <v>1</v>
      </c>
      <c r="M138" s="27" t="str">
        <f>IF(O138="","0","1")</f>
        <v>1</v>
      </c>
      <c r="N138" s="121" t="s">
        <v>2970</v>
      </c>
      <c r="O138" s="121" t="s">
        <v>3054</v>
      </c>
      <c r="P138" s="27" t="str">
        <f>IF(O138="","0","1")</f>
        <v>1</v>
      </c>
      <c r="Q138" s="27" t="str">
        <f>IF(O138="","0","1")</f>
        <v>1</v>
      </c>
      <c r="R138" s="27" t="str">
        <f>IF(O138="","0","1")</f>
        <v>1</v>
      </c>
      <c r="S138" s="27" t="str">
        <f>IF(O138="","0","1")</f>
        <v>1</v>
      </c>
      <c r="T138" s="27" t="str">
        <f>IF(O138="","0","1")</f>
        <v>1</v>
      </c>
      <c r="U138" s="27" t="str">
        <f>IF(O138="","0","1")</f>
        <v>1</v>
      </c>
      <c r="V138" s="27" t="str">
        <f>IF(O138="","1","1")</f>
        <v>1</v>
      </c>
      <c r="W138" s="27"/>
      <c r="X138" s="27" t="str">
        <f>IF(O138="","","0")</f>
        <v>0</v>
      </c>
      <c r="Y138" s="27" t="str">
        <f>IF(O138="","","0")</f>
        <v>0</v>
      </c>
      <c r="Z138" s="27" t="str">
        <f>IF(O138="","","0")</f>
        <v>0</v>
      </c>
      <c r="AA138" s="121"/>
      <c r="AB138" s="121"/>
      <c r="AC138" s="121"/>
      <c r="AD138" s="121"/>
      <c r="AE138" s="121" t="s">
        <v>51</v>
      </c>
      <c r="AF138" s="121"/>
      <c r="AG138" s="121"/>
      <c r="AH138" s="28" t="s">
        <v>2959</v>
      </c>
      <c r="AI138" s="28" t="s">
        <v>113</v>
      </c>
      <c r="AJ138" s="27">
        <v>254080</v>
      </c>
      <c r="AK138" s="27" t="str">
        <f>IF(B138="","","0")</f>
        <v>0</v>
      </c>
      <c r="AL138" s="123" t="str">
        <f>IF(C138="","",C138&amp;"/"&amp;F138&amp;"/"&amp;N138&amp;"/"&amp;O138)</f>
        <v>14821/매출현황/custom.iypkg.sale.sale/SaleList</v>
      </c>
      <c r="AM138" s="27" t="s">
        <v>2984</v>
      </c>
      <c r="AN138" s="27"/>
      <c r="AO138" s="27"/>
      <c r="AP138" s="27"/>
      <c r="AQ138" s="27"/>
      <c r="AR138" s="27"/>
      <c r="AS138" s="27"/>
      <c r="AT138" s="27"/>
      <c r="AU138" s="27"/>
      <c r="AV138" s="27"/>
      <c r="AW138" s="27" t="s">
        <v>1829</v>
      </c>
      <c r="AX138" s="27"/>
      <c r="AY138" s="124"/>
      <c r="AZ138" s="138" t="str">
        <f>IF(C138="","","delete from module_mst where pjt_id = '"&amp;C138&amp;"' and menu_id = '"&amp;E138&amp;"';")</f>
        <v>delete from module_mst where pjt_id = '14821' and menu_id = '254022';</v>
      </c>
      <c r="BA138" s="31" t="str">
        <f>IF(C138&lt;&gt;"",CREATE_QUERY($D$1,C$2:AY$2,C138:AY138),"")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'254022', '매출현황', 'Sales status', '', '', '', '1', '1', '1', 'custom.iypkg.sale.sale', 'SaleList', '1', '1', '1', '1', '1', '1', '1', '', '0', '0', '0', '', '', '', '', 'N', '', '', '254000', '5', '254080', '0', '14821/매출현황/custom.iypkg.sale.sale/SaleList', '공통', '');</v>
      </c>
    </row>
    <row r="139" spans="1:53">
      <c r="A139" s="1">
        <v>139</v>
      </c>
      <c r="B139" s="164" t="str">
        <f t="shared" si="141"/>
        <v xml:space="preserve">        └ (선택)매출현황</v>
      </c>
      <c r="C139" s="27" t="str">
        <f t="shared" si="138"/>
        <v>14821</v>
      </c>
      <c r="D139" s="121"/>
      <c r="E139" s="27">
        <v>254037</v>
      </c>
      <c r="F139" s="121" t="s">
        <v>3270</v>
      </c>
      <c r="G139" s="121" t="s">
        <v>900</v>
      </c>
      <c r="H139" s="121"/>
      <c r="I139" s="121"/>
      <c r="J139" s="121"/>
      <c r="K139" s="27" t="str">
        <f t="shared" si="143"/>
        <v>1</v>
      </c>
      <c r="L139" s="27" t="str">
        <f t="shared" si="139"/>
        <v>1</v>
      </c>
      <c r="M139" s="27" t="str">
        <f t="shared" si="144"/>
        <v>1</v>
      </c>
      <c r="N139" s="121" t="s">
        <v>3265</v>
      </c>
      <c r="O139" s="121" t="s">
        <v>3271</v>
      </c>
      <c r="P139" s="27" t="str">
        <f t="shared" si="181"/>
        <v>1</v>
      </c>
      <c r="Q139" s="27" t="str">
        <f t="shared" si="182"/>
        <v>1</v>
      </c>
      <c r="R139" s="27" t="str">
        <f t="shared" si="183"/>
        <v>1</v>
      </c>
      <c r="S139" s="27" t="str">
        <f t="shared" si="184"/>
        <v>1</v>
      </c>
      <c r="T139" s="27" t="str">
        <f t="shared" si="185"/>
        <v>1</v>
      </c>
      <c r="U139" s="27" t="str">
        <f t="shared" si="186"/>
        <v>1</v>
      </c>
      <c r="V139" s="27" t="str">
        <f t="shared" si="187"/>
        <v>1</v>
      </c>
      <c r="W139" s="27"/>
      <c r="X139" s="27" t="str">
        <f t="shared" si="188"/>
        <v>0</v>
      </c>
      <c r="Y139" s="27" t="str">
        <f t="shared" si="189"/>
        <v>0</v>
      </c>
      <c r="Z139" s="27" t="str">
        <f t="shared" si="190"/>
        <v>0</v>
      </c>
      <c r="AA139" s="121"/>
      <c r="AB139" s="121"/>
      <c r="AC139" s="121"/>
      <c r="AD139" s="121"/>
      <c r="AE139" s="121" t="s">
        <v>51</v>
      </c>
      <c r="AF139" s="121"/>
      <c r="AG139" s="121"/>
      <c r="AH139" s="28" t="s">
        <v>2959</v>
      </c>
      <c r="AI139" s="28" t="s">
        <v>113</v>
      </c>
      <c r="AJ139" s="27">
        <v>254130</v>
      </c>
      <c r="AK139" s="27" t="str">
        <f t="shared" ref="AK139:AK178" si="193">IF(B139="","","0")</f>
        <v>0</v>
      </c>
      <c r="AL139" s="123" t="str">
        <f t="shared" si="191"/>
        <v>14821/매출현황/sale.sale/SaleList</v>
      </c>
      <c r="AM139" s="27" t="s">
        <v>3350</v>
      </c>
      <c r="AN139" s="27" t="s">
        <v>3245</v>
      </c>
      <c r="AO139" s="27" t="s">
        <v>3245</v>
      </c>
      <c r="AP139" s="27" t="s">
        <v>3245</v>
      </c>
      <c r="AQ139" s="27" t="s">
        <v>3245</v>
      </c>
      <c r="AR139" s="27" t="s">
        <v>3245</v>
      </c>
      <c r="AS139" s="27" t="s">
        <v>3245</v>
      </c>
      <c r="AT139" s="27" t="s">
        <v>3245</v>
      </c>
      <c r="AU139" s="27" t="s">
        <v>3245</v>
      </c>
      <c r="AV139" s="27" t="s">
        <v>3245</v>
      </c>
      <c r="AW139" s="27" t="s">
        <v>3245</v>
      </c>
      <c r="AX139" s="27" t="s">
        <v>3245</v>
      </c>
      <c r="AY139" s="124"/>
      <c r="AZ139" s="138" t="str">
        <f>IF(C139="","","delete from module_mst where pjt_id = '"&amp;C139&amp;"' and menu_id = '"&amp;E139&amp;"';")</f>
        <v>delete from module_mst where pjt_id = '14821' and menu_id = '254037';</v>
      </c>
      <c r="BA139" s="31" t="str">
        <f>IF(C139&lt;&gt;"",CREATE_QUERY($D$1,C$2:AY$2,C139:AY139),"")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'254037', '매출현황', '', '', '', '', '1', '1', '1', 'sale.sale', 'SaleList', '1', '1', '1', '1', '1', '1', '1', '', '0', '0', '0', '', '', '', '', 'N', '', '', '254000', '5', '254130', '0', '14821/매출현황/sale.sale/SaleList', '선택', '');</v>
      </c>
    </row>
    <row r="140" spans="1:53">
      <c r="A140" s="1">
        <v>140</v>
      </c>
      <c r="B140" s="164" t="str">
        <f>IF(F140="","",IF(AI140="1","",IF(AI140="2","└ ",IF(AI140="3","  └ ",IF(AI140="4","    └ ",IF(AI140="5","        └ ",IF(AI140="6","         └ ",IF(AI140="7"="            └ ",""))))))))&amp;IF(AM140="","",IF(AM140="메뉴","","("&amp;AM140&amp;")"))&amp;F140</f>
        <v xml:space="preserve">        └ (선택)매출현황</v>
      </c>
      <c r="C140" s="27" t="str">
        <f>IF(F140="","","14821")</f>
        <v>14821</v>
      </c>
      <c r="D140" s="121"/>
      <c r="E140" s="27">
        <v>254053</v>
      </c>
      <c r="F140" s="121" t="s">
        <v>1840</v>
      </c>
      <c r="G140" s="121"/>
      <c r="H140" s="121"/>
      <c r="I140" s="121"/>
      <c r="J140" s="121"/>
      <c r="K140" s="27" t="str">
        <f t="shared" ref="K140" si="194">IF(O140="","","1")</f>
        <v>1</v>
      </c>
      <c r="L140" s="27" t="str">
        <f t="shared" ref="L140" si="195">IF(F140="","","1")</f>
        <v>1</v>
      </c>
      <c r="M140" s="27" t="str">
        <f t="shared" ref="M140" si="196">IF(O140="","0","1")</f>
        <v>1</v>
      </c>
      <c r="N140" s="121" t="s">
        <v>3327</v>
      </c>
      <c r="O140" s="121" t="s">
        <v>3054</v>
      </c>
      <c r="P140" s="27" t="str">
        <f>IF(O140="","0","1")</f>
        <v>1</v>
      </c>
      <c r="Q140" s="27" t="str">
        <f>IF(O140="","0","1")</f>
        <v>1</v>
      </c>
      <c r="R140" s="27" t="str">
        <f>IF(O140="","0","1")</f>
        <v>1</v>
      </c>
      <c r="S140" s="27" t="str">
        <f>IF(O140="","0","1")</f>
        <v>1</v>
      </c>
      <c r="T140" s="27" t="str">
        <f>IF(O140="","0","1")</f>
        <v>1</v>
      </c>
      <c r="U140" s="27" t="str">
        <f>IF(O140="","0","1")</f>
        <v>1</v>
      </c>
      <c r="V140" s="27" t="str">
        <f>IF(O140="","1","1")</f>
        <v>1</v>
      </c>
      <c r="W140" s="27"/>
      <c r="X140" s="27" t="str">
        <f>IF(O140="","","0")</f>
        <v>0</v>
      </c>
      <c r="Y140" s="27" t="str">
        <f>IF(O140="","","0")</f>
        <v>0</v>
      </c>
      <c r="Z140" s="27" t="str">
        <f>IF(O140="","","0")</f>
        <v>0</v>
      </c>
      <c r="AA140" s="121"/>
      <c r="AB140" s="121"/>
      <c r="AC140" s="121"/>
      <c r="AD140" s="121"/>
      <c r="AE140" s="121"/>
      <c r="AF140" s="121"/>
      <c r="AG140" s="121"/>
      <c r="AH140" s="28" t="s">
        <v>2959</v>
      </c>
      <c r="AI140" s="28" t="s">
        <v>113</v>
      </c>
      <c r="AJ140" s="27">
        <v>254191</v>
      </c>
      <c r="AK140" s="27" t="str">
        <f t="shared" ref="AK140" si="197">IF(B140="","","0")</f>
        <v>0</v>
      </c>
      <c r="AL140" s="123" t="str">
        <f t="shared" ref="AL140" si="198">IF(C140="","",C140&amp;"/"&amp;F140&amp;"/"&amp;N140&amp;"/"&amp;O140)</f>
        <v>14821/매출현황/custom.komec.sale.sale/SaleList</v>
      </c>
      <c r="AM140" s="27" t="s">
        <v>3350</v>
      </c>
      <c r="AN140" s="27"/>
      <c r="AO140" s="27"/>
      <c r="AP140" s="27"/>
      <c r="AQ140" s="27"/>
      <c r="AR140" s="27"/>
      <c r="AS140" s="27"/>
      <c r="AT140" s="27"/>
      <c r="AU140" s="27"/>
      <c r="AV140" s="27"/>
      <c r="AW140" s="27"/>
      <c r="AX140" s="27"/>
      <c r="AY140" s="124"/>
      <c r="AZ140" s="138" t="str">
        <f>IF(C140="","","delete from module_mst where pjt_id = '"&amp;C140&amp;"' and menu_id = '"&amp;E140&amp;"';")</f>
        <v>delete from module_mst where pjt_id = '14821' and menu_id = '254053';</v>
      </c>
      <c r="BA140" s="31" t="str">
        <f>IF(C140&lt;&gt;"",CREATE_QUERY($D$1,C$2:AY$2,C140:AY140),"")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'254053', '매출현황', '', '', '', '', '1', '1', '1', 'custom.komec.sale.sale', 'SaleList', '1', '1', '1', '1', '1', '1', '1', '', '0', '0', '0', '', '', '', '', '', '', '', '254000', '5', '254191', '0', '14821/매출현황/custom.komec.sale.sale/SaleList', '선택', '');</v>
      </c>
    </row>
    <row r="141" spans="1:53">
      <c r="A141" s="1">
        <v>141</v>
      </c>
      <c r="B141" s="164" t="str">
        <f t="shared" si="141"/>
        <v xml:space="preserve">        └ (선택)(납품처)매출현황</v>
      </c>
      <c r="C141" s="27" t="str">
        <f t="shared" ref="C141:C178" si="199">IF(F141="","","14821")</f>
        <v>14821</v>
      </c>
      <c r="D141" s="121"/>
      <c r="E141" s="27">
        <v>254040</v>
      </c>
      <c r="F141" s="121" t="s">
        <v>3277</v>
      </c>
      <c r="G141" s="121" t="s">
        <v>900</v>
      </c>
      <c r="H141" s="121"/>
      <c r="I141" s="121"/>
      <c r="J141" s="121"/>
      <c r="K141" s="27" t="str">
        <f t="shared" si="143"/>
        <v>1</v>
      </c>
      <c r="L141" s="27" t="str">
        <f t="shared" ref="L141:L178" si="200">IF(F141="","","1")</f>
        <v>1</v>
      </c>
      <c r="M141" s="27" t="str">
        <f t="shared" si="144"/>
        <v>1</v>
      </c>
      <c r="N141" s="121" t="s">
        <v>3265</v>
      </c>
      <c r="O141" s="121" t="s">
        <v>2966</v>
      </c>
      <c r="P141" s="27" t="str">
        <f t="shared" si="181"/>
        <v>1</v>
      </c>
      <c r="Q141" s="27" t="str">
        <f t="shared" si="182"/>
        <v>1</v>
      </c>
      <c r="R141" s="27" t="str">
        <f t="shared" si="183"/>
        <v>1</v>
      </c>
      <c r="S141" s="27" t="str">
        <f t="shared" si="184"/>
        <v>1</v>
      </c>
      <c r="T141" s="27" t="str">
        <f t="shared" si="185"/>
        <v>1</v>
      </c>
      <c r="U141" s="27" t="str">
        <f t="shared" si="186"/>
        <v>1</v>
      </c>
      <c r="V141" s="27" t="str">
        <f t="shared" si="187"/>
        <v>1</v>
      </c>
      <c r="W141" s="27"/>
      <c r="X141" s="27" t="str">
        <f t="shared" si="188"/>
        <v>0</v>
      </c>
      <c r="Y141" s="27" t="str">
        <f t="shared" si="189"/>
        <v>0</v>
      </c>
      <c r="Z141" s="27" t="str">
        <f t="shared" si="190"/>
        <v>0</v>
      </c>
      <c r="AA141" s="121"/>
      <c r="AB141" s="121"/>
      <c r="AC141" s="121"/>
      <c r="AD141" s="121"/>
      <c r="AE141" s="121" t="s">
        <v>51</v>
      </c>
      <c r="AF141" s="121"/>
      <c r="AG141" s="121"/>
      <c r="AH141" s="28" t="s">
        <v>2959</v>
      </c>
      <c r="AI141" s="28" t="s">
        <v>113</v>
      </c>
      <c r="AJ141" s="27">
        <v>254140</v>
      </c>
      <c r="AK141" s="27" t="str">
        <f t="shared" si="193"/>
        <v>0</v>
      </c>
      <c r="AL141" s="123" t="str">
        <f t="shared" si="191"/>
        <v>14821/(납품처)매출현황/sale.sale/SaleList2</v>
      </c>
      <c r="AM141" s="27" t="s">
        <v>3349</v>
      </c>
      <c r="AN141" s="27" t="s">
        <v>3245</v>
      </c>
      <c r="AO141" s="27" t="s">
        <v>3245</v>
      </c>
      <c r="AP141" s="27" t="s">
        <v>3245</v>
      </c>
      <c r="AQ141" s="27" t="s">
        <v>3245</v>
      </c>
      <c r="AR141" s="27" t="s">
        <v>3245</v>
      </c>
      <c r="AS141" s="27" t="s">
        <v>3245</v>
      </c>
      <c r="AT141" s="27" t="s">
        <v>3245</v>
      </c>
      <c r="AU141" s="27" t="s">
        <v>3245</v>
      </c>
      <c r="AV141" s="27" t="s">
        <v>3245</v>
      </c>
      <c r="AW141" s="27" t="s">
        <v>3245</v>
      </c>
      <c r="AX141" s="27" t="s">
        <v>3245</v>
      </c>
      <c r="AY141" s="124"/>
      <c r="AZ141" s="138" t="str">
        <f>IF(C141="","","delete from module_mst where pjt_id = '"&amp;C141&amp;"' and menu_id = '"&amp;E141&amp;"';")</f>
        <v>delete from module_mst where pjt_id = '14821' and menu_id = '254040';</v>
      </c>
      <c r="BA141" s="31" t="str">
        <f>IF(C141&lt;&gt;"",CREATE_QUERY($D$1,C$2:AY$2,C141:AY141),"")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'254040', '(납품처)매출현황', '', '', '', '', '1', '1', '1', 'sale.sale', 'SaleList2', '1', '1', '1', '1', '1', '1', '1', '', '0', '0', '0', '', '', '', '', 'N', '', '', '254000', '5', '254140', '0', '14821/(납품처)매출현황/sale.sale/SaleList2', '선택', '');</v>
      </c>
    </row>
    <row r="142" spans="1:53">
      <c r="A142" s="1">
        <v>142</v>
      </c>
      <c r="B142" s="164" t="str">
        <f>IF(F142="","",IF(AI142="1","",IF(AI142="2","└ ",IF(AI142="3","  └ ",IF(AI142="4","    └ ",IF(AI142="5","        └ ",IF(AI142="6","         └ ",IF(AI142="7"="            └ ",""))))))))&amp;IF(AM142="","",IF(AM142="메뉴","","("&amp;AM142&amp;")"))&amp;F142</f>
        <v xml:space="preserve">        └ (선택)신규품목 매출현황</v>
      </c>
      <c r="C142" s="27" t="str">
        <f>IF(F142="","","14821")</f>
        <v>14821</v>
      </c>
      <c r="D142" s="121"/>
      <c r="E142" s="27">
        <v>254050</v>
      </c>
      <c r="F142" s="121" t="s">
        <v>3276</v>
      </c>
      <c r="G142" s="121" t="s">
        <v>900</v>
      </c>
      <c r="H142" s="121"/>
      <c r="I142" s="121"/>
      <c r="J142" s="121"/>
      <c r="K142" s="27" t="str">
        <f>IF(O142="","","1")</f>
        <v>1</v>
      </c>
      <c r="L142" s="27" t="str">
        <f>IF(F142="","","1")</f>
        <v>1</v>
      </c>
      <c r="M142" s="27" t="str">
        <f>IF(O142="","0","1")</f>
        <v>1</v>
      </c>
      <c r="N142" s="121" t="s">
        <v>2366</v>
      </c>
      <c r="O142" s="121" t="s">
        <v>3275</v>
      </c>
      <c r="P142" s="27" t="str">
        <f>IF(O142="","0","1")</f>
        <v>1</v>
      </c>
      <c r="Q142" s="27" t="str">
        <f>IF(O142="","0","1")</f>
        <v>1</v>
      </c>
      <c r="R142" s="27" t="str">
        <f>IF(O142="","0","1")</f>
        <v>1</v>
      </c>
      <c r="S142" s="27" t="str">
        <f>IF(O142="","0","1")</f>
        <v>1</v>
      </c>
      <c r="T142" s="27" t="str">
        <f>IF(O142="","0","1")</f>
        <v>1</v>
      </c>
      <c r="U142" s="27" t="str">
        <f>IF(O142="","0","1")</f>
        <v>1</v>
      </c>
      <c r="V142" s="27" t="str">
        <f>IF(O142="","1","1")</f>
        <v>1</v>
      </c>
      <c r="W142" s="27"/>
      <c r="X142" s="27" t="str">
        <f>IF(O142="","","0")</f>
        <v>0</v>
      </c>
      <c r="Y142" s="27" t="str">
        <f>IF(O142="","","0")</f>
        <v>0</v>
      </c>
      <c r="Z142" s="27" t="str">
        <f>IF(O142="","","0")</f>
        <v>0</v>
      </c>
      <c r="AA142" s="121"/>
      <c r="AB142" s="121"/>
      <c r="AC142" s="121"/>
      <c r="AD142" s="121"/>
      <c r="AE142" s="121" t="s">
        <v>51</v>
      </c>
      <c r="AF142" s="121"/>
      <c r="AG142" s="121"/>
      <c r="AH142" s="28" t="s">
        <v>2959</v>
      </c>
      <c r="AI142" s="28" t="s">
        <v>113</v>
      </c>
      <c r="AJ142" s="27">
        <v>254180</v>
      </c>
      <c r="AK142" s="27" t="str">
        <f>IF(B142="","","0")</f>
        <v>0</v>
      </c>
      <c r="AL142" s="123" t="str">
        <f>IF(C142="","",C142&amp;"/"&amp;F142&amp;"/"&amp;N142&amp;"/"&amp;O142)</f>
        <v>14821/신규품목 매출현황/sale.sale/NewItemSale</v>
      </c>
      <c r="AM142" s="27" t="s">
        <v>3349</v>
      </c>
      <c r="AN142" s="27" t="s">
        <v>3245</v>
      </c>
      <c r="AO142" s="27" t="s">
        <v>3245</v>
      </c>
      <c r="AP142" s="27" t="s">
        <v>3245</v>
      </c>
      <c r="AQ142" s="27" t="s">
        <v>3245</v>
      </c>
      <c r="AR142" s="27" t="s">
        <v>3245</v>
      </c>
      <c r="AS142" s="27" t="s">
        <v>3245</v>
      </c>
      <c r="AT142" s="27" t="s">
        <v>3245</v>
      </c>
      <c r="AU142" s="27" t="s">
        <v>3245</v>
      </c>
      <c r="AV142" s="27" t="s">
        <v>3245</v>
      </c>
      <c r="AW142" s="27" t="s">
        <v>3245</v>
      </c>
      <c r="AX142" s="27" t="s">
        <v>3245</v>
      </c>
      <c r="AY142" s="124"/>
      <c r="AZ142" s="138" t="str">
        <f>IF(C142="","","delete from module_mst where pjt_id = '"&amp;C142&amp;"' and menu_id = '"&amp;E142&amp;"';")</f>
        <v>delete from module_mst where pjt_id = '14821' and menu_id = '254050';</v>
      </c>
      <c r="BA142" s="31" t="str">
        <f>IF(C142&lt;&gt;"",CREATE_QUERY($D$1,C$2:AY$2,C142:AY142),"")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'254050', '신규품목 매출현황', '', '', '', '', '1', '1', '1', 'sale.sale', 'NewItemSale', '1', '1', '1', '1', '1', '1', '1', '', '0', '0', '0', '', '', '', '', 'N', '', '', '254000', '5', '254180', '0', '14821/신규품목 매출현황/sale.sale/NewItemSale', '선택', '');</v>
      </c>
    </row>
    <row r="143" spans="1:53">
      <c r="A143" s="1">
        <v>143</v>
      </c>
      <c r="B143" s="164" t="str">
        <f t="shared" si="141"/>
        <v/>
      </c>
      <c r="C143" s="27" t="str">
        <f t="shared" si="199"/>
        <v/>
      </c>
      <c r="D143" s="121"/>
      <c r="E143" s="27"/>
      <c r="F143" s="121"/>
      <c r="G143" s="121" t="s">
        <v>900</v>
      </c>
      <c r="H143" s="121"/>
      <c r="I143" s="121"/>
      <c r="J143" s="121"/>
      <c r="K143" s="27" t="str">
        <f t="shared" si="143"/>
        <v/>
      </c>
      <c r="L143" s="27" t="str">
        <f t="shared" si="200"/>
        <v/>
      </c>
      <c r="M143" s="27" t="str">
        <f t="shared" si="144"/>
        <v>0</v>
      </c>
      <c r="N143" s="121"/>
      <c r="O143" s="121"/>
      <c r="P143" s="27" t="str">
        <f t="shared" si="181"/>
        <v>0</v>
      </c>
      <c r="Q143" s="27" t="str">
        <f t="shared" si="182"/>
        <v>0</v>
      </c>
      <c r="R143" s="27" t="str">
        <f t="shared" si="183"/>
        <v>0</v>
      </c>
      <c r="S143" s="27" t="str">
        <f t="shared" si="184"/>
        <v>0</v>
      </c>
      <c r="T143" s="27" t="str">
        <f t="shared" si="185"/>
        <v>0</v>
      </c>
      <c r="U143" s="27" t="str">
        <f t="shared" si="186"/>
        <v>0</v>
      </c>
      <c r="V143" s="27" t="str">
        <f t="shared" si="187"/>
        <v>1</v>
      </c>
      <c r="W143" s="27"/>
      <c r="X143" s="27" t="str">
        <f t="shared" si="188"/>
        <v/>
      </c>
      <c r="Y143" s="27" t="str">
        <f t="shared" si="189"/>
        <v/>
      </c>
      <c r="Z143" s="27" t="str">
        <f t="shared" si="190"/>
        <v/>
      </c>
      <c r="AA143" s="121"/>
      <c r="AB143" s="121"/>
      <c r="AC143" s="121"/>
      <c r="AD143" s="121"/>
      <c r="AE143" s="121" t="s">
        <v>51</v>
      </c>
      <c r="AF143" s="121"/>
      <c r="AG143" s="121"/>
      <c r="AH143" s="28"/>
      <c r="AI143" s="28" t="s">
        <v>113</v>
      </c>
      <c r="AJ143" s="27">
        <v>254190</v>
      </c>
      <c r="AK143" s="27" t="str">
        <f t="shared" si="193"/>
        <v/>
      </c>
      <c r="AL143" s="123" t="str">
        <f t="shared" ref="AL143:AL145" si="201">IF(C143="","",C143&amp;"/"&amp;F143&amp;"/"&amp;N143&amp;"/"&amp;O143)</f>
        <v/>
      </c>
      <c r="AM143" s="27"/>
      <c r="AN143" s="27" t="s">
        <v>3245</v>
      </c>
      <c r="AO143" s="27" t="s">
        <v>3245</v>
      </c>
      <c r="AP143" s="27" t="s">
        <v>3245</v>
      </c>
      <c r="AQ143" s="27" t="s">
        <v>3245</v>
      </c>
      <c r="AR143" s="27" t="s">
        <v>3245</v>
      </c>
      <c r="AS143" s="27" t="s">
        <v>3245</v>
      </c>
      <c r="AT143" s="27" t="s">
        <v>3245</v>
      </c>
      <c r="AU143" s="27" t="s">
        <v>3245</v>
      </c>
      <c r="AV143" s="27" t="s">
        <v>3245</v>
      </c>
      <c r="AW143" s="27" t="s">
        <v>3245</v>
      </c>
      <c r="AX143" s="27" t="s">
        <v>3245</v>
      </c>
      <c r="AY143" s="124"/>
      <c r="AZ143" s="138" t="str">
        <f>IF(C143="","","delete from module_mst where pjt_id = '"&amp;C143&amp;"' and menu_id = '"&amp;E143&amp;"';")</f>
        <v/>
      </c>
      <c r="BA143" s="31" t="str">
        <f>IF(C143&lt;&gt;"",CREATE_QUERY($D$1,C$2:AY$2,C143:AY143),"")</f>
        <v/>
      </c>
    </row>
    <row r="144" spans="1:53">
      <c r="A144" s="1">
        <v>144</v>
      </c>
      <c r="B144" s="159" t="str">
        <f t="shared" ref="B144:B145" si="202">IF(F144="","",IF(AI144="1","",IF(AI144="2","└ ",IF(AI144="3","  └ ",IF(AI144="4","    └ ",IF(AI144="5","        └ ",IF(AI144="6","         └ ",IF(AI144="7"="            └ ",""))))))))&amp;IF(AM144="","",IF(AM144="메뉴","","("&amp;AM144&amp;")"))&amp;F144</f>
        <v xml:space="preserve">    └ 매출채권관리</v>
      </c>
      <c r="C144" s="27" t="str">
        <f t="shared" si="199"/>
        <v>14821</v>
      </c>
      <c r="D144" s="121"/>
      <c r="E144" s="21">
        <v>255000</v>
      </c>
      <c r="F144" s="118" t="s">
        <v>3356</v>
      </c>
      <c r="G144" s="118" t="s">
        <v>3107</v>
      </c>
      <c r="H144" s="118"/>
      <c r="I144" s="118"/>
      <c r="J144" s="118"/>
      <c r="K144" s="21" t="str">
        <f t="shared" ref="K144:K145" si="203">IF(O144="","","1")</f>
        <v/>
      </c>
      <c r="L144" s="21" t="str">
        <f t="shared" si="200"/>
        <v>1</v>
      </c>
      <c r="M144" s="21" t="str">
        <f t="shared" ref="M144:M145" si="204">IF(O144="","0","1")</f>
        <v>0</v>
      </c>
      <c r="N144" s="118"/>
      <c r="O144" s="118"/>
      <c r="P144" s="21" t="str">
        <f t="shared" ref="P144:P145" si="205">IF(O144="","0","1")</f>
        <v>0</v>
      </c>
      <c r="Q144" s="21" t="str">
        <f t="shared" ref="Q144:Q145" si="206">IF(O144="","0","1")</f>
        <v>0</v>
      </c>
      <c r="R144" s="21" t="str">
        <f t="shared" ref="R144:R145" si="207">IF(O144="","0","1")</f>
        <v>0</v>
      </c>
      <c r="S144" s="21" t="str">
        <f t="shared" ref="S144:S145" si="208">IF(O144="","0","1")</f>
        <v>0</v>
      </c>
      <c r="T144" s="21" t="str">
        <f t="shared" ref="T144:T145" si="209">IF(O144="","0","1")</f>
        <v>0</v>
      </c>
      <c r="U144" s="21" t="str">
        <f t="shared" ref="U144:U145" si="210">IF(O144="","0","1")</f>
        <v>0</v>
      </c>
      <c r="V144" s="21" t="str">
        <f t="shared" ref="V144:V145" si="211">IF(O144="","1","1")</f>
        <v>1</v>
      </c>
      <c r="W144" s="21"/>
      <c r="X144" s="21" t="str">
        <f t="shared" ref="X144:X145" si="212">IF(O144="","","0")</f>
        <v/>
      </c>
      <c r="Y144" s="21" t="str">
        <f t="shared" ref="Y144:Y145" si="213">IF(O144="","","0")</f>
        <v/>
      </c>
      <c r="Z144" s="21" t="str">
        <f t="shared" ref="Z144:Z145" si="214">IF(O144="","","0")</f>
        <v/>
      </c>
      <c r="AA144" s="118"/>
      <c r="AB144" s="118"/>
      <c r="AC144" s="118"/>
      <c r="AD144" s="118"/>
      <c r="AE144" s="118" t="s">
        <v>51</v>
      </c>
      <c r="AF144" s="118"/>
      <c r="AG144" s="118"/>
      <c r="AH144" s="26" t="s">
        <v>163</v>
      </c>
      <c r="AI144" s="26" t="s">
        <v>112</v>
      </c>
      <c r="AJ144" s="26">
        <v>254000</v>
      </c>
      <c r="AK144" s="26" t="str">
        <f t="shared" si="193"/>
        <v>0</v>
      </c>
      <c r="AL144" s="123" t="str">
        <f t="shared" si="201"/>
        <v>14821/매출채권관리//</v>
      </c>
      <c r="AM144" s="26" t="s">
        <v>2979</v>
      </c>
      <c r="AN144" s="26" t="str">
        <f t="shared" ref="AN144:AX144" si="215">IF(COUNTIF(AN145:AN155,"="&amp;"Y")&gt;0,"Y",IF(COUNTIF(AN145:AN155,"="&amp;"-")&gt;0,"m",""))</f>
        <v>m</v>
      </c>
      <c r="AO144" s="26" t="str">
        <f t="shared" si="215"/>
        <v>m</v>
      </c>
      <c r="AP144" s="26" t="str">
        <f t="shared" si="215"/>
        <v>m</v>
      </c>
      <c r="AQ144" s="26" t="str">
        <f t="shared" si="215"/>
        <v>m</v>
      </c>
      <c r="AR144" s="26" t="str">
        <f t="shared" si="215"/>
        <v>m</v>
      </c>
      <c r="AS144" s="26" t="str">
        <f t="shared" si="215"/>
        <v>m</v>
      </c>
      <c r="AT144" s="26" t="str">
        <f t="shared" si="215"/>
        <v>m</v>
      </c>
      <c r="AU144" s="26" t="str">
        <f t="shared" si="215"/>
        <v>m</v>
      </c>
      <c r="AV144" s="26" t="str">
        <f t="shared" si="215"/>
        <v>m</v>
      </c>
      <c r="AW144" s="26" t="str">
        <f t="shared" si="215"/>
        <v>Y</v>
      </c>
      <c r="AX144" s="26" t="str">
        <f t="shared" si="215"/>
        <v>m</v>
      </c>
      <c r="AY144" s="124"/>
      <c r="AZ144" s="138" t="str">
        <f>IF(C144="","","delete from module_mst where pjt_id = '"&amp;C144&amp;"' and menu_id = '"&amp;E144&amp;"';")</f>
        <v>delete from module_mst where pjt_id = '14821' and menu_id = '255000';</v>
      </c>
      <c r="BA144" s="31" t="str">
        <f>IF(C144&lt;&gt;"",CREATE_QUERY($D$1,C$2:AY$2,C144:AY144),"")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'255000', '매출채권관리', 'Sales management', '', '', '', '', '1', '0', '', '', '0', '0', '0', '0', '0', '0', '1', '', '', '', '', '', '', '', '', 'N', '', '', '250000', '4', '254000', '0', '14821/매출채권관리//', '메뉴', '');</v>
      </c>
    </row>
    <row r="145" spans="1:53">
      <c r="A145" s="1">
        <v>145</v>
      </c>
      <c r="B145" s="164" t="str">
        <f t="shared" si="202"/>
        <v xml:space="preserve">        └ (공통)매출채권이월</v>
      </c>
      <c r="C145" s="27" t="str">
        <f t="shared" si="199"/>
        <v>14821</v>
      </c>
      <c r="D145" s="121"/>
      <c r="E145" s="27">
        <v>255001</v>
      </c>
      <c r="F145" s="121" t="s">
        <v>2961</v>
      </c>
      <c r="G145" s="121" t="s">
        <v>3222</v>
      </c>
      <c r="H145" s="121"/>
      <c r="I145" s="121"/>
      <c r="J145" s="121"/>
      <c r="K145" s="27" t="str">
        <f t="shared" si="203"/>
        <v>1</v>
      </c>
      <c r="L145" s="27" t="str">
        <f t="shared" si="200"/>
        <v>1</v>
      </c>
      <c r="M145" s="27" t="str">
        <f t="shared" si="204"/>
        <v>1</v>
      </c>
      <c r="N145" s="121" t="s">
        <v>2366</v>
      </c>
      <c r="O145" s="121" t="s">
        <v>2962</v>
      </c>
      <c r="P145" s="27" t="str">
        <f t="shared" si="205"/>
        <v>1</v>
      </c>
      <c r="Q145" s="27" t="str">
        <f t="shared" si="206"/>
        <v>1</v>
      </c>
      <c r="R145" s="27" t="str">
        <f t="shared" si="207"/>
        <v>1</v>
      </c>
      <c r="S145" s="27" t="str">
        <f t="shared" si="208"/>
        <v>1</v>
      </c>
      <c r="T145" s="27" t="str">
        <f t="shared" si="209"/>
        <v>1</v>
      </c>
      <c r="U145" s="27" t="str">
        <f t="shared" si="210"/>
        <v>1</v>
      </c>
      <c r="V145" s="27" t="str">
        <f t="shared" si="211"/>
        <v>1</v>
      </c>
      <c r="W145" s="27"/>
      <c r="X145" s="27" t="str">
        <f t="shared" si="212"/>
        <v>0</v>
      </c>
      <c r="Y145" s="27" t="str">
        <f t="shared" si="213"/>
        <v>0</v>
      </c>
      <c r="Z145" s="27" t="str">
        <f t="shared" si="214"/>
        <v>0</v>
      </c>
      <c r="AA145" s="121"/>
      <c r="AB145" s="121"/>
      <c r="AC145" s="121"/>
      <c r="AD145" s="121"/>
      <c r="AE145" s="121" t="s">
        <v>51</v>
      </c>
      <c r="AF145" s="121"/>
      <c r="AG145" s="121"/>
      <c r="AH145" s="28">
        <v>255000</v>
      </c>
      <c r="AI145" s="28" t="s">
        <v>113</v>
      </c>
      <c r="AJ145" s="27">
        <v>254010</v>
      </c>
      <c r="AK145" s="27" t="str">
        <f t="shared" si="193"/>
        <v>0</v>
      </c>
      <c r="AL145" s="123" t="str">
        <f t="shared" si="201"/>
        <v>14821/매출채권이월/sale.sale/InitBond</v>
      </c>
      <c r="AM145" s="27" t="s">
        <v>2984</v>
      </c>
      <c r="AN145" s="27"/>
      <c r="AO145" s="27"/>
      <c r="AP145" s="27"/>
      <c r="AQ145" s="27"/>
      <c r="AR145" s="27"/>
      <c r="AS145" s="27"/>
      <c r="AT145" s="27"/>
      <c r="AU145" s="27"/>
      <c r="AV145" s="27"/>
      <c r="AW145" s="27" t="s">
        <v>1829</v>
      </c>
      <c r="AX145" s="27"/>
      <c r="AY145" s="124"/>
      <c r="AZ145" s="138" t="str">
        <f>IF(C145="","","delete from module_mst where pjt_id = '"&amp;C145&amp;"' and menu_id = '"&amp;E145&amp;"';")</f>
        <v>delete from module_mst where pjt_id = '14821' and menu_id = '255001';</v>
      </c>
      <c r="BA145" s="31" t="str">
        <f>IF(C145&lt;&gt;"",CREATE_QUERY($D$1,C$2:AY$2,C145:AY145),"")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'255001', '매출채권이월', 'Carryover of sales receivable', '', '', '', '1', '1', '1', 'sale.sale', 'InitBond', '1', '1', '1', '1', '1', '1', '1', '', '0', '0', '0', '', '', '', '', 'N', '', '', '255000', '5', '254010', '0', '14821/매출채권이월/sale.sale/InitBond', '공통', '');</v>
      </c>
    </row>
    <row r="146" spans="1:53">
      <c r="A146" s="1">
        <v>146</v>
      </c>
      <c r="B146" s="164" t="str">
        <f>IF(F146="","",IF(AI146="1","",IF(AI146="2","└ ",IF(AI146="3","  └ ",IF(AI146="4","    └ ",IF(AI146="5","        └ ",IF(AI146="6","         └ ",IF(AI146="7"="            └ ",""))))))))&amp;IF(AM146="","",IF(AM146="메뉴","","("&amp;AM146&amp;")"))&amp;F146</f>
        <v xml:space="preserve">        └ (선택)매출채권이월</v>
      </c>
      <c r="C146" s="27" t="str">
        <f>IF(F146="","","14821")</f>
        <v>14821</v>
      </c>
      <c r="D146" s="121"/>
      <c r="E146" s="27">
        <v>255002</v>
      </c>
      <c r="F146" s="121" t="s">
        <v>2961</v>
      </c>
      <c r="G146" s="121" t="s">
        <v>2366</v>
      </c>
      <c r="H146" s="121" t="s">
        <v>2962</v>
      </c>
      <c r="I146" s="121"/>
      <c r="J146" s="121"/>
      <c r="K146" s="27" t="str">
        <f>IF(O146="","","1")</f>
        <v>1</v>
      </c>
      <c r="L146" s="27" t="str">
        <f>IF(F146="","","1")</f>
        <v>1</v>
      </c>
      <c r="M146" s="27" t="str">
        <f>IF(O146="","0","1")</f>
        <v>1</v>
      </c>
      <c r="N146" s="121" t="s">
        <v>2366</v>
      </c>
      <c r="O146" s="121" t="s">
        <v>3266</v>
      </c>
      <c r="P146" s="27" t="str">
        <f>IF(O146="","0","1")</f>
        <v>1</v>
      </c>
      <c r="Q146" s="27" t="str">
        <f>IF(O146="","0","1")</f>
        <v>1</v>
      </c>
      <c r="R146" s="27" t="str">
        <f>IF(O146="","0","1")</f>
        <v>1</v>
      </c>
      <c r="S146" s="27" t="str">
        <f>IF(O146="","0","1")</f>
        <v>1</v>
      </c>
      <c r="T146" s="27" t="str">
        <f>IF(O146="","0","1")</f>
        <v>1</v>
      </c>
      <c r="U146" s="27" t="str">
        <f>IF(O146="","0","1")</f>
        <v>1</v>
      </c>
      <c r="V146" s="27" t="str">
        <f>IF(O146="","1","1")</f>
        <v>1</v>
      </c>
      <c r="W146" s="27"/>
      <c r="X146" s="27" t="str">
        <f>IF(O146="","","0")</f>
        <v>0</v>
      </c>
      <c r="Y146" s="27" t="str">
        <f>IF(O146="","","0")</f>
        <v>0</v>
      </c>
      <c r="Z146" s="27" t="str">
        <f>IF(O146="","","0")</f>
        <v>0</v>
      </c>
      <c r="AA146" s="121"/>
      <c r="AB146" s="121"/>
      <c r="AC146" s="121"/>
      <c r="AD146" s="121"/>
      <c r="AE146" s="121" t="s">
        <v>51</v>
      </c>
      <c r="AF146" s="121"/>
      <c r="AG146" s="121"/>
      <c r="AH146" s="28">
        <v>255000</v>
      </c>
      <c r="AI146" s="28" t="s">
        <v>113</v>
      </c>
      <c r="AJ146" s="27">
        <v>254110</v>
      </c>
      <c r="AK146" s="27" t="str">
        <f>IF(B146="","","0")</f>
        <v>0</v>
      </c>
      <c r="AL146" s="123" t="str">
        <f>IF(C146="","",C146&amp;"/"&amp;F146&amp;"/"&amp;N146&amp;"/"&amp;O146)</f>
        <v>14821/매출채권이월/sale.sale/InitBond1</v>
      </c>
      <c r="AM146" s="27" t="s">
        <v>3350</v>
      </c>
      <c r="AN146" s="27" t="s">
        <v>3245</v>
      </c>
      <c r="AO146" s="27" t="s">
        <v>3245</v>
      </c>
      <c r="AP146" s="27" t="s">
        <v>3245</v>
      </c>
      <c r="AQ146" s="27" t="s">
        <v>3245</v>
      </c>
      <c r="AR146" s="27" t="s">
        <v>3245</v>
      </c>
      <c r="AS146" s="27" t="s">
        <v>3245</v>
      </c>
      <c r="AT146" s="27" t="s">
        <v>3245</v>
      </c>
      <c r="AU146" s="27" t="s">
        <v>3245</v>
      </c>
      <c r="AV146" s="27" t="s">
        <v>3245</v>
      </c>
      <c r="AW146" s="27" t="s">
        <v>3245</v>
      </c>
      <c r="AX146" s="27" t="s">
        <v>3245</v>
      </c>
      <c r="AY146" s="124"/>
      <c r="AZ146" s="138" t="str">
        <f>IF(C146="","","delete from module_mst where pjt_id = '"&amp;C146&amp;"' and menu_id = '"&amp;E146&amp;"';")</f>
        <v>delete from module_mst where pjt_id = '14821' and menu_id = '255002';</v>
      </c>
      <c r="BA146" s="31" t="str">
        <f>IF(C146&lt;&gt;"",CREATE_QUERY($D$1,C$2:AY$2,C146:AY146),"")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'255002', '매출채권이월', 'sale.sale', 'InitBond', '', '', '1', '1', '1', 'sale.sale', 'InitBond1', '1', '1', '1', '1', '1', '1', '1', '', '0', '0', '0', '', '', '', '', 'N', '', '', '255000', '5', '254110', '0', '14821/매출채권이월/sale.sale/InitBond1', '선택', '');</v>
      </c>
    </row>
    <row r="147" spans="1:53">
      <c r="A147" s="1">
        <v>147</v>
      </c>
      <c r="B147" s="164" t="str">
        <f>IF(F147="","",IF(AI147="1","",IF(AI147="2","└ ",IF(AI147="3","  └ ",IF(AI147="4","    └ ",IF(AI147="5","        └ ",IF(AI147="6","         └ ",IF(AI147="7"="            └ ",""))))))))&amp;IF(AM147="","",IF(AM147="메뉴","","("&amp;AM147&amp;")"))&amp;F147</f>
        <v xml:space="preserve">        └ (선택)이월 적송잔량 등록</v>
      </c>
      <c r="C147" s="27" t="str">
        <f>IF(F147="","","14821")</f>
        <v>14821</v>
      </c>
      <c r="D147" s="121"/>
      <c r="E147" s="27">
        <v>255003</v>
      </c>
      <c r="F147" s="121" t="s">
        <v>3264</v>
      </c>
      <c r="G147" s="121" t="s">
        <v>900</v>
      </c>
      <c r="H147" s="121"/>
      <c r="I147" s="121"/>
      <c r="J147" s="121"/>
      <c r="K147" s="27" t="str">
        <f>IF(O147="","","1")</f>
        <v>1</v>
      </c>
      <c r="L147" s="27" t="str">
        <f>IF(F147="","","1")</f>
        <v>1</v>
      </c>
      <c r="M147" s="27" t="str">
        <f>IF(O147="","0","1")</f>
        <v>1</v>
      </c>
      <c r="N147" s="121" t="s">
        <v>2366</v>
      </c>
      <c r="O147" s="121" t="s">
        <v>3267</v>
      </c>
      <c r="P147" s="27" t="str">
        <f>IF(O147="","0","1")</f>
        <v>1</v>
      </c>
      <c r="Q147" s="27" t="str">
        <f>IF(O147="","0","1")</f>
        <v>1</v>
      </c>
      <c r="R147" s="27" t="str">
        <f>IF(O147="","0","1")</f>
        <v>1</v>
      </c>
      <c r="S147" s="27" t="str">
        <f>IF(O147="","0","1")</f>
        <v>1</v>
      </c>
      <c r="T147" s="27" t="str">
        <f>IF(O147="","0","1")</f>
        <v>1</v>
      </c>
      <c r="U147" s="27" t="str">
        <f>IF(O147="","0","1")</f>
        <v>1</v>
      </c>
      <c r="V147" s="27" t="str">
        <f>IF(O147="","1","1")</f>
        <v>1</v>
      </c>
      <c r="W147" s="27"/>
      <c r="X147" s="27" t="str">
        <f>IF(O147="","","0")</f>
        <v>0</v>
      </c>
      <c r="Y147" s="27" t="str">
        <f>IF(O147="","","0")</f>
        <v>0</v>
      </c>
      <c r="Z147" s="27" t="str">
        <f>IF(O147="","","0")</f>
        <v>0</v>
      </c>
      <c r="AA147" s="121"/>
      <c r="AB147" s="121"/>
      <c r="AC147" s="121"/>
      <c r="AD147" s="121"/>
      <c r="AE147" s="121" t="s">
        <v>51</v>
      </c>
      <c r="AF147" s="121"/>
      <c r="AG147" s="121"/>
      <c r="AH147" s="28">
        <v>255000</v>
      </c>
      <c r="AI147" s="28" t="s">
        <v>113</v>
      </c>
      <c r="AJ147" s="27">
        <v>254100</v>
      </c>
      <c r="AK147" s="27" t="str">
        <f>IF(B147="","","0")</f>
        <v>0</v>
      </c>
      <c r="AL147" s="123" t="str">
        <f>IF(C147="","",C147&amp;"/"&amp;F147&amp;"/"&amp;N147&amp;"/"&amp;O147)</f>
        <v>14821/이월 적송잔량 등록/sale.sale/InitStay</v>
      </c>
      <c r="AM147" s="27" t="s">
        <v>3350</v>
      </c>
      <c r="AN147" s="27" t="s">
        <v>3245</v>
      </c>
      <c r="AO147" s="27" t="s">
        <v>3245</v>
      </c>
      <c r="AP147" s="27" t="s">
        <v>3245</v>
      </c>
      <c r="AQ147" s="27" t="s">
        <v>3245</v>
      </c>
      <c r="AR147" s="27" t="s">
        <v>3245</v>
      </c>
      <c r="AS147" s="27" t="s">
        <v>3245</v>
      </c>
      <c r="AT147" s="27" t="s">
        <v>3245</v>
      </c>
      <c r="AU147" s="27" t="s">
        <v>3245</v>
      </c>
      <c r="AV147" s="27" t="s">
        <v>3245</v>
      </c>
      <c r="AW147" s="27" t="s">
        <v>3245</v>
      </c>
      <c r="AX147" s="27" t="s">
        <v>3245</v>
      </c>
      <c r="AY147" s="124"/>
      <c r="AZ147" s="138" t="str">
        <f>IF(C147="","","delete from module_mst where pjt_id = '"&amp;C147&amp;"' and menu_id = '"&amp;E147&amp;"';")</f>
        <v>delete from module_mst where pjt_id = '14821' and menu_id = '255003';</v>
      </c>
      <c r="BA147" s="31" t="str">
        <f>IF(C147&lt;&gt;"",CREATE_QUERY($D$1,C$2:AY$2,C147:AY147),"")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'255003', '이월 적송잔량 등록', '', '', '', '', '1', '1', '1', 'sale.sale', 'InitStay', '1', '1', '1', '1', '1', '1', '1', '', '0', '0', '0', '', '', '', '', 'N', '', '', '255000', '5', '254100', '0', '14821/이월 적송잔량 등록/sale.sale/InitStay', '선택', '');</v>
      </c>
    </row>
    <row r="148" spans="1:53">
      <c r="A148" s="1">
        <v>148</v>
      </c>
      <c r="B148" s="164" t="str">
        <f t="shared" ref="B148:B150" si="216">IF(F148="","",IF(AI148="1","",IF(AI148="2","└ ",IF(AI148="3","  └ ",IF(AI148="4","    └ ",IF(AI148="5","        └ ",IF(AI148="6","         └ ",IF(AI148="7"="            └ ",""))))))))&amp;IF(AM148="","",IF(AM148="메뉴","","("&amp;AM148&amp;")"))&amp;F148</f>
        <v xml:space="preserve">        └ (공통)매출처원장</v>
      </c>
      <c r="C148" s="27" t="str">
        <f t="shared" ref="C148:C150" si="217">IF(F148="","","14821")</f>
        <v>14821</v>
      </c>
      <c r="D148" s="121"/>
      <c r="E148" s="27">
        <v>255004</v>
      </c>
      <c r="F148" s="121" t="s">
        <v>2963</v>
      </c>
      <c r="G148" s="121" t="s">
        <v>3223</v>
      </c>
      <c r="H148" s="121"/>
      <c r="I148" s="121"/>
      <c r="J148" s="121"/>
      <c r="K148" s="27" t="str">
        <f t="shared" ref="K148:K150" si="218">IF(O148="","","1")</f>
        <v>1</v>
      </c>
      <c r="L148" s="27" t="str">
        <f t="shared" ref="L148:L150" si="219">IF(F148="","","1")</f>
        <v>1</v>
      </c>
      <c r="M148" s="27" t="str">
        <f t="shared" ref="M148:M150" si="220">IF(O148="","0","1")</f>
        <v>1</v>
      </c>
      <c r="N148" s="121" t="s">
        <v>2366</v>
      </c>
      <c r="O148" s="121" t="s">
        <v>2964</v>
      </c>
      <c r="P148" s="27" t="str">
        <f t="shared" ref="P148:P150" si="221">IF(O148="","0","1")</f>
        <v>1</v>
      </c>
      <c r="Q148" s="27" t="str">
        <f t="shared" ref="Q148:Q150" si="222">IF(O148="","0","1")</f>
        <v>1</v>
      </c>
      <c r="R148" s="27" t="str">
        <f t="shared" ref="R148:R150" si="223">IF(O148="","0","1")</f>
        <v>1</v>
      </c>
      <c r="S148" s="27" t="str">
        <f t="shared" ref="S148:S150" si="224">IF(O148="","0","1")</f>
        <v>1</v>
      </c>
      <c r="T148" s="27" t="str">
        <f t="shared" ref="T148:T150" si="225">IF(O148="","0","1")</f>
        <v>1</v>
      </c>
      <c r="U148" s="27" t="str">
        <f t="shared" ref="U148:U150" si="226">IF(O148="","0","1")</f>
        <v>1</v>
      </c>
      <c r="V148" s="27" t="str">
        <f t="shared" ref="V148:V150" si="227">IF(O148="","1","1")</f>
        <v>1</v>
      </c>
      <c r="W148" s="27"/>
      <c r="X148" s="27" t="str">
        <f t="shared" ref="X148:X150" si="228">IF(O148="","","0")</f>
        <v>0</v>
      </c>
      <c r="Y148" s="27" t="str">
        <f t="shared" ref="Y148:Y150" si="229">IF(O148="","","0")</f>
        <v>0</v>
      </c>
      <c r="Z148" s="27" t="str">
        <f t="shared" ref="Z148:Z150" si="230">IF(O148="","","0")</f>
        <v>0</v>
      </c>
      <c r="AA148" s="121"/>
      <c r="AB148" s="121"/>
      <c r="AC148" s="121"/>
      <c r="AD148" s="121"/>
      <c r="AE148" s="121" t="s">
        <v>51</v>
      </c>
      <c r="AF148" s="121"/>
      <c r="AG148" s="121"/>
      <c r="AH148" s="28">
        <v>255000</v>
      </c>
      <c r="AI148" s="28" t="s">
        <v>113</v>
      </c>
      <c r="AJ148" s="27">
        <v>254020</v>
      </c>
      <c r="AK148" s="27" t="str">
        <f t="shared" ref="AK148:AK150" si="231">IF(B148="","","0")</f>
        <v>0</v>
      </c>
      <c r="AL148" s="123" t="str">
        <f t="shared" ref="AL148:AL150" si="232">IF(C148="","",C148&amp;"/"&amp;F148&amp;"/"&amp;N148&amp;"/"&amp;O148)</f>
        <v>14821/매출처원장/sale.sale/SaleList1</v>
      </c>
      <c r="AM148" s="27" t="s">
        <v>2984</v>
      </c>
      <c r="AN148" s="27"/>
      <c r="AO148" s="27"/>
      <c r="AP148" s="27"/>
      <c r="AQ148" s="27"/>
      <c r="AR148" s="27"/>
      <c r="AS148" s="27"/>
      <c r="AT148" s="27"/>
      <c r="AU148" s="27"/>
      <c r="AV148" s="27"/>
      <c r="AW148" s="27" t="s">
        <v>1829</v>
      </c>
      <c r="AX148" s="27"/>
      <c r="AY148" s="124"/>
      <c r="AZ148" s="138" t="str">
        <f>IF(C148="","","delete from module_mst where pjt_id = '"&amp;C148&amp;"' and menu_id = '"&amp;E148&amp;"';")</f>
        <v>delete from module_mst where pjt_id = '14821' and menu_id = '255004';</v>
      </c>
      <c r="BA148" s="31" t="str">
        <f>IF(C148&lt;&gt;"",CREATE_QUERY($D$1,C$2:AY$2,C148:AY148),"")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'255004', '매출처원장', 'Customers ledger', '', '', '', '1', '1', '1', 'sale.sale', 'SaleList1', '1', '1', '1', '1', '1', '1', '1', '', '0', '0', '0', '', '', '', '', 'N', '', '', '255000', '5', '254020', '0', '14821/매출처원장/sale.sale/SaleList1', '공통', '');</v>
      </c>
    </row>
    <row r="149" spans="1:53">
      <c r="A149" s="1">
        <v>149</v>
      </c>
      <c r="B149" s="164" t="str">
        <f>IF(F149="","",IF(AI149="1","",IF(AI149="2","└ ",IF(AI149="3","  └ ",IF(AI149="4","    └ ",IF(AI149="5","        └ ",IF(AI149="6","         └ ",IF(AI149="7"="            └ ",""))))))))&amp;IF(AM149="","",IF(AM149="메뉴","","("&amp;AM149&amp;")"))&amp;F149</f>
        <v xml:space="preserve">        └ (선택)매출처원장</v>
      </c>
      <c r="C149" s="27" t="str">
        <f>IF(F149="","","14821")</f>
        <v>14821</v>
      </c>
      <c r="D149" s="121"/>
      <c r="E149" s="27">
        <v>255005</v>
      </c>
      <c r="F149" s="121" t="s">
        <v>2963</v>
      </c>
      <c r="G149" s="121" t="s">
        <v>900</v>
      </c>
      <c r="H149" s="121"/>
      <c r="I149" s="121"/>
      <c r="J149" s="121"/>
      <c r="K149" s="27" t="str">
        <f>IF(O149="","","1")</f>
        <v>1</v>
      </c>
      <c r="L149" s="27" t="str">
        <f>IF(F149="","","1")</f>
        <v>1</v>
      </c>
      <c r="M149" s="27" t="str">
        <f>IF(O149="","0","1")</f>
        <v>1</v>
      </c>
      <c r="N149" s="121" t="s">
        <v>2366</v>
      </c>
      <c r="O149" s="121" t="s">
        <v>3274</v>
      </c>
      <c r="P149" s="27" t="str">
        <f>IF(O149="","0","1")</f>
        <v>1</v>
      </c>
      <c r="Q149" s="27" t="str">
        <f>IF(O149="","0","1")</f>
        <v>1</v>
      </c>
      <c r="R149" s="27" t="str">
        <f>IF(O149="","0","1")</f>
        <v>1</v>
      </c>
      <c r="S149" s="27" t="str">
        <f>IF(O149="","0","1")</f>
        <v>1</v>
      </c>
      <c r="T149" s="27" t="str">
        <f>IF(O149="","0","1")</f>
        <v>1</v>
      </c>
      <c r="U149" s="27" t="str">
        <f>IF(O149="","0","1")</f>
        <v>1</v>
      </c>
      <c r="V149" s="27" t="str">
        <f>IF(O149="","1","1")</f>
        <v>1</v>
      </c>
      <c r="W149" s="27"/>
      <c r="X149" s="27" t="str">
        <f>IF(O149="","","0")</f>
        <v>0</v>
      </c>
      <c r="Y149" s="27" t="str">
        <f>IF(O149="","","0")</f>
        <v>0</v>
      </c>
      <c r="Z149" s="27" t="str">
        <f>IF(O149="","","0")</f>
        <v>0</v>
      </c>
      <c r="AA149" s="121"/>
      <c r="AB149" s="121"/>
      <c r="AC149" s="121"/>
      <c r="AD149" s="121"/>
      <c r="AE149" s="121" t="s">
        <v>51</v>
      </c>
      <c r="AF149" s="121"/>
      <c r="AG149" s="121"/>
      <c r="AH149" s="28">
        <v>255000</v>
      </c>
      <c r="AI149" s="28" t="s">
        <v>113</v>
      </c>
      <c r="AJ149" s="27">
        <v>254160</v>
      </c>
      <c r="AK149" s="27" t="str">
        <f>IF(B149="","","0")</f>
        <v>0</v>
      </c>
      <c r="AL149" s="123" t="str">
        <f>IF(C149="","",C149&amp;"/"&amp;F149&amp;"/"&amp;N149&amp;"/"&amp;O149)</f>
        <v>14821/매출처원장/sale.sale/SaleArList1</v>
      </c>
      <c r="AM149" s="27" t="s">
        <v>3349</v>
      </c>
      <c r="AN149" s="27" t="s">
        <v>3245</v>
      </c>
      <c r="AO149" s="27" t="s">
        <v>3245</v>
      </c>
      <c r="AP149" s="27" t="s">
        <v>3245</v>
      </c>
      <c r="AQ149" s="27" t="s">
        <v>3245</v>
      </c>
      <c r="AR149" s="27" t="s">
        <v>3245</v>
      </c>
      <c r="AS149" s="27" t="s">
        <v>3245</v>
      </c>
      <c r="AT149" s="27" t="s">
        <v>3245</v>
      </c>
      <c r="AU149" s="27" t="s">
        <v>3245</v>
      </c>
      <c r="AV149" s="27" t="s">
        <v>3245</v>
      </c>
      <c r="AW149" s="27" t="s">
        <v>3245</v>
      </c>
      <c r="AX149" s="27" t="s">
        <v>3245</v>
      </c>
      <c r="AY149" s="124"/>
      <c r="AZ149" s="138" t="str">
        <f>IF(C149="","","delete from module_mst where pjt_id = '"&amp;C149&amp;"' and menu_id = '"&amp;E149&amp;"';")</f>
        <v>delete from module_mst where pjt_id = '14821' and menu_id = '255005';</v>
      </c>
      <c r="BA149" s="31" t="str">
        <f>IF(C149&lt;&gt;"",CREATE_QUERY($D$1,C$2:AY$2,C149:AY149),"")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'255005', '매출처원장', '', '', '', '', '1', '1', '1', 'sale.sale', 'SaleArList1', '1', '1', '1', '1', '1', '1', '1', '', '0', '0', '0', '', '', '', '', 'N', '', '', '255000', '5', '254160', '0', '14821/매출처원장/sale.sale/SaleArList1', '선택', '');</v>
      </c>
    </row>
    <row r="150" spans="1:53">
      <c r="A150" s="1">
        <v>150</v>
      </c>
      <c r="B150" s="164" t="str">
        <f t="shared" si="216"/>
        <v xml:space="preserve">        └ (공통)미수금 집계표</v>
      </c>
      <c r="C150" s="27" t="str">
        <f t="shared" si="217"/>
        <v>14821</v>
      </c>
      <c r="D150" s="121"/>
      <c r="E150" s="27">
        <v>255006</v>
      </c>
      <c r="F150" s="121" t="s">
        <v>2965</v>
      </c>
      <c r="G150" s="121" t="s">
        <v>3224</v>
      </c>
      <c r="H150" s="121"/>
      <c r="I150" s="121"/>
      <c r="J150" s="121"/>
      <c r="K150" s="27" t="str">
        <f t="shared" si="218"/>
        <v>1</v>
      </c>
      <c r="L150" s="27" t="str">
        <f t="shared" si="219"/>
        <v>1</v>
      </c>
      <c r="M150" s="27" t="str">
        <f t="shared" si="220"/>
        <v>1</v>
      </c>
      <c r="N150" s="121" t="s">
        <v>2366</v>
      </c>
      <c r="O150" s="121" t="s">
        <v>2966</v>
      </c>
      <c r="P150" s="27" t="str">
        <f t="shared" si="221"/>
        <v>1</v>
      </c>
      <c r="Q150" s="27" t="str">
        <f t="shared" si="222"/>
        <v>1</v>
      </c>
      <c r="R150" s="27" t="str">
        <f t="shared" si="223"/>
        <v>1</v>
      </c>
      <c r="S150" s="27" t="str">
        <f t="shared" si="224"/>
        <v>1</v>
      </c>
      <c r="T150" s="27" t="str">
        <f t="shared" si="225"/>
        <v>1</v>
      </c>
      <c r="U150" s="27" t="str">
        <f t="shared" si="226"/>
        <v>1</v>
      </c>
      <c r="V150" s="27" t="str">
        <f t="shared" si="227"/>
        <v>1</v>
      </c>
      <c r="W150" s="27"/>
      <c r="X150" s="27" t="str">
        <f t="shared" si="228"/>
        <v>0</v>
      </c>
      <c r="Y150" s="27" t="str">
        <f t="shared" si="229"/>
        <v>0</v>
      </c>
      <c r="Z150" s="27" t="str">
        <f t="shared" si="230"/>
        <v>0</v>
      </c>
      <c r="AA150" s="121"/>
      <c r="AB150" s="121"/>
      <c r="AC150" s="121"/>
      <c r="AD150" s="121"/>
      <c r="AE150" s="121" t="s">
        <v>51</v>
      </c>
      <c r="AF150" s="121"/>
      <c r="AG150" s="121"/>
      <c r="AH150" s="28">
        <v>255000</v>
      </c>
      <c r="AI150" s="28" t="s">
        <v>113</v>
      </c>
      <c r="AJ150" s="27">
        <v>254030</v>
      </c>
      <c r="AK150" s="27" t="str">
        <f t="shared" si="231"/>
        <v>0</v>
      </c>
      <c r="AL150" s="123" t="str">
        <f t="shared" si="232"/>
        <v>14821/미수금 집계표/sale.sale/SaleList2</v>
      </c>
      <c r="AM150" s="27" t="s">
        <v>2984</v>
      </c>
      <c r="AN150" s="27"/>
      <c r="AO150" s="27"/>
      <c r="AP150" s="27"/>
      <c r="AQ150" s="27"/>
      <c r="AR150" s="27"/>
      <c r="AS150" s="27"/>
      <c r="AT150" s="27"/>
      <c r="AU150" s="27"/>
      <c r="AV150" s="27"/>
      <c r="AW150" s="27" t="s">
        <v>1829</v>
      </c>
      <c r="AX150" s="27"/>
      <c r="AY150" s="124"/>
      <c r="AZ150" s="138" t="str">
        <f>IF(C150="","","delete from module_mst where pjt_id = '"&amp;C150&amp;"' and menu_id = '"&amp;E150&amp;"';")</f>
        <v>delete from module_mst where pjt_id = '14821' and menu_id = '255006';</v>
      </c>
      <c r="BA150" s="31" t="str">
        <f>IF(C150&lt;&gt;"",CREATE_QUERY($D$1,C$2:AY$2,C150:AY150),"")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'255006', '미수금 집계표', 'Statement of Accounts Receivable', '', '', '', '1', '1', '1', 'sale.sale', 'SaleList2', '1', '1', '1', '1', '1', '1', '1', '', '0', '0', '0', '', '', '', '', 'N', '', '', '255000', '5', '254030', '0', '14821/미수금 집계표/sale.sale/SaleList2', '공통', '');</v>
      </c>
    </row>
    <row r="151" spans="1:53">
      <c r="A151" s="1">
        <v>151</v>
      </c>
      <c r="B151" s="164" t="str">
        <f t="shared" ref="B151" si="233">IF(F151="","",IF(AI151="1","",IF(AI151="2","└ ",IF(AI151="3","  └ ",IF(AI151="4","    └ ",IF(AI151="5","        └ ",IF(AI151="6","         └ ",IF(AI151="7"="            └ ",""))))))))&amp;IF(AM151="","",IF(AM151="메뉴","","("&amp;AM151&amp;")"))&amp;F151</f>
        <v xml:space="preserve">        └ (선택)미수현황</v>
      </c>
      <c r="C151" s="27" t="str">
        <f t="shared" ref="C151" si="234">IF(F151="","","14821")</f>
        <v>14821</v>
      </c>
      <c r="D151" s="121"/>
      <c r="E151" s="27">
        <v>255007</v>
      </c>
      <c r="F151" s="121" t="s">
        <v>3272</v>
      </c>
      <c r="G151" s="121" t="s">
        <v>900</v>
      </c>
      <c r="H151" s="121"/>
      <c r="I151" s="121"/>
      <c r="J151" s="121"/>
      <c r="K151" s="27" t="str">
        <f t="shared" ref="K151" si="235">IF(O151="","","1")</f>
        <v>1</v>
      </c>
      <c r="L151" s="27" t="str">
        <f t="shared" ref="L151" si="236">IF(F151="","","1")</f>
        <v>1</v>
      </c>
      <c r="M151" s="27" t="str">
        <f t="shared" ref="M151" si="237">IF(O151="","0","1")</f>
        <v>1</v>
      </c>
      <c r="N151" s="121" t="s">
        <v>2366</v>
      </c>
      <c r="O151" s="121" t="s">
        <v>3273</v>
      </c>
      <c r="P151" s="27" t="str">
        <f t="shared" ref="P151" si="238">IF(O151="","0","1")</f>
        <v>1</v>
      </c>
      <c r="Q151" s="27" t="str">
        <f t="shared" ref="Q151" si="239">IF(O151="","0","1")</f>
        <v>1</v>
      </c>
      <c r="R151" s="27" t="str">
        <f t="shared" ref="R151" si="240">IF(O151="","0","1")</f>
        <v>1</v>
      </c>
      <c r="S151" s="27" t="str">
        <f t="shared" ref="S151" si="241">IF(O151="","0","1")</f>
        <v>1</v>
      </c>
      <c r="T151" s="27" t="str">
        <f t="shared" ref="T151" si="242">IF(O151="","0","1")</f>
        <v>1</v>
      </c>
      <c r="U151" s="27" t="str">
        <f t="shared" ref="U151" si="243">IF(O151="","0","1")</f>
        <v>1</v>
      </c>
      <c r="V151" s="27" t="str">
        <f t="shared" ref="V151" si="244">IF(O151="","1","1")</f>
        <v>1</v>
      </c>
      <c r="W151" s="27"/>
      <c r="X151" s="27" t="str">
        <f t="shared" ref="X151" si="245">IF(O151="","","0")</f>
        <v>0</v>
      </c>
      <c r="Y151" s="27" t="str">
        <f t="shared" ref="Y151" si="246">IF(O151="","","0")</f>
        <v>0</v>
      </c>
      <c r="Z151" s="27" t="str">
        <f t="shared" ref="Z151" si="247">IF(O151="","","0")</f>
        <v>0</v>
      </c>
      <c r="AA151" s="121"/>
      <c r="AB151" s="121"/>
      <c r="AC151" s="121"/>
      <c r="AD151" s="121"/>
      <c r="AE151" s="121" t="s">
        <v>51</v>
      </c>
      <c r="AF151" s="121"/>
      <c r="AG151" s="121"/>
      <c r="AH151" s="28">
        <v>255000</v>
      </c>
      <c r="AI151" s="28" t="s">
        <v>113</v>
      </c>
      <c r="AJ151" s="27">
        <v>254170</v>
      </c>
      <c r="AK151" s="27" t="str">
        <f t="shared" ref="AK151" si="248">IF(B151="","","0")</f>
        <v>0</v>
      </c>
      <c r="AL151" s="123" t="str">
        <f t="shared" ref="AL151" si="249">IF(C151="","",C151&amp;"/"&amp;F151&amp;"/"&amp;N151&amp;"/"&amp;O151)</f>
        <v>14821/미수현황/sale.sale/SaleArList2</v>
      </c>
      <c r="AM151" s="27" t="s">
        <v>3349</v>
      </c>
      <c r="AN151" s="27" t="s">
        <v>3245</v>
      </c>
      <c r="AO151" s="27" t="s">
        <v>3245</v>
      </c>
      <c r="AP151" s="27" t="s">
        <v>3245</v>
      </c>
      <c r="AQ151" s="27" t="s">
        <v>3245</v>
      </c>
      <c r="AR151" s="27" t="s">
        <v>3245</v>
      </c>
      <c r="AS151" s="27" t="s">
        <v>3245</v>
      </c>
      <c r="AT151" s="27" t="s">
        <v>3245</v>
      </c>
      <c r="AU151" s="27" t="s">
        <v>3245</v>
      </c>
      <c r="AV151" s="27" t="s">
        <v>3245</v>
      </c>
      <c r="AW151" s="27" t="s">
        <v>3245</v>
      </c>
      <c r="AX151" s="27" t="s">
        <v>3245</v>
      </c>
      <c r="AY151" s="124"/>
      <c r="AZ151" s="138" t="str">
        <f>IF(C151="","","delete from module_mst where pjt_id = '"&amp;C151&amp;"' and menu_id = '"&amp;E151&amp;"';")</f>
        <v>delete from module_mst where pjt_id = '14821' and menu_id = '255007';</v>
      </c>
      <c r="BA151" s="31" t="str">
        <f>IF(C151&lt;&gt;"",CREATE_QUERY($D$1,C$2:AY$2,C151:AY151),"")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'255007', '미수현황', '', '', '', '', '1', '1', '1', 'sale.sale', 'SaleArList2', '1', '1', '1', '1', '1', '1', '1', '', '0', '0', '0', '', '', '', '', 'N', '', '', '255000', '5', '254170', '0', '14821/미수현황/sale.sale/SaleArList2', '선택', '');</v>
      </c>
    </row>
    <row r="152" spans="1:53">
      <c r="A152" s="1">
        <v>152</v>
      </c>
      <c r="B152" s="164" t="str">
        <f>IF(F152="","",IF(AI152="1","",IF(AI152="2","└ ",IF(AI152="3","  └ ",IF(AI152="4","    └ ",IF(AI152="5","        └ ",IF(AI152="6","         └ ",IF(AI152="7"="            └ ",""))))))))&amp;IF(AM152="","",IF(AM152="메뉴","","("&amp;AM152&amp;")"))&amp;F152</f>
        <v xml:space="preserve">        └ (공통)수금보고</v>
      </c>
      <c r="C152" s="27" t="str">
        <f>IF(F152="","","14821")</f>
        <v>14821</v>
      </c>
      <c r="D152" s="121"/>
      <c r="E152" s="27">
        <v>255008</v>
      </c>
      <c r="F152" s="121" t="s">
        <v>2367</v>
      </c>
      <c r="G152" s="121" t="s">
        <v>900</v>
      </c>
      <c r="H152" s="121"/>
      <c r="I152" s="121"/>
      <c r="J152" s="121"/>
      <c r="K152" s="27" t="str">
        <f>IF(O152="","","1")</f>
        <v>1</v>
      </c>
      <c r="L152" s="27" t="str">
        <f>IF(F152="","","1")</f>
        <v>1</v>
      </c>
      <c r="M152" s="27" t="str">
        <f>IF(O152="","0","1")</f>
        <v>1</v>
      </c>
      <c r="N152" s="121" t="s">
        <v>2970</v>
      </c>
      <c r="O152" s="121" t="s">
        <v>2368</v>
      </c>
      <c r="P152" s="27" t="str">
        <f>IF(O152="","0","1")</f>
        <v>1</v>
      </c>
      <c r="Q152" s="27" t="str">
        <f>IF(O152="","0","1")</f>
        <v>1</v>
      </c>
      <c r="R152" s="27" t="str">
        <f>IF(O152="","0","1")</f>
        <v>1</v>
      </c>
      <c r="S152" s="27" t="str">
        <f>IF(O152="","0","1")</f>
        <v>1</v>
      </c>
      <c r="T152" s="27" t="str">
        <f>IF(O152="","0","1")</f>
        <v>1</v>
      </c>
      <c r="U152" s="27" t="str">
        <f>IF(O152="","0","1")</f>
        <v>1</v>
      </c>
      <c r="V152" s="27" t="str">
        <f>IF(O152="","1","1")</f>
        <v>1</v>
      </c>
      <c r="W152" s="27"/>
      <c r="X152" s="27" t="str">
        <f>IF(O152="","","0")</f>
        <v>0</v>
      </c>
      <c r="Y152" s="27" t="str">
        <f>IF(O152="","","0")</f>
        <v>0</v>
      </c>
      <c r="Z152" s="27" t="str">
        <f>IF(O152="","","0")</f>
        <v>0</v>
      </c>
      <c r="AA152" s="121"/>
      <c r="AB152" s="121"/>
      <c r="AC152" s="121"/>
      <c r="AD152" s="121"/>
      <c r="AE152" s="121" t="s">
        <v>51</v>
      </c>
      <c r="AF152" s="121"/>
      <c r="AG152" s="121"/>
      <c r="AH152" s="28">
        <v>255000</v>
      </c>
      <c r="AI152" s="28" t="s">
        <v>113</v>
      </c>
      <c r="AJ152" s="27">
        <v>254090</v>
      </c>
      <c r="AK152" s="27" t="str">
        <f>IF(B152="","","0")</f>
        <v>0</v>
      </c>
      <c r="AL152" s="123" t="str">
        <f>IF(C152="","",C152&amp;"/"&amp;F152&amp;"/"&amp;N152&amp;"/"&amp;O152)</f>
        <v>14821/수금보고/custom.iypkg.sale.sale/SaleColt</v>
      </c>
      <c r="AM152" s="27" t="s">
        <v>2984</v>
      </c>
      <c r="AN152" s="27"/>
      <c r="AO152" s="27"/>
      <c r="AP152" s="27"/>
      <c r="AQ152" s="27"/>
      <c r="AR152" s="27"/>
      <c r="AS152" s="27"/>
      <c r="AT152" s="27"/>
      <c r="AU152" s="27"/>
      <c r="AV152" s="27"/>
      <c r="AW152" s="27" t="s">
        <v>1829</v>
      </c>
      <c r="AX152" s="27"/>
      <c r="AY152" s="124"/>
      <c r="AZ152" s="138" t="str">
        <f>IF(C152="","","delete from module_mst where pjt_id = '"&amp;C152&amp;"' and menu_id = '"&amp;E152&amp;"';")</f>
        <v>delete from module_mst where pjt_id = '14821' and menu_id = '255008';</v>
      </c>
      <c r="BA152" s="31" t="str">
        <f>IF(C152&lt;&gt;"",CREATE_QUERY($D$1,C$2:AY$2,C152:AY152),"")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'255008', '수금보고', '', '', '', '', '1', '1', '1', 'custom.iypkg.sale.sale', 'SaleColt', '1', '1', '1', '1', '1', '1', '1', '', '0', '0', '0', '', '', '', '', 'N', '', '', '255000', '5', '254090', '0', '14821/수금보고/custom.iypkg.sale.sale/SaleColt', '공통', '');</v>
      </c>
    </row>
    <row r="153" spans="1:53">
      <c r="A153" s="1">
        <v>153</v>
      </c>
      <c r="B153" s="164" t="str">
        <f>IF(F153="","",IF(AI153="1","",IF(AI153="2","└ ",IF(AI153="3","  └ ",IF(AI153="4","    └ ",IF(AI153="5","        └ ",IF(AI153="6","         └ ",IF(AI153="7"="            └ ",""))))))))&amp;IF(AM153="","",IF(AM153="메뉴","","("&amp;AM153&amp;")"))&amp;F153</f>
        <v xml:space="preserve">        └ (선택)수금보고</v>
      </c>
      <c r="C153" s="27" t="str">
        <f>IF(F153="","","14821")</f>
        <v>14821</v>
      </c>
      <c r="D153" s="121"/>
      <c r="E153" s="27">
        <v>255009</v>
      </c>
      <c r="F153" s="121" t="s">
        <v>2367</v>
      </c>
      <c r="G153" s="121" t="s">
        <v>900</v>
      </c>
      <c r="H153" s="121"/>
      <c r="I153" s="121"/>
      <c r="J153" s="121"/>
      <c r="K153" s="27" t="str">
        <f>IF(O153="","","1")</f>
        <v>1</v>
      </c>
      <c r="L153" s="27" t="str">
        <f>IF(F153="","","1")</f>
        <v>1</v>
      </c>
      <c r="M153" s="27" t="str">
        <f>IF(O153="","0","1")</f>
        <v>1</v>
      </c>
      <c r="N153" s="121" t="s">
        <v>2366</v>
      </c>
      <c r="O153" s="121" t="s">
        <v>2368</v>
      </c>
      <c r="P153" s="27" t="str">
        <f>IF(O153="","0","1")</f>
        <v>1</v>
      </c>
      <c r="Q153" s="27" t="str">
        <f>IF(O153="","0","1")</f>
        <v>1</v>
      </c>
      <c r="R153" s="27" t="str">
        <f>IF(O153="","0","1")</f>
        <v>1</v>
      </c>
      <c r="S153" s="27" t="str">
        <f>IF(O153="","0","1")</f>
        <v>1</v>
      </c>
      <c r="T153" s="27" t="str">
        <f>IF(O153="","0","1")</f>
        <v>1</v>
      </c>
      <c r="U153" s="27" t="str">
        <f>IF(O153="","0","1")</f>
        <v>1</v>
      </c>
      <c r="V153" s="27" t="str">
        <f>IF(O153="","1","1")</f>
        <v>1</v>
      </c>
      <c r="W153" s="27"/>
      <c r="X153" s="27" t="str">
        <f>IF(O153="","","0")</f>
        <v>0</v>
      </c>
      <c r="Y153" s="27" t="str">
        <f>IF(O153="","","0")</f>
        <v>0</v>
      </c>
      <c r="Z153" s="27" t="str">
        <f>IF(O153="","","0")</f>
        <v>0</v>
      </c>
      <c r="AA153" s="121"/>
      <c r="AB153" s="121"/>
      <c r="AC153" s="121"/>
      <c r="AD153" s="121"/>
      <c r="AE153" s="121" t="s">
        <v>51</v>
      </c>
      <c r="AF153" s="121"/>
      <c r="AG153" s="121"/>
      <c r="AH153" s="28">
        <v>255000</v>
      </c>
      <c r="AI153" s="28" t="s">
        <v>113</v>
      </c>
      <c r="AJ153" s="27">
        <v>254150</v>
      </c>
      <c r="AK153" s="27" t="str">
        <f>IF(B153="","","0")</f>
        <v>0</v>
      </c>
      <c r="AL153" s="123" t="str">
        <f>IF(C153="","",C153&amp;"/"&amp;F153&amp;"/"&amp;N153&amp;"/"&amp;O153)</f>
        <v>14821/수금보고/sale.sale/SaleColt</v>
      </c>
      <c r="AM153" s="27" t="s">
        <v>3350</v>
      </c>
      <c r="AN153" s="27" t="s">
        <v>3245</v>
      </c>
      <c r="AO153" s="27" t="s">
        <v>3245</v>
      </c>
      <c r="AP153" s="27" t="s">
        <v>3245</v>
      </c>
      <c r="AQ153" s="27" t="s">
        <v>3245</v>
      </c>
      <c r="AR153" s="27" t="s">
        <v>3245</v>
      </c>
      <c r="AS153" s="27" t="s">
        <v>3245</v>
      </c>
      <c r="AT153" s="27" t="s">
        <v>3245</v>
      </c>
      <c r="AU153" s="27" t="s">
        <v>3245</v>
      </c>
      <c r="AV153" s="27" t="s">
        <v>3245</v>
      </c>
      <c r="AW153" s="27" t="s">
        <v>3245</v>
      </c>
      <c r="AX153" s="27" t="s">
        <v>3245</v>
      </c>
      <c r="AY153" s="124"/>
      <c r="AZ153" s="138" t="str">
        <f>IF(C153="","","delete from module_mst where pjt_id = '"&amp;C153&amp;"' and menu_id = '"&amp;E153&amp;"';")</f>
        <v>delete from module_mst where pjt_id = '14821' and menu_id = '255009';</v>
      </c>
      <c r="BA153" s="31" t="str">
        <f>IF(C153&lt;&gt;"",CREATE_QUERY($D$1,C$2:AY$2,C153:AY153),"")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'255009', '수금보고', '', '', '', '', '1', '1', '1', 'sale.sale', 'SaleColt', '1', '1', '1', '1', '1', '1', '1', '', '0', '0', '0', '', '', '', '', 'N', '', '', '255000', '5', '254150', '0', '14821/수금보고/sale.sale/SaleColt', '선택', '');</v>
      </c>
    </row>
    <row r="154" spans="1:53">
      <c r="A154" s="1">
        <v>154</v>
      </c>
      <c r="B154" s="164" t="str">
        <f t="shared" ref="B154:B155" si="250">IF(F154="","",IF(AI154="1","",IF(AI154="2","└ ",IF(AI154="3","  └ ",IF(AI154="4","    └ ",IF(AI154="5","        └ ",IF(AI154="6","         └ ",IF(AI154="7"="            └ ",""))))))))&amp;IF(AM154="","",IF(AM154="메뉴","","("&amp;AM154&amp;")"))&amp;F154</f>
        <v xml:space="preserve">        └ (선택)수금보고</v>
      </c>
      <c r="C154" s="27" t="str">
        <f t="shared" ref="C154:C155" si="251">IF(F154="","","14821")</f>
        <v>14821</v>
      </c>
      <c r="D154" s="121"/>
      <c r="E154" s="27">
        <v>255010</v>
      </c>
      <c r="F154" s="121" t="s">
        <v>2367</v>
      </c>
      <c r="G154" s="121"/>
      <c r="H154" s="121"/>
      <c r="I154" s="121"/>
      <c r="J154" s="121"/>
      <c r="K154" s="27" t="str">
        <f t="shared" ref="K154:K155" si="252">IF(O154="","","1")</f>
        <v>1</v>
      </c>
      <c r="L154" s="27" t="str">
        <f t="shared" ref="L154:L155" si="253">IF(F154="","","1")</f>
        <v>1</v>
      </c>
      <c r="M154" s="27" t="str">
        <f t="shared" ref="M154:M155" si="254">IF(O154="","0","1")</f>
        <v>1</v>
      </c>
      <c r="N154" s="121" t="s">
        <v>3307</v>
      </c>
      <c r="O154" s="121" t="s">
        <v>2368</v>
      </c>
      <c r="P154" s="27" t="str">
        <f>IF(O154="","0","1")</f>
        <v>1</v>
      </c>
      <c r="Q154" s="27" t="str">
        <f>IF(O154="","0","1")</f>
        <v>1</v>
      </c>
      <c r="R154" s="27" t="str">
        <f>IF(O154="","0","1")</f>
        <v>1</v>
      </c>
      <c r="S154" s="27" t="str">
        <f>IF(O154="","0","1")</f>
        <v>1</v>
      </c>
      <c r="T154" s="27" t="str">
        <f>IF(O154="","0","1")</f>
        <v>1</v>
      </c>
      <c r="U154" s="27" t="str">
        <f>IF(O154="","0","1")</f>
        <v>1</v>
      </c>
      <c r="V154" s="27" t="str">
        <f>IF(O154="","1","1")</f>
        <v>1</v>
      </c>
      <c r="W154" s="27"/>
      <c r="X154" s="27" t="str">
        <f>IF(O154="","","0")</f>
        <v>0</v>
      </c>
      <c r="Y154" s="27" t="str">
        <f>IF(O154="","","0")</f>
        <v>0</v>
      </c>
      <c r="Z154" s="27" t="str">
        <f>IF(O154="","","0")</f>
        <v>0</v>
      </c>
      <c r="AA154" s="121"/>
      <c r="AB154" s="121"/>
      <c r="AC154" s="121"/>
      <c r="AD154" s="121"/>
      <c r="AE154" s="121"/>
      <c r="AF154" s="121"/>
      <c r="AG154" s="121"/>
      <c r="AH154" s="28">
        <v>255000</v>
      </c>
      <c r="AI154" s="28" t="s">
        <v>113</v>
      </c>
      <c r="AJ154" s="27">
        <v>254190</v>
      </c>
      <c r="AK154" s="27" t="str">
        <f t="shared" ref="AK154:AK155" si="255">IF(B154="","","0")</f>
        <v>0</v>
      </c>
      <c r="AL154" s="123" t="str">
        <f t="shared" ref="AL154:AL155" si="256">IF(C154="","",C154&amp;"/"&amp;F154&amp;"/"&amp;N154&amp;"/"&amp;O154)</f>
        <v>14821/수금보고/custom.sjflv.sale.sale/SaleColt</v>
      </c>
      <c r="AM154" s="27" t="s">
        <v>3350</v>
      </c>
      <c r="AN154" s="27"/>
      <c r="AO154" s="27"/>
      <c r="AP154" s="27"/>
      <c r="AQ154" s="27"/>
      <c r="AR154" s="27"/>
      <c r="AS154" s="27"/>
      <c r="AT154" s="27"/>
      <c r="AU154" s="27"/>
      <c r="AV154" s="27"/>
      <c r="AW154" s="27"/>
      <c r="AX154" s="27"/>
      <c r="AY154" s="124"/>
      <c r="AZ154" s="138" t="str">
        <f>IF(C154="","","delete from module_mst where pjt_id = '"&amp;C154&amp;"' and menu_id = '"&amp;E154&amp;"';")</f>
        <v>delete from module_mst where pjt_id = '14821' and menu_id = '255010';</v>
      </c>
      <c r="BA154" s="31" t="str">
        <f>IF(C154&lt;&gt;"",CREATE_QUERY($D$1,C$2:AY$2,C154:AY154),"")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'255010', '수금보고', '', '', '', '', '1', '1', '1', 'custom.sjflv.sale.sale', 'SaleColt', '1', '1', '1', '1', '1', '1', '1', '', '0', '0', '0', '', '', '', '', '', '', '', '255000', '5', '254190', '0', '14821/수금보고/custom.sjflv.sale.sale/SaleColt', '선택', '');</v>
      </c>
    </row>
    <row r="155" spans="1:53">
      <c r="A155" s="1">
        <v>155</v>
      </c>
      <c r="B155" s="164" t="str">
        <f t="shared" si="250"/>
        <v/>
      </c>
      <c r="C155" s="27" t="str">
        <f t="shared" si="251"/>
        <v/>
      </c>
      <c r="D155" s="121"/>
      <c r="E155" s="27"/>
      <c r="F155" s="121"/>
      <c r="G155" s="121" t="s">
        <v>900</v>
      </c>
      <c r="H155" s="121"/>
      <c r="I155" s="121"/>
      <c r="J155" s="121"/>
      <c r="K155" s="27" t="str">
        <f t="shared" si="252"/>
        <v/>
      </c>
      <c r="L155" s="27" t="str">
        <f t="shared" si="253"/>
        <v/>
      </c>
      <c r="M155" s="27" t="str">
        <f t="shared" si="254"/>
        <v>0</v>
      </c>
      <c r="N155" s="121"/>
      <c r="O155" s="121"/>
      <c r="P155" s="27" t="str">
        <f t="shared" ref="P155" si="257">IF(O155="","0","1")</f>
        <v>0</v>
      </c>
      <c r="Q155" s="27" t="str">
        <f t="shared" ref="Q155" si="258">IF(O155="","0","1")</f>
        <v>0</v>
      </c>
      <c r="R155" s="27" t="str">
        <f t="shared" ref="R155" si="259">IF(O155="","0","1")</f>
        <v>0</v>
      </c>
      <c r="S155" s="27" t="str">
        <f t="shared" ref="S155" si="260">IF(O155="","0","1")</f>
        <v>0</v>
      </c>
      <c r="T155" s="27" t="str">
        <f t="shared" ref="T155" si="261">IF(O155="","0","1")</f>
        <v>0</v>
      </c>
      <c r="U155" s="27" t="str">
        <f t="shared" ref="U155" si="262">IF(O155="","0","1")</f>
        <v>0</v>
      </c>
      <c r="V155" s="27" t="str">
        <f t="shared" ref="V155" si="263">IF(O155="","1","1")</f>
        <v>1</v>
      </c>
      <c r="W155" s="27"/>
      <c r="X155" s="27" t="str">
        <f t="shared" ref="X155" si="264">IF(O155="","","0")</f>
        <v/>
      </c>
      <c r="Y155" s="27" t="str">
        <f t="shared" ref="Y155" si="265">IF(O155="","","0")</f>
        <v/>
      </c>
      <c r="Z155" s="27" t="str">
        <f t="shared" ref="Z155" si="266">IF(O155="","","0")</f>
        <v/>
      </c>
      <c r="AA155" s="121"/>
      <c r="AB155" s="121"/>
      <c r="AC155" s="121"/>
      <c r="AD155" s="121"/>
      <c r="AE155" s="121" t="s">
        <v>51</v>
      </c>
      <c r="AF155" s="121"/>
      <c r="AG155" s="121"/>
      <c r="AH155" s="28"/>
      <c r="AI155" s="28" t="s">
        <v>113</v>
      </c>
      <c r="AJ155" s="27">
        <v>254190</v>
      </c>
      <c r="AK155" s="27" t="str">
        <f t="shared" si="255"/>
        <v/>
      </c>
      <c r="AL155" s="123" t="str">
        <f t="shared" si="256"/>
        <v/>
      </c>
      <c r="AM155" s="27"/>
      <c r="AN155" s="27" t="s">
        <v>3245</v>
      </c>
      <c r="AO155" s="27" t="s">
        <v>3245</v>
      </c>
      <c r="AP155" s="27" t="s">
        <v>3245</v>
      </c>
      <c r="AQ155" s="27" t="s">
        <v>3245</v>
      </c>
      <c r="AR155" s="27" t="s">
        <v>3245</v>
      </c>
      <c r="AS155" s="27" t="s">
        <v>3245</v>
      </c>
      <c r="AT155" s="27" t="s">
        <v>3245</v>
      </c>
      <c r="AU155" s="27" t="s">
        <v>3245</v>
      </c>
      <c r="AV155" s="27" t="s">
        <v>3245</v>
      </c>
      <c r="AW155" s="27" t="s">
        <v>3245</v>
      </c>
      <c r="AX155" s="27" t="s">
        <v>3245</v>
      </c>
      <c r="AY155" s="124"/>
      <c r="AZ155" s="138" t="str">
        <f>IF(C155="","","delete from module_mst where pjt_id = '"&amp;C155&amp;"' and menu_id = '"&amp;E155&amp;"';")</f>
        <v/>
      </c>
      <c r="BA155" s="31" t="str">
        <f>IF(C155&lt;&gt;"",CREATE_QUERY($D$1,C$2:AY$2,C155:AY155),"")</f>
        <v/>
      </c>
    </row>
    <row r="156" spans="1:53">
      <c r="A156" s="1">
        <v>156</v>
      </c>
      <c r="B156" s="159" t="str">
        <f t="shared" ref="B156:B159" si="267">IF(F156="","",IF(AI156="1","",IF(AI156="2","└ ",IF(AI156="3","  └ ",IF(AI156="4","    └ ",IF(AI156="5","        └ ",IF(AI156="6","         └ ",IF(AI156="7"="            └ ",""))))))))&amp;IF(AM156="","",IF(AM156="메뉴","","("&amp;AM156&amp;")"))&amp;F156</f>
        <v xml:space="preserve">    └ 클레임관리</v>
      </c>
      <c r="C156" s="27" t="str">
        <f t="shared" si="199"/>
        <v>14821</v>
      </c>
      <c r="D156" s="121"/>
      <c r="E156" s="21">
        <v>257000</v>
      </c>
      <c r="F156" s="159" t="s">
        <v>3295</v>
      </c>
      <c r="G156" s="21"/>
      <c r="H156" s="21"/>
      <c r="I156" s="21"/>
      <c r="J156" s="21"/>
      <c r="K156" s="21" t="str">
        <f t="shared" ref="K156:K187" si="268">IF(O156="","","1")</f>
        <v/>
      </c>
      <c r="L156" s="21" t="str">
        <f t="shared" si="200"/>
        <v>1</v>
      </c>
      <c r="M156" s="21" t="str">
        <f t="shared" ref="M156:M187" si="269">IF(O156="","0","1")</f>
        <v>0</v>
      </c>
      <c r="N156" s="21"/>
      <c r="O156" s="21"/>
      <c r="P156" s="21"/>
      <c r="Q156" s="21"/>
      <c r="R156" s="21"/>
      <c r="S156" s="21"/>
      <c r="T156" s="21"/>
      <c r="U156" s="21"/>
      <c r="V156" s="21">
        <v>1</v>
      </c>
      <c r="W156" s="21"/>
      <c r="X156" s="21"/>
      <c r="Y156" s="21"/>
      <c r="Z156" s="21"/>
      <c r="AA156" s="21"/>
      <c r="AB156" s="21"/>
      <c r="AC156" s="21"/>
      <c r="AD156" s="21"/>
      <c r="AE156" s="21"/>
      <c r="AF156" s="21"/>
      <c r="AG156" s="21"/>
      <c r="AH156" s="21" t="s">
        <v>163</v>
      </c>
      <c r="AI156" s="21" t="s">
        <v>112</v>
      </c>
      <c r="AJ156" s="21">
        <v>257010</v>
      </c>
      <c r="AK156" s="21" t="str">
        <f t="shared" si="193"/>
        <v>0</v>
      </c>
      <c r="AL156" s="123" t="str">
        <f t="shared" si="191"/>
        <v>14821/클레임관리//</v>
      </c>
      <c r="AM156" s="21" t="s">
        <v>2986</v>
      </c>
      <c r="AN156" s="21" t="s">
        <v>3283</v>
      </c>
      <c r="AO156" s="21" t="s">
        <v>3283</v>
      </c>
      <c r="AP156" s="21" t="s">
        <v>3283</v>
      </c>
      <c r="AQ156" s="21" t="s">
        <v>3283</v>
      </c>
      <c r="AR156" s="21" t="s">
        <v>3283</v>
      </c>
      <c r="AS156" s="21" t="s">
        <v>3283</v>
      </c>
      <c r="AT156" s="21" t="s">
        <v>3283</v>
      </c>
      <c r="AU156" s="21" t="s">
        <v>3283</v>
      </c>
      <c r="AV156" s="21" t="s">
        <v>3283</v>
      </c>
      <c r="AW156" s="21" t="s">
        <v>3283</v>
      </c>
      <c r="AX156" s="21" t="s">
        <v>3283</v>
      </c>
      <c r="AY156" s="124"/>
      <c r="AZ156" s="138" t="str">
        <f>IF(C156="","","delete from module_mst where pjt_id = '"&amp;C156&amp;"' and menu_id = '"&amp;E156&amp;"';")</f>
        <v>delete from module_mst where pjt_id = '14821' and menu_id = '257000';</v>
      </c>
      <c r="BA156" s="31" t="str">
        <f>IF(C156&lt;&gt;"",CREATE_QUERY($D$1,C$2:AY$2,C156:AY156),"")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'257000', '클레임관리', '', '', '', '', '', '1', '0', '', '', '', '', '', '', '', '', '1', '', '', '', '', '', '', '', '', '', '', '', '250000', '4', '257010', '0', '14821/클레임관리//', '메뉴', '');</v>
      </c>
    </row>
    <row r="157" spans="1:53">
      <c r="A157" s="1">
        <v>157</v>
      </c>
      <c r="B157" s="164" t="str">
        <f t="shared" si="267"/>
        <v xml:space="preserve">        └ (공통)클레임 접수</v>
      </c>
      <c r="C157" s="27" t="str">
        <f t="shared" si="199"/>
        <v>14821</v>
      </c>
      <c r="D157" s="121"/>
      <c r="E157" s="27">
        <v>257001</v>
      </c>
      <c r="F157" s="121" t="s">
        <v>3296</v>
      </c>
      <c r="G157" s="121"/>
      <c r="H157" s="121"/>
      <c r="I157" s="121"/>
      <c r="J157" s="121"/>
      <c r="K157" s="27" t="str">
        <f t="shared" si="268"/>
        <v>1</v>
      </c>
      <c r="L157" s="27" t="str">
        <f t="shared" si="200"/>
        <v>1</v>
      </c>
      <c r="M157" s="27" t="str">
        <f t="shared" si="269"/>
        <v>1</v>
      </c>
      <c r="N157" s="121" t="s">
        <v>3299</v>
      </c>
      <c r="O157" s="121" t="s">
        <v>3300</v>
      </c>
      <c r="P157" s="27"/>
      <c r="Q157" s="27"/>
      <c r="R157" s="27"/>
      <c r="S157" s="27"/>
      <c r="T157" s="27"/>
      <c r="U157" s="27"/>
      <c r="V157" s="27">
        <v>1</v>
      </c>
      <c r="W157" s="27"/>
      <c r="X157" s="27"/>
      <c r="Y157" s="27"/>
      <c r="Z157" s="27"/>
      <c r="AA157" s="121"/>
      <c r="AB157" s="121"/>
      <c r="AC157" s="121"/>
      <c r="AD157" s="121"/>
      <c r="AE157" s="121"/>
      <c r="AF157" s="121"/>
      <c r="AG157" s="121"/>
      <c r="AH157" s="28" t="s">
        <v>3298</v>
      </c>
      <c r="AI157" s="28" t="s">
        <v>113</v>
      </c>
      <c r="AJ157" s="27">
        <v>257020</v>
      </c>
      <c r="AK157" s="27" t="str">
        <f t="shared" si="193"/>
        <v>0</v>
      </c>
      <c r="AL157" s="123" t="str">
        <f t="shared" si="191"/>
        <v>14821/클레임 접수/sale.clam/ClamEntry1</v>
      </c>
      <c r="AM157" s="27" t="s">
        <v>2984</v>
      </c>
      <c r="AN157" s="28" t="s">
        <v>3245</v>
      </c>
      <c r="AO157" s="28" t="s">
        <v>3245</v>
      </c>
      <c r="AP157" s="28" t="s">
        <v>3245</v>
      </c>
      <c r="AQ157" s="28" t="s">
        <v>3245</v>
      </c>
      <c r="AR157" s="28" t="s">
        <v>3245</v>
      </c>
      <c r="AS157" s="28" t="s">
        <v>3245</v>
      </c>
      <c r="AT157" s="28" t="s">
        <v>3245</v>
      </c>
      <c r="AU157" s="28" t="s">
        <v>3245</v>
      </c>
      <c r="AV157" s="28" t="s">
        <v>3245</v>
      </c>
      <c r="AW157" s="28" t="s">
        <v>3245</v>
      </c>
      <c r="AX157" s="28" t="s">
        <v>3245</v>
      </c>
      <c r="AY157" s="124"/>
      <c r="AZ157" s="138" t="str">
        <f>IF(C157="","","delete from module_mst where pjt_id = '"&amp;C157&amp;"' and menu_id = '"&amp;E157&amp;"';")</f>
        <v>delete from module_mst where pjt_id = '14821' and menu_id = '257001';</v>
      </c>
      <c r="BA157" s="31" t="str">
        <f>IF(C157&lt;&gt;"",CREATE_QUERY($D$1,C$2:AY$2,C157:AY157),"")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'257001', '클레임 접수', '', '', '', '', '1', '1', '1', 'sale.clam', 'ClamEntry1', '', '', '', '', '', '', '1', '', '', '', '', '', '', '', '', '', '', '', '257000', '5', '257020', '0', '14821/클레임 접수/sale.clam/ClamEntry1', '공통', '');</v>
      </c>
    </row>
    <row r="158" spans="1:53">
      <c r="A158" s="1">
        <v>158</v>
      </c>
      <c r="B158" s="164" t="str">
        <f t="shared" si="267"/>
        <v xml:space="preserve">        └ (공통)클레임 처리보고</v>
      </c>
      <c r="C158" s="27" t="str">
        <f t="shared" si="199"/>
        <v>14821</v>
      </c>
      <c r="D158" s="121"/>
      <c r="E158" s="27">
        <v>257002</v>
      </c>
      <c r="F158" s="121" t="s">
        <v>3297</v>
      </c>
      <c r="G158" s="121"/>
      <c r="H158" s="121"/>
      <c r="I158" s="121"/>
      <c r="J158" s="121"/>
      <c r="K158" s="27" t="str">
        <f t="shared" si="268"/>
        <v>1</v>
      </c>
      <c r="L158" s="27" t="str">
        <f t="shared" si="200"/>
        <v>1</v>
      </c>
      <c r="M158" s="27" t="str">
        <f t="shared" si="269"/>
        <v>1</v>
      </c>
      <c r="N158" s="121" t="s">
        <v>3299</v>
      </c>
      <c r="O158" s="121" t="s">
        <v>3301</v>
      </c>
      <c r="P158" s="27"/>
      <c r="Q158" s="27"/>
      <c r="R158" s="27"/>
      <c r="S158" s="27"/>
      <c r="T158" s="27"/>
      <c r="U158" s="27"/>
      <c r="V158" s="27">
        <v>1</v>
      </c>
      <c r="W158" s="27"/>
      <c r="X158" s="27"/>
      <c r="Y158" s="27"/>
      <c r="Z158" s="27"/>
      <c r="AA158" s="121"/>
      <c r="AB158" s="121"/>
      <c r="AC158" s="121"/>
      <c r="AD158" s="121"/>
      <c r="AE158" s="121"/>
      <c r="AF158" s="121"/>
      <c r="AG158" s="121"/>
      <c r="AH158" s="28" t="s">
        <v>3298</v>
      </c>
      <c r="AI158" s="28" t="s">
        <v>113</v>
      </c>
      <c r="AJ158" s="27">
        <v>257030</v>
      </c>
      <c r="AK158" s="27" t="str">
        <f t="shared" si="193"/>
        <v>0</v>
      </c>
      <c r="AL158" s="123" t="str">
        <f t="shared" si="191"/>
        <v>14821/클레임 처리보고/sale.clam/ClamEntry2</v>
      </c>
      <c r="AM158" s="27" t="s">
        <v>2984</v>
      </c>
      <c r="AN158" s="28" t="s">
        <v>3245</v>
      </c>
      <c r="AO158" s="28" t="s">
        <v>3245</v>
      </c>
      <c r="AP158" s="28" t="s">
        <v>3245</v>
      </c>
      <c r="AQ158" s="28" t="s">
        <v>3245</v>
      </c>
      <c r="AR158" s="28" t="s">
        <v>3245</v>
      </c>
      <c r="AS158" s="28" t="s">
        <v>3245</v>
      </c>
      <c r="AT158" s="28" t="s">
        <v>3245</v>
      </c>
      <c r="AU158" s="28" t="s">
        <v>3245</v>
      </c>
      <c r="AV158" s="28" t="s">
        <v>3245</v>
      </c>
      <c r="AW158" s="28" t="s">
        <v>3245</v>
      </c>
      <c r="AX158" s="28" t="s">
        <v>3245</v>
      </c>
      <c r="AY158" s="124"/>
      <c r="AZ158" s="138" t="str">
        <f>IF(C158="","","delete from module_mst where pjt_id = '"&amp;C158&amp;"' and menu_id = '"&amp;E158&amp;"';")</f>
        <v>delete from module_mst where pjt_id = '14821' and menu_id = '257002';</v>
      </c>
      <c r="BA158" s="31" t="str">
        <f>IF(C158&lt;&gt;"",CREATE_QUERY($D$1,C$2:AY$2,C158:AY158),"")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'257002', '클레임 처리보고', '', '', '', '', '1', '1', '1', 'sale.clam', 'ClamEntry2', '', '', '', '', '', '', '1', '', '', '', '', '', '', '', '', '', '', '', '257000', '5', '257030', '0', '14821/클레임 처리보고/sale.clam/ClamEntry2', '공통', '');</v>
      </c>
    </row>
    <row r="159" spans="1:53">
      <c r="A159" s="1">
        <v>159</v>
      </c>
      <c r="B159" s="164" t="str">
        <f t="shared" si="267"/>
        <v/>
      </c>
      <c r="C159" s="27" t="str">
        <f t="shared" si="199"/>
        <v/>
      </c>
      <c r="D159" s="121"/>
      <c r="E159" s="27"/>
      <c r="F159" s="121"/>
      <c r="G159" s="121"/>
      <c r="H159" s="121"/>
      <c r="I159" s="121"/>
      <c r="J159" s="121"/>
      <c r="K159" s="27" t="str">
        <f t="shared" si="268"/>
        <v/>
      </c>
      <c r="L159" s="27" t="str">
        <f t="shared" si="200"/>
        <v/>
      </c>
      <c r="M159" s="27" t="str">
        <f t="shared" si="269"/>
        <v>0</v>
      </c>
      <c r="N159" s="121"/>
      <c r="O159" s="121"/>
      <c r="P159" s="27"/>
      <c r="Q159" s="27"/>
      <c r="R159" s="27"/>
      <c r="S159" s="27"/>
      <c r="T159" s="27"/>
      <c r="U159" s="27"/>
      <c r="V159" s="27"/>
      <c r="W159" s="27"/>
      <c r="X159" s="27"/>
      <c r="Y159" s="27"/>
      <c r="Z159" s="27"/>
      <c r="AA159" s="121"/>
      <c r="AB159" s="121"/>
      <c r="AC159" s="121"/>
      <c r="AD159" s="121"/>
      <c r="AE159" s="121"/>
      <c r="AF159" s="121"/>
      <c r="AG159" s="121"/>
      <c r="AH159" s="28" t="s">
        <v>3298</v>
      </c>
      <c r="AI159" s="28" t="s">
        <v>113</v>
      </c>
      <c r="AJ159" s="27">
        <v>257040</v>
      </c>
      <c r="AK159" s="27" t="str">
        <f t="shared" si="193"/>
        <v/>
      </c>
      <c r="AL159" s="123" t="str">
        <f t="shared" si="191"/>
        <v/>
      </c>
      <c r="AM159" s="27"/>
      <c r="AN159" s="28" t="s">
        <v>3245</v>
      </c>
      <c r="AO159" s="28" t="s">
        <v>3245</v>
      </c>
      <c r="AP159" s="28" t="s">
        <v>3245</v>
      </c>
      <c r="AQ159" s="28" t="s">
        <v>3245</v>
      </c>
      <c r="AR159" s="28" t="s">
        <v>3245</v>
      </c>
      <c r="AS159" s="28" t="s">
        <v>3245</v>
      </c>
      <c r="AT159" s="28" t="s">
        <v>3245</v>
      </c>
      <c r="AU159" s="28" t="s">
        <v>3245</v>
      </c>
      <c r="AV159" s="28" t="s">
        <v>3245</v>
      </c>
      <c r="AW159" s="28" t="s">
        <v>3245</v>
      </c>
      <c r="AX159" s="28" t="s">
        <v>3245</v>
      </c>
      <c r="AY159" s="124"/>
      <c r="AZ159" s="138" t="str">
        <f>IF(C159="","","delete from module_mst where pjt_id = '"&amp;C159&amp;"' and menu_id = '"&amp;E159&amp;"';")</f>
        <v/>
      </c>
      <c r="BA159" s="31" t="str">
        <f>IF(C159&lt;&gt;"",CREATE_QUERY($D$1,C$2:AY$2,C159:AY159),"")</f>
        <v/>
      </c>
    </row>
    <row r="160" spans="1:53">
      <c r="A160" s="1">
        <v>160</v>
      </c>
      <c r="B160" s="164" t="str">
        <f t="shared" si="141"/>
        <v/>
      </c>
      <c r="C160" s="27" t="str">
        <f t="shared" si="199"/>
        <v/>
      </c>
      <c r="D160" s="121"/>
      <c r="E160" s="27"/>
      <c r="F160" s="121"/>
      <c r="G160" s="121"/>
      <c r="H160" s="121"/>
      <c r="I160" s="121"/>
      <c r="J160" s="121"/>
      <c r="K160" s="27" t="str">
        <f t="shared" si="268"/>
        <v/>
      </c>
      <c r="L160" s="27" t="str">
        <f t="shared" si="200"/>
        <v/>
      </c>
      <c r="M160" s="27" t="str">
        <f t="shared" si="269"/>
        <v>0</v>
      </c>
      <c r="N160" s="121"/>
      <c r="O160" s="121"/>
      <c r="P160" s="27"/>
      <c r="Q160" s="27"/>
      <c r="R160" s="27"/>
      <c r="S160" s="27"/>
      <c r="T160" s="27"/>
      <c r="U160" s="27"/>
      <c r="V160" s="27"/>
      <c r="W160" s="27"/>
      <c r="X160" s="27"/>
      <c r="Y160" s="27"/>
      <c r="Z160" s="27"/>
      <c r="AA160" s="121"/>
      <c r="AB160" s="121"/>
      <c r="AC160" s="121"/>
      <c r="AD160" s="121"/>
      <c r="AE160" s="121"/>
      <c r="AF160" s="121"/>
      <c r="AG160" s="121"/>
      <c r="AH160" s="28"/>
      <c r="AI160" s="28"/>
      <c r="AJ160" s="27"/>
      <c r="AK160" s="27" t="str">
        <f t="shared" si="193"/>
        <v/>
      </c>
      <c r="AL160" s="123" t="str">
        <f t="shared" si="191"/>
        <v/>
      </c>
      <c r="AM160" s="27"/>
      <c r="AN160" s="28"/>
      <c r="AO160" s="28"/>
      <c r="AP160" s="28"/>
      <c r="AQ160" s="28"/>
      <c r="AR160" s="28"/>
      <c r="AS160" s="28"/>
      <c r="AT160" s="28"/>
      <c r="AU160" s="28"/>
      <c r="AV160" s="28"/>
      <c r="AW160" s="28"/>
      <c r="AX160" s="28"/>
      <c r="AY160" s="124"/>
      <c r="AZ160" s="138" t="str">
        <f>IF(C160="","","delete from module_mst where pjt_id = '"&amp;C160&amp;"' and menu_id = '"&amp;E160&amp;"';")</f>
        <v/>
      </c>
      <c r="BA160" s="31" t="str">
        <f>IF(C160&lt;&gt;"",CREATE_QUERY($D$1,C$2:AY$2,C160:AY160),"")</f>
        <v/>
      </c>
    </row>
    <row r="161" spans="1:53">
      <c r="A161" s="1">
        <v>161</v>
      </c>
      <c r="B161" s="164" t="str">
        <f t="shared" si="141"/>
        <v/>
      </c>
      <c r="C161" s="27" t="str">
        <f t="shared" si="199"/>
        <v/>
      </c>
      <c r="D161" s="121"/>
      <c r="E161" s="27"/>
      <c r="F161" s="121"/>
      <c r="G161" s="121" t="s">
        <v>900</v>
      </c>
      <c r="H161" s="121"/>
      <c r="I161" s="121"/>
      <c r="J161" s="121"/>
      <c r="K161" s="27" t="str">
        <f t="shared" si="268"/>
        <v/>
      </c>
      <c r="L161" s="27" t="str">
        <f t="shared" si="200"/>
        <v/>
      </c>
      <c r="M161" s="27" t="str">
        <f t="shared" si="269"/>
        <v>0</v>
      </c>
      <c r="N161" s="121"/>
      <c r="O161" s="121"/>
      <c r="P161" s="27" t="str">
        <f t="shared" ref="P161:P307" si="270">IF(O161="","0","1")</f>
        <v>0</v>
      </c>
      <c r="Q161" s="27" t="str">
        <f t="shared" ref="Q161:Q307" si="271">IF(O161="","0","1")</f>
        <v>0</v>
      </c>
      <c r="R161" s="27" t="str">
        <f t="shared" ref="R161:R307" si="272">IF(O161="","0","1")</f>
        <v>0</v>
      </c>
      <c r="S161" s="27" t="str">
        <f t="shared" ref="S161:S307" si="273">IF(O161="","0","1")</f>
        <v>0</v>
      </c>
      <c r="T161" s="27" t="str">
        <f t="shared" ref="T161:T307" si="274">IF(O161="","0","1")</f>
        <v>0</v>
      </c>
      <c r="U161" s="27" t="str">
        <f t="shared" ref="U161:U307" si="275">IF(O161="","0","1")</f>
        <v>0</v>
      </c>
      <c r="V161" s="27" t="str">
        <f t="shared" ref="V161:V307" si="276">IF(O161="","1","1")</f>
        <v>1</v>
      </c>
      <c r="W161" s="27"/>
      <c r="X161" s="27" t="str">
        <f t="shared" ref="X161:X307" si="277">IF(O161="","","0")</f>
        <v/>
      </c>
      <c r="Y161" s="27" t="str">
        <f t="shared" ref="Y161:Y307" si="278">IF(O161="","","0")</f>
        <v/>
      </c>
      <c r="Z161" s="27" t="str">
        <f t="shared" ref="Z161:Z307" si="279">IF(O161="","","0")</f>
        <v/>
      </c>
      <c r="AA161" s="121"/>
      <c r="AB161" s="121"/>
      <c r="AC161" s="121"/>
      <c r="AD161" s="121"/>
      <c r="AE161" s="121"/>
      <c r="AF161" s="121"/>
      <c r="AG161" s="121"/>
      <c r="AH161" s="28"/>
      <c r="AI161" s="28"/>
      <c r="AJ161" s="28" t="s">
        <v>900</v>
      </c>
      <c r="AK161" s="28" t="str">
        <f t="shared" si="193"/>
        <v/>
      </c>
      <c r="AL161" s="123" t="str">
        <f t="shared" si="191"/>
        <v/>
      </c>
      <c r="AM161" s="28"/>
      <c r="AN161" s="28"/>
      <c r="AO161" s="28"/>
      <c r="AP161" s="28"/>
      <c r="AQ161" s="28"/>
      <c r="AR161" s="28"/>
      <c r="AS161" s="28"/>
      <c r="AT161" s="28"/>
      <c r="AU161" s="28"/>
      <c r="AV161" s="28"/>
      <c r="AW161" s="28"/>
      <c r="AX161" s="28"/>
      <c r="AY161" s="124"/>
      <c r="AZ161" s="138" t="str">
        <f>IF(C161="","","delete from module_mst where pjt_id = '"&amp;C161&amp;"' and menu_id = '"&amp;E161&amp;"';")</f>
        <v/>
      </c>
      <c r="BA161" s="31" t="str">
        <f>IF(C161&lt;&gt;"",CREATE_QUERY($D$1,C$2:AY$2,C161:AY161),"")</f>
        <v/>
      </c>
    </row>
    <row r="162" spans="1:53">
      <c r="A162" s="1">
        <v>162</v>
      </c>
      <c r="B162" s="165" t="str">
        <f t="shared" ref="B162:B279" si="280">IF(F162="","",IF(AI162="1","",IF(AI162="2","└ ",IF(AI162="3","  └ ",IF(AI162="4","    └ ",IF(AI162="5","        └ ",IF(AI162="6","         └ ",IF(AI162="7"="            └ ",""))))))))&amp;IF(AM162="","",IF(AM162="메뉴","","("&amp;AM162&amp;")"))&amp;F162</f>
        <v xml:space="preserve">  └ 자재관리</v>
      </c>
      <c r="C162" s="27" t="str">
        <f t="shared" si="199"/>
        <v>14821</v>
      </c>
      <c r="D162" s="121"/>
      <c r="E162" s="25" t="s">
        <v>356</v>
      </c>
      <c r="F162" s="127" t="s">
        <v>135</v>
      </c>
      <c r="G162" s="127" t="s">
        <v>3125</v>
      </c>
      <c r="H162" s="127"/>
      <c r="I162" s="127"/>
      <c r="J162" s="127"/>
      <c r="K162" s="25" t="str">
        <f t="shared" si="268"/>
        <v/>
      </c>
      <c r="L162" s="25" t="str">
        <f t="shared" si="200"/>
        <v>1</v>
      </c>
      <c r="M162" s="25" t="str">
        <f t="shared" si="269"/>
        <v>0</v>
      </c>
      <c r="N162" s="127"/>
      <c r="O162" s="127"/>
      <c r="P162" s="25" t="str">
        <f t="shared" si="270"/>
        <v>0</v>
      </c>
      <c r="Q162" s="25" t="str">
        <f t="shared" si="271"/>
        <v>0</v>
      </c>
      <c r="R162" s="25" t="str">
        <f t="shared" si="272"/>
        <v>0</v>
      </c>
      <c r="S162" s="25" t="str">
        <f t="shared" si="273"/>
        <v>0</v>
      </c>
      <c r="T162" s="25" t="str">
        <f t="shared" si="274"/>
        <v>0</v>
      </c>
      <c r="U162" s="25" t="str">
        <f t="shared" si="275"/>
        <v>0</v>
      </c>
      <c r="V162" s="25" t="str">
        <f t="shared" si="276"/>
        <v>1</v>
      </c>
      <c r="W162" s="25"/>
      <c r="X162" s="25" t="str">
        <f t="shared" si="277"/>
        <v/>
      </c>
      <c r="Y162" s="25" t="str">
        <f t="shared" si="278"/>
        <v/>
      </c>
      <c r="Z162" s="25" t="str">
        <f t="shared" si="279"/>
        <v/>
      </c>
      <c r="AA162" s="127"/>
      <c r="AB162" s="127"/>
      <c r="AC162" s="127"/>
      <c r="AD162" s="127"/>
      <c r="AE162" s="127" t="s">
        <v>51</v>
      </c>
      <c r="AF162" s="127"/>
      <c r="AG162" s="127"/>
      <c r="AH162" s="24" t="s">
        <v>120</v>
      </c>
      <c r="AI162" s="24" t="s">
        <v>111</v>
      </c>
      <c r="AJ162" s="24">
        <v>30000</v>
      </c>
      <c r="AK162" s="24" t="str">
        <f t="shared" si="193"/>
        <v>0</v>
      </c>
      <c r="AL162" s="123" t="str">
        <f t="shared" si="140"/>
        <v>14821/자재관리//</v>
      </c>
      <c r="AM162" s="24" t="s">
        <v>2979</v>
      </c>
      <c r="AN162" s="24" t="str">
        <f t="shared" ref="AN162:AX162" si="281">IF(COUNTIF(AN163:AN198,"="&amp;"Y")&gt;0,"Y",IF(COUNTIF(AN163:AN198,"="&amp;"-")&gt;0,"m",""))</f>
        <v>m</v>
      </c>
      <c r="AO162" s="24" t="str">
        <f t="shared" si="281"/>
        <v>Y</v>
      </c>
      <c r="AP162" s="24" t="str">
        <f t="shared" si="281"/>
        <v>m</v>
      </c>
      <c r="AQ162" s="24" t="str">
        <f t="shared" si="281"/>
        <v>m</v>
      </c>
      <c r="AR162" s="24" t="str">
        <f t="shared" si="281"/>
        <v>m</v>
      </c>
      <c r="AS162" s="24" t="str">
        <f t="shared" si="281"/>
        <v>m</v>
      </c>
      <c r="AT162" s="24" t="str">
        <f t="shared" si="281"/>
        <v>Y</v>
      </c>
      <c r="AU162" s="24" t="str">
        <f t="shared" si="281"/>
        <v>m</v>
      </c>
      <c r="AV162" s="24" t="str">
        <f t="shared" si="281"/>
        <v>m</v>
      </c>
      <c r="AW162" s="24" t="str">
        <f t="shared" si="281"/>
        <v>Y</v>
      </c>
      <c r="AX162" s="24" t="str">
        <f t="shared" si="281"/>
        <v>Y</v>
      </c>
      <c r="AY162" s="124"/>
      <c r="AZ162" s="138" t="str">
        <f>IF(C162="","","delete from module_mst where pjt_id = '"&amp;C162&amp;"' and menu_id = '"&amp;E162&amp;"';")</f>
        <v>delete from module_mst where pjt_id = '14821' and menu_id = '260000';</v>
      </c>
      <c r="BA162" s="31" t="str">
        <f>IF(C162&lt;&gt;"",CREATE_QUERY($D$1,C$2:AY$2,C162:AY162),"")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'260000', '자재관리', 'Materials management', '', '', '', '', '1', '0', '', '', '0', '0', '0', '0', '0', '0', '1', '', '', '', '', '', '', '', '', 'N', '', '', '200000', '3', '30000', '0', '14821/자재관리//', '메뉴', '');</v>
      </c>
    </row>
    <row r="163" spans="1:53">
      <c r="A163" s="1">
        <v>163</v>
      </c>
      <c r="B163" s="159" t="str">
        <f t="shared" si="280"/>
        <v xml:space="preserve">    └ 구매기준</v>
      </c>
      <c r="C163" s="27" t="str">
        <f t="shared" si="199"/>
        <v>14821</v>
      </c>
      <c r="D163" s="121"/>
      <c r="E163" s="21" t="s">
        <v>353</v>
      </c>
      <c r="F163" s="118" t="s">
        <v>170</v>
      </c>
      <c r="G163" s="118"/>
      <c r="H163" s="118"/>
      <c r="I163" s="118"/>
      <c r="J163" s="118"/>
      <c r="K163" s="21" t="str">
        <f t="shared" si="268"/>
        <v/>
      </c>
      <c r="L163" s="21" t="str">
        <f t="shared" si="200"/>
        <v>1</v>
      </c>
      <c r="M163" s="21" t="str">
        <f t="shared" si="269"/>
        <v>0</v>
      </c>
      <c r="N163" s="118"/>
      <c r="O163" s="118"/>
      <c r="P163" s="21" t="str">
        <f t="shared" si="270"/>
        <v>0</v>
      </c>
      <c r="Q163" s="21" t="str">
        <f t="shared" si="271"/>
        <v>0</v>
      </c>
      <c r="R163" s="21" t="str">
        <f t="shared" si="272"/>
        <v>0</v>
      </c>
      <c r="S163" s="21" t="str">
        <f t="shared" si="273"/>
        <v>0</v>
      </c>
      <c r="T163" s="21" t="str">
        <f t="shared" si="274"/>
        <v>0</v>
      </c>
      <c r="U163" s="21" t="str">
        <f t="shared" si="275"/>
        <v>0</v>
      </c>
      <c r="V163" s="21" t="str">
        <f t="shared" si="276"/>
        <v>1</v>
      </c>
      <c r="W163" s="21"/>
      <c r="X163" s="21" t="str">
        <f t="shared" si="277"/>
        <v/>
      </c>
      <c r="Y163" s="21" t="str">
        <f t="shared" si="278"/>
        <v/>
      </c>
      <c r="Z163" s="21" t="str">
        <f t="shared" si="279"/>
        <v/>
      </c>
      <c r="AA163" s="118"/>
      <c r="AB163" s="118"/>
      <c r="AC163" s="118"/>
      <c r="AD163" s="118"/>
      <c r="AE163" s="118" t="s">
        <v>51</v>
      </c>
      <c r="AF163" s="118"/>
      <c r="AG163" s="118"/>
      <c r="AH163" s="26" t="s">
        <v>168</v>
      </c>
      <c r="AI163" s="26" t="s">
        <v>112</v>
      </c>
      <c r="AJ163" s="26">
        <v>30050</v>
      </c>
      <c r="AK163" s="26" t="str">
        <f t="shared" si="193"/>
        <v>0</v>
      </c>
      <c r="AL163" s="123" t="str">
        <f t="shared" si="140"/>
        <v>14821/구매기준//</v>
      </c>
      <c r="AM163" s="26" t="s">
        <v>2979</v>
      </c>
      <c r="AN163" s="26" t="str">
        <f>IF(COUNTIF(AN164:AN171,"="&amp;"Y")&gt;0,"Y",IF(COUNTIF(AN164:AN171,"="&amp;"-")&gt;0,"m",""))</f>
        <v>m</v>
      </c>
      <c r="AO163" s="26" t="str">
        <f t="shared" ref="AO163:AX163" si="282">IF(COUNTIF(AO164:AO171,"="&amp;"Y")&gt;0,"Y",IF(COUNTIF(AO164:AO171,"="&amp;"-")&gt;0,"m",""))</f>
        <v>m</v>
      </c>
      <c r="AP163" s="26" t="str">
        <f t="shared" si="282"/>
        <v>m</v>
      </c>
      <c r="AQ163" s="26" t="str">
        <f t="shared" si="282"/>
        <v>m</v>
      </c>
      <c r="AR163" s="26" t="str">
        <f t="shared" si="282"/>
        <v>m</v>
      </c>
      <c r="AS163" s="26" t="str">
        <f t="shared" si="282"/>
        <v>m</v>
      </c>
      <c r="AT163" s="26" t="str">
        <f t="shared" si="282"/>
        <v>m</v>
      </c>
      <c r="AU163" s="26" t="str">
        <f t="shared" si="282"/>
        <v>m</v>
      </c>
      <c r="AV163" s="26" t="str">
        <f t="shared" si="282"/>
        <v>m</v>
      </c>
      <c r="AW163" s="26" t="str">
        <f t="shared" si="282"/>
        <v>m</v>
      </c>
      <c r="AX163" s="26" t="str">
        <f t="shared" si="282"/>
        <v>m</v>
      </c>
      <c r="AY163" s="124"/>
      <c r="AZ163" s="138" t="str">
        <f>IF(C163="","","delete from module_mst where pjt_id = '"&amp;C163&amp;"' and menu_id = '"&amp;E163&amp;"';")</f>
        <v>delete from module_mst where pjt_id = '14821' and menu_id = '261000';</v>
      </c>
      <c r="BA163" s="31" t="str">
        <f>IF(C163&lt;&gt;"",CREATE_QUERY($D$1,C$2:AY$2,C163:AY163),"")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'261000', '구매기준', '', '', '', '', '', '1', '0', '', '', '0', '0', '0', '0', '0', '0', '1', '', '', '', '', '', '', '', '', 'N', '', '', '260000', '4', '30050', '0', '14821/구매기준//', '메뉴', '');</v>
      </c>
    </row>
    <row r="164" spans="1:53">
      <c r="A164" s="1">
        <v>164</v>
      </c>
      <c r="B164" s="164" t="str">
        <f t="shared" si="280"/>
        <v xml:space="preserve">        └ (공통)계약사항 관리</v>
      </c>
      <c r="C164" s="27" t="str">
        <f t="shared" si="199"/>
        <v>14821</v>
      </c>
      <c r="D164" s="121"/>
      <c r="E164" s="27">
        <v>261001</v>
      </c>
      <c r="F164" s="121" t="s">
        <v>166</v>
      </c>
      <c r="G164" s="121" t="s">
        <v>3108</v>
      </c>
      <c r="H164" s="121"/>
      <c r="I164" s="121"/>
      <c r="J164" s="121"/>
      <c r="K164" s="27" t="str">
        <f t="shared" si="268"/>
        <v>1</v>
      </c>
      <c r="L164" s="27" t="str">
        <f t="shared" si="200"/>
        <v>1</v>
      </c>
      <c r="M164" s="27" t="str">
        <f t="shared" si="269"/>
        <v>1</v>
      </c>
      <c r="N164" s="121" t="s">
        <v>145</v>
      </c>
      <c r="O164" s="121" t="s">
        <v>2933</v>
      </c>
      <c r="P164" s="27" t="str">
        <f t="shared" si="270"/>
        <v>1</v>
      </c>
      <c r="Q164" s="27" t="str">
        <f t="shared" si="271"/>
        <v>1</v>
      </c>
      <c r="R164" s="27" t="str">
        <f t="shared" si="272"/>
        <v>1</v>
      </c>
      <c r="S164" s="27" t="str">
        <f t="shared" si="273"/>
        <v>1</v>
      </c>
      <c r="T164" s="27" t="str">
        <f t="shared" si="274"/>
        <v>1</v>
      </c>
      <c r="U164" s="27" t="str">
        <f t="shared" si="275"/>
        <v>1</v>
      </c>
      <c r="V164" s="27" t="str">
        <f t="shared" si="276"/>
        <v>1</v>
      </c>
      <c r="W164" s="27"/>
      <c r="X164" s="27" t="str">
        <f t="shared" si="277"/>
        <v>0</v>
      </c>
      <c r="Y164" s="27" t="str">
        <f t="shared" si="278"/>
        <v>0</v>
      </c>
      <c r="Z164" s="27" t="str">
        <f t="shared" si="279"/>
        <v>0</v>
      </c>
      <c r="AA164" s="121"/>
      <c r="AB164" s="121"/>
      <c r="AC164" s="121"/>
      <c r="AD164" s="121"/>
      <c r="AE164" s="121" t="s">
        <v>51</v>
      </c>
      <c r="AF164" s="121"/>
      <c r="AG164" s="121"/>
      <c r="AH164" s="28" t="s">
        <v>169</v>
      </c>
      <c r="AI164" s="28" t="s">
        <v>113</v>
      </c>
      <c r="AJ164" s="28">
        <v>30100</v>
      </c>
      <c r="AK164" s="28" t="str">
        <f t="shared" si="193"/>
        <v>0</v>
      </c>
      <c r="AL164" s="123" t="str">
        <f t="shared" si="140"/>
        <v>14821/계약사항 관리/item/ItemPrice</v>
      </c>
      <c r="AM164" s="28" t="s">
        <v>2981</v>
      </c>
      <c r="AN164" s="28"/>
      <c r="AO164" s="28"/>
      <c r="AP164" s="28"/>
      <c r="AQ164" s="28"/>
      <c r="AR164" s="28"/>
      <c r="AS164" s="28"/>
      <c r="AT164" s="28"/>
      <c r="AU164" s="28"/>
      <c r="AV164" s="28"/>
      <c r="AW164" s="28"/>
      <c r="AX164" s="28"/>
      <c r="AY164" s="124"/>
      <c r="AZ164" s="138" t="str">
        <f>IF(C164="","","delete from module_mst where pjt_id = '"&amp;C164&amp;"' and menu_id = '"&amp;E164&amp;"';")</f>
        <v>delete from module_mst where pjt_id = '14821' and menu_id = '261001';</v>
      </c>
      <c r="BA164" s="31" t="str">
        <f>IF(C164&lt;&gt;"",CREATE_QUERY($D$1,C$2:AY$2,C164:AY164),"")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'261001', '계약사항 관리', 'Contract management', '', '', '', '1', '1', '1', 'item', 'ItemPrice', '1', '1', '1', '1', '1', '1', '1', '', '0', '0', '0', '', '', '', '', 'N', '', '', '261000', '5', '30100', '0', '14821/계약사항 관리/item/ItemPrice', '공통', '');</v>
      </c>
    </row>
    <row r="165" spans="1:53">
      <c r="A165" s="1">
        <v>165</v>
      </c>
      <c r="B165" s="164" t="str">
        <f t="shared" si="280"/>
        <v/>
      </c>
      <c r="C165" s="27" t="str">
        <f t="shared" si="199"/>
        <v/>
      </c>
      <c r="D165" s="121"/>
      <c r="E165" s="27">
        <v>261001</v>
      </c>
      <c r="F165" s="121"/>
      <c r="G165" s="121" t="s">
        <v>900</v>
      </c>
      <c r="H165" s="121"/>
      <c r="I165" s="121"/>
      <c r="J165" s="121"/>
      <c r="K165" s="27" t="str">
        <f t="shared" si="268"/>
        <v/>
      </c>
      <c r="L165" s="27" t="str">
        <f t="shared" si="200"/>
        <v/>
      </c>
      <c r="M165" s="27" t="str">
        <f t="shared" si="269"/>
        <v>0</v>
      </c>
      <c r="N165" s="121"/>
      <c r="O165" s="121"/>
      <c r="P165" s="27" t="str">
        <f t="shared" ref="P165:P166" si="283">IF(O165="","0","1")</f>
        <v>0</v>
      </c>
      <c r="Q165" s="27" t="str">
        <f t="shared" ref="Q165:Q166" si="284">IF(O165="","0","1")</f>
        <v>0</v>
      </c>
      <c r="R165" s="27" t="str">
        <f t="shared" ref="R165:R166" si="285">IF(O165="","0","1")</f>
        <v>0</v>
      </c>
      <c r="S165" s="27" t="str">
        <f t="shared" ref="S165:S166" si="286">IF(O165="","0","1")</f>
        <v>0</v>
      </c>
      <c r="T165" s="27" t="str">
        <f t="shared" ref="T165:T166" si="287">IF(O165="","0","1")</f>
        <v>0</v>
      </c>
      <c r="U165" s="27" t="str">
        <f t="shared" ref="U165:U166" si="288">IF(O165="","0","1")</f>
        <v>0</v>
      </c>
      <c r="V165" s="27" t="str">
        <f t="shared" ref="V165:V166" si="289">IF(O165="","1","1")</f>
        <v>1</v>
      </c>
      <c r="W165" s="27"/>
      <c r="X165" s="27" t="str">
        <f t="shared" ref="X165:X166" si="290">IF(O165="","","0")</f>
        <v/>
      </c>
      <c r="Y165" s="27" t="str">
        <f t="shared" ref="Y165:Y166" si="291">IF(O165="","","0")</f>
        <v/>
      </c>
      <c r="Z165" s="27" t="str">
        <f t="shared" ref="Z165:Z166" si="292">IF(O165="","","0")</f>
        <v/>
      </c>
      <c r="AA165" s="121"/>
      <c r="AB165" s="121"/>
      <c r="AC165" s="121"/>
      <c r="AD165" s="121"/>
      <c r="AE165" s="121" t="s">
        <v>51</v>
      </c>
      <c r="AF165" s="121"/>
      <c r="AG165" s="121"/>
      <c r="AH165" s="28" t="s">
        <v>169</v>
      </c>
      <c r="AI165" s="28" t="s">
        <v>113</v>
      </c>
      <c r="AJ165" s="28">
        <v>30100</v>
      </c>
      <c r="AK165" s="28" t="str">
        <f t="shared" si="193"/>
        <v/>
      </c>
      <c r="AL165" s="123" t="str">
        <f t="shared" ref="AL165:AL166" si="293">IF(C165="","",C165&amp;"/"&amp;F165&amp;"/"&amp;N165&amp;"/"&amp;O165)</f>
        <v/>
      </c>
      <c r="AM165" s="28"/>
      <c r="AN165" s="28" t="s">
        <v>3245</v>
      </c>
      <c r="AO165" s="28" t="s">
        <v>3245</v>
      </c>
      <c r="AP165" s="28" t="s">
        <v>3245</v>
      </c>
      <c r="AQ165" s="28" t="s">
        <v>3245</v>
      </c>
      <c r="AR165" s="28" t="s">
        <v>3245</v>
      </c>
      <c r="AS165" s="28" t="s">
        <v>3245</v>
      </c>
      <c r="AT165" s="28" t="s">
        <v>3245</v>
      </c>
      <c r="AU165" s="28" t="s">
        <v>3245</v>
      </c>
      <c r="AV165" s="28" t="s">
        <v>3245</v>
      </c>
      <c r="AW165" s="28" t="s">
        <v>3245</v>
      </c>
      <c r="AX165" s="28" t="s">
        <v>3245</v>
      </c>
      <c r="AY165" s="124"/>
      <c r="AZ165" s="138" t="str">
        <f>IF(C165="","","delete from module_mst where pjt_id = '"&amp;C165&amp;"' and menu_id = '"&amp;E165&amp;"';")</f>
        <v/>
      </c>
      <c r="BA165" s="31" t="str">
        <f>IF(C165&lt;&gt;"",CREATE_QUERY($D$1,C$2:AY$2,C165:AY165),"")</f>
        <v/>
      </c>
    </row>
    <row r="166" spans="1:53">
      <c r="A166" s="1">
        <v>166</v>
      </c>
      <c r="B166" s="164" t="str">
        <f t="shared" si="280"/>
        <v/>
      </c>
      <c r="C166" s="27" t="str">
        <f t="shared" si="199"/>
        <v/>
      </c>
      <c r="D166" s="121"/>
      <c r="E166" s="27">
        <v>261001</v>
      </c>
      <c r="F166" s="121"/>
      <c r="G166" s="121" t="s">
        <v>900</v>
      </c>
      <c r="H166" s="121"/>
      <c r="I166" s="121"/>
      <c r="J166" s="121"/>
      <c r="K166" s="27" t="str">
        <f t="shared" si="268"/>
        <v/>
      </c>
      <c r="L166" s="27" t="str">
        <f t="shared" si="200"/>
        <v/>
      </c>
      <c r="M166" s="27" t="str">
        <f t="shared" si="269"/>
        <v>0</v>
      </c>
      <c r="N166" s="121"/>
      <c r="O166" s="121"/>
      <c r="P166" s="27" t="str">
        <f t="shared" si="283"/>
        <v>0</v>
      </c>
      <c r="Q166" s="27" t="str">
        <f t="shared" si="284"/>
        <v>0</v>
      </c>
      <c r="R166" s="27" t="str">
        <f t="shared" si="285"/>
        <v>0</v>
      </c>
      <c r="S166" s="27" t="str">
        <f t="shared" si="286"/>
        <v>0</v>
      </c>
      <c r="T166" s="27" t="str">
        <f t="shared" si="287"/>
        <v>0</v>
      </c>
      <c r="U166" s="27" t="str">
        <f t="shared" si="288"/>
        <v>0</v>
      </c>
      <c r="V166" s="27" t="str">
        <f t="shared" si="289"/>
        <v>1</v>
      </c>
      <c r="W166" s="27"/>
      <c r="X166" s="27" t="str">
        <f t="shared" si="290"/>
        <v/>
      </c>
      <c r="Y166" s="27" t="str">
        <f t="shared" si="291"/>
        <v/>
      </c>
      <c r="Z166" s="27" t="str">
        <f t="shared" si="292"/>
        <v/>
      </c>
      <c r="AA166" s="121"/>
      <c r="AB166" s="121"/>
      <c r="AC166" s="121"/>
      <c r="AD166" s="121"/>
      <c r="AE166" s="121" t="s">
        <v>51</v>
      </c>
      <c r="AF166" s="121"/>
      <c r="AG166" s="121"/>
      <c r="AH166" s="28" t="s">
        <v>169</v>
      </c>
      <c r="AI166" s="28" t="s">
        <v>113</v>
      </c>
      <c r="AJ166" s="28">
        <v>30100</v>
      </c>
      <c r="AK166" s="28" t="str">
        <f t="shared" si="193"/>
        <v/>
      </c>
      <c r="AL166" s="123" t="str">
        <f t="shared" si="293"/>
        <v/>
      </c>
      <c r="AM166" s="28"/>
      <c r="AN166" s="28" t="s">
        <v>3245</v>
      </c>
      <c r="AO166" s="28" t="s">
        <v>3245</v>
      </c>
      <c r="AP166" s="28" t="s">
        <v>3245</v>
      </c>
      <c r="AQ166" s="28" t="s">
        <v>3245</v>
      </c>
      <c r="AR166" s="28" t="s">
        <v>3245</v>
      </c>
      <c r="AS166" s="28" t="s">
        <v>3245</v>
      </c>
      <c r="AT166" s="28" t="s">
        <v>3245</v>
      </c>
      <c r="AU166" s="28" t="s">
        <v>3245</v>
      </c>
      <c r="AV166" s="28" t="s">
        <v>3245</v>
      </c>
      <c r="AW166" s="28" t="s">
        <v>3245</v>
      </c>
      <c r="AX166" s="28" t="s">
        <v>3245</v>
      </c>
      <c r="AY166" s="124"/>
      <c r="AZ166" s="138" t="str">
        <f>IF(C166="","","delete from module_mst where pjt_id = '"&amp;C166&amp;"' and menu_id = '"&amp;E166&amp;"';")</f>
        <v/>
      </c>
      <c r="BA166" s="31" t="str">
        <f>IF(C166&lt;&gt;"",CREATE_QUERY($D$1,C$2:AY$2,C166:AY166),"")</f>
        <v/>
      </c>
    </row>
    <row r="167" spans="1:53">
      <c r="A167" s="1">
        <v>167</v>
      </c>
      <c r="B167" s="164" t="str">
        <f t="shared" si="280"/>
        <v/>
      </c>
      <c r="C167" s="27" t="str">
        <f t="shared" si="199"/>
        <v/>
      </c>
      <c r="D167" s="121"/>
      <c r="E167" s="27">
        <v>261001</v>
      </c>
      <c r="F167" s="121"/>
      <c r="G167" s="121" t="s">
        <v>900</v>
      </c>
      <c r="H167" s="121"/>
      <c r="I167" s="121"/>
      <c r="J167" s="121"/>
      <c r="K167" s="27" t="str">
        <f t="shared" si="268"/>
        <v/>
      </c>
      <c r="L167" s="27" t="str">
        <f t="shared" si="200"/>
        <v/>
      </c>
      <c r="M167" s="27" t="str">
        <f t="shared" si="269"/>
        <v>0</v>
      </c>
      <c r="N167" s="121"/>
      <c r="O167" s="121"/>
      <c r="P167" s="27" t="str">
        <f t="shared" ref="P167:P170" si="294">IF(O167="","0","1")</f>
        <v>0</v>
      </c>
      <c r="Q167" s="27" t="str">
        <f t="shared" ref="Q167:Q170" si="295">IF(O167="","0","1")</f>
        <v>0</v>
      </c>
      <c r="R167" s="27" t="str">
        <f t="shared" ref="R167:R170" si="296">IF(O167="","0","1")</f>
        <v>0</v>
      </c>
      <c r="S167" s="27" t="str">
        <f t="shared" ref="S167:S170" si="297">IF(O167="","0","1")</f>
        <v>0</v>
      </c>
      <c r="T167" s="27" t="str">
        <f t="shared" ref="T167:T170" si="298">IF(O167="","0","1")</f>
        <v>0</v>
      </c>
      <c r="U167" s="27" t="str">
        <f t="shared" ref="U167:U170" si="299">IF(O167="","0","1")</f>
        <v>0</v>
      </c>
      <c r="V167" s="27" t="str">
        <f t="shared" ref="V167:V170" si="300">IF(O167="","1","1")</f>
        <v>1</v>
      </c>
      <c r="W167" s="27"/>
      <c r="X167" s="27" t="str">
        <f t="shared" ref="X167:X170" si="301">IF(O167="","","0")</f>
        <v/>
      </c>
      <c r="Y167" s="27" t="str">
        <f t="shared" ref="Y167:Y170" si="302">IF(O167="","","0")</f>
        <v/>
      </c>
      <c r="Z167" s="27" t="str">
        <f t="shared" ref="Z167:Z170" si="303">IF(O167="","","0")</f>
        <v/>
      </c>
      <c r="AA167" s="121"/>
      <c r="AB167" s="121"/>
      <c r="AC167" s="121"/>
      <c r="AD167" s="121"/>
      <c r="AE167" s="121" t="s">
        <v>51</v>
      </c>
      <c r="AF167" s="121"/>
      <c r="AG167" s="121"/>
      <c r="AH167" s="28" t="s">
        <v>169</v>
      </c>
      <c r="AI167" s="28" t="s">
        <v>113</v>
      </c>
      <c r="AJ167" s="28">
        <v>30100</v>
      </c>
      <c r="AK167" s="28" t="str">
        <f t="shared" si="193"/>
        <v/>
      </c>
      <c r="AL167" s="123" t="str">
        <f t="shared" ref="AL167:AL170" si="304">IF(C167="","",C167&amp;"/"&amp;F167&amp;"/"&amp;N167&amp;"/"&amp;O167)</f>
        <v/>
      </c>
      <c r="AM167" s="28"/>
      <c r="AN167" s="28" t="s">
        <v>3245</v>
      </c>
      <c r="AO167" s="28" t="s">
        <v>3245</v>
      </c>
      <c r="AP167" s="28" t="s">
        <v>3245</v>
      </c>
      <c r="AQ167" s="28" t="s">
        <v>3245</v>
      </c>
      <c r="AR167" s="28" t="s">
        <v>3245</v>
      </c>
      <c r="AS167" s="28" t="s">
        <v>3245</v>
      </c>
      <c r="AT167" s="28" t="s">
        <v>3245</v>
      </c>
      <c r="AU167" s="28" t="s">
        <v>3245</v>
      </c>
      <c r="AV167" s="28" t="s">
        <v>3245</v>
      </c>
      <c r="AW167" s="28" t="s">
        <v>3245</v>
      </c>
      <c r="AX167" s="28" t="s">
        <v>3245</v>
      </c>
      <c r="AY167" s="124"/>
      <c r="AZ167" s="138" t="str">
        <f>IF(C167="","","delete from module_mst where pjt_id = '"&amp;C167&amp;"' and menu_id = '"&amp;E167&amp;"';")</f>
        <v/>
      </c>
      <c r="BA167" s="31" t="str">
        <f>IF(C167&lt;&gt;"",CREATE_QUERY($D$1,C$2:AY$2,C167:AY167),"")</f>
        <v/>
      </c>
    </row>
    <row r="168" spans="1:53">
      <c r="A168" s="1">
        <v>168</v>
      </c>
      <c r="B168" s="164" t="str">
        <f t="shared" si="280"/>
        <v/>
      </c>
      <c r="C168" s="27" t="str">
        <f t="shared" si="199"/>
        <v/>
      </c>
      <c r="D168" s="121"/>
      <c r="E168" s="27">
        <v>261001</v>
      </c>
      <c r="F168" s="121"/>
      <c r="G168" s="121" t="s">
        <v>900</v>
      </c>
      <c r="H168" s="121"/>
      <c r="I168" s="121"/>
      <c r="J168" s="121"/>
      <c r="K168" s="27" t="str">
        <f t="shared" si="268"/>
        <v/>
      </c>
      <c r="L168" s="27" t="str">
        <f t="shared" si="200"/>
        <v/>
      </c>
      <c r="M168" s="27" t="str">
        <f t="shared" si="269"/>
        <v>0</v>
      </c>
      <c r="N168" s="121"/>
      <c r="O168" s="121"/>
      <c r="P168" s="27" t="str">
        <f t="shared" si="294"/>
        <v>0</v>
      </c>
      <c r="Q168" s="27" t="str">
        <f t="shared" si="295"/>
        <v>0</v>
      </c>
      <c r="R168" s="27" t="str">
        <f t="shared" si="296"/>
        <v>0</v>
      </c>
      <c r="S168" s="27" t="str">
        <f t="shared" si="297"/>
        <v>0</v>
      </c>
      <c r="T168" s="27" t="str">
        <f t="shared" si="298"/>
        <v>0</v>
      </c>
      <c r="U168" s="27" t="str">
        <f t="shared" si="299"/>
        <v>0</v>
      </c>
      <c r="V168" s="27" t="str">
        <f t="shared" si="300"/>
        <v>1</v>
      </c>
      <c r="W168" s="27"/>
      <c r="X168" s="27" t="str">
        <f t="shared" si="301"/>
        <v/>
      </c>
      <c r="Y168" s="27" t="str">
        <f t="shared" si="302"/>
        <v/>
      </c>
      <c r="Z168" s="27" t="str">
        <f t="shared" si="303"/>
        <v/>
      </c>
      <c r="AA168" s="121"/>
      <c r="AB168" s="121"/>
      <c r="AC168" s="121"/>
      <c r="AD168" s="121"/>
      <c r="AE168" s="121" t="s">
        <v>51</v>
      </c>
      <c r="AF168" s="121"/>
      <c r="AG168" s="121"/>
      <c r="AH168" s="28" t="s">
        <v>169</v>
      </c>
      <c r="AI168" s="28" t="s">
        <v>113</v>
      </c>
      <c r="AJ168" s="28">
        <v>30100</v>
      </c>
      <c r="AK168" s="28" t="str">
        <f t="shared" si="193"/>
        <v/>
      </c>
      <c r="AL168" s="123" t="str">
        <f t="shared" si="304"/>
        <v/>
      </c>
      <c r="AM168" s="28"/>
      <c r="AN168" s="28" t="s">
        <v>3245</v>
      </c>
      <c r="AO168" s="28" t="s">
        <v>3245</v>
      </c>
      <c r="AP168" s="28" t="s">
        <v>3245</v>
      </c>
      <c r="AQ168" s="28" t="s">
        <v>3245</v>
      </c>
      <c r="AR168" s="28" t="s">
        <v>3245</v>
      </c>
      <c r="AS168" s="28" t="s">
        <v>3245</v>
      </c>
      <c r="AT168" s="28" t="s">
        <v>3245</v>
      </c>
      <c r="AU168" s="28" t="s">
        <v>3245</v>
      </c>
      <c r="AV168" s="28" t="s">
        <v>3245</v>
      </c>
      <c r="AW168" s="28" t="s">
        <v>3245</v>
      </c>
      <c r="AX168" s="28" t="s">
        <v>3245</v>
      </c>
      <c r="AY168" s="124"/>
      <c r="AZ168" s="138" t="str">
        <f>IF(C168="","","delete from module_mst where pjt_id = '"&amp;C168&amp;"' and menu_id = '"&amp;E168&amp;"';")</f>
        <v/>
      </c>
      <c r="BA168" s="31" t="str">
        <f>IF(C168&lt;&gt;"",CREATE_QUERY($D$1,C$2:AY$2,C168:AY168),"")</f>
        <v/>
      </c>
    </row>
    <row r="169" spans="1:53">
      <c r="A169" s="1">
        <v>169</v>
      </c>
      <c r="B169" s="164" t="str">
        <f t="shared" si="280"/>
        <v/>
      </c>
      <c r="C169" s="27" t="str">
        <f t="shared" si="199"/>
        <v/>
      </c>
      <c r="D169" s="121"/>
      <c r="E169" s="27">
        <v>261001</v>
      </c>
      <c r="F169" s="121"/>
      <c r="G169" s="121" t="s">
        <v>900</v>
      </c>
      <c r="H169" s="121"/>
      <c r="I169" s="121"/>
      <c r="J169" s="121"/>
      <c r="K169" s="27" t="str">
        <f t="shared" si="268"/>
        <v/>
      </c>
      <c r="L169" s="27" t="str">
        <f t="shared" si="200"/>
        <v/>
      </c>
      <c r="M169" s="27" t="str">
        <f t="shared" si="269"/>
        <v>0</v>
      </c>
      <c r="N169" s="121"/>
      <c r="O169" s="121"/>
      <c r="P169" s="27" t="str">
        <f t="shared" si="294"/>
        <v>0</v>
      </c>
      <c r="Q169" s="27" t="str">
        <f t="shared" si="295"/>
        <v>0</v>
      </c>
      <c r="R169" s="27" t="str">
        <f t="shared" si="296"/>
        <v>0</v>
      </c>
      <c r="S169" s="27" t="str">
        <f t="shared" si="297"/>
        <v>0</v>
      </c>
      <c r="T169" s="27" t="str">
        <f t="shared" si="298"/>
        <v>0</v>
      </c>
      <c r="U169" s="27" t="str">
        <f t="shared" si="299"/>
        <v>0</v>
      </c>
      <c r="V169" s="27" t="str">
        <f t="shared" si="300"/>
        <v>1</v>
      </c>
      <c r="W169" s="27"/>
      <c r="X169" s="27" t="str">
        <f t="shared" si="301"/>
        <v/>
      </c>
      <c r="Y169" s="27" t="str">
        <f t="shared" si="302"/>
        <v/>
      </c>
      <c r="Z169" s="27" t="str">
        <f t="shared" si="303"/>
        <v/>
      </c>
      <c r="AA169" s="121"/>
      <c r="AB169" s="121"/>
      <c r="AC169" s="121"/>
      <c r="AD169" s="121"/>
      <c r="AE169" s="121" t="s">
        <v>51</v>
      </c>
      <c r="AF169" s="121"/>
      <c r="AG169" s="121"/>
      <c r="AH169" s="28" t="s">
        <v>169</v>
      </c>
      <c r="AI169" s="28" t="s">
        <v>113</v>
      </c>
      <c r="AJ169" s="28">
        <v>30100</v>
      </c>
      <c r="AK169" s="28" t="str">
        <f t="shared" si="193"/>
        <v/>
      </c>
      <c r="AL169" s="123" t="str">
        <f t="shared" si="304"/>
        <v/>
      </c>
      <c r="AM169" s="28"/>
      <c r="AN169" s="28" t="s">
        <v>3245</v>
      </c>
      <c r="AO169" s="28" t="s">
        <v>3245</v>
      </c>
      <c r="AP169" s="28" t="s">
        <v>3245</v>
      </c>
      <c r="AQ169" s="28" t="s">
        <v>3245</v>
      </c>
      <c r="AR169" s="28" t="s">
        <v>3245</v>
      </c>
      <c r="AS169" s="28" t="s">
        <v>3245</v>
      </c>
      <c r="AT169" s="28" t="s">
        <v>3245</v>
      </c>
      <c r="AU169" s="28" t="s">
        <v>3245</v>
      </c>
      <c r="AV169" s="28" t="s">
        <v>3245</v>
      </c>
      <c r="AW169" s="28" t="s">
        <v>3245</v>
      </c>
      <c r="AX169" s="28" t="s">
        <v>3245</v>
      </c>
      <c r="AY169" s="124"/>
      <c r="AZ169" s="138" t="str">
        <f>IF(C169="","","delete from module_mst where pjt_id = '"&amp;C169&amp;"' and menu_id = '"&amp;E169&amp;"';")</f>
        <v/>
      </c>
      <c r="BA169" s="31" t="str">
        <f>IF(C169&lt;&gt;"",CREATE_QUERY($D$1,C$2:AY$2,C169:AY169),"")</f>
        <v/>
      </c>
    </row>
    <row r="170" spans="1:53">
      <c r="A170" s="1">
        <v>170</v>
      </c>
      <c r="B170" s="164" t="str">
        <f t="shared" si="280"/>
        <v/>
      </c>
      <c r="C170" s="27" t="str">
        <f t="shared" si="199"/>
        <v/>
      </c>
      <c r="D170" s="121"/>
      <c r="E170" s="27">
        <v>261001</v>
      </c>
      <c r="F170" s="121"/>
      <c r="G170" s="121" t="s">
        <v>900</v>
      </c>
      <c r="H170" s="121"/>
      <c r="I170" s="121"/>
      <c r="J170" s="121"/>
      <c r="K170" s="27" t="str">
        <f t="shared" si="268"/>
        <v/>
      </c>
      <c r="L170" s="27" t="str">
        <f t="shared" si="200"/>
        <v/>
      </c>
      <c r="M170" s="27" t="str">
        <f t="shared" si="269"/>
        <v>0</v>
      </c>
      <c r="N170" s="121"/>
      <c r="O170" s="121"/>
      <c r="P170" s="27" t="str">
        <f t="shared" si="294"/>
        <v>0</v>
      </c>
      <c r="Q170" s="27" t="str">
        <f t="shared" si="295"/>
        <v>0</v>
      </c>
      <c r="R170" s="27" t="str">
        <f t="shared" si="296"/>
        <v>0</v>
      </c>
      <c r="S170" s="27" t="str">
        <f t="shared" si="297"/>
        <v>0</v>
      </c>
      <c r="T170" s="27" t="str">
        <f t="shared" si="298"/>
        <v>0</v>
      </c>
      <c r="U170" s="27" t="str">
        <f t="shared" si="299"/>
        <v>0</v>
      </c>
      <c r="V170" s="27" t="str">
        <f t="shared" si="300"/>
        <v>1</v>
      </c>
      <c r="W170" s="27"/>
      <c r="X170" s="27" t="str">
        <f t="shared" si="301"/>
        <v/>
      </c>
      <c r="Y170" s="27" t="str">
        <f t="shared" si="302"/>
        <v/>
      </c>
      <c r="Z170" s="27" t="str">
        <f t="shared" si="303"/>
        <v/>
      </c>
      <c r="AA170" s="121"/>
      <c r="AB170" s="121"/>
      <c r="AC170" s="121"/>
      <c r="AD170" s="121"/>
      <c r="AE170" s="121" t="s">
        <v>51</v>
      </c>
      <c r="AF170" s="121"/>
      <c r="AG170" s="121"/>
      <c r="AH170" s="28" t="s">
        <v>169</v>
      </c>
      <c r="AI170" s="28" t="s">
        <v>113</v>
      </c>
      <c r="AJ170" s="28">
        <v>30100</v>
      </c>
      <c r="AK170" s="28" t="str">
        <f t="shared" si="193"/>
        <v/>
      </c>
      <c r="AL170" s="123" t="str">
        <f t="shared" si="304"/>
        <v/>
      </c>
      <c r="AM170" s="28"/>
      <c r="AN170" s="28" t="s">
        <v>3245</v>
      </c>
      <c r="AO170" s="28" t="s">
        <v>3245</v>
      </c>
      <c r="AP170" s="28" t="s">
        <v>3245</v>
      </c>
      <c r="AQ170" s="28" t="s">
        <v>3245</v>
      </c>
      <c r="AR170" s="28" t="s">
        <v>3245</v>
      </c>
      <c r="AS170" s="28" t="s">
        <v>3245</v>
      </c>
      <c r="AT170" s="28" t="s">
        <v>3245</v>
      </c>
      <c r="AU170" s="28" t="s">
        <v>3245</v>
      </c>
      <c r="AV170" s="28" t="s">
        <v>3245</v>
      </c>
      <c r="AW170" s="28" t="s">
        <v>3245</v>
      </c>
      <c r="AX170" s="28" t="s">
        <v>3245</v>
      </c>
      <c r="AY170" s="124"/>
      <c r="AZ170" s="138" t="str">
        <f>IF(C170="","","delete from module_mst where pjt_id = '"&amp;C170&amp;"' and menu_id = '"&amp;E170&amp;"';")</f>
        <v/>
      </c>
      <c r="BA170" s="31" t="str">
        <f>IF(C170&lt;&gt;"",CREATE_QUERY($D$1,C$2:AY$2,C170:AY170),"")</f>
        <v/>
      </c>
    </row>
    <row r="171" spans="1:53">
      <c r="A171" s="1">
        <v>171</v>
      </c>
      <c r="B171" s="164" t="str">
        <f t="shared" si="280"/>
        <v/>
      </c>
      <c r="C171" s="27" t="str">
        <f t="shared" si="199"/>
        <v/>
      </c>
      <c r="D171" s="121"/>
      <c r="E171" s="27">
        <v>261001</v>
      </c>
      <c r="F171" s="121"/>
      <c r="G171" s="121" t="s">
        <v>900</v>
      </c>
      <c r="H171" s="121"/>
      <c r="I171" s="121"/>
      <c r="J171" s="121"/>
      <c r="K171" s="27" t="str">
        <f t="shared" si="268"/>
        <v/>
      </c>
      <c r="L171" s="27" t="str">
        <f t="shared" si="200"/>
        <v/>
      </c>
      <c r="M171" s="27" t="str">
        <f t="shared" si="269"/>
        <v>0</v>
      </c>
      <c r="N171" s="121"/>
      <c r="O171" s="121"/>
      <c r="P171" s="27" t="str">
        <f t="shared" ref="P171" si="305">IF(O171="","0","1")</f>
        <v>0</v>
      </c>
      <c r="Q171" s="27" t="str">
        <f t="shared" ref="Q171" si="306">IF(O171="","0","1")</f>
        <v>0</v>
      </c>
      <c r="R171" s="27" t="str">
        <f t="shared" ref="R171" si="307">IF(O171="","0","1")</f>
        <v>0</v>
      </c>
      <c r="S171" s="27" t="str">
        <f t="shared" ref="S171" si="308">IF(O171="","0","1")</f>
        <v>0</v>
      </c>
      <c r="T171" s="27" t="str">
        <f t="shared" ref="T171" si="309">IF(O171="","0","1")</f>
        <v>0</v>
      </c>
      <c r="U171" s="27" t="str">
        <f t="shared" ref="U171" si="310">IF(O171="","0","1")</f>
        <v>0</v>
      </c>
      <c r="V171" s="27" t="str">
        <f t="shared" ref="V171" si="311">IF(O171="","1","1")</f>
        <v>1</v>
      </c>
      <c r="W171" s="27"/>
      <c r="X171" s="27" t="str">
        <f t="shared" ref="X171" si="312">IF(O171="","","0")</f>
        <v/>
      </c>
      <c r="Y171" s="27" t="str">
        <f t="shared" ref="Y171" si="313">IF(O171="","","0")</f>
        <v/>
      </c>
      <c r="Z171" s="27" t="str">
        <f t="shared" ref="Z171" si="314">IF(O171="","","0")</f>
        <v/>
      </c>
      <c r="AA171" s="121"/>
      <c r="AB171" s="121"/>
      <c r="AC171" s="121"/>
      <c r="AD171" s="121"/>
      <c r="AE171" s="121" t="s">
        <v>51</v>
      </c>
      <c r="AF171" s="121"/>
      <c r="AG171" s="121"/>
      <c r="AH171" s="28" t="s">
        <v>169</v>
      </c>
      <c r="AI171" s="28" t="s">
        <v>113</v>
      </c>
      <c r="AJ171" s="28">
        <v>30100</v>
      </c>
      <c r="AK171" s="28" t="str">
        <f t="shared" si="193"/>
        <v/>
      </c>
      <c r="AL171" s="123" t="str">
        <f t="shared" ref="AL171" si="315">IF(C171="","",C171&amp;"/"&amp;F171&amp;"/"&amp;N171&amp;"/"&amp;O171)</f>
        <v/>
      </c>
      <c r="AM171" s="28"/>
      <c r="AN171" s="28" t="s">
        <v>3245</v>
      </c>
      <c r="AO171" s="28" t="s">
        <v>3245</v>
      </c>
      <c r="AP171" s="28" t="s">
        <v>3245</v>
      </c>
      <c r="AQ171" s="28" t="s">
        <v>3245</v>
      </c>
      <c r="AR171" s="28" t="s">
        <v>3245</v>
      </c>
      <c r="AS171" s="28" t="s">
        <v>3245</v>
      </c>
      <c r="AT171" s="28" t="s">
        <v>3245</v>
      </c>
      <c r="AU171" s="28" t="s">
        <v>3245</v>
      </c>
      <c r="AV171" s="28" t="s">
        <v>3245</v>
      </c>
      <c r="AW171" s="28" t="s">
        <v>3245</v>
      </c>
      <c r="AX171" s="28" t="s">
        <v>3245</v>
      </c>
      <c r="AY171" s="124"/>
      <c r="AZ171" s="138" t="str">
        <f>IF(C171="","","delete from module_mst where pjt_id = '"&amp;C171&amp;"' and menu_id = '"&amp;E171&amp;"';")</f>
        <v/>
      </c>
      <c r="BA171" s="31" t="str">
        <f>IF(C171&lt;&gt;"",CREATE_QUERY($D$1,C$2:AY$2,C171:AY171),"")</f>
        <v/>
      </c>
    </row>
    <row r="172" spans="1:53">
      <c r="A172" s="1">
        <v>172</v>
      </c>
      <c r="B172" s="164" t="str">
        <f t="shared" si="280"/>
        <v/>
      </c>
      <c r="C172" s="27" t="str">
        <f t="shared" si="199"/>
        <v/>
      </c>
      <c r="D172" s="121"/>
      <c r="E172" s="27"/>
      <c r="F172" s="121"/>
      <c r="G172" s="121" t="s">
        <v>900</v>
      </c>
      <c r="H172" s="121"/>
      <c r="I172" s="121"/>
      <c r="J172" s="121"/>
      <c r="K172" s="27" t="str">
        <f t="shared" si="268"/>
        <v/>
      </c>
      <c r="L172" s="27" t="str">
        <f t="shared" si="200"/>
        <v/>
      </c>
      <c r="M172" s="27" t="str">
        <f t="shared" si="269"/>
        <v>0</v>
      </c>
      <c r="N172" s="121"/>
      <c r="O172" s="121"/>
      <c r="P172" s="27" t="str">
        <f t="shared" si="270"/>
        <v>0</v>
      </c>
      <c r="Q172" s="27" t="str">
        <f t="shared" si="271"/>
        <v>0</v>
      </c>
      <c r="R172" s="27" t="str">
        <f t="shared" si="272"/>
        <v>0</v>
      </c>
      <c r="S172" s="27" t="str">
        <f t="shared" si="273"/>
        <v>0</v>
      </c>
      <c r="T172" s="27" t="str">
        <f t="shared" si="274"/>
        <v>0</v>
      </c>
      <c r="U172" s="27" t="str">
        <f t="shared" si="275"/>
        <v>0</v>
      </c>
      <c r="V172" s="27" t="str">
        <f t="shared" si="276"/>
        <v>1</v>
      </c>
      <c r="W172" s="27"/>
      <c r="X172" s="27" t="str">
        <f t="shared" si="277"/>
        <v/>
      </c>
      <c r="Y172" s="27" t="str">
        <f t="shared" si="278"/>
        <v/>
      </c>
      <c r="Z172" s="27" t="str">
        <f t="shared" si="279"/>
        <v/>
      </c>
      <c r="AA172" s="121"/>
      <c r="AB172" s="121"/>
      <c r="AC172" s="121"/>
      <c r="AD172" s="121"/>
      <c r="AE172" s="121"/>
      <c r="AF172" s="121"/>
      <c r="AG172" s="121"/>
      <c r="AH172" s="27"/>
      <c r="AI172" s="27"/>
      <c r="AJ172" s="27" t="s">
        <v>900</v>
      </c>
      <c r="AK172" s="27" t="str">
        <f t="shared" si="193"/>
        <v/>
      </c>
      <c r="AL172" s="123" t="str">
        <f t="shared" si="140"/>
        <v/>
      </c>
      <c r="AM172" s="27"/>
      <c r="AN172" s="27"/>
      <c r="AO172" s="27"/>
      <c r="AP172" s="27"/>
      <c r="AQ172" s="27"/>
      <c r="AR172" s="27"/>
      <c r="AS172" s="27"/>
      <c r="AT172" s="27"/>
      <c r="AU172" s="27"/>
      <c r="AV172" s="27"/>
      <c r="AW172" s="27"/>
      <c r="AX172" s="27"/>
      <c r="AY172" s="124"/>
      <c r="AZ172" s="138" t="str">
        <f>IF(C172="","","delete from module_mst where pjt_id = '"&amp;C172&amp;"' and menu_id = '"&amp;E172&amp;"';")</f>
        <v/>
      </c>
      <c r="BA172" s="31" t="str">
        <f>IF(C172&lt;&gt;"",CREATE_QUERY($D$1,C$2:AY$2,C172:AY172),"")</f>
        <v/>
      </c>
    </row>
    <row r="173" spans="1:53">
      <c r="A173" s="1">
        <v>173</v>
      </c>
      <c r="B173" s="159" t="str">
        <f t="shared" si="280"/>
        <v xml:space="preserve">    └ 구매</v>
      </c>
      <c r="C173" s="27" t="str">
        <f t="shared" si="199"/>
        <v>14821</v>
      </c>
      <c r="D173" s="121"/>
      <c r="E173" s="21" t="s">
        <v>357</v>
      </c>
      <c r="F173" s="118" t="s">
        <v>137</v>
      </c>
      <c r="G173" s="118" t="s">
        <v>3126</v>
      </c>
      <c r="H173" s="118"/>
      <c r="I173" s="118"/>
      <c r="J173" s="118"/>
      <c r="K173" s="21" t="str">
        <f t="shared" si="268"/>
        <v/>
      </c>
      <c r="L173" s="21" t="str">
        <f t="shared" si="200"/>
        <v>1</v>
      </c>
      <c r="M173" s="21" t="str">
        <f t="shared" si="269"/>
        <v>0</v>
      </c>
      <c r="N173" s="118"/>
      <c r="O173" s="118"/>
      <c r="P173" s="21" t="str">
        <f t="shared" si="270"/>
        <v>0</v>
      </c>
      <c r="Q173" s="21" t="str">
        <f t="shared" si="271"/>
        <v>0</v>
      </c>
      <c r="R173" s="21" t="str">
        <f t="shared" si="272"/>
        <v>0</v>
      </c>
      <c r="S173" s="21" t="str">
        <f t="shared" si="273"/>
        <v>0</v>
      </c>
      <c r="T173" s="21" t="str">
        <f t="shared" si="274"/>
        <v>0</v>
      </c>
      <c r="U173" s="21" t="str">
        <f t="shared" si="275"/>
        <v>0</v>
      </c>
      <c r="V173" s="21" t="str">
        <f t="shared" si="276"/>
        <v>1</v>
      </c>
      <c r="W173" s="21"/>
      <c r="X173" s="21" t="str">
        <f t="shared" si="277"/>
        <v/>
      </c>
      <c r="Y173" s="21" t="str">
        <f t="shared" si="278"/>
        <v/>
      </c>
      <c r="Z173" s="21" t="str">
        <f t="shared" si="279"/>
        <v/>
      </c>
      <c r="AA173" s="118"/>
      <c r="AB173" s="118"/>
      <c r="AC173" s="118"/>
      <c r="AD173" s="118"/>
      <c r="AE173" s="118" t="s">
        <v>51</v>
      </c>
      <c r="AF173" s="118"/>
      <c r="AG173" s="118"/>
      <c r="AH173" s="26" t="s">
        <v>168</v>
      </c>
      <c r="AI173" s="26" t="s">
        <v>112</v>
      </c>
      <c r="AJ173" s="26">
        <v>30150</v>
      </c>
      <c r="AK173" s="26" t="str">
        <f t="shared" si="193"/>
        <v>0</v>
      </c>
      <c r="AL173" s="123" t="str">
        <f t="shared" si="140"/>
        <v>14821/구매//</v>
      </c>
      <c r="AM173" s="26" t="s">
        <v>2979</v>
      </c>
      <c r="AN173" s="26" t="str">
        <f t="shared" ref="AN173:AX173" si="316">IF(COUNTIF(AN178:AN187,"="&amp;"Y")&gt;0,"Y",IF(COUNTIF(AN178:AN187,"="&amp;"-")&gt;0,"m",""))</f>
        <v>m</v>
      </c>
      <c r="AO173" s="26" t="str">
        <f t="shared" si="316"/>
        <v>Y</v>
      </c>
      <c r="AP173" s="26" t="str">
        <f t="shared" si="316"/>
        <v>m</v>
      </c>
      <c r="AQ173" s="26" t="str">
        <f t="shared" si="316"/>
        <v>m</v>
      </c>
      <c r="AR173" s="26" t="str">
        <f t="shared" si="316"/>
        <v>m</v>
      </c>
      <c r="AS173" s="26" t="str">
        <f t="shared" si="316"/>
        <v>m</v>
      </c>
      <c r="AT173" s="26" t="str">
        <f t="shared" si="316"/>
        <v>Y</v>
      </c>
      <c r="AU173" s="26" t="str">
        <f t="shared" si="316"/>
        <v>m</v>
      </c>
      <c r="AV173" s="26" t="str">
        <f t="shared" si="316"/>
        <v>m</v>
      </c>
      <c r="AW173" s="26" t="str">
        <f t="shared" si="316"/>
        <v>Y</v>
      </c>
      <c r="AX173" s="26" t="str">
        <f t="shared" si="316"/>
        <v>Y</v>
      </c>
      <c r="AY173" s="124"/>
      <c r="AZ173" s="138" t="str">
        <f>IF(C173="","","delete from module_mst where pjt_id = '"&amp;C173&amp;"' and menu_id = '"&amp;E173&amp;"';")</f>
        <v>delete from module_mst where pjt_id = '14821' and menu_id = '262000';</v>
      </c>
      <c r="BA173" s="31" t="str">
        <f>IF(C173&lt;&gt;"",CREATE_QUERY($D$1,C$2:AY$2,C173:AY173),"")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'262000', '구매', 'Purchase', '', '', '', '', '1', '0', '', '', '0', '0', '0', '0', '0', '0', '1', '', '', '', '', '', '', '', '', 'N', '', '', '260000', '4', '30150', '0', '14821/구매//', '메뉴', '');</v>
      </c>
    </row>
    <row r="174" spans="1:53">
      <c r="A174" s="1">
        <v>174</v>
      </c>
      <c r="B174" s="164" t="str">
        <f>IF(F174="","",IF(AI174="1","",IF(AI174="2","└ ",IF(AI174="3","  └ ",IF(AI174="4","    └ ",IF(AI174="5","        └ ",IF(AI174="6","         └ ",IF(AI174="7"="            └ ",""))))))))&amp;IF(AM174="","",IF(AM174="메뉴","","("&amp;AM174&amp;")"))&amp;F174</f>
        <v xml:space="preserve">        └ (선택)발주 요청 관리</v>
      </c>
      <c r="C174" s="27" t="str">
        <f>IF(F174="","","14821")</f>
        <v>14821</v>
      </c>
      <c r="D174" s="121"/>
      <c r="E174" s="27">
        <v>262001</v>
      </c>
      <c r="F174" s="121" t="s">
        <v>3292</v>
      </c>
      <c r="G174" s="121" t="s">
        <v>900</v>
      </c>
      <c r="H174" s="121"/>
      <c r="I174" s="121"/>
      <c r="J174" s="121"/>
      <c r="K174" s="27" t="str">
        <f>IF(O174="","","1")</f>
        <v>1</v>
      </c>
      <c r="L174" s="27" t="str">
        <f>IF(F174="","","1")</f>
        <v>1</v>
      </c>
      <c r="M174" s="27" t="str">
        <f>IF(O174="","0","1")</f>
        <v>1</v>
      </c>
      <c r="N174" s="121" t="s">
        <v>3293</v>
      </c>
      <c r="O174" s="121" t="s">
        <v>3294</v>
      </c>
      <c r="P174" s="27" t="str">
        <f>IF(O174="","0","1")</f>
        <v>1</v>
      </c>
      <c r="Q174" s="27" t="str">
        <f>IF(O174="","0","1")</f>
        <v>1</v>
      </c>
      <c r="R174" s="27" t="str">
        <f>IF(O174="","0","1")</f>
        <v>1</v>
      </c>
      <c r="S174" s="27" t="str">
        <f>IF(O174="","0","1")</f>
        <v>1</v>
      </c>
      <c r="T174" s="27" t="str">
        <f>IF(O174="","0","1")</f>
        <v>1</v>
      </c>
      <c r="U174" s="27" t="str">
        <f>IF(O174="","0","1")</f>
        <v>1</v>
      </c>
      <c r="V174" s="27" t="str">
        <f>IF(O174="","1","1")</f>
        <v>1</v>
      </c>
      <c r="W174" s="27"/>
      <c r="X174" s="27" t="str">
        <f>IF(O174="","","0")</f>
        <v>0</v>
      </c>
      <c r="Y174" s="27" t="str">
        <f>IF(O174="","","0")</f>
        <v>0</v>
      </c>
      <c r="Z174" s="27" t="str">
        <f>IF(O174="","","0")</f>
        <v>0</v>
      </c>
      <c r="AA174" s="121"/>
      <c r="AB174" s="121"/>
      <c r="AC174" s="121"/>
      <c r="AD174" s="121"/>
      <c r="AE174" s="121" t="s">
        <v>51</v>
      </c>
      <c r="AF174" s="121"/>
      <c r="AG174" s="121"/>
      <c r="AH174" s="28" t="s">
        <v>171</v>
      </c>
      <c r="AI174" s="28" t="s">
        <v>113</v>
      </c>
      <c r="AJ174" s="28">
        <v>30160</v>
      </c>
      <c r="AK174" s="28" t="str">
        <f>IF(B174="","","0")</f>
        <v>0</v>
      </c>
      <c r="AL174" s="123" t="str">
        <f>IF(C174="","",C174&amp;"/"&amp;F174&amp;"/"&amp;N174&amp;"/"&amp;O174)</f>
        <v>14821/발주 요청 관리/mtrl.po/PurcTrstWork</v>
      </c>
      <c r="AM174" s="28" t="s">
        <v>3350</v>
      </c>
      <c r="AN174" s="28" t="s">
        <v>3245</v>
      </c>
      <c r="AO174" s="28" t="s">
        <v>3245</v>
      </c>
      <c r="AP174" s="28" t="s">
        <v>3245</v>
      </c>
      <c r="AQ174" s="28" t="s">
        <v>3245</v>
      </c>
      <c r="AR174" s="28" t="s">
        <v>3245</v>
      </c>
      <c r="AS174" s="28" t="s">
        <v>3245</v>
      </c>
      <c r="AT174" s="28" t="s">
        <v>3245</v>
      </c>
      <c r="AU174" s="28" t="s">
        <v>3245</v>
      </c>
      <c r="AV174" s="28" t="s">
        <v>3245</v>
      </c>
      <c r="AW174" s="28" t="s">
        <v>3245</v>
      </c>
      <c r="AX174" s="28" t="s">
        <v>3245</v>
      </c>
      <c r="AY174" s="124"/>
      <c r="AZ174" s="138" t="str">
        <f>IF(C174="","","delete from module_mst where pjt_id = '"&amp;C174&amp;"' and menu_id = '"&amp;E174&amp;"';")</f>
        <v>delete from module_mst where pjt_id = '14821' and menu_id = '262001';</v>
      </c>
      <c r="BA174" s="31" t="str">
        <f>IF(C174&lt;&gt;"",CREATE_QUERY($D$1,C$2:AY$2,C174:AY174),"")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'262001', '발주 요청 관리', '', '', '', '', '1', '1', '1', 'mtrl.po', 'PurcTrstWork', '1', '1', '1', '1', '1', '1', '1', '', '0', '0', '0', '', '', '', '', 'N', '', '', '262000', '5', '30160', '0', '14821/발주 요청 관리/mtrl.po/PurcTrstWork', '선택', '');</v>
      </c>
    </row>
    <row r="175" spans="1:53">
      <c r="A175" s="1">
        <v>175</v>
      </c>
      <c r="B175" s="164" t="str">
        <f>IF(F175="","",IF(AI175="1","",IF(AI175="2","└ ",IF(AI175="3","  └ ",IF(AI175="4","    └ ",IF(AI175="5","        └ ",IF(AI175="6","         └ ",IF(AI175="7"="            └ ",""))))))))&amp;IF(AM175="","",IF(AM175="메뉴","","("&amp;AM175&amp;")"))&amp;F175</f>
        <v xml:space="preserve">        └ (선택)적정재고 미달량</v>
      </c>
      <c r="C175" s="27" t="str">
        <f>IF(F175="","","14821")</f>
        <v>14821</v>
      </c>
      <c r="D175" s="121"/>
      <c r="E175" s="27">
        <v>262002</v>
      </c>
      <c r="F175" s="121" t="s">
        <v>3310</v>
      </c>
      <c r="G175" s="121" t="s">
        <v>900</v>
      </c>
      <c r="H175" s="121"/>
      <c r="I175" s="121"/>
      <c r="J175" s="121"/>
      <c r="K175" s="27" t="str">
        <f>IF(O175="","","1")</f>
        <v>1</v>
      </c>
      <c r="L175" s="27" t="str">
        <f>IF(F175="","","1")</f>
        <v>1</v>
      </c>
      <c r="M175" s="27" t="str">
        <f>IF(O175="","0","1")</f>
        <v>1</v>
      </c>
      <c r="N175" s="121" t="s">
        <v>318</v>
      </c>
      <c r="O175" s="121" t="s">
        <v>3311</v>
      </c>
      <c r="P175" s="27" t="str">
        <f>IF(O175="","0","1")</f>
        <v>1</v>
      </c>
      <c r="Q175" s="27" t="str">
        <f>IF(O175="","0","1")</f>
        <v>1</v>
      </c>
      <c r="R175" s="27" t="str">
        <f>IF(O175="","0","1")</f>
        <v>1</v>
      </c>
      <c r="S175" s="27" t="str">
        <f>IF(O175="","0","1")</f>
        <v>1</v>
      </c>
      <c r="T175" s="27" t="str">
        <f>IF(O175="","0","1")</f>
        <v>1</v>
      </c>
      <c r="U175" s="27" t="str">
        <f>IF(O175="","0","1")</f>
        <v>1</v>
      </c>
      <c r="V175" s="27" t="str">
        <f>IF(O175="","1","1")</f>
        <v>1</v>
      </c>
      <c r="W175" s="27"/>
      <c r="X175" s="27" t="str">
        <f>IF(O175="","","0")</f>
        <v>0</v>
      </c>
      <c r="Y175" s="27" t="str">
        <f>IF(O175="","","0")</f>
        <v>0</v>
      </c>
      <c r="Z175" s="27" t="str">
        <f>IF(O175="","","0")</f>
        <v>0</v>
      </c>
      <c r="AA175" s="121"/>
      <c r="AB175" s="121"/>
      <c r="AC175" s="121"/>
      <c r="AD175" s="121"/>
      <c r="AE175" s="121" t="s">
        <v>51</v>
      </c>
      <c r="AF175" s="121"/>
      <c r="AG175" s="121"/>
      <c r="AH175" s="28" t="s">
        <v>171</v>
      </c>
      <c r="AI175" s="28" t="s">
        <v>113</v>
      </c>
      <c r="AJ175" s="28">
        <v>30900</v>
      </c>
      <c r="AK175" s="28" t="str">
        <f>IF(B175="","","0")</f>
        <v>0</v>
      </c>
      <c r="AL175" s="123" t="str">
        <f t="shared" ref="AL175:AL177" si="317">IF(C175="","",C175&amp;"/"&amp;F175&amp;"/"&amp;N175&amp;"/"&amp;O175)</f>
        <v>14821/적정재고 미달량/mtrl.po/PurcStokWork</v>
      </c>
      <c r="AM175" s="28" t="s">
        <v>3350</v>
      </c>
      <c r="AN175" s="28" t="s">
        <v>3245</v>
      </c>
      <c r="AO175" s="28" t="s">
        <v>3245</v>
      </c>
      <c r="AP175" s="28" t="s">
        <v>3245</v>
      </c>
      <c r="AQ175" s="28" t="s">
        <v>3245</v>
      </c>
      <c r="AR175" s="28" t="s">
        <v>3245</v>
      </c>
      <c r="AS175" s="28" t="s">
        <v>3245</v>
      </c>
      <c r="AT175" s="28" t="s">
        <v>3245</v>
      </c>
      <c r="AU175" s="28" t="s">
        <v>3245</v>
      </c>
      <c r="AV175" s="28" t="s">
        <v>3245</v>
      </c>
      <c r="AW175" s="28" t="s">
        <v>3245</v>
      </c>
      <c r="AX175" s="28" t="s">
        <v>3245</v>
      </c>
      <c r="AY175" s="124"/>
      <c r="AZ175" s="138" t="str">
        <f>IF(C175="","","delete from module_mst where pjt_id = '"&amp;C175&amp;"' and menu_id = '"&amp;E175&amp;"';")</f>
        <v>delete from module_mst where pjt_id = '14821' and menu_id = '262002';</v>
      </c>
      <c r="BA175" s="31" t="str">
        <f>IF(C175&lt;&gt;"",CREATE_QUERY($D$1,C$2:AY$2,C175:AY175),"")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'262002', '적정재고 미달량', '', '', '', '', '1', '1', '1', 'mtrl.po', 'PurcStokWork', '1', '1', '1', '1', '1', '1', '1', '', '0', '0', '0', '', '', '', '', 'N', '', '', '262000', '5', '30900', '0', '14821/적정재고 미달량/mtrl.po/PurcStokWork', '선택', '');</v>
      </c>
    </row>
    <row r="176" spans="1:53">
      <c r="A176" s="1">
        <v>176</v>
      </c>
      <c r="B176" s="164" t="str">
        <f>IF(F176="","",IF(AI176="1","",IF(AI176="2","└ ",IF(AI176="3","  └ ",IF(AI176="4","    └ ",IF(AI176="5","        └ ",IF(AI176="6","         └ ",IF(AI176="7"="            └ ",""))))))))&amp;IF(AM176="","",IF(AM176="메뉴","","("&amp;AM176&amp;")"))&amp;F176</f>
        <v xml:space="preserve">        └ (선택)자재소요량 관리</v>
      </c>
      <c r="C176" s="27" t="str">
        <f>IF(F176="","","14821")</f>
        <v>14821</v>
      </c>
      <c r="D176" s="121"/>
      <c r="E176" s="27">
        <v>262003</v>
      </c>
      <c r="F176" s="121" t="s">
        <v>3312</v>
      </c>
      <c r="G176" s="121" t="s">
        <v>900</v>
      </c>
      <c r="H176" s="121"/>
      <c r="I176" s="121"/>
      <c r="J176" s="121"/>
      <c r="K176" s="27" t="str">
        <f>IF(O176="","","1")</f>
        <v>1</v>
      </c>
      <c r="L176" s="27" t="str">
        <f>IF(F176="","","1")</f>
        <v>1</v>
      </c>
      <c r="M176" s="27" t="str">
        <f>IF(O176="","0","1")</f>
        <v>1</v>
      </c>
      <c r="N176" s="121" t="s">
        <v>318</v>
      </c>
      <c r="O176" s="121" t="s">
        <v>3313</v>
      </c>
      <c r="P176" s="27" t="str">
        <f>IF(O176="","0","1")</f>
        <v>1</v>
      </c>
      <c r="Q176" s="27" t="str">
        <f>IF(O176="","0","1")</f>
        <v>1</v>
      </c>
      <c r="R176" s="27" t="str">
        <f>IF(O176="","0","1")</f>
        <v>1</v>
      </c>
      <c r="S176" s="27" t="str">
        <f>IF(O176="","0","1")</f>
        <v>1</v>
      </c>
      <c r="T176" s="27" t="str">
        <f>IF(O176="","0","1")</f>
        <v>1</v>
      </c>
      <c r="U176" s="27" t="str">
        <f>IF(O176="","0","1")</f>
        <v>1</v>
      </c>
      <c r="V176" s="27" t="str">
        <f>IF(O176="","1","1")</f>
        <v>1</v>
      </c>
      <c r="W176" s="27"/>
      <c r="X176" s="27" t="str">
        <f>IF(O176="","","0")</f>
        <v>0</v>
      </c>
      <c r="Y176" s="27" t="str">
        <f>IF(O176="","","0")</f>
        <v>0</v>
      </c>
      <c r="Z176" s="27" t="str">
        <f>IF(O176="","","0")</f>
        <v>0</v>
      </c>
      <c r="AA176" s="121"/>
      <c r="AB176" s="121"/>
      <c r="AC176" s="121"/>
      <c r="AD176" s="121"/>
      <c r="AE176" s="121" t="s">
        <v>51</v>
      </c>
      <c r="AF176" s="121"/>
      <c r="AG176" s="121"/>
      <c r="AH176" s="28" t="s">
        <v>171</v>
      </c>
      <c r="AI176" s="28" t="s">
        <v>113</v>
      </c>
      <c r="AJ176" s="28">
        <v>30950</v>
      </c>
      <c r="AK176" s="28" t="str">
        <f>IF(B176="","","0")</f>
        <v>0</v>
      </c>
      <c r="AL176" s="123" t="str">
        <f t="shared" si="317"/>
        <v>14821/자재소요량 관리/mtrl.po/Poplan</v>
      </c>
      <c r="AM176" s="28" t="s">
        <v>3350</v>
      </c>
      <c r="AN176" s="28" t="s">
        <v>3245</v>
      </c>
      <c r="AO176" s="28" t="s">
        <v>3245</v>
      </c>
      <c r="AP176" s="28" t="s">
        <v>3245</v>
      </c>
      <c r="AQ176" s="28" t="s">
        <v>3245</v>
      </c>
      <c r="AR176" s="28" t="s">
        <v>3245</v>
      </c>
      <c r="AS176" s="28" t="s">
        <v>3245</v>
      </c>
      <c r="AT176" s="28" t="s">
        <v>3245</v>
      </c>
      <c r="AU176" s="28" t="s">
        <v>3245</v>
      </c>
      <c r="AV176" s="28" t="s">
        <v>3245</v>
      </c>
      <c r="AW176" s="28" t="s">
        <v>3245</v>
      </c>
      <c r="AX176" s="28" t="s">
        <v>3245</v>
      </c>
      <c r="AY176" s="124"/>
      <c r="AZ176" s="138" t="str">
        <f>IF(C176="","","delete from module_mst where pjt_id = '"&amp;C176&amp;"' and menu_id = '"&amp;E176&amp;"';")</f>
        <v>delete from module_mst where pjt_id = '14821' and menu_id = '262003';</v>
      </c>
      <c r="BA176" s="31" t="str">
        <f>IF(C176&lt;&gt;"",CREATE_QUERY($D$1,C$2:AY$2,C176:AY176),"")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'262003', '자재소요량 관리', '', '', '', '', '1', '1', '1', 'mtrl.po', 'Poplan', '1', '1', '1', '1', '1', '1', '1', '', '0', '0', '0', '', '', '', '', 'N', '', '', '262000', '5', '30950', '0', '14821/자재소요량 관리/mtrl.po/Poplan', '선택', '');</v>
      </c>
    </row>
    <row r="177" spans="1:53">
      <c r="A177" s="1">
        <v>177</v>
      </c>
      <c r="B177" s="164" t="str">
        <f>IF(F177="","",IF(AI177="1","",IF(AI177="2","└ ",IF(AI177="3","  └ ",IF(AI177="4","    └ ",IF(AI177="5","        └ ",IF(AI177="6","         └ ",IF(AI177="7"="            └ ",""))))))))&amp;IF(AM177="","",IF(AM177="메뉴","","("&amp;AM177&amp;")"))&amp;F177</f>
        <v xml:space="preserve">        └ (선택)요청자재 발주</v>
      </c>
      <c r="C177" s="27" t="str">
        <f>IF(F177="","","14821")</f>
        <v>14821</v>
      </c>
      <c r="D177" s="121"/>
      <c r="E177" s="27">
        <v>262004</v>
      </c>
      <c r="F177" s="121" t="s">
        <v>3324</v>
      </c>
      <c r="G177" s="121" t="s">
        <v>900</v>
      </c>
      <c r="H177" s="121"/>
      <c r="I177" s="121"/>
      <c r="J177" s="121"/>
      <c r="K177" s="27" t="str">
        <f>IF(O177="","","1")</f>
        <v>1</v>
      </c>
      <c r="L177" s="27" t="str">
        <f>IF(F177="","","1")</f>
        <v>1</v>
      </c>
      <c r="M177" s="27" t="str">
        <f>IF(O177="","0","1")</f>
        <v>1</v>
      </c>
      <c r="N177" s="121" t="s">
        <v>3325</v>
      </c>
      <c r="O177" s="121" t="s">
        <v>3326</v>
      </c>
      <c r="P177" s="27" t="str">
        <f>IF(O177="","0","1")</f>
        <v>1</v>
      </c>
      <c r="Q177" s="27" t="str">
        <f>IF(O177="","0","1")</f>
        <v>1</v>
      </c>
      <c r="R177" s="27" t="str">
        <f>IF(O177="","0","1")</f>
        <v>1</v>
      </c>
      <c r="S177" s="27" t="str">
        <f>IF(O177="","0","1")</f>
        <v>1</v>
      </c>
      <c r="T177" s="27" t="str">
        <f>IF(O177="","0","1")</f>
        <v>1</v>
      </c>
      <c r="U177" s="27" t="str">
        <f>IF(O177="","0","1")</f>
        <v>1</v>
      </c>
      <c r="V177" s="27" t="str">
        <f>IF(O177="","1","1")</f>
        <v>1</v>
      </c>
      <c r="W177" s="27"/>
      <c r="X177" s="27" t="str">
        <f>IF(O177="","","0")</f>
        <v>0</v>
      </c>
      <c r="Y177" s="27" t="str">
        <f>IF(O177="","","0")</f>
        <v>0</v>
      </c>
      <c r="Z177" s="27" t="str">
        <f>IF(O177="","","0")</f>
        <v>0</v>
      </c>
      <c r="AA177" s="121"/>
      <c r="AB177" s="121"/>
      <c r="AC177" s="121"/>
      <c r="AD177" s="121"/>
      <c r="AE177" s="121" t="s">
        <v>51</v>
      </c>
      <c r="AF177" s="121"/>
      <c r="AG177" s="121"/>
      <c r="AH177" s="28" t="s">
        <v>171</v>
      </c>
      <c r="AI177" s="28" t="s">
        <v>113</v>
      </c>
      <c r="AJ177" s="28">
        <v>31000</v>
      </c>
      <c r="AK177" s="28" t="str">
        <f>IF(B177="","","0")</f>
        <v>0</v>
      </c>
      <c r="AL177" s="123" t="str">
        <f t="shared" si="317"/>
        <v>14821/요청자재 발주/custom.kortc.mtrl.po/PurcOrdr2</v>
      </c>
      <c r="AM177" s="28" t="s">
        <v>3350</v>
      </c>
      <c r="AN177" s="28" t="s">
        <v>3245</v>
      </c>
      <c r="AO177" s="28" t="s">
        <v>3245</v>
      </c>
      <c r="AP177" s="28" t="s">
        <v>3245</v>
      </c>
      <c r="AQ177" s="28" t="s">
        <v>3245</v>
      </c>
      <c r="AR177" s="28" t="s">
        <v>3245</v>
      </c>
      <c r="AS177" s="28" t="s">
        <v>3245</v>
      </c>
      <c r="AT177" s="28" t="s">
        <v>3245</v>
      </c>
      <c r="AU177" s="28" t="s">
        <v>3245</v>
      </c>
      <c r="AV177" s="28" t="s">
        <v>3245</v>
      </c>
      <c r="AW177" s="28" t="s">
        <v>3245</v>
      </c>
      <c r="AX177" s="28" t="s">
        <v>3245</v>
      </c>
      <c r="AY177" s="124"/>
      <c r="AZ177" s="138" t="str">
        <f>IF(C177="","","delete from module_mst where pjt_id = '"&amp;C177&amp;"' and menu_id = '"&amp;E177&amp;"';")</f>
        <v>delete from module_mst where pjt_id = '14821' and menu_id = '262004';</v>
      </c>
      <c r="BA177" s="31" t="str">
        <f>IF(C177&lt;&gt;"",CREATE_QUERY($D$1,C$2:AY$2,C177:AY177),"")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'262004', '요청자재 발주', '', '', '', '', '1', '1', '1', 'custom.kortc.mtrl.po', 'PurcOrdr2', '1', '1', '1', '1', '1', '1', '1', '', '0', '0', '0', '', '', '', '', 'N', '', '', '262000', '5', '31000', '0', '14821/요청자재 발주/custom.kortc.mtrl.po/PurcOrdr2', '선택', '');</v>
      </c>
    </row>
    <row r="178" spans="1:53">
      <c r="A178" s="1">
        <v>178</v>
      </c>
      <c r="B178" s="164" t="str">
        <f t="shared" si="280"/>
        <v xml:space="preserve">        └ (공통)구매발주관리</v>
      </c>
      <c r="C178" s="27" t="str">
        <f t="shared" si="199"/>
        <v>14821</v>
      </c>
      <c r="D178" s="121"/>
      <c r="E178" s="27">
        <v>262005</v>
      </c>
      <c r="F178" s="121" t="s">
        <v>138</v>
      </c>
      <c r="G178" s="121" t="s">
        <v>3127</v>
      </c>
      <c r="H178" s="121"/>
      <c r="I178" s="121"/>
      <c r="J178" s="121"/>
      <c r="K178" s="27" t="str">
        <f t="shared" si="268"/>
        <v>1</v>
      </c>
      <c r="L178" s="27" t="str">
        <f t="shared" si="200"/>
        <v>1</v>
      </c>
      <c r="M178" s="27" t="str">
        <f t="shared" si="269"/>
        <v>1</v>
      </c>
      <c r="N178" s="121" t="s">
        <v>318</v>
      </c>
      <c r="O178" s="121" t="s">
        <v>139</v>
      </c>
      <c r="P178" s="27" t="str">
        <f t="shared" si="270"/>
        <v>1</v>
      </c>
      <c r="Q178" s="27" t="str">
        <f t="shared" si="271"/>
        <v>1</v>
      </c>
      <c r="R178" s="27" t="str">
        <f t="shared" si="272"/>
        <v>1</v>
      </c>
      <c r="S178" s="27" t="str">
        <f t="shared" si="273"/>
        <v>1</v>
      </c>
      <c r="T178" s="27" t="str">
        <f t="shared" si="274"/>
        <v>1</v>
      </c>
      <c r="U178" s="27" t="str">
        <f t="shared" si="275"/>
        <v>1</v>
      </c>
      <c r="V178" s="27" t="str">
        <f t="shared" si="276"/>
        <v>1</v>
      </c>
      <c r="W178" s="27"/>
      <c r="X178" s="27" t="str">
        <f t="shared" si="277"/>
        <v>0</v>
      </c>
      <c r="Y178" s="27" t="str">
        <f t="shared" si="278"/>
        <v>0</v>
      </c>
      <c r="Z178" s="27" t="str">
        <f t="shared" si="279"/>
        <v>0</v>
      </c>
      <c r="AA178" s="121"/>
      <c r="AB178" s="121"/>
      <c r="AC178" s="121"/>
      <c r="AD178" s="121"/>
      <c r="AE178" s="121" t="s">
        <v>51</v>
      </c>
      <c r="AF178" s="121"/>
      <c r="AG178" s="121"/>
      <c r="AH178" s="28" t="s">
        <v>171</v>
      </c>
      <c r="AI178" s="28" t="s">
        <v>113</v>
      </c>
      <c r="AJ178" s="28">
        <v>30200</v>
      </c>
      <c r="AK178" s="28" t="str">
        <f t="shared" si="193"/>
        <v>0</v>
      </c>
      <c r="AL178" s="123" t="str">
        <f t="shared" si="140"/>
        <v>14821/구매발주관리/mtrl.po/PurcOrdr</v>
      </c>
      <c r="AM178" s="28" t="s">
        <v>2984</v>
      </c>
      <c r="AN178" s="28"/>
      <c r="AO178" s="28"/>
      <c r="AP178" s="28"/>
      <c r="AQ178" s="28"/>
      <c r="AR178" s="28"/>
      <c r="AS178" s="28"/>
      <c r="AT178" s="28" t="s">
        <v>1829</v>
      </c>
      <c r="AU178" s="28"/>
      <c r="AV178" s="28"/>
      <c r="AW178" s="28"/>
      <c r="AX178" s="28"/>
      <c r="AY178" s="124"/>
      <c r="AZ178" s="138" t="str">
        <f>IF(C178="","","delete from module_mst where pjt_id = '"&amp;C178&amp;"' and menu_id = '"&amp;E178&amp;"';")</f>
        <v>delete from module_mst where pjt_id = '14821' and menu_id = '262005';</v>
      </c>
      <c r="BA178" s="31" t="str">
        <f>IF(C178&lt;&gt;"",CREATE_QUERY($D$1,C$2:AY$2,C178:AY178),"")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'262005', '구매발주관리', 'Purchase order management', '', '', '', '1', '1', '1', 'mtrl.po', 'PurcOrdr', '1', '1', '1', '1', '1', '1', '1', '', '0', '0', '0', '', '', '', '', 'N', '', '', '262000', '5', '30200', '0', '14821/구매발주관리/mtrl.po/PurcOrdr', '공통', '');</v>
      </c>
    </row>
    <row r="179" spans="1:53">
      <c r="A179" s="1">
        <v>179</v>
      </c>
      <c r="B179" s="164" t="str">
        <f>IF(F179="","",IF(AI179="1","",IF(AI179="2","└ ",IF(AI179="3","  └ ",IF(AI179="4","    └ ",IF(AI179="5","        └ ",IF(AI179="6","         └ ",IF(AI179="7"="            └ ",""))))))))&amp;IF(AM179="","",IF(AM179="메뉴","","("&amp;AM179&amp;")"))&amp;F179</f>
        <v xml:space="preserve">        └ (선택)구매발주관리</v>
      </c>
      <c r="C179" s="27" t="str">
        <f>IF(F179="","","14821")</f>
        <v>14821</v>
      </c>
      <c r="D179" s="121"/>
      <c r="E179" s="27">
        <v>262006</v>
      </c>
      <c r="F179" s="121" t="s">
        <v>138</v>
      </c>
      <c r="G179" s="121" t="s">
        <v>3112</v>
      </c>
      <c r="H179" s="121"/>
      <c r="I179" s="121"/>
      <c r="J179" s="121"/>
      <c r="K179" s="27" t="str">
        <f>IF(O179="","","1")</f>
        <v>1</v>
      </c>
      <c r="L179" s="27" t="str">
        <f>IF(F179="","","1")</f>
        <v>1</v>
      </c>
      <c r="M179" s="27" t="str">
        <f>IF(O179="","0","1")</f>
        <v>1</v>
      </c>
      <c r="N179" s="121" t="s">
        <v>345</v>
      </c>
      <c r="O179" s="121" t="s">
        <v>348</v>
      </c>
      <c r="P179" s="27" t="str">
        <f>IF(O179="","0","1")</f>
        <v>1</v>
      </c>
      <c r="Q179" s="27" t="str">
        <f>IF(O179="","0","1")</f>
        <v>1</v>
      </c>
      <c r="R179" s="27" t="str">
        <f>IF(O179="","0","1")</f>
        <v>1</v>
      </c>
      <c r="S179" s="27" t="str">
        <f>IF(O179="","0","1")</f>
        <v>1</v>
      </c>
      <c r="T179" s="27" t="str">
        <f>IF(O179="","0","1")</f>
        <v>1</v>
      </c>
      <c r="U179" s="27" t="str">
        <f>IF(O179="","0","1")</f>
        <v>1</v>
      </c>
      <c r="V179" s="27" t="str">
        <f>IF(O179="","1","1")</f>
        <v>1</v>
      </c>
      <c r="W179" s="27"/>
      <c r="X179" s="27" t="str">
        <f>IF(O179="","","0")</f>
        <v>0</v>
      </c>
      <c r="Y179" s="27" t="str">
        <f>IF(O179="","","0")</f>
        <v>0</v>
      </c>
      <c r="Z179" s="27" t="str">
        <f>IF(O179="","","0")</f>
        <v>0</v>
      </c>
      <c r="AA179" s="121"/>
      <c r="AB179" s="121"/>
      <c r="AC179" s="121"/>
      <c r="AD179" s="121"/>
      <c r="AE179" s="121" t="s">
        <v>51</v>
      </c>
      <c r="AF179" s="121"/>
      <c r="AG179" s="121"/>
      <c r="AH179" s="28" t="s">
        <v>171</v>
      </c>
      <c r="AI179" s="28" t="s">
        <v>113</v>
      </c>
      <c r="AJ179" s="28">
        <v>30350</v>
      </c>
      <c r="AK179" s="28" t="str">
        <f>IF(B179="","","0")</f>
        <v>0</v>
      </c>
      <c r="AL179" s="123" t="str">
        <f>IF(C179="","",C179&amp;"/"&amp;F179&amp;"/"&amp;N179&amp;"/"&amp;O179)</f>
        <v>14821/구매발주관리/mtrl.project/PrjtPurcOrder</v>
      </c>
      <c r="AM179" s="28" t="s">
        <v>3350</v>
      </c>
      <c r="AN179" s="28"/>
      <c r="AO179" s="28" t="s">
        <v>1829</v>
      </c>
      <c r="AP179" s="28"/>
      <c r="AQ179" s="28"/>
      <c r="AR179" s="28"/>
      <c r="AS179" s="28"/>
      <c r="AT179" s="28"/>
      <c r="AU179" s="28"/>
      <c r="AV179" s="28"/>
      <c r="AW179" s="28"/>
      <c r="AX179" s="28"/>
      <c r="AY179" s="124"/>
      <c r="AZ179" s="138" t="str">
        <f>IF(C179="","","delete from module_mst where pjt_id = '"&amp;C179&amp;"' and menu_id = '"&amp;E179&amp;"';")</f>
        <v>delete from module_mst where pjt_id = '14821' and menu_id = '262006';</v>
      </c>
      <c r="BA179" s="31" t="str">
        <f>IF(C179&lt;&gt;"",CREATE_QUERY($D$1,C$2:AY$2,C179:AY179),"")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'262006', '구매발주관리', 'Order management', '', '', '', '1', '1', '1', 'mtrl.project', 'PrjtPurcOrder', '1', '1', '1', '1', '1', '1', '1', '', '0', '0', '0', '', '', '', '', 'N', '', '', '262000', '5', '30350', '0', '14821/구매발주관리/mtrl.project/PrjtPurcOrder', '선택', '');</v>
      </c>
    </row>
    <row r="180" spans="1:53">
      <c r="A180" s="1">
        <v>180</v>
      </c>
      <c r="B180" s="164" t="str">
        <f>IF(F180="","",IF(AI180="1","",IF(AI180="2","└ ",IF(AI180="3","  └ ",IF(AI180="4","    └ ",IF(AI180="5","        └ ",IF(AI180="6","         └ ",IF(AI180="7"="            └ ",""))))))))&amp;IF(AM180="","",IF(AM180="메뉴","","("&amp;AM180&amp;")"))&amp;F180</f>
        <v xml:space="preserve">        └ (선택)구매발주관리</v>
      </c>
      <c r="C180" s="27" t="str">
        <f>IF(F180="","","14821")</f>
        <v>14821</v>
      </c>
      <c r="D180" s="121"/>
      <c r="E180" s="27">
        <v>262007</v>
      </c>
      <c r="F180" s="121" t="s">
        <v>138</v>
      </c>
      <c r="G180" s="121" t="s">
        <v>900</v>
      </c>
      <c r="H180" s="121"/>
      <c r="I180" s="121"/>
      <c r="J180" s="121"/>
      <c r="K180" s="27" t="str">
        <f>IF(O180="","","1")</f>
        <v>1</v>
      </c>
      <c r="L180" s="27" t="str">
        <f>IF(F180="","","1")</f>
        <v>1</v>
      </c>
      <c r="M180" s="27" t="str">
        <f>IF(O180="","0","1")</f>
        <v>1</v>
      </c>
      <c r="N180" s="121" t="s">
        <v>3247</v>
      </c>
      <c r="O180" s="121" t="s">
        <v>139</v>
      </c>
      <c r="P180" s="27" t="str">
        <f>IF(O180="","0","1")</f>
        <v>1</v>
      </c>
      <c r="Q180" s="27" t="str">
        <f>IF(O180="","0","1")</f>
        <v>1</v>
      </c>
      <c r="R180" s="27" t="str">
        <f>IF(O180="","0","1")</f>
        <v>1</v>
      </c>
      <c r="S180" s="27" t="str">
        <f>IF(O180="","0","1")</f>
        <v>1</v>
      </c>
      <c r="T180" s="27" t="str">
        <f>IF(O180="","0","1")</f>
        <v>1</v>
      </c>
      <c r="U180" s="27" t="str">
        <f>IF(O180="","0","1")</f>
        <v>1</v>
      </c>
      <c r="V180" s="27" t="str">
        <f>IF(O180="","1","1")</f>
        <v>1</v>
      </c>
      <c r="W180" s="27"/>
      <c r="X180" s="27" t="str">
        <f>IF(O180="","","0")</f>
        <v>0</v>
      </c>
      <c r="Y180" s="27" t="str">
        <f>IF(O180="","","0")</f>
        <v>0</v>
      </c>
      <c r="Z180" s="27" t="str">
        <f>IF(O180="","","0")</f>
        <v>0</v>
      </c>
      <c r="AA180" s="121"/>
      <c r="AB180" s="121"/>
      <c r="AC180" s="121"/>
      <c r="AD180" s="121"/>
      <c r="AE180" s="121" t="s">
        <v>51</v>
      </c>
      <c r="AF180" s="121"/>
      <c r="AG180" s="121"/>
      <c r="AH180" s="28" t="s">
        <v>171</v>
      </c>
      <c r="AI180" s="28" t="s">
        <v>113</v>
      </c>
      <c r="AJ180" s="28">
        <v>40</v>
      </c>
      <c r="AK180" s="28" t="str">
        <f>IF(B180="","","0")</f>
        <v>0</v>
      </c>
      <c r="AL180" s="123" t="str">
        <f>IF(C180="","",C180&amp;"/"&amp;F180&amp;"/"&amp;N180&amp;"/"&amp;O180)</f>
        <v>14821/구매발주관리/custom.hjsys.mtrl.po/PurcOrdr</v>
      </c>
      <c r="AM180" s="28" t="s">
        <v>3350</v>
      </c>
      <c r="AN180" s="28"/>
      <c r="AO180" s="28"/>
      <c r="AP180" s="28"/>
      <c r="AQ180" s="28"/>
      <c r="AR180" s="28"/>
      <c r="AS180" s="28"/>
      <c r="AT180" s="28"/>
      <c r="AU180" s="28"/>
      <c r="AV180" s="28"/>
      <c r="AW180" s="28"/>
      <c r="AX180" s="28" t="s">
        <v>1829</v>
      </c>
      <c r="AY180" s="124"/>
      <c r="AZ180" s="138" t="str">
        <f>IF(C180="","","delete from module_mst where pjt_id = '"&amp;C180&amp;"' and menu_id = '"&amp;E180&amp;"';")</f>
        <v>delete from module_mst where pjt_id = '14821' and menu_id = '262007';</v>
      </c>
      <c r="BA180" s="31" t="str">
        <f>IF(C180&lt;&gt;"",CREATE_QUERY($D$1,C$2:AY$2,C180:AY180),"")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'262007', '구매발주관리', '', '', '', '', '1', '1', '1', 'custom.hjsys.mtrl.po', 'PurcOrdr', '1', '1', '1', '1', '1', '1', '1', '', '0', '0', '0', '', '', '', '', 'N', '', '', '262000', '5', '40', '0', '14821/구매발주관리/custom.hjsys.mtrl.po/PurcOrdr', '선택', '');</v>
      </c>
    </row>
    <row r="181" spans="1:53">
      <c r="A181" s="1">
        <v>181</v>
      </c>
      <c r="B181" s="164" t="str">
        <f>IF(F181="","",IF(AI181="1","",IF(AI181="2","└ ",IF(AI181="3","  └ ",IF(AI181="4","    └ ",IF(AI181="5","        └ ",IF(AI181="6","         └ ",IF(AI181="7"="            └ ",""))))))))&amp;IF(AM181="","",IF(AM181="메뉴","","("&amp;AM181&amp;")"))&amp;F181</f>
        <v xml:space="preserve">        └ (선택)상품 발주관리</v>
      </c>
      <c r="C181" s="27" t="str">
        <f>IF(F181="","","14821")</f>
        <v>14821</v>
      </c>
      <c r="D181" s="121"/>
      <c r="E181" s="27">
        <v>262008</v>
      </c>
      <c r="F181" s="121" t="s">
        <v>2976</v>
      </c>
      <c r="G181" s="121" t="s">
        <v>3226</v>
      </c>
      <c r="H181" s="121"/>
      <c r="I181" s="121"/>
      <c r="J181" s="121"/>
      <c r="K181" s="27" t="str">
        <f>IF(O181="","","1")</f>
        <v>1</v>
      </c>
      <c r="L181" s="27" t="str">
        <f>IF(F181="","","1")</f>
        <v>1</v>
      </c>
      <c r="M181" s="27" t="str">
        <f>IF(O181="","0","1")</f>
        <v>1</v>
      </c>
      <c r="N181" s="121" t="s">
        <v>2975</v>
      </c>
      <c r="O181" s="121" t="s">
        <v>2977</v>
      </c>
      <c r="P181" s="27" t="str">
        <f>IF(O181="","0","1")</f>
        <v>1</v>
      </c>
      <c r="Q181" s="27" t="str">
        <f>IF(O181="","0","1")</f>
        <v>1</v>
      </c>
      <c r="R181" s="27" t="str">
        <f>IF(O181="","0","1")</f>
        <v>1</v>
      </c>
      <c r="S181" s="27" t="str">
        <f>IF(O181="","0","1")</f>
        <v>1</v>
      </c>
      <c r="T181" s="27" t="str">
        <f>IF(O181="","0","1")</f>
        <v>1</v>
      </c>
      <c r="U181" s="27" t="str">
        <f>IF(O181="","0","1")</f>
        <v>1</v>
      </c>
      <c r="V181" s="27" t="str">
        <f>IF(O181="","1","1")</f>
        <v>1</v>
      </c>
      <c r="W181" s="27"/>
      <c r="X181" s="27" t="str">
        <f>IF(O181="","","0")</f>
        <v>0</v>
      </c>
      <c r="Y181" s="27" t="str">
        <f>IF(O181="","","0")</f>
        <v>0</v>
      </c>
      <c r="Z181" s="27" t="str">
        <f>IF(O181="","","0")</f>
        <v>0</v>
      </c>
      <c r="AA181" s="121"/>
      <c r="AB181" s="121"/>
      <c r="AC181" s="121"/>
      <c r="AD181" s="121"/>
      <c r="AE181" s="121" t="s">
        <v>51</v>
      </c>
      <c r="AF181" s="121"/>
      <c r="AG181" s="121"/>
      <c r="AH181" s="28" t="s">
        <v>171</v>
      </c>
      <c r="AI181" s="28" t="s">
        <v>113</v>
      </c>
      <c r="AJ181" s="28">
        <v>30</v>
      </c>
      <c r="AK181" s="28" t="str">
        <f>IF(B181="","","0")</f>
        <v>0</v>
      </c>
      <c r="AL181" s="123" t="str">
        <f>IF(C181="","",C181&amp;"/"&amp;F181&amp;"/"&amp;N181&amp;"/"&amp;O181)</f>
        <v>14821/상품 발주관리/custom.iypkg.mtrl.po/PurcOrdr3</v>
      </c>
      <c r="AM181" s="28" t="s">
        <v>3350</v>
      </c>
      <c r="AN181" s="28"/>
      <c r="AO181" s="28"/>
      <c r="AP181" s="28"/>
      <c r="AQ181" s="28"/>
      <c r="AR181" s="28"/>
      <c r="AS181" s="28"/>
      <c r="AT181" s="28"/>
      <c r="AU181" s="28"/>
      <c r="AV181" s="28"/>
      <c r="AW181" s="28" t="s">
        <v>1829</v>
      </c>
      <c r="AX181" s="28"/>
      <c r="AY181" s="124"/>
      <c r="AZ181" s="138" t="str">
        <f>IF(C181="","","delete from module_mst where pjt_id = '"&amp;C181&amp;"' and menu_id = '"&amp;E181&amp;"';")</f>
        <v>delete from module_mst where pjt_id = '14821' and menu_id = '262008';</v>
      </c>
      <c r="BA181" s="31" t="str">
        <f>IF(C181&lt;&gt;"",CREATE_QUERY($D$1,C$2:AY$2,C181:AY181),"")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'262008', '상품 발주관리', 'Goods order management', '', '', '', '1', '1', '1', 'custom.iypkg.mtrl.po', 'PurcOrdr3', '1', '1', '1', '1', '1', '1', '1', '', '0', '0', '0', '', '', '', '', 'N', '', '', '262000', '5', '30', '0', '14821/상품 발주관리/custom.iypkg.mtrl.po/PurcOrdr3', '선택', '');</v>
      </c>
    </row>
    <row r="182" spans="1:53">
      <c r="A182" s="1">
        <v>182</v>
      </c>
      <c r="B182" s="164" t="str">
        <f t="shared" si="280"/>
        <v/>
      </c>
      <c r="C182" s="27" t="str">
        <f t="shared" ref="C182:C272" si="318">IF(F182="","","14821")</f>
        <v/>
      </c>
      <c r="D182" s="121"/>
      <c r="E182" s="27">
        <v>262009</v>
      </c>
      <c r="F182" s="121"/>
      <c r="G182" s="121" t="s">
        <v>900</v>
      </c>
      <c r="H182" s="121"/>
      <c r="I182" s="121"/>
      <c r="J182" s="121"/>
      <c r="K182" s="27" t="str">
        <f t="shared" si="268"/>
        <v/>
      </c>
      <c r="L182" s="27" t="str">
        <f t="shared" ref="L182:L272" si="319">IF(F182="","","1")</f>
        <v/>
      </c>
      <c r="M182" s="27" t="str">
        <f t="shared" si="269"/>
        <v>0</v>
      </c>
      <c r="N182" s="121"/>
      <c r="O182" s="121"/>
      <c r="P182" s="27" t="str">
        <f t="shared" si="270"/>
        <v>0</v>
      </c>
      <c r="Q182" s="27" t="str">
        <f t="shared" si="271"/>
        <v>0</v>
      </c>
      <c r="R182" s="27" t="str">
        <f t="shared" si="272"/>
        <v>0</v>
      </c>
      <c r="S182" s="27" t="str">
        <f t="shared" si="273"/>
        <v>0</v>
      </c>
      <c r="T182" s="27" t="str">
        <f t="shared" si="274"/>
        <v>0</v>
      </c>
      <c r="U182" s="27" t="str">
        <f t="shared" si="275"/>
        <v>0</v>
      </c>
      <c r="V182" s="27" t="str">
        <f t="shared" si="276"/>
        <v>1</v>
      </c>
      <c r="W182" s="27"/>
      <c r="X182" s="27" t="str">
        <f t="shared" si="277"/>
        <v/>
      </c>
      <c r="Y182" s="27" t="str">
        <f t="shared" si="278"/>
        <v/>
      </c>
      <c r="Z182" s="27" t="str">
        <f t="shared" si="279"/>
        <v/>
      </c>
      <c r="AA182" s="121"/>
      <c r="AB182" s="121"/>
      <c r="AC182" s="121"/>
      <c r="AD182" s="121"/>
      <c r="AE182" s="121" t="s">
        <v>51</v>
      </c>
      <c r="AF182" s="121"/>
      <c r="AG182" s="121"/>
      <c r="AH182" s="28" t="s">
        <v>171</v>
      </c>
      <c r="AI182" s="28" t="s">
        <v>113</v>
      </c>
      <c r="AJ182" s="28">
        <v>31050</v>
      </c>
      <c r="AK182" s="28" t="str">
        <f t="shared" ref="AK182:AK272" si="320">IF(B182="","","0")</f>
        <v/>
      </c>
      <c r="AL182" s="123" t="str">
        <f t="shared" ref="AL182:AL187" si="321">IF(C182="","",C182&amp;"/"&amp;F182&amp;"/"&amp;N182&amp;"/"&amp;O182)</f>
        <v/>
      </c>
      <c r="AM182" s="28"/>
      <c r="AN182" s="28" t="s">
        <v>3245</v>
      </c>
      <c r="AO182" s="28" t="s">
        <v>3245</v>
      </c>
      <c r="AP182" s="28" t="s">
        <v>3245</v>
      </c>
      <c r="AQ182" s="28" t="s">
        <v>3245</v>
      </c>
      <c r="AR182" s="28" t="s">
        <v>3245</v>
      </c>
      <c r="AS182" s="28" t="s">
        <v>3245</v>
      </c>
      <c r="AT182" s="28" t="s">
        <v>3245</v>
      </c>
      <c r="AU182" s="28" t="s">
        <v>3245</v>
      </c>
      <c r="AV182" s="28" t="s">
        <v>3245</v>
      </c>
      <c r="AW182" s="28" t="s">
        <v>3245</v>
      </c>
      <c r="AX182" s="28" t="s">
        <v>3245</v>
      </c>
      <c r="AY182" s="124"/>
      <c r="AZ182" s="138" t="str">
        <f>IF(C182="","","delete from module_mst where pjt_id = '"&amp;C182&amp;"' and menu_id = '"&amp;E182&amp;"';")</f>
        <v/>
      </c>
      <c r="BA182" s="31" t="str">
        <f>IF(C182&lt;&gt;"",CREATE_QUERY($D$1,C$2:AY$2,C182:AY182),"")</f>
        <v/>
      </c>
    </row>
    <row r="183" spans="1:53">
      <c r="A183" s="1">
        <v>183</v>
      </c>
      <c r="B183" s="164" t="str">
        <f t="shared" ref="B183:B187" si="322">IF(F183="","",IF(AI183="1","",IF(AI183="2","└ ",IF(AI183="3","  └ ",IF(AI183="4","    └ ",IF(AI183="5","        └ ",IF(AI183="6","         └ ",IF(AI183="7"="            └ ",""))))))))&amp;IF(AM183="","",IF(AM183="메뉴","","("&amp;AM183&amp;")"))&amp;F183</f>
        <v/>
      </c>
      <c r="C183" s="27" t="str">
        <f t="shared" si="318"/>
        <v/>
      </c>
      <c r="D183" s="121"/>
      <c r="E183" s="27">
        <v>262010</v>
      </c>
      <c r="F183" s="121"/>
      <c r="G183" s="121" t="s">
        <v>900</v>
      </c>
      <c r="H183" s="121"/>
      <c r="I183" s="121"/>
      <c r="J183" s="121"/>
      <c r="K183" s="27" t="str">
        <f t="shared" si="268"/>
        <v/>
      </c>
      <c r="L183" s="27" t="str">
        <f t="shared" si="319"/>
        <v/>
      </c>
      <c r="M183" s="27" t="str">
        <f t="shared" si="269"/>
        <v>0</v>
      </c>
      <c r="N183" s="121"/>
      <c r="O183" s="121"/>
      <c r="P183" s="27" t="str">
        <f t="shared" ref="P183:P187" si="323">IF(O183="","0","1")</f>
        <v>0</v>
      </c>
      <c r="Q183" s="27" t="str">
        <f t="shared" ref="Q183:Q187" si="324">IF(O183="","0","1")</f>
        <v>0</v>
      </c>
      <c r="R183" s="27" t="str">
        <f t="shared" ref="R183:R187" si="325">IF(O183="","0","1")</f>
        <v>0</v>
      </c>
      <c r="S183" s="27" t="str">
        <f t="shared" ref="S183:S187" si="326">IF(O183="","0","1")</f>
        <v>0</v>
      </c>
      <c r="T183" s="27" t="str">
        <f t="shared" ref="T183:T187" si="327">IF(O183="","0","1")</f>
        <v>0</v>
      </c>
      <c r="U183" s="27" t="str">
        <f t="shared" ref="U183:U187" si="328">IF(O183="","0","1")</f>
        <v>0</v>
      </c>
      <c r="V183" s="27" t="str">
        <f t="shared" ref="V183:V187" si="329">IF(O183="","1","1")</f>
        <v>1</v>
      </c>
      <c r="W183" s="27"/>
      <c r="X183" s="27" t="str">
        <f t="shared" ref="X183:X187" si="330">IF(O183="","","0")</f>
        <v/>
      </c>
      <c r="Y183" s="27" t="str">
        <f t="shared" ref="Y183:Y187" si="331">IF(O183="","","0")</f>
        <v/>
      </c>
      <c r="Z183" s="27" t="str">
        <f t="shared" ref="Z183:Z187" si="332">IF(O183="","","0")</f>
        <v/>
      </c>
      <c r="AA183" s="121"/>
      <c r="AB183" s="121"/>
      <c r="AC183" s="121"/>
      <c r="AD183" s="121"/>
      <c r="AE183" s="121" t="s">
        <v>51</v>
      </c>
      <c r="AF183" s="121"/>
      <c r="AG183" s="121"/>
      <c r="AH183" s="28" t="s">
        <v>171</v>
      </c>
      <c r="AI183" s="28" t="s">
        <v>113</v>
      </c>
      <c r="AJ183" s="28">
        <v>31100</v>
      </c>
      <c r="AK183" s="28" t="str">
        <f t="shared" si="320"/>
        <v/>
      </c>
      <c r="AL183" s="123" t="str">
        <f t="shared" si="321"/>
        <v/>
      </c>
      <c r="AM183" s="28"/>
      <c r="AN183" s="28" t="s">
        <v>3245</v>
      </c>
      <c r="AO183" s="28" t="s">
        <v>3245</v>
      </c>
      <c r="AP183" s="28" t="s">
        <v>3245</v>
      </c>
      <c r="AQ183" s="28" t="s">
        <v>3245</v>
      </c>
      <c r="AR183" s="28" t="s">
        <v>3245</v>
      </c>
      <c r="AS183" s="28" t="s">
        <v>3245</v>
      </c>
      <c r="AT183" s="28" t="s">
        <v>3245</v>
      </c>
      <c r="AU183" s="28" t="s">
        <v>3245</v>
      </c>
      <c r="AV183" s="28" t="s">
        <v>3245</v>
      </c>
      <c r="AW183" s="28" t="s">
        <v>3245</v>
      </c>
      <c r="AX183" s="28" t="s">
        <v>3245</v>
      </c>
      <c r="AY183" s="124"/>
      <c r="AZ183" s="138" t="str">
        <f>IF(C183="","","delete from module_mst where pjt_id = '"&amp;C183&amp;"' and menu_id = '"&amp;E183&amp;"';")</f>
        <v/>
      </c>
      <c r="BA183" s="31" t="str">
        <f>IF(C183&lt;&gt;"",CREATE_QUERY($D$1,C$2:AY$2,C183:AY183),"")</f>
        <v/>
      </c>
    </row>
    <row r="184" spans="1:53">
      <c r="A184" s="1">
        <v>184</v>
      </c>
      <c r="B184" s="164" t="str">
        <f t="shared" si="322"/>
        <v/>
      </c>
      <c r="C184" s="27" t="str">
        <f t="shared" si="318"/>
        <v/>
      </c>
      <c r="D184" s="121"/>
      <c r="E184" s="27">
        <v>262011</v>
      </c>
      <c r="F184" s="121"/>
      <c r="G184" s="121" t="s">
        <v>900</v>
      </c>
      <c r="H184" s="121"/>
      <c r="I184" s="121"/>
      <c r="J184" s="121"/>
      <c r="K184" s="27" t="str">
        <f t="shared" si="268"/>
        <v/>
      </c>
      <c r="L184" s="27" t="str">
        <f t="shared" si="319"/>
        <v/>
      </c>
      <c r="M184" s="27" t="str">
        <f t="shared" si="269"/>
        <v>0</v>
      </c>
      <c r="N184" s="121"/>
      <c r="O184" s="121"/>
      <c r="P184" s="27" t="str">
        <f t="shared" si="323"/>
        <v>0</v>
      </c>
      <c r="Q184" s="27" t="str">
        <f t="shared" si="324"/>
        <v>0</v>
      </c>
      <c r="R184" s="27" t="str">
        <f t="shared" si="325"/>
        <v>0</v>
      </c>
      <c r="S184" s="27" t="str">
        <f t="shared" si="326"/>
        <v>0</v>
      </c>
      <c r="T184" s="27" t="str">
        <f t="shared" si="327"/>
        <v>0</v>
      </c>
      <c r="U184" s="27" t="str">
        <f t="shared" si="328"/>
        <v>0</v>
      </c>
      <c r="V184" s="27" t="str">
        <f t="shared" si="329"/>
        <v>1</v>
      </c>
      <c r="W184" s="27"/>
      <c r="X184" s="27" t="str">
        <f t="shared" si="330"/>
        <v/>
      </c>
      <c r="Y184" s="27" t="str">
        <f t="shared" si="331"/>
        <v/>
      </c>
      <c r="Z184" s="27" t="str">
        <f t="shared" si="332"/>
        <v/>
      </c>
      <c r="AA184" s="121"/>
      <c r="AB184" s="121"/>
      <c r="AC184" s="121"/>
      <c r="AD184" s="121"/>
      <c r="AE184" s="121" t="s">
        <v>51</v>
      </c>
      <c r="AF184" s="121"/>
      <c r="AG184" s="121"/>
      <c r="AH184" s="28" t="s">
        <v>171</v>
      </c>
      <c r="AI184" s="28" t="s">
        <v>113</v>
      </c>
      <c r="AJ184" s="28">
        <v>31150</v>
      </c>
      <c r="AK184" s="28" t="str">
        <f t="shared" si="320"/>
        <v/>
      </c>
      <c r="AL184" s="123" t="str">
        <f t="shared" si="321"/>
        <v/>
      </c>
      <c r="AM184" s="28"/>
      <c r="AN184" s="28" t="s">
        <v>3245</v>
      </c>
      <c r="AO184" s="28" t="s">
        <v>3245</v>
      </c>
      <c r="AP184" s="28" t="s">
        <v>3245</v>
      </c>
      <c r="AQ184" s="28" t="s">
        <v>3245</v>
      </c>
      <c r="AR184" s="28" t="s">
        <v>3245</v>
      </c>
      <c r="AS184" s="28" t="s">
        <v>3245</v>
      </c>
      <c r="AT184" s="28" t="s">
        <v>3245</v>
      </c>
      <c r="AU184" s="28" t="s">
        <v>3245</v>
      </c>
      <c r="AV184" s="28" t="s">
        <v>3245</v>
      </c>
      <c r="AW184" s="28" t="s">
        <v>3245</v>
      </c>
      <c r="AX184" s="28" t="s">
        <v>3245</v>
      </c>
      <c r="AY184" s="124"/>
      <c r="AZ184" s="138" t="str">
        <f>IF(C184="","","delete from module_mst where pjt_id = '"&amp;C184&amp;"' and menu_id = '"&amp;E184&amp;"';")</f>
        <v/>
      </c>
      <c r="BA184" s="31" t="str">
        <f>IF(C184&lt;&gt;"",CREATE_QUERY($D$1,C$2:AY$2,C184:AY184),"")</f>
        <v/>
      </c>
    </row>
    <row r="185" spans="1:53">
      <c r="A185" s="1">
        <v>185</v>
      </c>
      <c r="B185" s="164" t="str">
        <f t="shared" si="322"/>
        <v/>
      </c>
      <c r="C185" s="27" t="str">
        <f t="shared" si="318"/>
        <v/>
      </c>
      <c r="D185" s="121"/>
      <c r="E185" s="27">
        <v>262012</v>
      </c>
      <c r="F185" s="121"/>
      <c r="G185" s="121" t="s">
        <v>900</v>
      </c>
      <c r="H185" s="121"/>
      <c r="I185" s="121"/>
      <c r="J185" s="121"/>
      <c r="K185" s="27" t="str">
        <f t="shared" si="268"/>
        <v/>
      </c>
      <c r="L185" s="27" t="str">
        <f t="shared" si="319"/>
        <v/>
      </c>
      <c r="M185" s="27" t="str">
        <f t="shared" si="269"/>
        <v>0</v>
      </c>
      <c r="N185" s="121"/>
      <c r="O185" s="121"/>
      <c r="P185" s="27" t="str">
        <f t="shared" si="323"/>
        <v>0</v>
      </c>
      <c r="Q185" s="27" t="str">
        <f t="shared" si="324"/>
        <v>0</v>
      </c>
      <c r="R185" s="27" t="str">
        <f t="shared" si="325"/>
        <v>0</v>
      </c>
      <c r="S185" s="27" t="str">
        <f t="shared" si="326"/>
        <v>0</v>
      </c>
      <c r="T185" s="27" t="str">
        <f t="shared" si="327"/>
        <v>0</v>
      </c>
      <c r="U185" s="27" t="str">
        <f t="shared" si="328"/>
        <v>0</v>
      </c>
      <c r="V185" s="27" t="str">
        <f t="shared" si="329"/>
        <v>1</v>
      </c>
      <c r="W185" s="27"/>
      <c r="X185" s="27" t="str">
        <f t="shared" si="330"/>
        <v/>
      </c>
      <c r="Y185" s="27" t="str">
        <f t="shared" si="331"/>
        <v/>
      </c>
      <c r="Z185" s="27" t="str">
        <f t="shared" si="332"/>
        <v/>
      </c>
      <c r="AA185" s="121"/>
      <c r="AB185" s="121"/>
      <c r="AC185" s="121"/>
      <c r="AD185" s="121"/>
      <c r="AE185" s="121" t="s">
        <v>51</v>
      </c>
      <c r="AF185" s="121"/>
      <c r="AG185" s="121"/>
      <c r="AH185" s="28" t="s">
        <v>171</v>
      </c>
      <c r="AI185" s="28" t="s">
        <v>113</v>
      </c>
      <c r="AJ185" s="28">
        <v>31200</v>
      </c>
      <c r="AK185" s="28" t="str">
        <f t="shared" si="320"/>
        <v/>
      </c>
      <c r="AL185" s="123" t="str">
        <f t="shared" si="321"/>
        <v/>
      </c>
      <c r="AM185" s="28"/>
      <c r="AN185" s="28" t="s">
        <v>3245</v>
      </c>
      <c r="AO185" s="28" t="s">
        <v>3245</v>
      </c>
      <c r="AP185" s="28" t="s">
        <v>3245</v>
      </c>
      <c r="AQ185" s="28" t="s">
        <v>3245</v>
      </c>
      <c r="AR185" s="28" t="s">
        <v>3245</v>
      </c>
      <c r="AS185" s="28" t="s">
        <v>3245</v>
      </c>
      <c r="AT185" s="28" t="s">
        <v>3245</v>
      </c>
      <c r="AU185" s="28" t="s">
        <v>3245</v>
      </c>
      <c r="AV185" s="28" t="s">
        <v>3245</v>
      </c>
      <c r="AW185" s="28" t="s">
        <v>3245</v>
      </c>
      <c r="AX185" s="28" t="s">
        <v>3245</v>
      </c>
      <c r="AY185" s="124"/>
      <c r="AZ185" s="138" t="str">
        <f>IF(C185="","","delete from module_mst where pjt_id = '"&amp;C185&amp;"' and menu_id = '"&amp;E185&amp;"';")</f>
        <v/>
      </c>
      <c r="BA185" s="31" t="str">
        <f>IF(C185&lt;&gt;"",CREATE_QUERY($D$1,C$2:AY$2,C185:AY185),"")</f>
        <v/>
      </c>
    </row>
    <row r="186" spans="1:53">
      <c r="A186" s="1">
        <v>186</v>
      </c>
      <c r="B186" s="164" t="str">
        <f t="shared" si="322"/>
        <v/>
      </c>
      <c r="C186" s="27" t="str">
        <f t="shared" si="318"/>
        <v/>
      </c>
      <c r="D186" s="121"/>
      <c r="E186" s="27">
        <v>262013</v>
      </c>
      <c r="F186" s="121"/>
      <c r="G186" s="121" t="s">
        <v>900</v>
      </c>
      <c r="H186" s="121"/>
      <c r="I186" s="121"/>
      <c r="J186" s="121"/>
      <c r="K186" s="27" t="str">
        <f t="shared" si="268"/>
        <v/>
      </c>
      <c r="L186" s="27" t="str">
        <f t="shared" si="319"/>
        <v/>
      </c>
      <c r="M186" s="27" t="str">
        <f t="shared" si="269"/>
        <v>0</v>
      </c>
      <c r="N186" s="121"/>
      <c r="O186" s="121"/>
      <c r="P186" s="27" t="str">
        <f t="shared" si="323"/>
        <v>0</v>
      </c>
      <c r="Q186" s="27" t="str">
        <f t="shared" si="324"/>
        <v>0</v>
      </c>
      <c r="R186" s="27" t="str">
        <f t="shared" si="325"/>
        <v>0</v>
      </c>
      <c r="S186" s="27" t="str">
        <f t="shared" si="326"/>
        <v>0</v>
      </c>
      <c r="T186" s="27" t="str">
        <f t="shared" si="327"/>
        <v>0</v>
      </c>
      <c r="U186" s="27" t="str">
        <f t="shared" si="328"/>
        <v>0</v>
      </c>
      <c r="V186" s="27" t="str">
        <f t="shared" si="329"/>
        <v>1</v>
      </c>
      <c r="W186" s="27"/>
      <c r="X186" s="27" t="str">
        <f t="shared" si="330"/>
        <v/>
      </c>
      <c r="Y186" s="27" t="str">
        <f t="shared" si="331"/>
        <v/>
      </c>
      <c r="Z186" s="27" t="str">
        <f t="shared" si="332"/>
        <v/>
      </c>
      <c r="AA186" s="121"/>
      <c r="AB186" s="121"/>
      <c r="AC186" s="121"/>
      <c r="AD186" s="121"/>
      <c r="AE186" s="121" t="s">
        <v>51</v>
      </c>
      <c r="AF186" s="121"/>
      <c r="AG186" s="121"/>
      <c r="AH186" s="28" t="s">
        <v>171</v>
      </c>
      <c r="AI186" s="28" t="s">
        <v>113</v>
      </c>
      <c r="AJ186" s="28">
        <v>31250</v>
      </c>
      <c r="AK186" s="28" t="str">
        <f t="shared" si="320"/>
        <v/>
      </c>
      <c r="AL186" s="123" t="str">
        <f t="shared" si="321"/>
        <v/>
      </c>
      <c r="AM186" s="28"/>
      <c r="AN186" s="28" t="s">
        <v>3245</v>
      </c>
      <c r="AO186" s="28" t="s">
        <v>3245</v>
      </c>
      <c r="AP186" s="28" t="s">
        <v>3245</v>
      </c>
      <c r="AQ186" s="28" t="s">
        <v>3245</v>
      </c>
      <c r="AR186" s="28" t="s">
        <v>3245</v>
      </c>
      <c r="AS186" s="28" t="s">
        <v>3245</v>
      </c>
      <c r="AT186" s="28" t="s">
        <v>3245</v>
      </c>
      <c r="AU186" s="28" t="s">
        <v>3245</v>
      </c>
      <c r="AV186" s="28" t="s">
        <v>3245</v>
      </c>
      <c r="AW186" s="28" t="s">
        <v>3245</v>
      </c>
      <c r="AX186" s="28" t="s">
        <v>3245</v>
      </c>
      <c r="AY186" s="124"/>
      <c r="AZ186" s="138" t="str">
        <f>IF(C186="","","delete from module_mst where pjt_id = '"&amp;C186&amp;"' and menu_id = '"&amp;E186&amp;"';")</f>
        <v/>
      </c>
      <c r="BA186" s="31" t="str">
        <f>IF(C186&lt;&gt;"",CREATE_QUERY($D$1,C$2:AY$2,C186:AY186),"")</f>
        <v/>
      </c>
    </row>
    <row r="187" spans="1:53">
      <c r="A187" s="1">
        <v>187</v>
      </c>
      <c r="B187" s="164" t="str">
        <f t="shared" si="322"/>
        <v/>
      </c>
      <c r="C187" s="27" t="str">
        <f t="shared" si="318"/>
        <v/>
      </c>
      <c r="D187" s="121"/>
      <c r="E187" s="27"/>
      <c r="F187" s="121"/>
      <c r="G187" s="121" t="s">
        <v>900</v>
      </c>
      <c r="H187" s="121"/>
      <c r="I187" s="121"/>
      <c r="J187" s="121"/>
      <c r="K187" s="27" t="str">
        <f t="shared" si="268"/>
        <v/>
      </c>
      <c r="L187" s="27" t="str">
        <f t="shared" si="319"/>
        <v/>
      </c>
      <c r="M187" s="27" t="str">
        <f t="shared" si="269"/>
        <v>0</v>
      </c>
      <c r="N187" s="121"/>
      <c r="O187" s="121"/>
      <c r="P187" s="27" t="str">
        <f t="shared" si="323"/>
        <v>0</v>
      </c>
      <c r="Q187" s="27" t="str">
        <f t="shared" si="324"/>
        <v>0</v>
      </c>
      <c r="R187" s="27" t="str">
        <f t="shared" si="325"/>
        <v>0</v>
      </c>
      <c r="S187" s="27" t="str">
        <f t="shared" si="326"/>
        <v>0</v>
      </c>
      <c r="T187" s="27" t="str">
        <f t="shared" si="327"/>
        <v>0</v>
      </c>
      <c r="U187" s="27" t="str">
        <f t="shared" si="328"/>
        <v>0</v>
      </c>
      <c r="V187" s="27" t="str">
        <f t="shared" si="329"/>
        <v>1</v>
      </c>
      <c r="W187" s="27"/>
      <c r="X187" s="27" t="str">
        <f t="shared" si="330"/>
        <v/>
      </c>
      <c r="Y187" s="27" t="str">
        <f t="shared" si="331"/>
        <v/>
      </c>
      <c r="Z187" s="27" t="str">
        <f t="shared" si="332"/>
        <v/>
      </c>
      <c r="AA187" s="121"/>
      <c r="AB187" s="121"/>
      <c r="AC187" s="121"/>
      <c r="AD187" s="121"/>
      <c r="AE187" s="121" t="s">
        <v>51</v>
      </c>
      <c r="AF187" s="121"/>
      <c r="AG187" s="121"/>
      <c r="AH187" s="28"/>
      <c r="AI187" s="28" t="s">
        <v>113</v>
      </c>
      <c r="AJ187" s="28">
        <v>31300</v>
      </c>
      <c r="AK187" s="28" t="str">
        <f t="shared" si="320"/>
        <v/>
      </c>
      <c r="AL187" s="123" t="str">
        <f t="shared" si="321"/>
        <v/>
      </c>
      <c r="AM187" s="28"/>
      <c r="AN187" s="28" t="s">
        <v>3245</v>
      </c>
      <c r="AO187" s="28" t="s">
        <v>3245</v>
      </c>
      <c r="AP187" s="28" t="s">
        <v>3245</v>
      </c>
      <c r="AQ187" s="28" t="s">
        <v>3245</v>
      </c>
      <c r="AR187" s="28" t="s">
        <v>3245</v>
      </c>
      <c r="AS187" s="28" t="s">
        <v>3245</v>
      </c>
      <c r="AT187" s="28" t="s">
        <v>3245</v>
      </c>
      <c r="AU187" s="28" t="s">
        <v>3245</v>
      </c>
      <c r="AV187" s="28" t="s">
        <v>3245</v>
      </c>
      <c r="AW187" s="28" t="s">
        <v>3245</v>
      </c>
      <c r="AX187" s="28" t="s">
        <v>3245</v>
      </c>
      <c r="AY187" s="124"/>
      <c r="AZ187" s="138" t="str">
        <f>IF(C187="","","delete from module_mst where pjt_id = '"&amp;C187&amp;"' and menu_id = '"&amp;E187&amp;"';")</f>
        <v/>
      </c>
      <c r="BA187" s="31" t="str">
        <f>IF(C187&lt;&gt;"",CREATE_QUERY($D$1,C$2:AY$2,C187:AY187),"")</f>
        <v/>
      </c>
    </row>
    <row r="188" spans="1:53">
      <c r="A188" s="1">
        <v>188</v>
      </c>
      <c r="B188" s="159" t="str">
        <f t="shared" ref="B188:B189" si="333">IF(F188="","",IF(AI188="1","",IF(AI188="2","└ ",IF(AI188="3","  └ ",IF(AI188="4","    └ ",IF(AI188="5","        └ ",IF(AI188="6","         └ ",IF(AI188="7"="            └ ",""))))))))&amp;IF(AM188="","",IF(AM188="메뉴","","("&amp;AM188&amp;")"))&amp;F188</f>
        <v xml:space="preserve">    └ 매입정산</v>
      </c>
      <c r="C188" s="27" t="str">
        <f t="shared" si="318"/>
        <v>14821</v>
      </c>
      <c r="D188" s="121"/>
      <c r="E188" s="21">
        <v>264000</v>
      </c>
      <c r="F188" s="118" t="s">
        <v>3278</v>
      </c>
      <c r="G188" s="118" t="s">
        <v>3131</v>
      </c>
      <c r="H188" s="118"/>
      <c r="I188" s="118"/>
      <c r="J188" s="118"/>
      <c r="K188" s="21" t="str">
        <f t="shared" ref="K188:K278" si="334">IF(O188="","","1")</f>
        <v/>
      </c>
      <c r="L188" s="21" t="str">
        <f t="shared" si="319"/>
        <v>1</v>
      </c>
      <c r="M188" s="21" t="str">
        <f t="shared" ref="M188:M278" si="335">IF(O188="","0","1")</f>
        <v>0</v>
      </c>
      <c r="N188" s="118"/>
      <c r="O188" s="118"/>
      <c r="P188" s="21" t="str">
        <f t="shared" ref="P188:P189" si="336">IF(O188="","0","1")</f>
        <v>0</v>
      </c>
      <c r="Q188" s="21" t="str">
        <f t="shared" ref="Q188:Q189" si="337">IF(O188="","0","1")</f>
        <v>0</v>
      </c>
      <c r="R188" s="21" t="str">
        <f t="shared" ref="R188:R189" si="338">IF(O188="","0","1")</f>
        <v>0</v>
      </c>
      <c r="S188" s="21" t="str">
        <f t="shared" ref="S188:S189" si="339">IF(O188="","0","1")</f>
        <v>0</v>
      </c>
      <c r="T188" s="21" t="str">
        <f t="shared" ref="T188:T189" si="340">IF(O188="","0","1")</f>
        <v>0</v>
      </c>
      <c r="U188" s="21" t="str">
        <f t="shared" ref="U188:U189" si="341">IF(O188="","0","1")</f>
        <v>0</v>
      </c>
      <c r="V188" s="21" t="str">
        <f t="shared" ref="V188:V189" si="342">IF(O188="","1","1")</f>
        <v>1</v>
      </c>
      <c r="W188" s="21"/>
      <c r="X188" s="21" t="str">
        <f t="shared" ref="X188:X189" si="343">IF(O188="","","0")</f>
        <v/>
      </c>
      <c r="Y188" s="21" t="str">
        <f t="shared" ref="Y188:Y189" si="344">IF(O188="","","0")</f>
        <v/>
      </c>
      <c r="Z188" s="21" t="str">
        <f t="shared" ref="Z188:Z189" si="345">IF(O188="","","0")</f>
        <v/>
      </c>
      <c r="AA188" s="118"/>
      <c r="AB188" s="118"/>
      <c r="AC188" s="118"/>
      <c r="AD188" s="118"/>
      <c r="AE188" s="118" t="s">
        <v>51</v>
      </c>
      <c r="AF188" s="118"/>
      <c r="AG188" s="118"/>
      <c r="AH188" s="26" t="s">
        <v>168</v>
      </c>
      <c r="AI188" s="26" t="s">
        <v>112</v>
      </c>
      <c r="AJ188" s="26">
        <v>30700</v>
      </c>
      <c r="AK188" s="26" t="str">
        <f t="shared" si="320"/>
        <v>0</v>
      </c>
      <c r="AL188" s="123" t="str">
        <f t="shared" ref="AL188:AL189" si="346">IF(C188="","",C188&amp;"/"&amp;F188&amp;"/"&amp;N188&amp;"/"&amp;O188)</f>
        <v>14821/매입정산//</v>
      </c>
      <c r="AM188" s="26" t="s">
        <v>2979</v>
      </c>
      <c r="AN188" s="26" t="str">
        <f t="shared" ref="AN188:AX188" si="347">IF(COUNTIF(AN189:AN198,"="&amp;"Y")&gt;0,"Y",IF(COUNTIF(AN189:AN198,"="&amp;"-")&gt;0,"m",""))</f>
        <v/>
      </c>
      <c r="AO188" s="26" t="str">
        <f t="shared" si="347"/>
        <v/>
      </c>
      <c r="AP188" s="26" t="str">
        <f t="shared" si="347"/>
        <v/>
      </c>
      <c r="AQ188" s="26" t="str">
        <f t="shared" si="347"/>
        <v/>
      </c>
      <c r="AR188" s="26" t="str">
        <f t="shared" si="347"/>
        <v/>
      </c>
      <c r="AS188" s="26" t="str">
        <f t="shared" si="347"/>
        <v/>
      </c>
      <c r="AT188" s="26" t="str">
        <f t="shared" si="347"/>
        <v/>
      </c>
      <c r="AU188" s="26" t="str">
        <f t="shared" si="347"/>
        <v/>
      </c>
      <c r="AV188" s="26" t="str">
        <f t="shared" si="347"/>
        <v/>
      </c>
      <c r="AW188" s="26" t="str">
        <f t="shared" si="347"/>
        <v>Y</v>
      </c>
      <c r="AX188" s="26" t="str">
        <f t="shared" si="347"/>
        <v/>
      </c>
      <c r="AY188" s="124"/>
      <c r="AZ188" s="138" t="str">
        <f>IF(C188="","","delete from module_mst where pjt_id = '"&amp;C188&amp;"' and menu_id = '"&amp;E188&amp;"';")</f>
        <v>delete from module_mst where pjt_id = '14821' and menu_id = '264000';</v>
      </c>
      <c r="BA188" s="31" t="str">
        <f>IF(C188&lt;&gt;"",CREATE_QUERY($D$1,C$2:AY$2,C188:AY188),"")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'264000', '매입정산', 'Material receiving management', '', '', '', '', '1', '0', '', '', '0', '0', '0', '0', '0', '0', '1', '', '', '', '', '', '', '', '', 'N', '', '', '260000', '4', '30700', '0', '14821/매입정산//', '메뉴', '');</v>
      </c>
    </row>
    <row r="189" spans="1:53">
      <c r="A189" s="1">
        <v>189</v>
      </c>
      <c r="B189" s="164" t="str">
        <f t="shared" si="333"/>
        <v xml:space="preserve">        └ (공통)매입세금계산서관리</v>
      </c>
      <c r="C189" s="27" t="str">
        <f t="shared" si="318"/>
        <v>14821</v>
      </c>
      <c r="D189" s="121"/>
      <c r="E189" s="27">
        <v>264001</v>
      </c>
      <c r="F189" s="121" t="s">
        <v>3007</v>
      </c>
      <c r="G189" s="121" t="s">
        <v>3228</v>
      </c>
      <c r="H189" s="121"/>
      <c r="I189" s="121"/>
      <c r="J189" s="121"/>
      <c r="K189" s="27" t="str">
        <f t="shared" si="334"/>
        <v>1</v>
      </c>
      <c r="L189" s="27" t="str">
        <f t="shared" si="319"/>
        <v>1</v>
      </c>
      <c r="M189" s="27" t="str">
        <f t="shared" si="335"/>
        <v>1</v>
      </c>
      <c r="N189" s="121" t="s">
        <v>3280</v>
      </c>
      <c r="O189" s="121" t="s">
        <v>3009</v>
      </c>
      <c r="P189" s="27" t="str">
        <f t="shared" si="336"/>
        <v>1</v>
      </c>
      <c r="Q189" s="27" t="str">
        <f t="shared" si="337"/>
        <v>1</v>
      </c>
      <c r="R189" s="27" t="str">
        <f t="shared" si="338"/>
        <v>1</v>
      </c>
      <c r="S189" s="27" t="str">
        <f t="shared" si="339"/>
        <v>1</v>
      </c>
      <c r="T189" s="27" t="str">
        <f t="shared" si="340"/>
        <v>1</v>
      </c>
      <c r="U189" s="27" t="str">
        <f t="shared" si="341"/>
        <v>1</v>
      </c>
      <c r="V189" s="27" t="str">
        <f t="shared" si="342"/>
        <v>1</v>
      </c>
      <c r="W189" s="27"/>
      <c r="X189" s="27" t="str">
        <f t="shared" si="343"/>
        <v>0</v>
      </c>
      <c r="Y189" s="27" t="str">
        <f t="shared" si="344"/>
        <v>0</v>
      </c>
      <c r="Z189" s="27" t="str">
        <f t="shared" si="345"/>
        <v>0</v>
      </c>
      <c r="AA189" s="121"/>
      <c r="AB189" s="121"/>
      <c r="AC189" s="121"/>
      <c r="AD189" s="121"/>
      <c r="AE189" s="121" t="s">
        <v>51</v>
      </c>
      <c r="AF189" s="121"/>
      <c r="AG189" s="121"/>
      <c r="AH189" s="28" t="s">
        <v>3279</v>
      </c>
      <c r="AI189" s="28" t="s">
        <v>113</v>
      </c>
      <c r="AJ189" s="28">
        <v>2</v>
      </c>
      <c r="AK189" s="28" t="str">
        <f t="shared" si="320"/>
        <v>0</v>
      </c>
      <c r="AL189" s="123" t="str">
        <f t="shared" si="346"/>
        <v>14821/매입세금계산서관리/mtrl.isttcalc/PurcBillWork</v>
      </c>
      <c r="AM189" s="28" t="s">
        <v>2984</v>
      </c>
      <c r="AN189" s="28"/>
      <c r="AO189" s="28"/>
      <c r="AP189" s="28"/>
      <c r="AQ189" s="28"/>
      <c r="AR189" s="28"/>
      <c r="AS189" s="28"/>
      <c r="AT189" s="28"/>
      <c r="AU189" s="28"/>
      <c r="AV189" s="28"/>
      <c r="AW189" s="28" t="s">
        <v>1829</v>
      </c>
      <c r="AX189" s="28"/>
      <c r="AY189" s="124"/>
      <c r="AZ189" s="138" t="str">
        <f>IF(C189="","","delete from module_mst where pjt_id = '"&amp;C189&amp;"' and menu_id = '"&amp;E189&amp;"';")</f>
        <v>delete from module_mst where pjt_id = '14821' and menu_id = '264001';</v>
      </c>
      <c r="BA189" s="31" t="str">
        <f>IF(C189&lt;&gt;"",CREATE_QUERY($D$1,C$2:AY$2,C189:AY189),"")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'264001', '매입세금계산서관리', 'Purchase VAT invoice management', '', '', '', '1', '1', '1', 'mtrl.isttcalc', 'PurcBillWork', '1', '1', '1', '1', '1', '1', '1', '', '0', '0', '0', '', '', '', '', 'N', '', '', '264000', '5', '2', '0', '14821/매입세금계산서관리/mtrl.isttcalc/PurcBillWork', '공통', '');</v>
      </c>
    </row>
    <row r="190" spans="1:53">
      <c r="A190" s="1">
        <v>190</v>
      </c>
      <c r="B190" s="164" t="str">
        <f>IF(F190="","",IF(AI190="1","",IF(AI190="2","└ ",IF(AI190="3","  └ ",IF(AI190="4","    └ ",IF(AI190="5","        └ ",IF(AI190="6","         └ ",IF(AI190="7"="            └ ",""))))))))&amp;IF(AM190="","",IF(AM190="메뉴","","("&amp;AM190&amp;")"))&amp;F190</f>
        <v xml:space="preserve">        └ (선택)매입세금계산서관리</v>
      </c>
      <c r="C190" s="27" t="str">
        <f>IF(F190="","","14821")</f>
        <v>14821</v>
      </c>
      <c r="D190" s="121"/>
      <c r="E190" s="27">
        <v>264002</v>
      </c>
      <c r="F190" s="121" t="s">
        <v>3007</v>
      </c>
      <c r="G190" s="121" t="s">
        <v>3228</v>
      </c>
      <c r="H190" s="121"/>
      <c r="I190" s="121"/>
      <c r="J190" s="121"/>
      <c r="K190" s="27" t="str">
        <f>IF(O190="","","1")</f>
        <v>1</v>
      </c>
      <c r="L190" s="27" t="str">
        <f>IF(F190="","","1")</f>
        <v>1</v>
      </c>
      <c r="M190" s="27" t="str">
        <f>IF(O190="","0","1")</f>
        <v>1</v>
      </c>
      <c r="N190" s="121" t="s">
        <v>3008</v>
      </c>
      <c r="O190" s="121" t="s">
        <v>3009</v>
      </c>
      <c r="P190" s="27" t="str">
        <f>IF(O190="","0","1")</f>
        <v>1</v>
      </c>
      <c r="Q190" s="27" t="str">
        <f>IF(O190="","0","1")</f>
        <v>1</v>
      </c>
      <c r="R190" s="27" t="str">
        <f>IF(O190="","0","1")</f>
        <v>1</v>
      </c>
      <c r="S190" s="27" t="str">
        <f>IF(O190="","0","1")</f>
        <v>1</v>
      </c>
      <c r="T190" s="27" t="str">
        <f>IF(O190="","0","1")</f>
        <v>1</v>
      </c>
      <c r="U190" s="27" t="str">
        <f>IF(O190="","0","1")</f>
        <v>1</v>
      </c>
      <c r="V190" s="27" t="str">
        <f>IF(O190="","1","1")</f>
        <v>1</v>
      </c>
      <c r="W190" s="27"/>
      <c r="X190" s="27" t="str">
        <f>IF(O190="","","0")</f>
        <v>0</v>
      </c>
      <c r="Y190" s="27" t="str">
        <f>IF(O190="","","0")</f>
        <v>0</v>
      </c>
      <c r="Z190" s="27" t="str">
        <f>IF(O190="","","0")</f>
        <v>0</v>
      </c>
      <c r="AA190" s="121"/>
      <c r="AB190" s="121"/>
      <c r="AC190" s="121"/>
      <c r="AD190" s="121"/>
      <c r="AE190" s="121" t="s">
        <v>51</v>
      </c>
      <c r="AF190" s="121"/>
      <c r="AG190" s="121"/>
      <c r="AH190" s="28" t="s">
        <v>3279</v>
      </c>
      <c r="AI190" s="28" t="s">
        <v>113</v>
      </c>
      <c r="AJ190" s="28">
        <v>2</v>
      </c>
      <c r="AK190" s="28" t="str">
        <f>IF(B190="","","0")</f>
        <v>0</v>
      </c>
      <c r="AL190" s="123" t="str">
        <f>IF(C190="","",C190&amp;"/"&amp;F190&amp;"/"&amp;N190&amp;"/"&amp;O190)</f>
        <v>14821/매입세금계산서관리/custom.iypkg.mtrl.purc/PurcBillWork</v>
      </c>
      <c r="AM190" s="28" t="s">
        <v>3350</v>
      </c>
      <c r="AN190" s="28"/>
      <c r="AO190" s="28"/>
      <c r="AP190" s="28"/>
      <c r="AQ190" s="28"/>
      <c r="AR190" s="28"/>
      <c r="AS190" s="28"/>
      <c r="AT190" s="28"/>
      <c r="AU190" s="28"/>
      <c r="AV190" s="28"/>
      <c r="AW190" s="28" t="s">
        <v>1829</v>
      </c>
      <c r="AX190" s="28"/>
      <c r="AY190" s="124"/>
      <c r="AZ190" s="138" t="str">
        <f>IF(C190="","","delete from module_mst where pjt_id = '"&amp;C190&amp;"' and menu_id = '"&amp;E190&amp;"';")</f>
        <v>delete from module_mst where pjt_id = '14821' and menu_id = '264002';</v>
      </c>
      <c r="BA190" s="31" t="str">
        <f>IF(C190&lt;&gt;"",CREATE_QUERY($D$1,C$2:AY$2,C190:AY190),"")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'264002', '매입세금계산서관리', 'Purchase VAT invoice management', '', '', '', '1', '1', '1', 'custom.iypkg.mtrl.purc', 'PurcBillWork', '1', '1', '1', '1', '1', '1', '1', '', '0', '0', '0', '', '', '', '', 'N', '', '', '264000', '5', '2', '0', '14821/매입세금계산서관리/custom.iypkg.mtrl.purc/PurcBillWork', '선택', '');</v>
      </c>
    </row>
    <row r="191" spans="1:53">
      <c r="A191" s="1">
        <v>191</v>
      </c>
      <c r="B191" s="164" t="str">
        <f>IF(F191="","",IF(AI191="1","",IF(AI191="2","└ ",IF(AI191="3","  └ ",IF(AI191="4","    └ ",IF(AI191="5","        └ ",IF(AI191="6","         └ ",IF(AI191="7"="            └ ",""))))))))&amp;IF(AM191="","",IF(AM191="메뉴","","("&amp;AM191&amp;")"))&amp;F191</f>
        <v xml:space="preserve">        └ (공통)매입일보</v>
      </c>
      <c r="C191" s="27" t="str">
        <f>IF(F191="","","14821")</f>
        <v>14821</v>
      </c>
      <c r="D191" s="121"/>
      <c r="E191" s="27">
        <v>264003</v>
      </c>
      <c r="F191" s="121" t="s">
        <v>3050</v>
      </c>
      <c r="G191" s="121" t="s">
        <v>3134</v>
      </c>
      <c r="H191" s="121"/>
      <c r="I191" s="121"/>
      <c r="J191" s="121"/>
      <c r="K191" s="27" t="str">
        <f>IF(O191="","","1")</f>
        <v>1</v>
      </c>
      <c r="L191" s="27" t="str">
        <f>IF(F191="","","1")</f>
        <v>1</v>
      </c>
      <c r="M191" s="27" t="str">
        <f>IF(O191="","0","1")</f>
        <v>1</v>
      </c>
      <c r="N191" s="121" t="s">
        <v>3008</v>
      </c>
      <c r="O191" s="121" t="s">
        <v>3051</v>
      </c>
      <c r="P191" s="27" t="str">
        <f>IF(O191="","0","1")</f>
        <v>1</v>
      </c>
      <c r="Q191" s="27" t="str">
        <f>IF(O191="","0","1")</f>
        <v>1</v>
      </c>
      <c r="R191" s="27" t="str">
        <f>IF(O191="","0","1")</f>
        <v>1</v>
      </c>
      <c r="S191" s="27" t="str">
        <f>IF(O191="","0","1")</f>
        <v>1</v>
      </c>
      <c r="T191" s="27" t="str">
        <f>IF(O191="","0","1")</f>
        <v>1</v>
      </c>
      <c r="U191" s="27" t="str">
        <f>IF(O191="","0","1")</f>
        <v>1</v>
      </c>
      <c r="V191" s="27" t="str">
        <f>IF(O191="","1","1")</f>
        <v>1</v>
      </c>
      <c r="W191" s="27"/>
      <c r="X191" s="27" t="str">
        <f>IF(O191="","","0")</f>
        <v>0</v>
      </c>
      <c r="Y191" s="27" t="str">
        <f>IF(O191="","","0")</f>
        <v>0</v>
      </c>
      <c r="Z191" s="27" t="str">
        <f>IF(O191="","","0")</f>
        <v>0</v>
      </c>
      <c r="AA191" s="121"/>
      <c r="AB191" s="121"/>
      <c r="AC191" s="121"/>
      <c r="AD191" s="121"/>
      <c r="AE191" s="121" t="s">
        <v>51</v>
      </c>
      <c r="AF191" s="121"/>
      <c r="AG191" s="121"/>
      <c r="AH191" s="28" t="s">
        <v>3279</v>
      </c>
      <c r="AI191" s="28" t="s">
        <v>113</v>
      </c>
      <c r="AJ191" s="28">
        <v>5</v>
      </c>
      <c r="AK191" s="28" t="str">
        <f>IF(B191="","","0")</f>
        <v>0</v>
      </c>
      <c r="AL191" s="123" t="str">
        <f>IF(C191="","",C191&amp;"/"&amp;F191&amp;"/"&amp;N191&amp;"/"&amp;O191)</f>
        <v>14821/매입일보/custom.iypkg.mtrl.purc/DailyPurcList</v>
      </c>
      <c r="AM191" s="28" t="s">
        <v>2984</v>
      </c>
      <c r="AN191" s="28"/>
      <c r="AO191" s="28"/>
      <c r="AP191" s="28"/>
      <c r="AQ191" s="28"/>
      <c r="AR191" s="28"/>
      <c r="AS191" s="28"/>
      <c r="AT191" s="28"/>
      <c r="AU191" s="28"/>
      <c r="AV191" s="28"/>
      <c r="AW191" s="28" t="s">
        <v>1829</v>
      </c>
      <c r="AX191" s="28"/>
      <c r="AY191" s="124"/>
      <c r="AZ191" s="138" t="str">
        <f>IF(C191="","","delete from module_mst where pjt_id = '"&amp;C191&amp;"' and menu_id = '"&amp;E191&amp;"';")</f>
        <v>delete from module_mst where pjt_id = '14821' and menu_id = '264003';</v>
      </c>
      <c r="BA191" s="31" t="str">
        <f>IF(C191&lt;&gt;"",CREATE_QUERY($D$1,C$2:AY$2,C191:AY191),"")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'264003', '매입일보', 'Purchase Daily', '', '', '', '1', '1', '1', 'custom.iypkg.mtrl.purc', 'DailyPurcList', '1', '1', '1', '1', '1', '1', '1', '', '0', '0', '0', '', '', '', '', 'N', '', '', '264000', '5', '5', '0', '14821/매입일보/custom.iypkg.mtrl.purc/DailyPurcList', '공통', '');</v>
      </c>
    </row>
    <row r="192" spans="1:53">
      <c r="A192" s="1">
        <v>192</v>
      </c>
      <c r="B192" s="164" t="str">
        <f>IF(F192="","",IF(AI192="1","",IF(AI192="2","└ ",IF(AI192="3","  └ ",IF(AI192="4","    └ ",IF(AI192="5","        └ ",IF(AI192="6","         └ ",IF(AI192="7"="            └ ",""))))))))&amp;IF(AM192="","",IF(AM192="메뉴","","("&amp;AM192&amp;")"))&amp;F192</f>
        <v xml:space="preserve">        └ (선택)매입일보</v>
      </c>
      <c r="C192" s="27" t="str">
        <f>IF(F192="","","14821")</f>
        <v>14821</v>
      </c>
      <c r="D192" s="121"/>
      <c r="E192" s="27">
        <v>264004</v>
      </c>
      <c r="F192" s="121" t="s">
        <v>3050</v>
      </c>
      <c r="G192" s="121" t="s">
        <v>3134</v>
      </c>
      <c r="H192" s="121"/>
      <c r="I192" s="121"/>
      <c r="J192" s="121"/>
      <c r="K192" s="27" t="str">
        <f>IF(O192="","","1")</f>
        <v>1</v>
      </c>
      <c r="L192" s="27" t="str">
        <f>IF(F192="","","1")</f>
        <v>1</v>
      </c>
      <c r="M192" s="27" t="str">
        <f>IF(O192="","0","1")</f>
        <v>1</v>
      </c>
      <c r="N192" s="121" t="s">
        <v>3280</v>
      </c>
      <c r="O192" s="121" t="s">
        <v>3051</v>
      </c>
      <c r="P192" s="27" t="str">
        <f>IF(O192="","0","1")</f>
        <v>1</v>
      </c>
      <c r="Q192" s="27" t="str">
        <f>IF(O192="","0","1")</f>
        <v>1</v>
      </c>
      <c r="R192" s="27" t="str">
        <f>IF(O192="","0","1")</f>
        <v>1</v>
      </c>
      <c r="S192" s="27" t="str">
        <f>IF(O192="","0","1")</f>
        <v>1</v>
      </c>
      <c r="T192" s="27" t="str">
        <f>IF(O192="","0","1")</f>
        <v>1</v>
      </c>
      <c r="U192" s="27" t="str">
        <f>IF(O192="","0","1")</f>
        <v>1</v>
      </c>
      <c r="V192" s="27" t="str">
        <f>IF(O192="","1","1")</f>
        <v>1</v>
      </c>
      <c r="W192" s="27"/>
      <c r="X192" s="27" t="str">
        <f>IF(O192="","","0")</f>
        <v>0</v>
      </c>
      <c r="Y192" s="27" t="str">
        <f>IF(O192="","","0")</f>
        <v>0</v>
      </c>
      <c r="Z192" s="27" t="str">
        <f>IF(O192="","","0")</f>
        <v>0</v>
      </c>
      <c r="AA192" s="121"/>
      <c r="AB192" s="121"/>
      <c r="AC192" s="121"/>
      <c r="AD192" s="121"/>
      <c r="AE192" s="121" t="s">
        <v>51</v>
      </c>
      <c r="AF192" s="121"/>
      <c r="AG192" s="121"/>
      <c r="AH192" s="28" t="s">
        <v>3279</v>
      </c>
      <c r="AI192" s="28" t="s">
        <v>113</v>
      </c>
      <c r="AJ192" s="28">
        <v>4</v>
      </c>
      <c r="AK192" s="28" t="str">
        <f>IF(B192="","","0")</f>
        <v>0</v>
      </c>
      <c r="AL192" s="123" t="str">
        <f>IF(C192="","",C192&amp;"/"&amp;F192&amp;"/"&amp;N192&amp;"/"&amp;O192)</f>
        <v>14821/매입일보/mtrl.isttcalc/DailyPurcList</v>
      </c>
      <c r="AM192" s="28" t="s">
        <v>3350</v>
      </c>
      <c r="AN192" s="28"/>
      <c r="AO192" s="28"/>
      <c r="AP192" s="28"/>
      <c r="AQ192" s="28"/>
      <c r="AR192" s="28"/>
      <c r="AS192" s="28"/>
      <c r="AT192" s="28"/>
      <c r="AU192" s="28"/>
      <c r="AV192" s="28"/>
      <c r="AW192" s="28" t="s">
        <v>1829</v>
      </c>
      <c r="AX192" s="28"/>
      <c r="AY192" s="124"/>
      <c r="AZ192" s="138" t="str">
        <f>IF(C192="","","delete from module_mst where pjt_id = '"&amp;C192&amp;"' and menu_id = '"&amp;E192&amp;"';")</f>
        <v>delete from module_mst where pjt_id = '14821' and menu_id = '264004';</v>
      </c>
      <c r="BA192" s="31" t="str">
        <f>IF(C192&lt;&gt;"",CREATE_QUERY($D$1,C$2:AY$2,C192:AY192),"")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'264004', '매입일보', 'Purchase Daily', '', '', '', '1', '1', '1', 'mtrl.isttcalc', 'DailyPurcList', '1', '1', '1', '1', '1', '1', '1', '', '0', '0', '0', '', '', '', '', 'N', '', '', '264000', '5', '4', '0', '14821/매입일보/mtrl.isttcalc/DailyPurcList', '선택', '');</v>
      </c>
    </row>
    <row r="193" spans="1:53" ht="17.149999999999999" customHeight="1">
      <c r="A193" s="1">
        <v>193</v>
      </c>
      <c r="B193" s="164" t="str">
        <f t="shared" ref="B193:B200" si="348">IF(F193="","",IF(AI193="1","",IF(AI193="2","└ ",IF(AI193="3","  └ ",IF(AI193="4","    └ ",IF(AI193="5","        └ ",IF(AI193="6","         └ ",IF(AI193="7"="            └ ",""))))))))&amp;IF(AM193="","",IF(AM193="메뉴","","("&amp;AM193&amp;")"))&amp;F193</f>
        <v/>
      </c>
      <c r="C193" s="27" t="str">
        <f t="shared" si="318"/>
        <v/>
      </c>
      <c r="D193" s="121"/>
      <c r="E193" s="27">
        <v>264005</v>
      </c>
      <c r="F193" s="121"/>
      <c r="G193" s="121" t="s">
        <v>3227</v>
      </c>
      <c r="H193" s="121"/>
      <c r="I193" s="121"/>
      <c r="J193" s="121"/>
      <c r="K193" s="27" t="str">
        <f t="shared" si="334"/>
        <v/>
      </c>
      <c r="L193" s="27" t="str">
        <f t="shared" si="319"/>
        <v/>
      </c>
      <c r="M193" s="27" t="str">
        <f t="shared" si="335"/>
        <v>0</v>
      </c>
      <c r="N193" s="121"/>
      <c r="O193" s="121"/>
      <c r="P193" s="27" t="str">
        <f t="shared" ref="P193:P200" si="349">IF(O193="","0","1")</f>
        <v>0</v>
      </c>
      <c r="Q193" s="27" t="str">
        <f t="shared" ref="Q193:Q200" si="350">IF(O193="","0","1")</f>
        <v>0</v>
      </c>
      <c r="R193" s="27" t="str">
        <f t="shared" ref="R193:R200" si="351">IF(O193="","0","1")</f>
        <v>0</v>
      </c>
      <c r="S193" s="27" t="str">
        <f t="shared" ref="S193:S200" si="352">IF(O193="","0","1")</f>
        <v>0</v>
      </c>
      <c r="T193" s="27" t="str">
        <f t="shared" ref="T193:T200" si="353">IF(O193="","0","1")</f>
        <v>0</v>
      </c>
      <c r="U193" s="27" t="str">
        <f t="shared" ref="U193:U200" si="354">IF(O193="","0","1")</f>
        <v>0</v>
      </c>
      <c r="V193" s="27" t="str">
        <f t="shared" ref="V193:V200" si="355">IF(O193="","1","1")</f>
        <v>1</v>
      </c>
      <c r="W193" s="27"/>
      <c r="X193" s="27" t="str">
        <f t="shared" ref="X193:X200" si="356">IF(O193="","","0")</f>
        <v/>
      </c>
      <c r="Y193" s="27" t="str">
        <f t="shared" ref="Y193:Y200" si="357">IF(O193="","","0")</f>
        <v/>
      </c>
      <c r="Z193" s="27" t="str">
        <f t="shared" ref="Z193:Z200" si="358">IF(O193="","","0")</f>
        <v/>
      </c>
      <c r="AA193" s="121"/>
      <c r="AB193" s="121"/>
      <c r="AC193" s="121"/>
      <c r="AD193" s="121"/>
      <c r="AE193" s="121" t="s">
        <v>51</v>
      </c>
      <c r="AF193" s="121"/>
      <c r="AG193" s="121"/>
      <c r="AH193" s="28" t="s">
        <v>3279</v>
      </c>
      <c r="AI193" s="28" t="s">
        <v>113</v>
      </c>
      <c r="AJ193" s="28">
        <v>8</v>
      </c>
      <c r="AK193" s="28" t="str">
        <f t="shared" si="320"/>
        <v/>
      </c>
      <c r="AL193" s="123" t="str">
        <f t="shared" ref="AL193:AL200" si="359">IF(C193="","",C193&amp;"/"&amp;F193&amp;"/"&amp;N193&amp;"/"&amp;O193)</f>
        <v/>
      </c>
      <c r="AM193" s="28"/>
      <c r="AN193" s="28"/>
      <c r="AO193" s="28"/>
      <c r="AP193" s="28"/>
      <c r="AQ193" s="28"/>
      <c r="AR193" s="28"/>
      <c r="AS193" s="28"/>
      <c r="AT193" s="28"/>
      <c r="AU193" s="28"/>
      <c r="AV193" s="28"/>
      <c r="AW193" s="28" t="s">
        <v>1829</v>
      </c>
      <c r="AX193" s="28"/>
      <c r="AY193" s="124"/>
      <c r="AZ193" s="138" t="str">
        <f>IF(C193="","","delete from module_mst where pjt_id = '"&amp;C193&amp;"' and menu_id = '"&amp;E193&amp;"';")</f>
        <v/>
      </c>
      <c r="BA193" s="31" t="str">
        <f>IF(C193&lt;&gt;"",CREATE_QUERY($D$1,C$2:AY$2,C193:AY193),"")</f>
        <v/>
      </c>
    </row>
    <row r="194" spans="1:53">
      <c r="A194" s="1">
        <v>194</v>
      </c>
      <c r="B194" s="164" t="str">
        <f t="shared" si="348"/>
        <v/>
      </c>
      <c r="C194" s="27" t="str">
        <f t="shared" si="318"/>
        <v/>
      </c>
      <c r="D194" s="121"/>
      <c r="E194" s="27">
        <v>264006</v>
      </c>
      <c r="F194" s="121"/>
      <c r="G194" s="121" t="s">
        <v>3228</v>
      </c>
      <c r="H194" s="121"/>
      <c r="I194" s="121"/>
      <c r="J194" s="121"/>
      <c r="K194" s="27" t="str">
        <f t="shared" si="334"/>
        <v/>
      </c>
      <c r="L194" s="27" t="str">
        <f t="shared" si="319"/>
        <v/>
      </c>
      <c r="M194" s="27" t="str">
        <f t="shared" si="335"/>
        <v>0</v>
      </c>
      <c r="N194" s="121"/>
      <c r="O194" s="121"/>
      <c r="P194" s="27" t="str">
        <f t="shared" si="349"/>
        <v>0</v>
      </c>
      <c r="Q194" s="27" t="str">
        <f t="shared" si="350"/>
        <v>0</v>
      </c>
      <c r="R194" s="27" t="str">
        <f t="shared" si="351"/>
        <v>0</v>
      </c>
      <c r="S194" s="27" t="str">
        <f t="shared" si="352"/>
        <v>0</v>
      </c>
      <c r="T194" s="27" t="str">
        <f t="shared" si="353"/>
        <v>0</v>
      </c>
      <c r="U194" s="27" t="str">
        <f t="shared" si="354"/>
        <v>0</v>
      </c>
      <c r="V194" s="27" t="str">
        <f t="shared" si="355"/>
        <v>1</v>
      </c>
      <c r="W194" s="27"/>
      <c r="X194" s="27" t="str">
        <f t="shared" si="356"/>
        <v/>
      </c>
      <c r="Y194" s="27" t="str">
        <f t="shared" si="357"/>
        <v/>
      </c>
      <c r="Z194" s="27" t="str">
        <f t="shared" si="358"/>
        <v/>
      </c>
      <c r="AA194" s="121"/>
      <c r="AB194" s="121"/>
      <c r="AC194" s="121"/>
      <c r="AD194" s="121"/>
      <c r="AE194" s="121" t="s">
        <v>51</v>
      </c>
      <c r="AF194" s="121"/>
      <c r="AG194" s="121"/>
      <c r="AH194" s="28" t="s">
        <v>3279</v>
      </c>
      <c r="AI194" s="28" t="s">
        <v>113</v>
      </c>
      <c r="AJ194" s="28">
        <v>9</v>
      </c>
      <c r="AK194" s="28" t="str">
        <f t="shared" si="320"/>
        <v/>
      </c>
      <c r="AL194" s="123" t="str">
        <f t="shared" si="359"/>
        <v/>
      </c>
      <c r="AM194" s="28"/>
      <c r="AN194" s="28"/>
      <c r="AO194" s="28"/>
      <c r="AP194" s="28"/>
      <c r="AQ194" s="28"/>
      <c r="AR194" s="28"/>
      <c r="AS194" s="28"/>
      <c r="AT194" s="28"/>
      <c r="AU194" s="28"/>
      <c r="AV194" s="28"/>
      <c r="AW194" s="28" t="s">
        <v>1829</v>
      </c>
      <c r="AX194" s="28"/>
      <c r="AY194" s="124"/>
      <c r="AZ194" s="138" t="str">
        <f>IF(C194="","","delete from module_mst where pjt_id = '"&amp;C194&amp;"' and menu_id = '"&amp;E194&amp;"';")</f>
        <v/>
      </c>
      <c r="BA194" s="31" t="str">
        <f>IF(C194&lt;&gt;"",CREATE_QUERY($D$1,C$2:AY$2,C194:AY194),"")</f>
        <v/>
      </c>
    </row>
    <row r="195" spans="1:53">
      <c r="A195" s="1">
        <v>195</v>
      </c>
      <c r="B195" s="164" t="str">
        <f t="shared" si="348"/>
        <v/>
      </c>
      <c r="C195" s="27" t="str">
        <f t="shared" si="318"/>
        <v/>
      </c>
      <c r="D195" s="121"/>
      <c r="E195" s="27">
        <v>264007</v>
      </c>
      <c r="F195" s="121"/>
      <c r="G195" s="121" t="s">
        <v>3132</v>
      </c>
      <c r="H195" s="121"/>
      <c r="I195" s="121"/>
      <c r="J195" s="121"/>
      <c r="K195" s="27" t="str">
        <f t="shared" si="334"/>
        <v/>
      </c>
      <c r="L195" s="27" t="str">
        <f t="shared" si="319"/>
        <v/>
      </c>
      <c r="M195" s="27" t="str">
        <f t="shared" si="335"/>
        <v>0</v>
      </c>
      <c r="N195" s="121"/>
      <c r="O195" s="121"/>
      <c r="P195" s="27" t="str">
        <f t="shared" si="349"/>
        <v>0</v>
      </c>
      <c r="Q195" s="27" t="str">
        <f t="shared" si="350"/>
        <v>0</v>
      </c>
      <c r="R195" s="27" t="str">
        <f t="shared" si="351"/>
        <v>0</v>
      </c>
      <c r="S195" s="27" t="str">
        <f t="shared" si="352"/>
        <v>0</v>
      </c>
      <c r="T195" s="27" t="str">
        <f t="shared" si="353"/>
        <v>0</v>
      </c>
      <c r="U195" s="27" t="str">
        <f t="shared" si="354"/>
        <v>0</v>
      </c>
      <c r="V195" s="27" t="str">
        <f t="shared" si="355"/>
        <v>1</v>
      </c>
      <c r="W195" s="27"/>
      <c r="X195" s="27" t="str">
        <f t="shared" si="356"/>
        <v/>
      </c>
      <c r="Y195" s="27" t="str">
        <f t="shared" si="357"/>
        <v/>
      </c>
      <c r="Z195" s="27" t="str">
        <f t="shared" si="358"/>
        <v/>
      </c>
      <c r="AA195" s="121"/>
      <c r="AB195" s="121"/>
      <c r="AC195" s="121"/>
      <c r="AD195" s="121"/>
      <c r="AE195" s="121" t="s">
        <v>51</v>
      </c>
      <c r="AF195" s="121"/>
      <c r="AG195" s="121"/>
      <c r="AH195" s="28" t="s">
        <v>3279</v>
      </c>
      <c r="AI195" s="28" t="s">
        <v>113</v>
      </c>
      <c r="AJ195" s="28">
        <v>10</v>
      </c>
      <c r="AK195" s="28" t="str">
        <f t="shared" si="320"/>
        <v/>
      </c>
      <c r="AL195" s="123" t="str">
        <f t="shared" si="359"/>
        <v/>
      </c>
      <c r="AM195" s="28"/>
      <c r="AN195" s="28"/>
      <c r="AO195" s="28"/>
      <c r="AP195" s="28"/>
      <c r="AQ195" s="28"/>
      <c r="AR195" s="28"/>
      <c r="AS195" s="28"/>
      <c r="AT195" s="28"/>
      <c r="AU195" s="28"/>
      <c r="AV195" s="28"/>
      <c r="AW195" s="28" t="s">
        <v>1829</v>
      </c>
      <c r="AX195" s="28"/>
      <c r="AY195" s="124"/>
      <c r="AZ195" s="138" t="str">
        <f>IF(C195="","","delete from module_mst where pjt_id = '"&amp;C195&amp;"' and menu_id = '"&amp;E195&amp;"';")</f>
        <v/>
      </c>
      <c r="BA195" s="31" t="str">
        <f>IF(C195&lt;&gt;"",CREATE_QUERY($D$1,C$2:AY$2,C195:AY195),"")</f>
        <v/>
      </c>
    </row>
    <row r="196" spans="1:53">
      <c r="A196" s="1">
        <v>196</v>
      </c>
      <c r="B196" s="164" t="str">
        <f t="shared" si="348"/>
        <v/>
      </c>
      <c r="C196" s="27" t="str">
        <f t="shared" si="318"/>
        <v/>
      </c>
      <c r="D196" s="121"/>
      <c r="E196" s="27">
        <v>264008</v>
      </c>
      <c r="F196" s="121"/>
      <c r="G196" s="121" t="s">
        <v>3133</v>
      </c>
      <c r="H196" s="121"/>
      <c r="I196" s="121"/>
      <c r="J196" s="121"/>
      <c r="K196" s="27" t="str">
        <f t="shared" si="334"/>
        <v/>
      </c>
      <c r="L196" s="27" t="str">
        <f t="shared" si="319"/>
        <v/>
      </c>
      <c r="M196" s="27" t="str">
        <f t="shared" si="335"/>
        <v>0</v>
      </c>
      <c r="N196" s="121"/>
      <c r="O196" s="121"/>
      <c r="P196" s="27" t="str">
        <f t="shared" si="349"/>
        <v>0</v>
      </c>
      <c r="Q196" s="27" t="str">
        <f t="shared" si="350"/>
        <v>0</v>
      </c>
      <c r="R196" s="27" t="str">
        <f t="shared" si="351"/>
        <v>0</v>
      </c>
      <c r="S196" s="27" t="str">
        <f t="shared" si="352"/>
        <v>0</v>
      </c>
      <c r="T196" s="27" t="str">
        <f t="shared" si="353"/>
        <v>0</v>
      </c>
      <c r="U196" s="27" t="str">
        <f t="shared" si="354"/>
        <v>0</v>
      </c>
      <c r="V196" s="27" t="str">
        <f t="shared" si="355"/>
        <v>1</v>
      </c>
      <c r="W196" s="27"/>
      <c r="X196" s="27" t="str">
        <f t="shared" si="356"/>
        <v/>
      </c>
      <c r="Y196" s="27" t="str">
        <f t="shared" si="357"/>
        <v/>
      </c>
      <c r="Z196" s="27" t="str">
        <f t="shared" si="358"/>
        <v/>
      </c>
      <c r="AA196" s="121"/>
      <c r="AB196" s="121"/>
      <c r="AC196" s="121"/>
      <c r="AD196" s="121"/>
      <c r="AE196" s="121" t="s">
        <v>51</v>
      </c>
      <c r="AF196" s="121"/>
      <c r="AG196" s="121"/>
      <c r="AH196" s="28" t="s">
        <v>3279</v>
      </c>
      <c r="AI196" s="28" t="s">
        <v>113</v>
      </c>
      <c r="AJ196" s="28">
        <v>11</v>
      </c>
      <c r="AK196" s="28" t="str">
        <f t="shared" si="320"/>
        <v/>
      </c>
      <c r="AL196" s="123" t="str">
        <f t="shared" si="359"/>
        <v/>
      </c>
      <c r="AM196" s="28"/>
      <c r="AN196" s="28"/>
      <c r="AO196" s="28"/>
      <c r="AP196" s="28"/>
      <c r="AQ196" s="28"/>
      <c r="AR196" s="28"/>
      <c r="AS196" s="28"/>
      <c r="AT196" s="28"/>
      <c r="AU196" s="28"/>
      <c r="AV196" s="28"/>
      <c r="AW196" s="28" t="s">
        <v>1829</v>
      </c>
      <c r="AX196" s="28"/>
      <c r="AY196" s="124"/>
      <c r="AZ196" s="138" t="str">
        <f>IF(C196="","","delete from module_mst where pjt_id = '"&amp;C196&amp;"' and menu_id = '"&amp;E196&amp;"';")</f>
        <v/>
      </c>
      <c r="BA196" s="31" t="str">
        <f>IF(C196&lt;&gt;"",CREATE_QUERY($D$1,C$2:AY$2,C196:AY196),"")</f>
        <v/>
      </c>
    </row>
    <row r="197" spans="1:53">
      <c r="A197" s="1">
        <v>197</v>
      </c>
      <c r="B197" s="164" t="str">
        <f t="shared" si="348"/>
        <v/>
      </c>
      <c r="C197" s="27" t="str">
        <f t="shared" si="318"/>
        <v/>
      </c>
      <c r="D197" s="121"/>
      <c r="E197" s="27">
        <v>264009</v>
      </c>
      <c r="F197" s="121"/>
      <c r="G197" s="121" t="s">
        <v>3134</v>
      </c>
      <c r="H197" s="121"/>
      <c r="I197" s="121"/>
      <c r="J197" s="121"/>
      <c r="K197" s="27" t="str">
        <f t="shared" si="334"/>
        <v/>
      </c>
      <c r="L197" s="27" t="str">
        <f t="shared" si="319"/>
        <v/>
      </c>
      <c r="M197" s="27" t="str">
        <f t="shared" si="335"/>
        <v>0</v>
      </c>
      <c r="N197" s="121"/>
      <c r="O197" s="121"/>
      <c r="P197" s="27" t="str">
        <f t="shared" si="349"/>
        <v>0</v>
      </c>
      <c r="Q197" s="27" t="str">
        <f t="shared" si="350"/>
        <v>0</v>
      </c>
      <c r="R197" s="27" t="str">
        <f t="shared" si="351"/>
        <v>0</v>
      </c>
      <c r="S197" s="27" t="str">
        <f t="shared" si="352"/>
        <v>0</v>
      </c>
      <c r="T197" s="27" t="str">
        <f t="shared" si="353"/>
        <v>0</v>
      </c>
      <c r="U197" s="27" t="str">
        <f t="shared" si="354"/>
        <v>0</v>
      </c>
      <c r="V197" s="27" t="str">
        <f t="shared" si="355"/>
        <v>1</v>
      </c>
      <c r="W197" s="27"/>
      <c r="X197" s="27" t="str">
        <f t="shared" si="356"/>
        <v/>
      </c>
      <c r="Y197" s="27" t="str">
        <f t="shared" si="357"/>
        <v/>
      </c>
      <c r="Z197" s="27" t="str">
        <f t="shared" si="358"/>
        <v/>
      </c>
      <c r="AA197" s="121"/>
      <c r="AB197" s="121"/>
      <c r="AC197" s="121"/>
      <c r="AD197" s="121"/>
      <c r="AE197" s="121" t="s">
        <v>51</v>
      </c>
      <c r="AF197" s="121"/>
      <c r="AG197" s="121"/>
      <c r="AH197" s="28" t="s">
        <v>3279</v>
      </c>
      <c r="AI197" s="28" t="s">
        <v>113</v>
      </c>
      <c r="AJ197" s="28">
        <v>12</v>
      </c>
      <c r="AK197" s="28" t="str">
        <f t="shared" si="320"/>
        <v/>
      </c>
      <c r="AL197" s="123" t="str">
        <f t="shared" si="359"/>
        <v/>
      </c>
      <c r="AM197" s="28"/>
      <c r="AN197" s="28"/>
      <c r="AO197" s="28"/>
      <c r="AP197" s="28"/>
      <c r="AQ197" s="28"/>
      <c r="AR197" s="28"/>
      <c r="AS197" s="28"/>
      <c r="AT197" s="28"/>
      <c r="AU197" s="28"/>
      <c r="AV197" s="28"/>
      <c r="AW197" s="28" t="s">
        <v>1829</v>
      </c>
      <c r="AX197" s="28"/>
      <c r="AY197" s="124"/>
      <c r="AZ197" s="138" t="str">
        <f>IF(C197="","","delete from module_mst where pjt_id = '"&amp;C197&amp;"' and menu_id = '"&amp;E197&amp;"';")</f>
        <v/>
      </c>
      <c r="BA197" s="31" t="str">
        <f>IF(C197&lt;&gt;"",CREATE_QUERY($D$1,C$2:AY$2,C197:AY197),"")</f>
        <v/>
      </c>
    </row>
    <row r="198" spans="1:53">
      <c r="A198" s="1">
        <v>198</v>
      </c>
      <c r="B198" s="164" t="str">
        <f t="shared" si="348"/>
        <v/>
      </c>
      <c r="C198" s="27" t="str">
        <f t="shared" si="318"/>
        <v/>
      </c>
      <c r="D198" s="121"/>
      <c r="E198" s="27"/>
      <c r="F198" s="121"/>
      <c r="G198" s="121" t="s">
        <v>900</v>
      </c>
      <c r="H198" s="121"/>
      <c r="I198" s="121"/>
      <c r="J198" s="121"/>
      <c r="K198" s="27" t="str">
        <f t="shared" si="334"/>
        <v/>
      </c>
      <c r="L198" s="27" t="str">
        <f t="shared" si="319"/>
        <v/>
      </c>
      <c r="M198" s="27" t="str">
        <f t="shared" si="335"/>
        <v>0</v>
      </c>
      <c r="N198" s="121"/>
      <c r="O198" s="121"/>
      <c r="P198" s="27" t="str">
        <f t="shared" si="349"/>
        <v>0</v>
      </c>
      <c r="Q198" s="27" t="str">
        <f t="shared" si="350"/>
        <v>0</v>
      </c>
      <c r="R198" s="27" t="str">
        <f t="shared" si="351"/>
        <v>0</v>
      </c>
      <c r="S198" s="27" t="str">
        <f t="shared" si="352"/>
        <v>0</v>
      </c>
      <c r="T198" s="27" t="str">
        <f t="shared" si="353"/>
        <v>0</v>
      </c>
      <c r="U198" s="27" t="str">
        <f t="shared" si="354"/>
        <v>0</v>
      </c>
      <c r="V198" s="27" t="str">
        <f t="shared" si="355"/>
        <v>1</v>
      </c>
      <c r="W198" s="27"/>
      <c r="X198" s="27" t="str">
        <f t="shared" si="356"/>
        <v/>
      </c>
      <c r="Y198" s="27" t="str">
        <f t="shared" si="357"/>
        <v/>
      </c>
      <c r="Z198" s="27" t="str">
        <f t="shared" si="358"/>
        <v/>
      </c>
      <c r="AA198" s="121"/>
      <c r="AB198" s="121"/>
      <c r="AC198" s="121"/>
      <c r="AD198" s="121"/>
      <c r="AE198" s="121" t="s">
        <v>51</v>
      </c>
      <c r="AF198" s="121"/>
      <c r="AG198" s="121"/>
      <c r="AH198" s="28"/>
      <c r="AI198" s="28" t="s">
        <v>113</v>
      </c>
      <c r="AJ198" s="28">
        <v>13</v>
      </c>
      <c r="AK198" s="28" t="str">
        <f t="shared" si="320"/>
        <v/>
      </c>
      <c r="AL198" s="123" t="str">
        <f t="shared" si="359"/>
        <v/>
      </c>
      <c r="AM198" s="28"/>
      <c r="AN198" s="28"/>
      <c r="AO198" s="28"/>
      <c r="AP198" s="28"/>
      <c r="AQ198" s="28"/>
      <c r="AR198" s="28"/>
      <c r="AS198" s="28"/>
      <c r="AT198" s="28"/>
      <c r="AU198" s="28"/>
      <c r="AV198" s="28"/>
      <c r="AW198" s="28"/>
      <c r="AX198" s="28"/>
      <c r="AY198" s="124"/>
      <c r="AZ198" s="138" t="str">
        <f>IF(C198="","","delete from module_mst where pjt_id = '"&amp;C198&amp;"' and menu_id = '"&amp;E198&amp;"';")</f>
        <v/>
      </c>
      <c r="BA198" s="31" t="str">
        <f>IF(C198&lt;&gt;"",CREATE_QUERY($D$1,C$2:AY$2,C198:AY198),"")</f>
        <v/>
      </c>
    </row>
    <row r="199" spans="1:53">
      <c r="A199" s="1">
        <v>199</v>
      </c>
      <c r="B199" s="159" t="str">
        <f t="shared" si="348"/>
        <v xml:space="preserve">    └ 매입채무관리</v>
      </c>
      <c r="C199" s="27" t="str">
        <f t="shared" ref="C199:C200" si="360">IF(F199="","","14821")</f>
        <v>14821</v>
      </c>
      <c r="D199" s="121"/>
      <c r="E199" s="21">
        <v>265000</v>
      </c>
      <c r="F199" s="118" t="s">
        <v>3357</v>
      </c>
      <c r="G199" s="118" t="s">
        <v>3131</v>
      </c>
      <c r="H199" s="118"/>
      <c r="I199" s="118"/>
      <c r="J199" s="118"/>
      <c r="K199" s="21" t="str">
        <f t="shared" ref="K199:K200" si="361">IF(O199="","","1")</f>
        <v/>
      </c>
      <c r="L199" s="21" t="str">
        <f t="shared" ref="L199:L200" si="362">IF(F199="","","1")</f>
        <v>1</v>
      </c>
      <c r="M199" s="21" t="str">
        <f t="shared" ref="M199:M200" si="363">IF(O199="","0","1")</f>
        <v>0</v>
      </c>
      <c r="N199" s="118"/>
      <c r="O199" s="118"/>
      <c r="P199" s="21" t="str">
        <f t="shared" si="349"/>
        <v>0</v>
      </c>
      <c r="Q199" s="21" t="str">
        <f t="shared" si="350"/>
        <v>0</v>
      </c>
      <c r="R199" s="21" t="str">
        <f t="shared" si="351"/>
        <v>0</v>
      </c>
      <c r="S199" s="21" t="str">
        <f t="shared" si="352"/>
        <v>0</v>
      </c>
      <c r="T199" s="21" t="str">
        <f t="shared" si="353"/>
        <v>0</v>
      </c>
      <c r="U199" s="21" t="str">
        <f t="shared" si="354"/>
        <v>0</v>
      </c>
      <c r="V199" s="21" t="str">
        <f t="shared" si="355"/>
        <v>1</v>
      </c>
      <c r="W199" s="21"/>
      <c r="X199" s="21" t="str">
        <f t="shared" si="356"/>
        <v/>
      </c>
      <c r="Y199" s="21" t="str">
        <f t="shared" si="357"/>
        <v/>
      </c>
      <c r="Z199" s="21" t="str">
        <f t="shared" si="358"/>
        <v/>
      </c>
      <c r="AA199" s="118"/>
      <c r="AB199" s="118"/>
      <c r="AC199" s="118"/>
      <c r="AD199" s="118"/>
      <c r="AE199" s="118" t="s">
        <v>51</v>
      </c>
      <c r="AF199" s="118"/>
      <c r="AG199" s="118"/>
      <c r="AH199" s="26" t="s">
        <v>168</v>
      </c>
      <c r="AI199" s="26" t="s">
        <v>112</v>
      </c>
      <c r="AJ199" s="26">
        <v>30700</v>
      </c>
      <c r="AK199" s="26" t="str">
        <f t="shared" ref="AK199:AK200" si="364">IF(B199="","","0")</f>
        <v>0</v>
      </c>
      <c r="AL199" s="123" t="str">
        <f t="shared" si="359"/>
        <v>14821/매입채무관리//</v>
      </c>
      <c r="AM199" s="26" t="s">
        <v>2979</v>
      </c>
      <c r="AN199" s="26" t="str">
        <f t="shared" ref="AN199:AX199" si="365">IF(COUNTIF(AN200:AN214,"="&amp;"Y")&gt;0,"Y",IF(COUNTIF(AN200:AN214,"="&amp;"-")&gt;0,"m",""))</f>
        <v>m</v>
      </c>
      <c r="AO199" s="26" t="str">
        <f t="shared" si="365"/>
        <v>Y</v>
      </c>
      <c r="AP199" s="26" t="str">
        <f t="shared" si="365"/>
        <v>m</v>
      </c>
      <c r="AQ199" s="26" t="str">
        <f t="shared" si="365"/>
        <v>m</v>
      </c>
      <c r="AR199" s="26" t="str">
        <f t="shared" si="365"/>
        <v>m</v>
      </c>
      <c r="AS199" s="26" t="str">
        <f t="shared" si="365"/>
        <v>m</v>
      </c>
      <c r="AT199" s="26" t="str">
        <f t="shared" si="365"/>
        <v>m</v>
      </c>
      <c r="AU199" s="26" t="str">
        <f t="shared" si="365"/>
        <v>m</v>
      </c>
      <c r="AV199" s="26" t="str">
        <f t="shared" si="365"/>
        <v>m</v>
      </c>
      <c r="AW199" s="26" t="str">
        <f t="shared" si="365"/>
        <v>Y</v>
      </c>
      <c r="AX199" s="26" t="str">
        <f t="shared" si="365"/>
        <v>m</v>
      </c>
      <c r="AY199" s="124"/>
      <c r="AZ199" s="138" t="str">
        <f>IF(C199="","","delete from module_mst where pjt_id = '"&amp;C199&amp;"' and menu_id = '"&amp;E199&amp;"';")</f>
        <v>delete from module_mst where pjt_id = '14821' and menu_id = '265000';</v>
      </c>
      <c r="BA199" s="31" t="str">
        <f>IF(C199&lt;&gt;"",CREATE_QUERY($D$1,C$2:AY$2,C199:AY199),"")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'265000', '매입채무관리', 'Material receiving management', '', '', '', '', '1', '0', '', '', '0', '0', '0', '0', '0', '0', '1', '', '', '', '', '', '', '', '', 'N', '', '', '260000', '4', '30700', '0', '14821/매입채무관리//', '메뉴', '');</v>
      </c>
    </row>
    <row r="200" spans="1:53">
      <c r="A200" s="1">
        <v>200</v>
      </c>
      <c r="B200" s="164" t="str">
        <f t="shared" si="348"/>
        <v xml:space="preserve">        └ (공통)매입채무이월</v>
      </c>
      <c r="C200" s="27" t="str">
        <f t="shared" si="360"/>
        <v>14821</v>
      </c>
      <c r="D200" s="121"/>
      <c r="E200" s="27">
        <v>265001</v>
      </c>
      <c r="F200" s="121" t="s">
        <v>3017</v>
      </c>
      <c r="G200" s="121" t="s">
        <v>3227</v>
      </c>
      <c r="H200" s="121"/>
      <c r="I200" s="121"/>
      <c r="J200" s="121"/>
      <c r="K200" s="27" t="str">
        <f t="shared" si="361"/>
        <v>1</v>
      </c>
      <c r="L200" s="27" t="str">
        <f t="shared" si="362"/>
        <v>1</v>
      </c>
      <c r="M200" s="27" t="str">
        <f t="shared" si="363"/>
        <v>1</v>
      </c>
      <c r="N200" s="121" t="s">
        <v>3280</v>
      </c>
      <c r="O200" s="121" t="s">
        <v>3018</v>
      </c>
      <c r="P200" s="27" t="str">
        <f t="shared" si="349"/>
        <v>1</v>
      </c>
      <c r="Q200" s="27" t="str">
        <f t="shared" si="350"/>
        <v>1</v>
      </c>
      <c r="R200" s="27" t="str">
        <f t="shared" si="351"/>
        <v>1</v>
      </c>
      <c r="S200" s="27" t="str">
        <f t="shared" si="352"/>
        <v>1</v>
      </c>
      <c r="T200" s="27" t="str">
        <f t="shared" si="353"/>
        <v>1</v>
      </c>
      <c r="U200" s="27" t="str">
        <f t="shared" si="354"/>
        <v>1</v>
      </c>
      <c r="V200" s="27" t="str">
        <f t="shared" si="355"/>
        <v>1</v>
      </c>
      <c r="W200" s="27"/>
      <c r="X200" s="27" t="str">
        <f t="shared" si="356"/>
        <v>0</v>
      </c>
      <c r="Y200" s="27" t="str">
        <f t="shared" si="357"/>
        <v>0</v>
      </c>
      <c r="Z200" s="27" t="str">
        <f t="shared" si="358"/>
        <v>0</v>
      </c>
      <c r="AA200" s="121"/>
      <c r="AB200" s="121"/>
      <c r="AC200" s="121"/>
      <c r="AD200" s="121"/>
      <c r="AE200" s="121" t="s">
        <v>51</v>
      </c>
      <c r="AF200" s="121"/>
      <c r="AG200" s="121"/>
      <c r="AH200" s="28">
        <v>265000</v>
      </c>
      <c r="AI200" s="28" t="s">
        <v>113</v>
      </c>
      <c r="AJ200" s="28">
        <v>1</v>
      </c>
      <c r="AK200" s="28" t="str">
        <f t="shared" si="364"/>
        <v>0</v>
      </c>
      <c r="AL200" s="123" t="str">
        <f t="shared" si="359"/>
        <v>14821/매입채무이월/mtrl.isttcalc/NpayInit</v>
      </c>
      <c r="AM200" s="28" t="s">
        <v>2984</v>
      </c>
      <c r="AN200" s="28"/>
      <c r="AO200" s="28"/>
      <c r="AP200" s="28"/>
      <c r="AQ200" s="28"/>
      <c r="AR200" s="28"/>
      <c r="AS200" s="28"/>
      <c r="AT200" s="28"/>
      <c r="AU200" s="28"/>
      <c r="AV200" s="28"/>
      <c r="AW200" s="28" t="s">
        <v>1829</v>
      </c>
      <c r="AX200" s="28"/>
      <c r="AY200" s="124"/>
      <c r="AZ200" s="138" t="str">
        <f>IF(C200="","","delete from module_mst where pjt_id = '"&amp;C200&amp;"' and menu_id = '"&amp;E200&amp;"';")</f>
        <v>delete from module_mst where pjt_id = '14821' and menu_id = '265001';</v>
      </c>
      <c r="BA200" s="31" t="str">
        <f>IF(C200&lt;&gt;"",CREATE_QUERY($D$1,C$2:AY$2,C200:AY200),"")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'265001', '매입채무이월', 'Carryover on payables', '', '', '', '1', '1', '1', 'mtrl.isttcalc', 'NpayInit', '1', '1', '1', '1', '1', '1', '1', '', '0', '0', '0', '', '', '', '', 'N', '', '', '265000', '5', '1', '0', '14821/매입채무이월/mtrl.isttcalc/NpayInit', '공통', '');</v>
      </c>
    </row>
    <row r="201" spans="1:53">
      <c r="A201" s="1">
        <v>201</v>
      </c>
      <c r="B201" s="164" t="str">
        <f>IF(F201="","",IF(AI201="1","",IF(AI201="2","└ ",IF(AI201="3","  └ ",IF(AI201="4","    └ ",IF(AI201="5","        └ ",IF(AI201="6","         └ ",IF(AI201="7"="            └ ",""))))))))&amp;IF(AM201="","",IF(AM201="메뉴","","("&amp;AM201&amp;")"))&amp;F201</f>
        <v xml:space="preserve">        └ (선택)매입채무이월</v>
      </c>
      <c r="C201" s="27" t="str">
        <f>IF(F201="","","14821")</f>
        <v>14821</v>
      </c>
      <c r="D201" s="121"/>
      <c r="E201" s="27">
        <v>265002</v>
      </c>
      <c r="F201" s="121" t="s">
        <v>3017</v>
      </c>
      <c r="G201" s="121" t="s">
        <v>3227</v>
      </c>
      <c r="H201" s="121"/>
      <c r="I201" s="121"/>
      <c r="J201" s="121"/>
      <c r="K201" s="27" t="str">
        <f>IF(O201="","","1")</f>
        <v>1</v>
      </c>
      <c r="L201" s="27" t="str">
        <f>IF(F201="","","1")</f>
        <v>1</v>
      </c>
      <c r="M201" s="27" t="str">
        <f>IF(O201="","0","1")</f>
        <v>1</v>
      </c>
      <c r="N201" s="121" t="s">
        <v>3008</v>
      </c>
      <c r="O201" s="121" t="s">
        <v>3018</v>
      </c>
      <c r="P201" s="27" t="str">
        <f>IF(O201="","0","1")</f>
        <v>1</v>
      </c>
      <c r="Q201" s="27" t="str">
        <f>IF(O201="","0","1")</f>
        <v>1</v>
      </c>
      <c r="R201" s="27" t="str">
        <f>IF(O201="","0","1")</f>
        <v>1</v>
      </c>
      <c r="S201" s="27" t="str">
        <f>IF(O201="","0","1")</f>
        <v>1</v>
      </c>
      <c r="T201" s="27" t="str">
        <f>IF(O201="","0","1")</f>
        <v>1</v>
      </c>
      <c r="U201" s="27" t="str">
        <f>IF(O201="","0","1")</f>
        <v>1</v>
      </c>
      <c r="V201" s="27" t="str">
        <f>IF(O201="","1","1")</f>
        <v>1</v>
      </c>
      <c r="W201" s="27"/>
      <c r="X201" s="27" t="str">
        <f>IF(O201="","","0")</f>
        <v>0</v>
      </c>
      <c r="Y201" s="27" t="str">
        <f>IF(O201="","","0")</f>
        <v>0</v>
      </c>
      <c r="Z201" s="27" t="str">
        <f>IF(O201="","","0")</f>
        <v>0</v>
      </c>
      <c r="AA201" s="121"/>
      <c r="AB201" s="121"/>
      <c r="AC201" s="121"/>
      <c r="AD201" s="121"/>
      <c r="AE201" s="121" t="s">
        <v>51</v>
      </c>
      <c r="AF201" s="121"/>
      <c r="AG201" s="121"/>
      <c r="AH201" s="28">
        <v>265000</v>
      </c>
      <c r="AI201" s="28" t="s">
        <v>113</v>
      </c>
      <c r="AJ201" s="28">
        <v>1</v>
      </c>
      <c r="AK201" s="28" t="str">
        <f>IF(B201="","","0")</f>
        <v>0</v>
      </c>
      <c r="AL201" s="123" t="str">
        <f>IF(C201="","",C201&amp;"/"&amp;F201&amp;"/"&amp;N201&amp;"/"&amp;O201)</f>
        <v>14821/매입채무이월/custom.iypkg.mtrl.purc/NpayInit</v>
      </c>
      <c r="AM201" s="28" t="s">
        <v>3350</v>
      </c>
      <c r="AN201" s="28"/>
      <c r="AO201" s="28"/>
      <c r="AP201" s="28"/>
      <c r="AQ201" s="28"/>
      <c r="AR201" s="28"/>
      <c r="AS201" s="28"/>
      <c r="AT201" s="28"/>
      <c r="AU201" s="28"/>
      <c r="AV201" s="28"/>
      <c r="AW201" s="28" t="s">
        <v>1829</v>
      </c>
      <c r="AX201" s="28"/>
      <c r="AY201" s="124"/>
      <c r="AZ201" s="138" t="str">
        <f>IF(C201="","","delete from module_mst where pjt_id = '"&amp;C201&amp;"' and menu_id = '"&amp;E201&amp;"';")</f>
        <v>delete from module_mst where pjt_id = '14821' and menu_id = '265002';</v>
      </c>
      <c r="BA201" s="31" t="str">
        <f>IF(C201&lt;&gt;"",CREATE_QUERY($D$1,C$2:AY$2,C201:AY201),"")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'265002', '매입채무이월', 'Carryover on payables', '', '', '', '1', '1', '1', 'custom.iypkg.mtrl.purc', 'NpayInit', '1', '1', '1', '1', '1', '1', '1', '', '0', '0', '0', '', '', '', '', 'N', '', '', '265000', '5', '1', '0', '14821/매입채무이월/custom.iypkg.mtrl.purc/NpayInit', '선택', '');</v>
      </c>
    </row>
    <row r="202" spans="1:53">
      <c r="A202" s="1">
        <v>202</v>
      </c>
      <c r="B202" s="164" t="str">
        <f t="shared" ref="B202" si="366">IF(F202="","",IF(AI202="1","",IF(AI202="2","└ ",IF(AI202="3","  └ ",IF(AI202="4","    └ ",IF(AI202="5","        └ ",IF(AI202="6","         └ ",IF(AI202="7"="            └ ",""))))))))&amp;IF(AM202="","",IF(AM202="메뉴","","("&amp;AM202&amp;")"))&amp;F202</f>
        <v xml:space="preserve">        └ (공통)미지급집계표</v>
      </c>
      <c r="C202" s="27" t="str">
        <f t="shared" ref="C202" si="367">IF(F202="","","14821")</f>
        <v>14821</v>
      </c>
      <c r="D202" s="121"/>
      <c r="E202" s="27">
        <v>265003</v>
      </c>
      <c r="F202" s="121" t="s">
        <v>3013</v>
      </c>
      <c r="G202" s="121" t="s">
        <v>3132</v>
      </c>
      <c r="H202" s="121"/>
      <c r="I202" s="121"/>
      <c r="J202" s="121"/>
      <c r="K202" s="27" t="str">
        <f t="shared" ref="K202" si="368">IF(O202="","","1")</f>
        <v>1</v>
      </c>
      <c r="L202" s="27" t="str">
        <f t="shared" ref="L202" si="369">IF(F202="","","1")</f>
        <v>1</v>
      </c>
      <c r="M202" s="27" t="str">
        <f t="shared" ref="M202" si="370">IF(O202="","0","1")</f>
        <v>1</v>
      </c>
      <c r="N202" s="121" t="s">
        <v>3280</v>
      </c>
      <c r="O202" s="121" t="s">
        <v>3014</v>
      </c>
      <c r="P202" s="27" t="str">
        <f t="shared" ref="P202" si="371">IF(O202="","0","1")</f>
        <v>1</v>
      </c>
      <c r="Q202" s="27" t="str">
        <f t="shared" ref="Q202" si="372">IF(O202="","0","1")</f>
        <v>1</v>
      </c>
      <c r="R202" s="27" t="str">
        <f t="shared" ref="R202" si="373">IF(O202="","0","1")</f>
        <v>1</v>
      </c>
      <c r="S202" s="27" t="str">
        <f t="shared" ref="S202" si="374">IF(O202="","0","1")</f>
        <v>1</v>
      </c>
      <c r="T202" s="27" t="str">
        <f t="shared" ref="T202" si="375">IF(O202="","0","1")</f>
        <v>1</v>
      </c>
      <c r="U202" s="27" t="str">
        <f t="shared" ref="U202" si="376">IF(O202="","0","1")</f>
        <v>1</v>
      </c>
      <c r="V202" s="27" t="str">
        <f t="shared" ref="V202" si="377">IF(O202="","1","1")</f>
        <v>1</v>
      </c>
      <c r="W202" s="27"/>
      <c r="X202" s="27" t="str">
        <f t="shared" ref="X202" si="378">IF(O202="","","0")</f>
        <v>0</v>
      </c>
      <c r="Y202" s="27" t="str">
        <f t="shared" ref="Y202" si="379">IF(O202="","","0")</f>
        <v>0</v>
      </c>
      <c r="Z202" s="27" t="str">
        <f t="shared" ref="Z202" si="380">IF(O202="","","0")</f>
        <v>0</v>
      </c>
      <c r="AA202" s="121"/>
      <c r="AB202" s="121"/>
      <c r="AC202" s="121"/>
      <c r="AD202" s="121"/>
      <c r="AE202" s="121" t="s">
        <v>51</v>
      </c>
      <c r="AF202" s="121"/>
      <c r="AG202" s="121"/>
      <c r="AH202" s="28">
        <v>265000</v>
      </c>
      <c r="AI202" s="28" t="s">
        <v>113</v>
      </c>
      <c r="AJ202" s="28">
        <v>3</v>
      </c>
      <c r="AK202" s="28" t="str">
        <f t="shared" ref="AK202" si="381">IF(B202="","","0")</f>
        <v>0</v>
      </c>
      <c r="AL202" s="123" t="str">
        <f t="shared" ref="AL202" si="382">IF(C202="","",C202&amp;"/"&amp;F202&amp;"/"&amp;N202&amp;"/"&amp;O202)</f>
        <v>14821/미지급집계표/mtrl.isttcalc/NpaySumList</v>
      </c>
      <c r="AM202" s="28" t="s">
        <v>2984</v>
      </c>
      <c r="AN202" s="28"/>
      <c r="AO202" s="28"/>
      <c r="AP202" s="28"/>
      <c r="AQ202" s="28"/>
      <c r="AR202" s="28"/>
      <c r="AS202" s="28"/>
      <c r="AT202" s="28"/>
      <c r="AU202" s="28"/>
      <c r="AV202" s="28"/>
      <c r="AW202" s="28" t="s">
        <v>1829</v>
      </c>
      <c r="AX202" s="28"/>
      <c r="AY202" s="124"/>
      <c r="AZ202" s="138" t="str">
        <f>IF(C202="","","delete from module_mst where pjt_id = '"&amp;C202&amp;"' and menu_id = '"&amp;E202&amp;"';")</f>
        <v>delete from module_mst where pjt_id = '14821' and menu_id = '265003';</v>
      </c>
      <c r="BA202" s="31" t="str">
        <f>IF(C202&lt;&gt;"",CREATE_QUERY($D$1,C$2:AY$2,C202:AY202),"")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'265003', '미지급집계표', 'Statement of accounts payable', '', '', '', '1', '1', '1', 'mtrl.isttcalc', 'NpaySumList', '1', '1', '1', '1', '1', '1', '1', '', '0', '0', '0', '', '', '', '', 'N', '', '', '265000', '5', '3', '0', '14821/미지급집계표/mtrl.isttcalc/NpaySumList', '공통', '');</v>
      </c>
    </row>
    <row r="203" spans="1:53">
      <c r="A203" s="1">
        <v>203</v>
      </c>
      <c r="B203" s="164" t="str">
        <f>IF(F203="","",IF(AI203="1","",IF(AI203="2","└ ",IF(AI203="3","  └ ",IF(AI203="4","    └ ",IF(AI203="5","        └ ",IF(AI203="6","         └ ",IF(AI203="7"="            └ ",""))))))))&amp;IF(AM203="","",IF(AM203="메뉴","","("&amp;AM203&amp;")"))&amp;F203</f>
        <v xml:space="preserve">        └ (선택)미지급집계표</v>
      </c>
      <c r="C203" s="27" t="str">
        <f>IF(F203="","","14821")</f>
        <v>14821</v>
      </c>
      <c r="D203" s="121"/>
      <c r="E203" s="27">
        <v>265004</v>
      </c>
      <c r="F203" s="121" t="s">
        <v>3013</v>
      </c>
      <c r="G203" s="121" t="s">
        <v>3132</v>
      </c>
      <c r="H203" s="121"/>
      <c r="I203" s="121"/>
      <c r="J203" s="121"/>
      <c r="K203" s="27" t="str">
        <f>IF(O203="","","1")</f>
        <v>1</v>
      </c>
      <c r="L203" s="27" t="str">
        <f>IF(F203="","","1")</f>
        <v>1</v>
      </c>
      <c r="M203" s="27" t="str">
        <f>IF(O203="","0","1")</f>
        <v>1</v>
      </c>
      <c r="N203" s="121" t="s">
        <v>3008</v>
      </c>
      <c r="O203" s="121" t="s">
        <v>3014</v>
      </c>
      <c r="P203" s="27" t="str">
        <f>IF(O203="","0","1")</f>
        <v>1</v>
      </c>
      <c r="Q203" s="27" t="str">
        <f>IF(O203="","0","1")</f>
        <v>1</v>
      </c>
      <c r="R203" s="27" t="str">
        <f>IF(O203="","0","1")</f>
        <v>1</v>
      </c>
      <c r="S203" s="27" t="str">
        <f>IF(O203="","0","1")</f>
        <v>1</v>
      </c>
      <c r="T203" s="27" t="str">
        <f>IF(O203="","0","1")</f>
        <v>1</v>
      </c>
      <c r="U203" s="27" t="str">
        <f>IF(O203="","0","1")</f>
        <v>1</v>
      </c>
      <c r="V203" s="27" t="str">
        <f>IF(O203="","1","1")</f>
        <v>1</v>
      </c>
      <c r="W203" s="27"/>
      <c r="X203" s="27" t="str">
        <f>IF(O203="","","0")</f>
        <v>0</v>
      </c>
      <c r="Y203" s="27" t="str">
        <f>IF(O203="","","0")</f>
        <v>0</v>
      </c>
      <c r="Z203" s="27" t="str">
        <f>IF(O203="","","0")</f>
        <v>0</v>
      </c>
      <c r="AA203" s="121"/>
      <c r="AB203" s="121"/>
      <c r="AC203" s="121"/>
      <c r="AD203" s="121"/>
      <c r="AE203" s="121" t="s">
        <v>51</v>
      </c>
      <c r="AF203" s="121"/>
      <c r="AG203" s="121"/>
      <c r="AH203" s="28">
        <v>265000</v>
      </c>
      <c r="AI203" s="28" t="s">
        <v>113</v>
      </c>
      <c r="AJ203" s="28">
        <v>3</v>
      </c>
      <c r="AK203" s="28" t="str">
        <f>IF(B203="","","0")</f>
        <v>0</v>
      </c>
      <c r="AL203" s="123" t="str">
        <f>IF(C203="","",C203&amp;"/"&amp;F203&amp;"/"&amp;N203&amp;"/"&amp;O203)</f>
        <v>14821/미지급집계표/custom.iypkg.mtrl.purc/NpaySumList</v>
      </c>
      <c r="AM203" s="28" t="s">
        <v>3350</v>
      </c>
      <c r="AN203" s="28"/>
      <c r="AO203" s="28"/>
      <c r="AP203" s="28"/>
      <c r="AQ203" s="28"/>
      <c r="AR203" s="28"/>
      <c r="AS203" s="28"/>
      <c r="AT203" s="28"/>
      <c r="AU203" s="28"/>
      <c r="AV203" s="28"/>
      <c r="AW203" s="28" t="s">
        <v>1829</v>
      </c>
      <c r="AX203" s="28"/>
      <c r="AY203" s="124"/>
      <c r="AZ203" s="138" t="str">
        <f>IF(C203="","","delete from module_mst where pjt_id = '"&amp;C203&amp;"' and menu_id = '"&amp;E203&amp;"';")</f>
        <v>delete from module_mst where pjt_id = '14821' and menu_id = '265004';</v>
      </c>
      <c r="BA203" s="31" t="str">
        <f>IF(C203&lt;&gt;"",CREATE_QUERY($D$1,C$2:AY$2,C203:AY203),"")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'265004', '미지급집계표', 'Statement of accounts payable', '', '', '', '1', '1', '1', 'custom.iypkg.mtrl.purc', 'NpaySumList', '1', '1', '1', '1', '1', '1', '1', '', '0', '0', '0', '', '', '', '', 'N', '', '', '265000', '5', '3', '0', '14821/미지급집계표/custom.iypkg.mtrl.purc/NpaySumList', '선택', '');</v>
      </c>
    </row>
    <row r="204" spans="1:53">
      <c r="A204" s="1">
        <v>204</v>
      </c>
      <c r="B204" s="164" t="str">
        <f t="shared" ref="B204" si="383">IF(F204="","",IF(AI204="1","",IF(AI204="2","└ ",IF(AI204="3","  └ ",IF(AI204="4","    └ ",IF(AI204="5","        └ ",IF(AI204="6","         └ ",IF(AI204="7"="            └ ",""))))))))&amp;IF(AM204="","",IF(AM204="메뉴","","("&amp;AM204&amp;")"))&amp;F204</f>
        <v xml:space="preserve">        └ (공통)매입거래처원장</v>
      </c>
      <c r="C204" s="27" t="str">
        <f t="shared" ref="C204" si="384">IF(F204="","","14821")</f>
        <v>14821</v>
      </c>
      <c r="D204" s="121"/>
      <c r="E204" s="27">
        <v>265005</v>
      </c>
      <c r="F204" s="121" t="s">
        <v>3015</v>
      </c>
      <c r="G204" s="121" t="s">
        <v>3133</v>
      </c>
      <c r="H204" s="121"/>
      <c r="I204" s="121"/>
      <c r="J204" s="121"/>
      <c r="K204" s="27" t="str">
        <f t="shared" ref="K204" si="385">IF(O204="","","1")</f>
        <v>1</v>
      </c>
      <c r="L204" s="27" t="str">
        <f t="shared" ref="L204" si="386">IF(F204="","","1")</f>
        <v>1</v>
      </c>
      <c r="M204" s="27" t="str">
        <f t="shared" ref="M204" si="387">IF(O204="","0","1")</f>
        <v>1</v>
      </c>
      <c r="N204" s="121" t="s">
        <v>3280</v>
      </c>
      <c r="O204" s="121" t="s">
        <v>3016</v>
      </c>
      <c r="P204" s="27" t="str">
        <f t="shared" ref="P204" si="388">IF(O204="","0","1")</f>
        <v>1</v>
      </c>
      <c r="Q204" s="27" t="str">
        <f t="shared" ref="Q204" si="389">IF(O204="","0","1")</f>
        <v>1</v>
      </c>
      <c r="R204" s="27" t="str">
        <f t="shared" ref="R204" si="390">IF(O204="","0","1")</f>
        <v>1</v>
      </c>
      <c r="S204" s="27" t="str">
        <f t="shared" ref="S204" si="391">IF(O204="","0","1")</f>
        <v>1</v>
      </c>
      <c r="T204" s="27" t="str">
        <f t="shared" ref="T204" si="392">IF(O204="","0","1")</f>
        <v>1</v>
      </c>
      <c r="U204" s="27" t="str">
        <f t="shared" ref="U204" si="393">IF(O204="","0","1")</f>
        <v>1</v>
      </c>
      <c r="V204" s="27" t="str">
        <f t="shared" ref="V204" si="394">IF(O204="","1","1")</f>
        <v>1</v>
      </c>
      <c r="W204" s="27"/>
      <c r="X204" s="27" t="str">
        <f t="shared" ref="X204" si="395">IF(O204="","","0")</f>
        <v>0</v>
      </c>
      <c r="Y204" s="27" t="str">
        <f t="shared" ref="Y204" si="396">IF(O204="","","0")</f>
        <v>0</v>
      </c>
      <c r="Z204" s="27" t="str">
        <f t="shared" ref="Z204" si="397">IF(O204="","","0")</f>
        <v>0</v>
      </c>
      <c r="AA204" s="121"/>
      <c r="AB204" s="121"/>
      <c r="AC204" s="121"/>
      <c r="AD204" s="121"/>
      <c r="AE204" s="121" t="s">
        <v>51</v>
      </c>
      <c r="AF204" s="121"/>
      <c r="AG204" s="121"/>
      <c r="AH204" s="28">
        <v>265000</v>
      </c>
      <c r="AI204" s="28" t="s">
        <v>113</v>
      </c>
      <c r="AJ204" s="28">
        <v>5</v>
      </c>
      <c r="AK204" s="28" t="str">
        <f t="shared" ref="AK204" si="398">IF(B204="","","0")</f>
        <v>0</v>
      </c>
      <c r="AL204" s="123" t="str">
        <f t="shared" ref="AL204" si="399">IF(C204="","",C204&amp;"/"&amp;F204&amp;"/"&amp;N204&amp;"/"&amp;O204)</f>
        <v>14821/매입거래처원장/mtrl.isttcalc/PurcCstmList1</v>
      </c>
      <c r="AM204" s="28" t="s">
        <v>2984</v>
      </c>
      <c r="AN204" s="28"/>
      <c r="AO204" s="28"/>
      <c r="AP204" s="28"/>
      <c r="AQ204" s="28"/>
      <c r="AR204" s="28"/>
      <c r="AS204" s="28"/>
      <c r="AT204" s="28"/>
      <c r="AU204" s="28"/>
      <c r="AV204" s="28"/>
      <c r="AW204" s="28" t="s">
        <v>1829</v>
      </c>
      <c r="AX204" s="28"/>
      <c r="AY204" s="124"/>
      <c r="AZ204" s="138" t="str">
        <f>IF(C204="","","delete from module_mst where pjt_id = '"&amp;C204&amp;"' and menu_id = '"&amp;E204&amp;"';")</f>
        <v>delete from module_mst where pjt_id = '14821' and menu_id = '265005';</v>
      </c>
      <c r="BA204" s="31" t="str">
        <f>IF(C204&lt;&gt;"",CREATE_QUERY($D$1,C$2:AY$2,C204:AY204),"")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'265005', '매입거래처원장', 'Ledger of purchasing customer', '', '', '', '1', '1', '1', 'mtrl.isttcalc', 'PurcCstmList1', '1', '1', '1', '1', '1', '1', '1', '', '0', '0', '0', '', '', '', '', 'N', '', '', '265000', '5', '5', '0', '14821/매입거래처원장/mtrl.isttcalc/PurcCstmList1', '공통', '');</v>
      </c>
    </row>
    <row r="205" spans="1:53">
      <c r="A205" s="1">
        <v>205</v>
      </c>
      <c r="B205" s="164" t="str">
        <f>IF(F205="","",IF(AI205="1","",IF(AI205="2","└ ",IF(AI205="3","  └ ",IF(AI205="4","    └ ",IF(AI205="5","        └ ",IF(AI205="6","         └ ",IF(AI205="7"="            └ ",""))))))))&amp;IF(AM205="","",IF(AM205="메뉴","","("&amp;AM205&amp;")"))&amp;F205</f>
        <v xml:space="preserve">        └ (선택)매입거래처원장</v>
      </c>
      <c r="C205" s="27" t="str">
        <f>IF(F205="","","14821")</f>
        <v>14821</v>
      </c>
      <c r="D205" s="121"/>
      <c r="E205" s="27">
        <v>265006</v>
      </c>
      <c r="F205" s="121" t="s">
        <v>3015</v>
      </c>
      <c r="G205" s="121" t="s">
        <v>3133</v>
      </c>
      <c r="H205" s="121"/>
      <c r="I205" s="121"/>
      <c r="J205" s="121"/>
      <c r="K205" s="27" t="str">
        <f>IF(O205="","","1")</f>
        <v>1</v>
      </c>
      <c r="L205" s="27" t="str">
        <f>IF(F205="","","1")</f>
        <v>1</v>
      </c>
      <c r="M205" s="27" t="str">
        <f>IF(O205="","0","1")</f>
        <v>1</v>
      </c>
      <c r="N205" s="121" t="s">
        <v>3008</v>
      </c>
      <c r="O205" s="121" t="s">
        <v>3016</v>
      </c>
      <c r="P205" s="27" t="str">
        <f>IF(O205="","0","1")</f>
        <v>1</v>
      </c>
      <c r="Q205" s="27" t="str">
        <f>IF(O205="","0","1")</f>
        <v>1</v>
      </c>
      <c r="R205" s="27" t="str">
        <f>IF(O205="","0","1")</f>
        <v>1</v>
      </c>
      <c r="S205" s="27" t="str">
        <f>IF(O205="","0","1")</f>
        <v>1</v>
      </c>
      <c r="T205" s="27" t="str">
        <f>IF(O205="","0","1")</f>
        <v>1</v>
      </c>
      <c r="U205" s="27" t="str">
        <f>IF(O205="","0","1")</f>
        <v>1</v>
      </c>
      <c r="V205" s="27" t="str">
        <f>IF(O205="","1","1")</f>
        <v>1</v>
      </c>
      <c r="W205" s="27"/>
      <c r="X205" s="27" t="str">
        <f>IF(O205="","","0")</f>
        <v>0</v>
      </c>
      <c r="Y205" s="27" t="str">
        <f>IF(O205="","","0")</f>
        <v>0</v>
      </c>
      <c r="Z205" s="27" t="str">
        <f>IF(O205="","","0")</f>
        <v>0</v>
      </c>
      <c r="AA205" s="121"/>
      <c r="AB205" s="121"/>
      <c r="AC205" s="121"/>
      <c r="AD205" s="121"/>
      <c r="AE205" s="121" t="s">
        <v>51</v>
      </c>
      <c r="AF205" s="121"/>
      <c r="AG205" s="121"/>
      <c r="AH205" s="28">
        <v>265000</v>
      </c>
      <c r="AI205" s="28" t="s">
        <v>113</v>
      </c>
      <c r="AJ205" s="28">
        <v>4</v>
      </c>
      <c r="AK205" s="28" t="str">
        <f>IF(B205="","","0")</f>
        <v>0</v>
      </c>
      <c r="AL205" s="123" t="str">
        <f>IF(C205="","",C205&amp;"/"&amp;F205&amp;"/"&amp;N205&amp;"/"&amp;O205)</f>
        <v>14821/매입거래처원장/custom.iypkg.mtrl.purc/PurcCstmList1</v>
      </c>
      <c r="AM205" s="28" t="s">
        <v>3350</v>
      </c>
      <c r="AN205" s="28"/>
      <c r="AO205" s="28"/>
      <c r="AP205" s="28"/>
      <c r="AQ205" s="28"/>
      <c r="AR205" s="28"/>
      <c r="AS205" s="28"/>
      <c r="AT205" s="28"/>
      <c r="AU205" s="28"/>
      <c r="AV205" s="28"/>
      <c r="AW205" s="28" t="s">
        <v>1829</v>
      </c>
      <c r="AX205" s="28"/>
      <c r="AY205" s="124"/>
      <c r="AZ205" s="138" t="str">
        <f>IF(C205="","","delete from module_mst where pjt_id = '"&amp;C205&amp;"' and menu_id = '"&amp;E205&amp;"';")</f>
        <v>delete from module_mst where pjt_id = '14821' and menu_id = '265006';</v>
      </c>
      <c r="BA205" s="31" t="str">
        <f>IF(C205&lt;&gt;"",CREATE_QUERY($D$1,C$2:AY$2,C205:AY205),"")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'265006', '매입거래처원장', 'Ledger of purchasing customer', '', '', '', '1', '1', '1', 'custom.iypkg.mtrl.purc', 'PurcCstmList1', '1', '1', '1', '1', '1', '1', '1', '', '0', '0', '0', '', '', '', '', 'N', '', '', '265000', '5', '4', '0', '14821/매입거래처원장/custom.iypkg.mtrl.purc/PurcCstmList1', '선택', '');</v>
      </c>
    </row>
    <row r="206" spans="1:53">
      <c r="A206" s="1">
        <v>206</v>
      </c>
      <c r="B206" s="164" t="str">
        <f t="shared" ref="B206:B207" si="400">IF(F206="","",IF(AI206="1","",IF(AI206="2","└ ",IF(AI206="3","  └ ",IF(AI206="4","    └ ",IF(AI206="5","        └ ",IF(AI206="6","         └ ",IF(AI206="7"="            └ ",""))))))))&amp;IF(AM206="","",IF(AM206="메뉴","","("&amp;AM206&amp;")"))&amp;F206</f>
        <v xml:space="preserve">        └ (공통)매입대금 지급</v>
      </c>
      <c r="C206" s="27" t="str">
        <f t="shared" ref="C206:C207" si="401">IF(F206="","","14821")</f>
        <v>14821</v>
      </c>
      <c r="D206" s="121"/>
      <c r="E206" s="27">
        <v>265007</v>
      </c>
      <c r="F206" s="121" t="s">
        <v>3290</v>
      </c>
      <c r="G206" s="121" t="s">
        <v>900</v>
      </c>
      <c r="H206" s="121"/>
      <c r="I206" s="121"/>
      <c r="J206" s="121"/>
      <c r="K206" s="27" t="str">
        <f t="shared" ref="K206:K207" si="402">IF(O206="","","1")</f>
        <v>1</v>
      </c>
      <c r="L206" s="27" t="str">
        <f t="shared" ref="L206:L207" si="403">IF(F206="","","1")</f>
        <v>1</v>
      </c>
      <c r="M206" s="27" t="str">
        <f t="shared" ref="M206:M207" si="404">IF(O206="","0","1")</f>
        <v>1</v>
      </c>
      <c r="N206" s="121" t="s">
        <v>3280</v>
      </c>
      <c r="O206" s="121" t="s">
        <v>3291</v>
      </c>
      <c r="P206" s="27" t="str">
        <f t="shared" ref="P206:P207" si="405">IF(O206="","0","1")</f>
        <v>1</v>
      </c>
      <c r="Q206" s="27" t="str">
        <f t="shared" ref="Q206:Q207" si="406">IF(O206="","0","1")</f>
        <v>1</v>
      </c>
      <c r="R206" s="27" t="str">
        <f t="shared" ref="R206:R207" si="407">IF(O206="","0","1")</f>
        <v>1</v>
      </c>
      <c r="S206" s="27" t="str">
        <f t="shared" ref="S206:S207" si="408">IF(O206="","0","1")</f>
        <v>1</v>
      </c>
      <c r="T206" s="27" t="str">
        <f t="shared" ref="T206:T207" si="409">IF(O206="","0","1")</f>
        <v>1</v>
      </c>
      <c r="U206" s="27" t="str">
        <f t="shared" ref="U206:U207" si="410">IF(O206="","0","1")</f>
        <v>1</v>
      </c>
      <c r="V206" s="27" t="str">
        <f t="shared" ref="V206:V207" si="411">IF(O206="","1","1")</f>
        <v>1</v>
      </c>
      <c r="W206" s="27"/>
      <c r="X206" s="27" t="str">
        <f t="shared" ref="X206:X207" si="412">IF(O206="","","0")</f>
        <v>0</v>
      </c>
      <c r="Y206" s="27" t="str">
        <f t="shared" ref="Y206:Y207" si="413">IF(O206="","","0")</f>
        <v>0</v>
      </c>
      <c r="Z206" s="27" t="str">
        <f t="shared" ref="Z206:Z207" si="414">IF(O206="","","0")</f>
        <v>0</v>
      </c>
      <c r="AA206" s="121"/>
      <c r="AB206" s="121"/>
      <c r="AC206" s="121"/>
      <c r="AD206" s="121"/>
      <c r="AE206" s="121" t="s">
        <v>51</v>
      </c>
      <c r="AF206" s="121"/>
      <c r="AG206" s="121"/>
      <c r="AH206" s="28">
        <v>265000</v>
      </c>
      <c r="AI206" s="28" t="s">
        <v>113</v>
      </c>
      <c r="AJ206" s="28">
        <v>6</v>
      </c>
      <c r="AK206" s="28" t="str">
        <f t="shared" ref="AK206:AK207" si="415">IF(B206="","","0")</f>
        <v>0</v>
      </c>
      <c r="AL206" s="123" t="str">
        <f t="shared" ref="AL206:AL214" si="416">IF(C206="","",C206&amp;"/"&amp;F206&amp;"/"&amp;N206&amp;"/"&amp;O206)</f>
        <v>14821/매입대금 지급/mtrl.isttcalc/PurcPayWork</v>
      </c>
      <c r="AM206" s="28" t="s">
        <v>2984</v>
      </c>
      <c r="AN206" s="28"/>
      <c r="AO206" s="28"/>
      <c r="AP206" s="28"/>
      <c r="AQ206" s="28"/>
      <c r="AR206" s="28"/>
      <c r="AS206" s="28"/>
      <c r="AT206" s="28"/>
      <c r="AU206" s="28"/>
      <c r="AV206" s="28"/>
      <c r="AW206" s="28"/>
      <c r="AX206" s="28"/>
      <c r="AY206" s="124"/>
      <c r="AZ206" s="138" t="str">
        <f>IF(C206="","","delete from module_mst where pjt_id = '"&amp;C206&amp;"' and menu_id = '"&amp;E206&amp;"';")</f>
        <v>delete from module_mst where pjt_id = '14821' and menu_id = '265007';</v>
      </c>
      <c r="BA206" s="31" t="str">
        <f>IF(C206&lt;&gt;"",CREATE_QUERY($D$1,C$2:AY$2,C206:AY206),"")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'265007', '매입대금 지급', '', '', '', '', '1', '1', '1', 'mtrl.isttcalc', 'PurcPayWork', '1', '1', '1', '1', '1', '1', '1', '', '0', '0', '0', '', '', '', '', 'N', '', '', '265000', '5', '6', '0', '14821/매입대금 지급/mtrl.isttcalc/PurcPayWork', '공통', '');</v>
      </c>
    </row>
    <row r="207" spans="1:53">
      <c r="A207" s="1">
        <v>207</v>
      </c>
      <c r="B207" s="164" t="str">
        <f t="shared" si="400"/>
        <v xml:space="preserve">        └ (선택)매입대금 지급</v>
      </c>
      <c r="C207" s="27" t="str">
        <f t="shared" si="401"/>
        <v>14821</v>
      </c>
      <c r="D207" s="121"/>
      <c r="E207" s="27">
        <v>265008</v>
      </c>
      <c r="F207" s="121" t="s">
        <v>3290</v>
      </c>
      <c r="G207" s="121" t="s">
        <v>900</v>
      </c>
      <c r="H207" s="121"/>
      <c r="I207" s="121"/>
      <c r="J207" s="121"/>
      <c r="K207" s="27" t="str">
        <f t="shared" si="402"/>
        <v>1</v>
      </c>
      <c r="L207" s="27" t="str">
        <f t="shared" si="403"/>
        <v>1</v>
      </c>
      <c r="M207" s="27" t="str">
        <f t="shared" si="404"/>
        <v>1</v>
      </c>
      <c r="N207" s="121" t="s">
        <v>3308</v>
      </c>
      <c r="O207" s="121" t="s">
        <v>3291</v>
      </c>
      <c r="P207" s="27" t="str">
        <f t="shared" si="405"/>
        <v>1</v>
      </c>
      <c r="Q207" s="27" t="str">
        <f t="shared" si="406"/>
        <v>1</v>
      </c>
      <c r="R207" s="27" t="str">
        <f t="shared" si="407"/>
        <v>1</v>
      </c>
      <c r="S207" s="27" t="str">
        <f t="shared" si="408"/>
        <v>1</v>
      </c>
      <c r="T207" s="27" t="str">
        <f t="shared" si="409"/>
        <v>1</v>
      </c>
      <c r="U207" s="27" t="str">
        <f t="shared" si="410"/>
        <v>1</v>
      </c>
      <c r="V207" s="27" t="str">
        <f t="shared" si="411"/>
        <v>1</v>
      </c>
      <c r="W207" s="27"/>
      <c r="X207" s="27" t="str">
        <f t="shared" si="412"/>
        <v>0</v>
      </c>
      <c r="Y207" s="27" t="str">
        <f t="shared" si="413"/>
        <v>0</v>
      </c>
      <c r="Z207" s="27" t="str">
        <f t="shared" si="414"/>
        <v>0</v>
      </c>
      <c r="AA207" s="121"/>
      <c r="AB207" s="121"/>
      <c r="AC207" s="121"/>
      <c r="AD207" s="121"/>
      <c r="AE207" s="121" t="s">
        <v>51</v>
      </c>
      <c r="AF207" s="121"/>
      <c r="AG207" s="121"/>
      <c r="AH207" s="28">
        <v>265000</v>
      </c>
      <c r="AI207" s="28" t="s">
        <v>113</v>
      </c>
      <c r="AJ207" s="28">
        <v>7</v>
      </c>
      <c r="AK207" s="28" t="str">
        <f t="shared" si="415"/>
        <v>0</v>
      </c>
      <c r="AL207" s="123" t="str">
        <f t="shared" si="416"/>
        <v>14821/매입대금 지급/custom.sjflv.mtrl.isttcalc/PurcPayWork</v>
      </c>
      <c r="AM207" s="28" t="s">
        <v>3350</v>
      </c>
      <c r="AN207" s="28" t="s">
        <v>3245</v>
      </c>
      <c r="AO207" s="28" t="s">
        <v>3245</v>
      </c>
      <c r="AP207" s="28" t="s">
        <v>3245</v>
      </c>
      <c r="AQ207" s="28" t="s">
        <v>3245</v>
      </c>
      <c r="AR207" s="28" t="s">
        <v>3245</v>
      </c>
      <c r="AS207" s="28" t="s">
        <v>3245</v>
      </c>
      <c r="AT207" s="28" t="s">
        <v>3245</v>
      </c>
      <c r="AU207" s="28" t="s">
        <v>3245</v>
      </c>
      <c r="AV207" s="28" t="s">
        <v>3245</v>
      </c>
      <c r="AW207" s="28" t="s">
        <v>3245</v>
      </c>
      <c r="AX207" s="28" t="s">
        <v>3245</v>
      </c>
      <c r="AY207" s="124"/>
      <c r="AZ207" s="138" t="str">
        <f>IF(C207="","","delete from module_mst where pjt_id = '"&amp;C207&amp;"' and menu_id = '"&amp;E207&amp;"';")</f>
        <v>delete from module_mst where pjt_id = '14821' and menu_id = '265008';</v>
      </c>
      <c r="BA207" s="31" t="str">
        <f>IF(C207&lt;&gt;"",CREATE_QUERY($D$1,C$2:AY$2,C207:AY207),"")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'265008', '매입대금 지급', '', '', '', '', '1', '1', '1', 'custom.sjflv.mtrl.isttcalc', 'PurcPayWork', '1', '1', '1', '1', '1', '1', '1', '', '0', '0', '0', '', '', '', '', 'N', '', '', '265000', '5', '7', '0', '14821/매입대금 지급/custom.sjflv.mtrl.isttcalc/PurcPayWork', '선택', '');</v>
      </c>
    </row>
    <row r="208" spans="1:53">
      <c r="A208" s="1">
        <v>208</v>
      </c>
      <c r="B208" s="164" t="str">
        <f>IF(F208="","",IF(AI208="1","",IF(AI208="2","└ ",IF(AI208="3","  └ ",IF(AI208="4","    └ ",IF(AI208="5","        └ ",IF(AI208="6","         └ ",IF(AI208="7"="            └ ",""))))))))&amp;IF(AM208="","",IF(AM208="메뉴","","("&amp;AM208&amp;")"))&amp;F208</f>
        <v xml:space="preserve">        └ (선택)매입정산현황</v>
      </c>
      <c r="C208" s="27" t="str">
        <f>IF(F208="","","14821")</f>
        <v>14821</v>
      </c>
      <c r="D208" s="121"/>
      <c r="E208" s="27">
        <v>265009</v>
      </c>
      <c r="F208" s="121" t="s">
        <v>2371</v>
      </c>
      <c r="G208" s="121" t="s">
        <v>3225</v>
      </c>
      <c r="H208" s="121"/>
      <c r="I208" s="121"/>
      <c r="J208" s="121"/>
      <c r="K208" s="27" t="str">
        <f>IF(O208="","","1")</f>
        <v>1</v>
      </c>
      <c r="L208" s="27" t="str">
        <f>IF(F208="","","1")</f>
        <v>1</v>
      </c>
      <c r="M208" s="27" t="str">
        <f>IF(O208="","0","1")</f>
        <v>1</v>
      </c>
      <c r="N208" s="121" t="s">
        <v>345</v>
      </c>
      <c r="O208" s="121" t="s">
        <v>2372</v>
      </c>
      <c r="P208" s="27" t="str">
        <f>IF(O208="","0","1")</f>
        <v>1</v>
      </c>
      <c r="Q208" s="27" t="str">
        <f>IF(O208="","0","1")</f>
        <v>1</v>
      </c>
      <c r="R208" s="27" t="str">
        <f>IF(O208="","0","1")</f>
        <v>1</v>
      </c>
      <c r="S208" s="27" t="str">
        <f>IF(O208="","0","1")</f>
        <v>1</v>
      </c>
      <c r="T208" s="27" t="str">
        <f>IF(O208="","0","1")</f>
        <v>1</v>
      </c>
      <c r="U208" s="27" t="str">
        <f>IF(O208="","0","1")</f>
        <v>1</v>
      </c>
      <c r="V208" s="27" t="str">
        <f>IF(O208="","1","1")</f>
        <v>1</v>
      </c>
      <c r="W208" s="27"/>
      <c r="X208" s="27" t="str">
        <f>IF(O208="","","0")</f>
        <v>0</v>
      </c>
      <c r="Y208" s="27" t="str">
        <f>IF(O208="","","0")</f>
        <v>0</v>
      </c>
      <c r="Z208" s="27" t="str">
        <f>IF(O208="","","0")</f>
        <v>0</v>
      </c>
      <c r="AA208" s="121"/>
      <c r="AB208" s="121"/>
      <c r="AC208" s="121"/>
      <c r="AD208" s="121"/>
      <c r="AE208" s="121" t="s">
        <v>51</v>
      </c>
      <c r="AF208" s="121"/>
      <c r="AG208" s="121"/>
      <c r="AH208" s="28">
        <v>265000</v>
      </c>
      <c r="AI208" s="28" t="s">
        <v>113</v>
      </c>
      <c r="AJ208" s="28">
        <v>30450</v>
      </c>
      <c r="AK208" s="28" t="str">
        <f>IF(B208="","","0")</f>
        <v>0</v>
      </c>
      <c r="AL208" s="123" t="str">
        <f t="shared" si="416"/>
        <v>14821/매입정산현황/mtrl.project/PrjtPurcOrderList2</v>
      </c>
      <c r="AM208" s="28" t="s">
        <v>3350</v>
      </c>
      <c r="AN208" s="28"/>
      <c r="AO208" s="28" t="s">
        <v>1829</v>
      </c>
      <c r="AP208" s="28"/>
      <c r="AQ208" s="28"/>
      <c r="AR208" s="28"/>
      <c r="AS208" s="28"/>
      <c r="AT208" s="28"/>
      <c r="AU208" s="28"/>
      <c r="AV208" s="28"/>
      <c r="AW208" s="28"/>
      <c r="AX208" s="28"/>
      <c r="AY208" s="124"/>
      <c r="AZ208" s="138" t="str">
        <f>IF(C208="","","delete from module_mst where pjt_id = '"&amp;C208&amp;"' and menu_id = '"&amp;E208&amp;"';")</f>
        <v>delete from module_mst where pjt_id = '14821' and menu_id = '265009';</v>
      </c>
      <c r="BA208" s="31" t="str">
        <f>IF(C208&lt;&gt;"",CREATE_QUERY($D$1,C$2:AY$2,C208:AY208),"")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'265009', '매입정산현황', 'Purchase settlement status', '', '', '', '1', '1', '1', 'mtrl.project', 'PrjtPurcOrderList2', '1', '1', '1', '1', '1', '1', '1', '', '0', '0', '0', '', '', '', '', 'N', '', '', '265000', '5', '30450', '0', '14821/매입정산현황/mtrl.project/PrjtPurcOrderList2', '선택', '');</v>
      </c>
    </row>
    <row r="209" spans="1:53" ht="17.149999999999999" customHeight="1">
      <c r="A209" s="1">
        <v>209</v>
      </c>
      <c r="B209" s="164" t="str">
        <f t="shared" ref="B209:B214" si="417">IF(F209="","",IF(AI209="1","",IF(AI209="2","└ ",IF(AI209="3","  └ ",IF(AI209="4","    └ ",IF(AI209="5","        └ ",IF(AI209="6","         └ ",IF(AI209="7"="            └ ",""))))))))&amp;IF(AM209="","",IF(AM209="메뉴","","("&amp;AM209&amp;")"))&amp;F209</f>
        <v/>
      </c>
      <c r="C209" s="27" t="str">
        <f t="shared" ref="C209:C214" si="418">IF(F209="","","14821")</f>
        <v/>
      </c>
      <c r="D209" s="121"/>
      <c r="E209" s="27">
        <v>265010</v>
      </c>
      <c r="F209" s="121"/>
      <c r="G209" s="121" t="s">
        <v>3227</v>
      </c>
      <c r="H209" s="121"/>
      <c r="I209" s="121"/>
      <c r="J209" s="121"/>
      <c r="K209" s="27" t="str">
        <f t="shared" ref="K209:K214" si="419">IF(O209="","","1")</f>
        <v/>
      </c>
      <c r="L209" s="27" t="str">
        <f t="shared" ref="L209:L214" si="420">IF(F209="","","1")</f>
        <v/>
      </c>
      <c r="M209" s="27" t="str">
        <f t="shared" ref="M209:M214" si="421">IF(O209="","0","1")</f>
        <v>0</v>
      </c>
      <c r="N209" s="121"/>
      <c r="O209" s="121"/>
      <c r="P209" s="27" t="str">
        <f t="shared" ref="P209:P214" si="422">IF(O209="","0","1")</f>
        <v>0</v>
      </c>
      <c r="Q209" s="27" t="str">
        <f t="shared" ref="Q209:Q214" si="423">IF(O209="","0","1")</f>
        <v>0</v>
      </c>
      <c r="R209" s="27" t="str">
        <f t="shared" ref="R209:R214" si="424">IF(O209="","0","1")</f>
        <v>0</v>
      </c>
      <c r="S209" s="27" t="str">
        <f t="shared" ref="S209:S214" si="425">IF(O209="","0","1")</f>
        <v>0</v>
      </c>
      <c r="T209" s="27" t="str">
        <f t="shared" ref="T209:T214" si="426">IF(O209="","0","1")</f>
        <v>0</v>
      </c>
      <c r="U209" s="27" t="str">
        <f t="shared" ref="U209:U214" si="427">IF(O209="","0","1")</f>
        <v>0</v>
      </c>
      <c r="V209" s="27" t="str">
        <f t="shared" ref="V209:V214" si="428">IF(O209="","1","1")</f>
        <v>1</v>
      </c>
      <c r="W209" s="27"/>
      <c r="X209" s="27" t="str">
        <f t="shared" ref="X209:X214" si="429">IF(O209="","","0")</f>
        <v/>
      </c>
      <c r="Y209" s="27" t="str">
        <f t="shared" ref="Y209:Y214" si="430">IF(O209="","","0")</f>
        <v/>
      </c>
      <c r="Z209" s="27" t="str">
        <f t="shared" ref="Z209:Z214" si="431">IF(O209="","","0")</f>
        <v/>
      </c>
      <c r="AA209" s="121"/>
      <c r="AB209" s="121"/>
      <c r="AC209" s="121"/>
      <c r="AD209" s="121"/>
      <c r="AE209" s="121" t="s">
        <v>51</v>
      </c>
      <c r="AF209" s="121"/>
      <c r="AG209" s="121"/>
      <c r="AH209" s="28">
        <v>265000</v>
      </c>
      <c r="AI209" s="28" t="s">
        <v>113</v>
      </c>
      <c r="AJ209" s="28">
        <v>8</v>
      </c>
      <c r="AK209" s="28" t="str">
        <f t="shared" ref="AK209:AK214" si="432">IF(B209="","","0")</f>
        <v/>
      </c>
      <c r="AL209" s="123" t="str">
        <f t="shared" si="416"/>
        <v/>
      </c>
      <c r="AM209" s="28"/>
      <c r="AN209" s="28"/>
      <c r="AO209" s="28"/>
      <c r="AP209" s="28"/>
      <c r="AQ209" s="28"/>
      <c r="AR209" s="28"/>
      <c r="AS209" s="28"/>
      <c r="AT209" s="28"/>
      <c r="AU209" s="28"/>
      <c r="AV209" s="28"/>
      <c r="AW209" s="28" t="s">
        <v>1829</v>
      </c>
      <c r="AX209" s="28"/>
      <c r="AY209" s="124"/>
      <c r="AZ209" s="138" t="str">
        <f>IF(C209="","","delete from module_mst where pjt_id = '"&amp;C209&amp;"' and menu_id = '"&amp;E209&amp;"';")</f>
        <v/>
      </c>
      <c r="BA209" s="31" t="str">
        <f>IF(C209&lt;&gt;"",CREATE_QUERY($D$1,C$2:AY$2,C209:AY209),"")</f>
        <v/>
      </c>
    </row>
    <row r="210" spans="1:53">
      <c r="A210" s="1">
        <v>210</v>
      </c>
      <c r="B210" s="164" t="str">
        <f t="shared" si="417"/>
        <v/>
      </c>
      <c r="C210" s="27" t="str">
        <f t="shared" si="418"/>
        <v/>
      </c>
      <c r="D210" s="121"/>
      <c r="E210" s="27">
        <v>265011</v>
      </c>
      <c r="F210" s="121"/>
      <c r="G210" s="121" t="s">
        <v>3228</v>
      </c>
      <c r="H210" s="121"/>
      <c r="I210" s="121"/>
      <c r="J210" s="121"/>
      <c r="K210" s="27" t="str">
        <f t="shared" si="419"/>
        <v/>
      </c>
      <c r="L210" s="27" t="str">
        <f t="shared" si="420"/>
        <v/>
      </c>
      <c r="M210" s="27" t="str">
        <f t="shared" si="421"/>
        <v>0</v>
      </c>
      <c r="N210" s="121"/>
      <c r="O210" s="121"/>
      <c r="P210" s="27" t="str">
        <f t="shared" si="422"/>
        <v>0</v>
      </c>
      <c r="Q210" s="27" t="str">
        <f t="shared" si="423"/>
        <v>0</v>
      </c>
      <c r="R210" s="27" t="str">
        <f t="shared" si="424"/>
        <v>0</v>
      </c>
      <c r="S210" s="27" t="str">
        <f t="shared" si="425"/>
        <v>0</v>
      </c>
      <c r="T210" s="27" t="str">
        <f t="shared" si="426"/>
        <v>0</v>
      </c>
      <c r="U210" s="27" t="str">
        <f t="shared" si="427"/>
        <v>0</v>
      </c>
      <c r="V210" s="27" t="str">
        <f t="shared" si="428"/>
        <v>1</v>
      </c>
      <c r="W210" s="27"/>
      <c r="X210" s="27" t="str">
        <f t="shared" si="429"/>
        <v/>
      </c>
      <c r="Y210" s="27" t="str">
        <f t="shared" si="430"/>
        <v/>
      </c>
      <c r="Z210" s="27" t="str">
        <f t="shared" si="431"/>
        <v/>
      </c>
      <c r="AA210" s="121"/>
      <c r="AB210" s="121"/>
      <c r="AC210" s="121"/>
      <c r="AD210" s="121"/>
      <c r="AE210" s="121" t="s">
        <v>51</v>
      </c>
      <c r="AF210" s="121"/>
      <c r="AG210" s="121"/>
      <c r="AH210" s="28">
        <v>265000</v>
      </c>
      <c r="AI210" s="28" t="s">
        <v>113</v>
      </c>
      <c r="AJ210" s="28">
        <v>9</v>
      </c>
      <c r="AK210" s="28" t="str">
        <f t="shared" si="432"/>
        <v/>
      </c>
      <c r="AL210" s="123" t="str">
        <f t="shared" si="416"/>
        <v/>
      </c>
      <c r="AM210" s="28"/>
      <c r="AN210" s="28"/>
      <c r="AO210" s="28"/>
      <c r="AP210" s="28"/>
      <c r="AQ210" s="28"/>
      <c r="AR210" s="28"/>
      <c r="AS210" s="28"/>
      <c r="AT210" s="28"/>
      <c r="AU210" s="28"/>
      <c r="AV210" s="28"/>
      <c r="AW210" s="28" t="s">
        <v>1829</v>
      </c>
      <c r="AX210" s="28"/>
      <c r="AY210" s="124"/>
      <c r="AZ210" s="138" t="str">
        <f>IF(C210="","","delete from module_mst where pjt_id = '"&amp;C210&amp;"' and menu_id = '"&amp;E210&amp;"';")</f>
        <v/>
      </c>
      <c r="BA210" s="31" t="str">
        <f>IF(C210&lt;&gt;"",CREATE_QUERY($D$1,C$2:AY$2,C210:AY210),"")</f>
        <v/>
      </c>
    </row>
    <row r="211" spans="1:53">
      <c r="A211" s="1">
        <v>211</v>
      </c>
      <c r="B211" s="164" t="str">
        <f t="shared" si="417"/>
        <v/>
      </c>
      <c r="C211" s="27" t="str">
        <f t="shared" si="418"/>
        <v/>
      </c>
      <c r="D211" s="121"/>
      <c r="E211" s="27">
        <v>265012</v>
      </c>
      <c r="F211" s="121"/>
      <c r="G211" s="121" t="s">
        <v>3132</v>
      </c>
      <c r="H211" s="121"/>
      <c r="I211" s="121"/>
      <c r="J211" s="121"/>
      <c r="K211" s="27" t="str">
        <f t="shared" si="419"/>
        <v/>
      </c>
      <c r="L211" s="27" t="str">
        <f t="shared" si="420"/>
        <v/>
      </c>
      <c r="M211" s="27" t="str">
        <f t="shared" si="421"/>
        <v>0</v>
      </c>
      <c r="N211" s="121"/>
      <c r="O211" s="121"/>
      <c r="P211" s="27" t="str">
        <f t="shared" si="422"/>
        <v>0</v>
      </c>
      <c r="Q211" s="27" t="str">
        <f t="shared" si="423"/>
        <v>0</v>
      </c>
      <c r="R211" s="27" t="str">
        <f t="shared" si="424"/>
        <v>0</v>
      </c>
      <c r="S211" s="27" t="str">
        <f t="shared" si="425"/>
        <v>0</v>
      </c>
      <c r="T211" s="27" t="str">
        <f t="shared" si="426"/>
        <v>0</v>
      </c>
      <c r="U211" s="27" t="str">
        <f t="shared" si="427"/>
        <v>0</v>
      </c>
      <c r="V211" s="27" t="str">
        <f t="shared" si="428"/>
        <v>1</v>
      </c>
      <c r="W211" s="27"/>
      <c r="X211" s="27" t="str">
        <f t="shared" si="429"/>
        <v/>
      </c>
      <c r="Y211" s="27" t="str">
        <f t="shared" si="430"/>
        <v/>
      </c>
      <c r="Z211" s="27" t="str">
        <f t="shared" si="431"/>
        <v/>
      </c>
      <c r="AA211" s="121"/>
      <c r="AB211" s="121"/>
      <c r="AC211" s="121"/>
      <c r="AD211" s="121"/>
      <c r="AE211" s="121" t="s">
        <v>51</v>
      </c>
      <c r="AF211" s="121"/>
      <c r="AG211" s="121"/>
      <c r="AH211" s="28">
        <v>265000</v>
      </c>
      <c r="AI211" s="28" t="s">
        <v>113</v>
      </c>
      <c r="AJ211" s="28">
        <v>10</v>
      </c>
      <c r="AK211" s="28" t="str">
        <f t="shared" si="432"/>
        <v/>
      </c>
      <c r="AL211" s="123" t="str">
        <f t="shared" si="416"/>
        <v/>
      </c>
      <c r="AM211" s="28"/>
      <c r="AN211" s="28"/>
      <c r="AO211" s="28"/>
      <c r="AP211" s="28"/>
      <c r="AQ211" s="28"/>
      <c r="AR211" s="28"/>
      <c r="AS211" s="28"/>
      <c r="AT211" s="28"/>
      <c r="AU211" s="28"/>
      <c r="AV211" s="28"/>
      <c r="AW211" s="28" t="s">
        <v>1829</v>
      </c>
      <c r="AX211" s="28"/>
      <c r="AY211" s="124"/>
      <c r="AZ211" s="138" t="str">
        <f>IF(C211="","","delete from module_mst where pjt_id = '"&amp;C211&amp;"' and menu_id = '"&amp;E211&amp;"';")</f>
        <v/>
      </c>
      <c r="BA211" s="31" t="str">
        <f>IF(C211&lt;&gt;"",CREATE_QUERY($D$1,C$2:AY$2,C211:AY211),"")</f>
        <v/>
      </c>
    </row>
    <row r="212" spans="1:53">
      <c r="A212" s="1">
        <v>212</v>
      </c>
      <c r="B212" s="164" t="str">
        <f t="shared" si="417"/>
        <v/>
      </c>
      <c r="C212" s="27" t="str">
        <f t="shared" si="418"/>
        <v/>
      </c>
      <c r="D212" s="121"/>
      <c r="E212" s="27">
        <v>265013</v>
      </c>
      <c r="F212" s="121"/>
      <c r="G212" s="121" t="s">
        <v>3133</v>
      </c>
      <c r="H212" s="121"/>
      <c r="I212" s="121"/>
      <c r="J212" s="121"/>
      <c r="K212" s="27" t="str">
        <f t="shared" si="419"/>
        <v/>
      </c>
      <c r="L212" s="27" t="str">
        <f t="shared" si="420"/>
        <v/>
      </c>
      <c r="M212" s="27" t="str">
        <f t="shared" si="421"/>
        <v>0</v>
      </c>
      <c r="N212" s="121"/>
      <c r="O212" s="121"/>
      <c r="P212" s="27" t="str">
        <f t="shared" si="422"/>
        <v>0</v>
      </c>
      <c r="Q212" s="27" t="str">
        <f t="shared" si="423"/>
        <v>0</v>
      </c>
      <c r="R212" s="27" t="str">
        <f t="shared" si="424"/>
        <v>0</v>
      </c>
      <c r="S212" s="27" t="str">
        <f t="shared" si="425"/>
        <v>0</v>
      </c>
      <c r="T212" s="27" t="str">
        <f t="shared" si="426"/>
        <v>0</v>
      </c>
      <c r="U212" s="27" t="str">
        <f t="shared" si="427"/>
        <v>0</v>
      </c>
      <c r="V212" s="27" t="str">
        <f t="shared" si="428"/>
        <v>1</v>
      </c>
      <c r="W212" s="27"/>
      <c r="X212" s="27" t="str">
        <f t="shared" si="429"/>
        <v/>
      </c>
      <c r="Y212" s="27" t="str">
        <f t="shared" si="430"/>
        <v/>
      </c>
      <c r="Z212" s="27" t="str">
        <f t="shared" si="431"/>
        <v/>
      </c>
      <c r="AA212" s="121"/>
      <c r="AB212" s="121"/>
      <c r="AC212" s="121"/>
      <c r="AD212" s="121"/>
      <c r="AE212" s="121" t="s">
        <v>51</v>
      </c>
      <c r="AF212" s="121"/>
      <c r="AG212" s="121"/>
      <c r="AH212" s="28">
        <v>265000</v>
      </c>
      <c r="AI212" s="28" t="s">
        <v>113</v>
      </c>
      <c r="AJ212" s="28">
        <v>11</v>
      </c>
      <c r="AK212" s="28" t="str">
        <f t="shared" si="432"/>
        <v/>
      </c>
      <c r="AL212" s="123" t="str">
        <f t="shared" si="416"/>
        <v/>
      </c>
      <c r="AM212" s="28"/>
      <c r="AN212" s="28"/>
      <c r="AO212" s="28"/>
      <c r="AP212" s="28"/>
      <c r="AQ212" s="28"/>
      <c r="AR212" s="28"/>
      <c r="AS212" s="28"/>
      <c r="AT212" s="28"/>
      <c r="AU212" s="28"/>
      <c r="AV212" s="28"/>
      <c r="AW212" s="28" t="s">
        <v>1829</v>
      </c>
      <c r="AX212" s="28"/>
      <c r="AY212" s="124"/>
      <c r="AZ212" s="138" t="str">
        <f>IF(C212="","","delete from module_mst where pjt_id = '"&amp;C212&amp;"' and menu_id = '"&amp;E212&amp;"';")</f>
        <v/>
      </c>
      <c r="BA212" s="31" t="str">
        <f>IF(C212&lt;&gt;"",CREATE_QUERY($D$1,C$2:AY$2,C212:AY212),"")</f>
        <v/>
      </c>
    </row>
    <row r="213" spans="1:53">
      <c r="A213" s="1">
        <v>213</v>
      </c>
      <c r="B213" s="164" t="str">
        <f t="shared" si="417"/>
        <v/>
      </c>
      <c r="C213" s="27" t="str">
        <f t="shared" si="418"/>
        <v/>
      </c>
      <c r="D213" s="121"/>
      <c r="E213" s="27">
        <v>265014</v>
      </c>
      <c r="F213" s="121"/>
      <c r="G213" s="121" t="s">
        <v>3134</v>
      </c>
      <c r="H213" s="121"/>
      <c r="I213" s="121"/>
      <c r="J213" s="121"/>
      <c r="K213" s="27" t="str">
        <f t="shared" si="419"/>
        <v/>
      </c>
      <c r="L213" s="27" t="str">
        <f t="shared" si="420"/>
        <v/>
      </c>
      <c r="M213" s="27" t="str">
        <f t="shared" si="421"/>
        <v>0</v>
      </c>
      <c r="N213" s="121"/>
      <c r="O213" s="121"/>
      <c r="P213" s="27" t="str">
        <f t="shared" si="422"/>
        <v>0</v>
      </c>
      <c r="Q213" s="27" t="str">
        <f t="shared" si="423"/>
        <v>0</v>
      </c>
      <c r="R213" s="27" t="str">
        <f t="shared" si="424"/>
        <v>0</v>
      </c>
      <c r="S213" s="27" t="str">
        <f t="shared" si="425"/>
        <v>0</v>
      </c>
      <c r="T213" s="27" t="str">
        <f t="shared" si="426"/>
        <v>0</v>
      </c>
      <c r="U213" s="27" t="str">
        <f t="shared" si="427"/>
        <v>0</v>
      </c>
      <c r="V213" s="27" t="str">
        <f t="shared" si="428"/>
        <v>1</v>
      </c>
      <c r="W213" s="27"/>
      <c r="X213" s="27" t="str">
        <f t="shared" si="429"/>
        <v/>
      </c>
      <c r="Y213" s="27" t="str">
        <f t="shared" si="430"/>
        <v/>
      </c>
      <c r="Z213" s="27" t="str">
        <f t="shared" si="431"/>
        <v/>
      </c>
      <c r="AA213" s="121"/>
      <c r="AB213" s="121"/>
      <c r="AC213" s="121"/>
      <c r="AD213" s="121"/>
      <c r="AE213" s="121" t="s">
        <v>51</v>
      </c>
      <c r="AF213" s="121"/>
      <c r="AG213" s="121"/>
      <c r="AH213" s="28">
        <v>265000</v>
      </c>
      <c r="AI213" s="28" t="s">
        <v>113</v>
      </c>
      <c r="AJ213" s="28">
        <v>12</v>
      </c>
      <c r="AK213" s="28" t="str">
        <f t="shared" si="432"/>
        <v/>
      </c>
      <c r="AL213" s="123" t="str">
        <f t="shared" si="416"/>
        <v/>
      </c>
      <c r="AM213" s="28"/>
      <c r="AN213" s="28"/>
      <c r="AO213" s="28"/>
      <c r="AP213" s="28"/>
      <c r="AQ213" s="28"/>
      <c r="AR213" s="28"/>
      <c r="AS213" s="28"/>
      <c r="AT213" s="28"/>
      <c r="AU213" s="28"/>
      <c r="AV213" s="28"/>
      <c r="AW213" s="28" t="s">
        <v>1829</v>
      </c>
      <c r="AX213" s="28"/>
      <c r="AY213" s="124"/>
      <c r="AZ213" s="138" t="str">
        <f>IF(C213="","","delete from module_mst where pjt_id = '"&amp;C213&amp;"' and menu_id = '"&amp;E213&amp;"';")</f>
        <v/>
      </c>
      <c r="BA213" s="31" t="str">
        <f>IF(C213&lt;&gt;"",CREATE_QUERY($D$1,C$2:AY$2,C213:AY213),"")</f>
        <v/>
      </c>
    </row>
    <row r="214" spans="1:53">
      <c r="A214" s="1">
        <v>214</v>
      </c>
      <c r="B214" s="164" t="str">
        <f t="shared" si="417"/>
        <v/>
      </c>
      <c r="C214" s="27" t="str">
        <f t="shared" si="418"/>
        <v/>
      </c>
      <c r="D214" s="121"/>
      <c r="E214" s="27"/>
      <c r="F214" s="121"/>
      <c r="G214" s="121" t="s">
        <v>900</v>
      </c>
      <c r="H214" s="121"/>
      <c r="I214" s="121"/>
      <c r="J214" s="121"/>
      <c r="K214" s="27" t="str">
        <f t="shared" si="419"/>
        <v/>
      </c>
      <c r="L214" s="27" t="str">
        <f t="shared" si="420"/>
        <v/>
      </c>
      <c r="M214" s="27" t="str">
        <f t="shared" si="421"/>
        <v>0</v>
      </c>
      <c r="N214" s="121"/>
      <c r="O214" s="121"/>
      <c r="P214" s="27" t="str">
        <f t="shared" si="422"/>
        <v>0</v>
      </c>
      <c r="Q214" s="27" t="str">
        <f t="shared" si="423"/>
        <v>0</v>
      </c>
      <c r="R214" s="27" t="str">
        <f t="shared" si="424"/>
        <v>0</v>
      </c>
      <c r="S214" s="27" t="str">
        <f t="shared" si="425"/>
        <v>0</v>
      </c>
      <c r="T214" s="27" t="str">
        <f t="shared" si="426"/>
        <v>0</v>
      </c>
      <c r="U214" s="27" t="str">
        <f t="shared" si="427"/>
        <v>0</v>
      </c>
      <c r="V214" s="27" t="str">
        <f t="shared" si="428"/>
        <v>1</v>
      </c>
      <c r="W214" s="27"/>
      <c r="X214" s="27" t="str">
        <f t="shared" si="429"/>
        <v/>
      </c>
      <c r="Y214" s="27" t="str">
        <f t="shared" si="430"/>
        <v/>
      </c>
      <c r="Z214" s="27" t="str">
        <f t="shared" si="431"/>
        <v/>
      </c>
      <c r="AA214" s="121"/>
      <c r="AB214" s="121"/>
      <c r="AC214" s="121"/>
      <c r="AD214" s="121"/>
      <c r="AE214" s="121" t="s">
        <v>51</v>
      </c>
      <c r="AF214" s="121"/>
      <c r="AG214" s="121"/>
      <c r="AH214" s="28"/>
      <c r="AI214" s="28" t="s">
        <v>113</v>
      </c>
      <c r="AJ214" s="28">
        <v>13</v>
      </c>
      <c r="AK214" s="28" t="str">
        <f t="shared" si="432"/>
        <v/>
      </c>
      <c r="AL214" s="123" t="str">
        <f t="shared" si="416"/>
        <v/>
      </c>
      <c r="AM214" s="28"/>
      <c r="AN214" s="28"/>
      <c r="AO214" s="28"/>
      <c r="AP214" s="28"/>
      <c r="AQ214" s="28"/>
      <c r="AR214" s="28"/>
      <c r="AS214" s="28"/>
      <c r="AT214" s="28"/>
      <c r="AU214" s="28"/>
      <c r="AV214" s="28"/>
      <c r="AW214" s="28"/>
      <c r="AX214" s="28"/>
      <c r="AY214" s="124"/>
      <c r="AZ214" s="138" t="str">
        <f>IF(C214="","","delete from module_mst where pjt_id = '"&amp;C214&amp;"' and menu_id = '"&amp;E214&amp;"';")</f>
        <v/>
      </c>
      <c r="BA214" s="31" t="str">
        <f>IF(C214&lt;&gt;"",CREATE_QUERY($D$1,C$2:AY$2,C214:AY214),"")</f>
        <v/>
      </c>
    </row>
    <row r="215" spans="1:53">
      <c r="A215" s="1">
        <v>215</v>
      </c>
      <c r="B215" s="165" t="str">
        <f t="shared" si="280"/>
        <v xml:space="preserve">  └ 재고관리</v>
      </c>
      <c r="C215" s="27" t="str">
        <f t="shared" si="318"/>
        <v>14821</v>
      </c>
      <c r="D215" s="121"/>
      <c r="E215" s="25" t="s">
        <v>358</v>
      </c>
      <c r="F215" s="127" t="s">
        <v>172</v>
      </c>
      <c r="G215" s="127" t="s">
        <v>3135</v>
      </c>
      <c r="H215" s="127"/>
      <c r="I215" s="127"/>
      <c r="J215" s="127"/>
      <c r="K215" s="25" t="str">
        <f t="shared" si="334"/>
        <v/>
      </c>
      <c r="L215" s="25" t="str">
        <f t="shared" si="319"/>
        <v>1</v>
      </c>
      <c r="M215" s="25" t="str">
        <f t="shared" si="335"/>
        <v>0</v>
      </c>
      <c r="N215" s="127"/>
      <c r="O215" s="127"/>
      <c r="P215" s="25" t="str">
        <f t="shared" si="270"/>
        <v>0</v>
      </c>
      <c r="Q215" s="25" t="str">
        <f t="shared" si="271"/>
        <v>0</v>
      </c>
      <c r="R215" s="25" t="str">
        <f t="shared" si="272"/>
        <v>0</v>
      </c>
      <c r="S215" s="25" t="str">
        <f t="shared" si="273"/>
        <v>0</v>
      </c>
      <c r="T215" s="25" t="str">
        <f t="shared" si="274"/>
        <v>0</v>
      </c>
      <c r="U215" s="25" t="str">
        <f t="shared" si="275"/>
        <v>0</v>
      </c>
      <c r="V215" s="25" t="str">
        <f t="shared" si="276"/>
        <v>1</v>
      </c>
      <c r="W215" s="25"/>
      <c r="X215" s="25" t="str">
        <f t="shared" si="277"/>
        <v/>
      </c>
      <c r="Y215" s="25" t="str">
        <f t="shared" si="278"/>
        <v/>
      </c>
      <c r="Z215" s="25" t="str">
        <f t="shared" si="279"/>
        <v/>
      </c>
      <c r="AA215" s="127"/>
      <c r="AB215" s="127"/>
      <c r="AC215" s="127"/>
      <c r="AD215" s="127"/>
      <c r="AE215" s="127" t="s">
        <v>51</v>
      </c>
      <c r="AF215" s="127"/>
      <c r="AG215" s="127"/>
      <c r="AH215" s="24" t="s">
        <v>120</v>
      </c>
      <c r="AI215" s="24" t="s">
        <v>111</v>
      </c>
      <c r="AJ215" s="24">
        <v>40000</v>
      </c>
      <c r="AK215" s="24" t="str">
        <f t="shared" si="320"/>
        <v>0</v>
      </c>
      <c r="AL215" s="123" t="str">
        <f t="shared" si="140"/>
        <v>14821/재고관리//</v>
      </c>
      <c r="AM215" s="24" t="s">
        <v>2979</v>
      </c>
      <c r="AN215" s="24" t="str">
        <f t="shared" ref="AN215:AX215" si="433">IF(COUNTIF(AN268:AN312,"="&amp;"Y")&gt;0,"Y",IF(COUNTIF(AN268:AN312,"="&amp;"-")&gt;0,"m",""))</f>
        <v>m</v>
      </c>
      <c r="AO215" s="24" t="str">
        <f t="shared" si="433"/>
        <v>m</v>
      </c>
      <c r="AP215" s="24" t="str">
        <f t="shared" si="433"/>
        <v>m</v>
      </c>
      <c r="AQ215" s="24" t="str">
        <f t="shared" si="433"/>
        <v>m</v>
      </c>
      <c r="AR215" s="24" t="str">
        <f t="shared" si="433"/>
        <v>Y</v>
      </c>
      <c r="AS215" s="24" t="str">
        <f t="shared" si="433"/>
        <v>m</v>
      </c>
      <c r="AT215" s="24" t="str">
        <f t="shared" si="433"/>
        <v>Y</v>
      </c>
      <c r="AU215" s="24" t="str">
        <f t="shared" si="433"/>
        <v>m</v>
      </c>
      <c r="AV215" s="24" t="str">
        <f t="shared" si="433"/>
        <v>m</v>
      </c>
      <c r="AW215" s="24" t="str">
        <f t="shared" si="433"/>
        <v>Y</v>
      </c>
      <c r="AX215" s="24" t="str">
        <f t="shared" si="433"/>
        <v>Y</v>
      </c>
      <c r="AY215" s="124"/>
      <c r="AZ215" s="138" t="str">
        <f>IF(C215="","","delete from module_mst where pjt_id = '"&amp;C215&amp;"' and menu_id = '"&amp;E215&amp;"';")</f>
        <v>delete from module_mst where pjt_id = '14821' and menu_id = '270000';</v>
      </c>
      <c r="BA215" s="31" t="str">
        <f>IF(C215&lt;&gt;"",CREATE_QUERY($D$1,C$2:AY$2,C215:AY215),"")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'270000', '재고관리', 'Inventory Management', '', '', '', '', '1', '0', '', '', '0', '0', '0', '0', '0', '0', '1', '', '', '', '', '', '', '', '', 'N', '', '', '200000', '3', '40000', '0', '14821/재고관리//', '메뉴', '');</v>
      </c>
    </row>
    <row r="216" spans="1:53">
      <c r="A216" s="1">
        <v>216</v>
      </c>
      <c r="B216" s="159" t="str">
        <f t="shared" ref="B216:B250" si="434">IF(F216="","",IF(AI216="1","",IF(AI216="2","└ ",IF(AI216="3","  └ ",IF(AI216="4","    └ ",IF(AI216="5","        └ ",IF(AI216="6","         └ ",IF(AI216="7"="            └ ",""))))))))&amp;IF(AM216="","",IF(AM216="메뉴","","("&amp;AM216&amp;")"))&amp;F216</f>
        <v xml:space="preserve">    └ 자재입고관리</v>
      </c>
      <c r="C216" s="27" t="str">
        <f t="shared" ref="C216:C247" si="435">IF(F216="","","14821")</f>
        <v>14821</v>
      </c>
      <c r="D216" s="121"/>
      <c r="E216" s="21">
        <v>271000</v>
      </c>
      <c r="F216" s="118" t="s">
        <v>3006</v>
      </c>
      <c r="G216" s="118" t="s">
        <v>3131</v>
      </c>
      <c r="H216" s="118"/>
      <c r="I216" s="118"/>
      <c r="J216" s="118"/>
      <c r="K216" s="21" t="str">
        <f t="shared" ref="K216:K250" si="436">IF(O216="","","1")</f>
        <v/>
      </c>
      <c r="L216" s="21" t="str">
        <f t="shared" ref="L216:L247" si="437">IF(F216="","","1")</f>
        <v>1</v>
      </c>
      <c r="M216" s="21" t="str">
        <f t="shared" ref="M216:M250" si="438">IF(O216="","0","1")</f>
        <v>0</v>
      </c>
      <c r="N216" s="118"/>
      <c r="O216" s="118"/>
      <c r="P216" s="21" t="str">
        <f t="shared" ref="P216:P247" si="439">IF(O216="","0","1")</f>
        <v>0</v>
      </c>
      <c r="Q216" s="21" t="str">
        <f t="shared" ref="Q216:Q247" si="440">IF(O216="","0","1")</f>
        <v>0</v>
      </c>
      <c r="R216" s="21" t="str">
        <f t="shared" ref="R216:R247" si="441">IF(O216="","0","1")</f>
        <v>0</v>
      </c>
      <c r="S216" s="21" t="str">
        <f t="shared" ref="S216:S247" si="442">IF(O216="","0","1")</f>
        <v>0</v>
      </c>
      <c r="T216" s="21" t="str">
        <f t="shared" ref="T216:T247" si="443">IF(O216="","0","1")</f>
        <v>0</v>
      </c>
      <c r="U216" s="21" t="str">
        <f t="shared" ref="U216:U247" si="444">IF(O216="","0","1")</f>
        <v>0</v>
      </c>
      <c r="V216" s="21" t="str">
        <f t="shared" ref="V216:V247" si="445">IF(O216="","1","1")</f>
        <v>1</v>
      </c>
      <c r="W216" s="21"/>
      <c r="X216" s="21" t="str">
        <f t="shared" ref="X216:X247" si="446">IF(O216="","","0")</f>
        <v/>
      </c>
      <c r="Y216" s="21" t="str">
        <f t="shared" ref="Y216:Y247" si="447">IF(O216="","","0")</f>
        <v/>
      </c>
      <c r="Z216" s="21" t="str">
        <f t="shared" ref="Z216:Z247" si="448">IF(O216="","","0")</f>
        <v/>
      </c>
      <c r="AA216" s="118"/>
      <c r="AB216" s="118"/>
      <c r="AC216" s="118"/>
      <c r="AD216" s="118"/>
      <c r="AE216" s="118" t="s">
        <v>51</v>
      </c>
      <c r="AF216" s="118"/>
      <c r="AG216" s="118"/>
      <c r="AH216" s="26">
        <v>270000</v>
      </c>
      <c r="AI216" s="26" t="s">
        <v>112</v>
      </c>
      <c r="AJ216" s="26">
        <v>30700</v>
      </c>
      <c r="AK216" s="26" t="str">
        <f t="shared" ref="AK216:AK247" si="449">IF(B216="","","0")</f>
        <v>0</v>
      </c>
      <c r="AL216" s="123" t="str">
        <f>IF(C216="","",C216&amp;"/"&amp;F216&amp;"/"&amp;N216&amp;"/"&amp;O216)</f>
        <v>14821/자재입고관리//</v>
      </c>
      <c r="AM216" s="26" t="s">
        <v>2979</v>
      </c>
      <c r="AN216" s="26" t="str">
        <f t="shared" ref="AN216:AX216" si="450">IF(COUNTIF(AN217:AN226,"="&amp;"Y")&gt;0,"Y",IF(COUNTIF(AN217:AN226,"="&amp;"-")&gt;0,"m",""))</f>
        <v>m</v>
      </c>
      <c r="AO216" s="26" t="str">
        <f t="shared" si="450"/>
        <v>Y</v>
      </c>
      <c r="AP216" s="26" t="str">
        <f t="shared" si="450"/>
        <v>m</v>
      </c>
      <c r="AQ216" s="26" t="str">
        <f t="shared" si="450"/>
        <v>m</v>
      </c>
      <c r="AR216" s="26" t="str">
        <f t="shared" si="450"/>
        <v>Y</v>
      </c>
      <c r="AS216" s="26" t="str">
        <f t="shared" si="450"/>
        <v>m</v>
      </c>
      <c r="AT216" s="26" t="str">
        <f t="shared" si="450"/>
        <v>Y</v>
      </c>
      <c r="AU216" s="26" t="str">
        <f t="shared" si="450"/>
        <v>m</v>
      </c>
      <c r="AV216" s="26" t="str">
        <f t="shared" si="450"/>
        <v>m</v>
      </c>
      <c r="AW216" s="26" t="str">
        <f t="shared" si="450"/>
        <v>m</v>
      </c>
      <c r="AX216" s="26" t="str">
        <f t="shared" si="450"/>
        <v>m</v>
      </c>
      <c r="AY216" s="124"/>
      <c r="AZ216" s="138" t="str">
        <f>IF(C216="","","delete from module_mst where pjt_id = '"&amp;C216&amp;"' and menu_id = '"&amp;E216&amp;"';")</f>
        <v>delete from module_mst where pjt_id = '14821' and menu_id = '271000';</v>
      </c>
      <c r="BA216" s="31" t="str">
        <f>IF(C216&lt;&gt;"",CREATE_QUERY($D$1,C$2:AY$2,C216:AY216),"")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'271000', '자재입고관리', 'Material receiving management', '', '', '', '', '1', '0', '', '', '0', '0', '0', '0', '0', '0', '1', '', '', '', '', '', '', '', '', 'N', '', '', '270000', '4', '30700', '0', '14821/자재입고관리//', '메뉴', '');</v>
      </c>
    </row>
    <row r="217" spans="1:53">
      <c r="A217" s="1">
        <v>217</v>
      </c>
      <c r="B217" s="164" t="str">
        <f t="shared" si="434"/>
        <v xml:space="preserve">        └ (공통)발주잔량리스트</v>
      </c>
      <c r="C217" s="27" t="str">
        <f t="shared" si="435"/>
        <v>14821</v>
      </c>
      <c r="D217" s="121"/>
      <c r="E217" s="27">
        <v>271001</v>
      </c>
      <c r="F217" s="121" t="s">
        <v>142</v>
      </c>
      <c r="G217" s="121" t="s">
        <v>3128</v>
      </c>
      <c r="H217" s="121"/>
      <c r="I217" s="121"/>
      <c r="J217" s="121"/>
      <c r="K217" s="27" t="str">
        <f t="shared" si="436"/>
        <v>1</v>
      </c>
      <c r="L217" s="27" t="str">
        <f t="shared" si="437"/>
        <v>1</v>
      </c>
      <c r="M217" s="27" t="str">
        <f t="shared" si="438"/>
        <v>1</v>
      </c>
      <c r="N217" s="121" t="s">
        <v>318</v>
      </c>
      <c r="O217" s="121" t="s">
        <v>140</v>
      </c>
      <c r="P217" s="27" t="str">
        <f t="shared" si="439"/>
        <v>1</v>
      </c>
      <c r="Q217" s="27" t="str">
        <f t="shared" si="440"/>
        <v>1</v>
      </c>
      <c r="R217" s="27" t="str">
        <f t="shared" si="441"/>
        <v>1</v>
      </c>
      <c r="S217" s="27" t="str">
        <f t="shared" si="442"/>
        <v>1</v>
      </c>
      <c r="T217" s="27" t="str">
        <f t="shared" si="443"/>
        <v>1</v>
      </c>
      <c r="U217" s="27" t="str">
        <f t="shared" si="444"/>
        <v>1</v>
      </c>
      <c r="V217" s="27" t="str">
        <f t="shared" si="445"/>
        <v>1</v>
      </c>
      <c r="W217" s="27"/>
      <c r="X217" s="27" t="str">
        <f t="shared" si="446"/>
        <v>0</v>
      </c>
      <c r="Y217" s="27" t="str">
        <f t="shared" si="447"/>
        <v>0</v>
      </c>
      <c r="Z217" s="27" t="str">
        <f t="shared" si="448"/>
        <v>0</v>
      </c>
      <c r="AA217" s="121"/>
      <c r="AB217" s="121"/>
      <c r="AC217" s="121"/>
      <c r="AD217" s="121"/>
      <c r="AE217" s="121" t="s">
        <v>51</v>
      </c>
      <c r="AF217" s="121"/>
      <c r="AG217" s="121"/>
      <c r="AH217" s="28">
        <v>271000</v>
      </c>
      <c r="AI217" s="28" t="s">
        <v>113</v>
      </c>
      <c r="AJ217" s="28">
        <v>30250</v>
      </c>
      <c r="AK217" s="28" t="str">
        <f t="shared" si="449"/>
        <v>0</v>
      </c>
      <c r="AL217" s="123" t="str">
        <f>IF(C217="","",C217&amp;"/"&amp;F217&amp;"/"&amp;N217&amp;"/"&amp;O217)</f>
        <v>14821/발주잔량리스트/mtrl.po/PurcOrdrList</v>
      </c>
      <c r="AM217" s="28" t="s">
        <v>2984</v>
      </c>
      <c r="AN217" s="28"/>
      <c r="AO217" s="28"/>
      <c r="AP217" s="28"/>
      <c r="AQ217" s="28"/>
      <c r="AR217" s="28"/>
      <c r="AS217" s="28"/>
      <c r="AT217" s="28" t="s">
        <v>1829</v>
      </c>
      <c r="AU217" s="28"/>
      <c r="AV217" s="28"/>
      <c r="AW217" s="28"/>
      <c r="AX217" s="28"/>
      <c r="AY217" s="124"/>
      <c r="AZ217" s="138" t="str">
        <f>IF(C217="","","delete from module_mst where pjt_id = '"&amp;C217&amp;"' and menu_id = '"&amp;E217&amp;"';")</f>
        <v>delete from module_mst where pjt_id = '14821' and menu_id = '271001';</v>
      </c>
      <c r="BA217" s="31" t="str">
        <f>IF(C217&lt;&gt;"",CREATE_QUERY($D$1,C$2:AY$2,C217:AY217),"")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'271001', '발주잔량리스트', 'Order balance list', '', '', '', '1', '1', '1', 'mtrl.po', 'PurcOrdrList', '1', '1', '1', '1', '1', '1', '1', '', '0', '0', '0', '', '', '', '', 'N', '', '', '271000', '5', '30250', '0', '14821/발주잔량리스트/mtrl.po/PurcOrdrList', '공통', '');</v>
      </c>
    </row>
    <row r="218" spans="1:53">
      <c r="A218" s="1">
        <v>218</v>
      </c>
      <c r="B218" s="164" t="str">
        <f t="shared" si="434"/>
        <v xml:space="preserve">        └ (공통)입고대기현황</v>
      </c>
      <c r="C218" s="27" t="str">
        <f t="shared" si="435"/>
        <v>14821</v>
      </c>
      <c r="D218" s="121"/>
      <c r="E218" s="27">
        <v>271002</v>
      </c>
      <c r="F218" s="121" t="s">
        <v>3351</v>
      </c>
      <c r="G218" s="121" t="s">
        <v>900</v>
      </c>
      <c r="H218" s="121"/>
      <c r="I218" s="121"/>
      <c r="J218" s="121"/>
      <c r="K218" s="27" t="str">
        <f t="shared" si="436"/>
        <v>1</v>
      </c>
      <c r="L218" s="27" t="str">
        <f t="shared" si="437"/>
        <v>1</v>
      </c>
      <c r="M218" s="27" t="str">
        <f t="shared" si="438"/>
        <v>1</v>
      </c>
      <c r="N218" s="121" t="s">
        <v>3345</v>
      </c>
      <c r="O218" s="121" t="s">
        <v>3346</v>
      </c>
      <c r="P218" s="27" t="str">
        <f t="shared" si="439"/>
        <v>1</v>
      </c>
      <c r="Q218" s="27" t="str">
        <f t="shared" si="440"/>
        <v>1</v>
      </c>
      <c r="R218" s="27" t="str">
        <f t="shared" si="441"/>
        <v>1</v>
      </c>
      <c r="S218" s="27" t="str">
        <f t="shared" si="442"/>
        <v>1</v>
      </c>
      <c r="T218" s="27" t="str">
        <f t="shared" si="443"/>
        <v>1</v>
      </c>
      <c r="U218" s="27" t="str">
        <f t="shared" si="444"/>
        <v>1</v>
      </c>
      <c r="V218" s="27" t="str">
        <f t="shared" si="445"/>
        <v>1</v>
      </c>
      <c r="W218" s="27"/>
      <c r="X218" s="27" t="str">
        <f t="shared" si="446"/>
        <v>0</v>
      </c>
      <c r="Y218" s="27" t="str">
        <f t="shared" si="447"/>
        <v>0</v>
      </c>
      <c r="Z218" s="27" t="str">
        <f t="shared" si="448"/>
        <v>0</v>
      </c>
      <c r="AA218" s="121"/>
      <c r="AB218" s="121"/>
      <c r="AC218" s="121"/>
      <c r="AD218" s="121"/>
      <c r="AE218" s="121" t="s">
        <v>51</v>
      </c>
      <c r="AF218" s="121"/>
      <c r="AG218" s="121"/>
      <c r="AH218" s="28">
        <v>271000</v>
      </c>
      <c r="AI218" s="28" t="s">
        <v>113</v>
      </c>
      <c r="AJ218" s="28">
        <v>31350</v>
      </c>
      <c r="AK218" s="28" t="str">
        <f t="shared" si="449"/>
        <v>0</v>
      </c>
      <c r="AL218" s="123" t="str">
        <f>IF(C218="","",C218&amp;"/"&amp;F218&amp;"/"&amp;N218&amp;"/"&amp;O218)</f>
        <v>14821/입고대기현황/custom.komec.mtrl.po/PurcWait</v>
      </c>
      <c r="AM218" s="28" t="s">
        <v>2984</v>
      </c>
      <c r="AN218" s="28" t="s">
        <v>3245</v>
      </c>
      <c r="AO218" s="28" t="s">
        <v>3245</v>
      </c>
      <c r="AP218" s="28" t="s">
        <v>3245</v>
      </c>
      <c r="AQ218" s="28" t="s">
        <v>3245</v>
      </c>
      <c r="AR218" s="28" t="s">
        <v>3245</v>
      </c>
      <c r="AS218" s="28" t="s">
        <v>3245</v>
      </c>
      <c r="AT218" s="28" t="s">
        <v>3245</v>
      </c>
      <c r="AU218" s="28" t="s">
        <v>3245</v>
      </c>
      <c r="AV218" s="28" t="s">
        <v>3245</v>
      </c>
      <c r="AW218" s="28" t="s">
        <v>3245</v>
      </c>
      <c r="AX218" s="28" t="s">
        <v>3245</v>
      </c>
      <c r="AY218" s="124"/>
      <c r="AZ218" s="138" t="str">
        <f>IF(C218="","","delete from module_mst where pjt_id = '"&amp;C218&amp;"' and menu_id = '"&amp;E218&amp;"';")</f>
        <v>delete from module_mst where pjt_id = '14821' and menu_id = '271002';</v>
      </c>
      <c r="BA218" s="31" t="str">
        <f>IF(C218&lt;&gt;"",CREATE_QUERY($D$1,C$2:AY$2,C218:AY218),"")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'271002', '입고대기현황', '', '', '', '', '1', '1', '1', 'custom.komec.mtrl.po', 'PurcWait', '1', '1', '1', '1', '1', '1', '1', '', '0', '0', '0', '', '', '', '', 'N', '', '', '271000', '5', '31350', '0', '14821/입고대기현황/custom.komec.mtrl.po/PurcWait', '공통', '');</v>
      </c>
    </row>
    <row r="219" spans="1:53">
      <c r="A219" s="1">
        <v>219</v>
      </c>
      <c r="B219" s="164" t="str">
        <f t="shared" si="434"/>
        <v xml:space="preserve">        └ (공통)입고접수</v>
      </c>
      <c r="C219" s="27" t="str">
        <f t="shared" si="435"/>
        <v>14821</v>
      </c>
      <c r="D219" s="121"/>
      <c r="E219" s="27">
        <v>271003</v>
      </c>
      <c r="F219" s="121" t="s">
        <v>1996</v>
      </c>
      <c r="G219" s="121" t="s">
        <v>3129</v>
      </c>
      <c r="H219" s="121"/>
      <c r="I219" s="121"/>
      <c r="J219" s="121"/>
      <c r="K219" s="27" t="str">
        <f t="shared" si="436"/>
        <v>1</v>
      </c>
      <c r="L219" s="27" t="str">
        <f t="shared" si="437"/>
        <v>1</v>
      </c>
      <c r="M219" s="27" t="str">
        <f t="shared" si="438"/>
        <v>1</v>
      </c>
      <c r="N219" s="121" t="s">
        <v>318</v>
      </c>
      <c r="O219" s="121" t="s">
        <v>397</v>
      </c>
      <c r="P219" s="27" t="str">
        <f t="shared" si="439"/>
        <v>1</v>
      </c>
      <c r="Q219" s="27" t="str">
        <f t="shared" si="440"/>
        <v>1</v>
      </c>
      <c r="R219" s="27" t="str">
        <f t="shared" si="441"/>
        <v>1</v>
      </c>
      <c r="S219" s="27" t="str">
        <f t="shared" si="442"/>
        <v>1</v>
      </c>
      <c r="T219" s="27" t="str">
        <f t="shared" si="443"/>
        <v>1</v>
      </c>
      <c r="U219" s="27" t="str">
        <f t="shared" si="444"/>
        <v>1</v>
      </c>
      <c r="V219" s="27" t="str">
        <f t="shared" si="445"/>
        <v>1</v>
      </c>
      <c r="W219" s="27"/>
      <c r="X219" s="27" t="str">
        <f t="shared" si="446"/>
        <v>0</v>
      </c>
      <c r="Y219" s="27" t="str">
        <f t="shared" si="447"/>
        <v>0</v>
      </c>
      <c r="Z219" s="27" t="str">
        <f t="shared" si="448"/>
        <v>0</v>
      </c>
      <c r="AA219" s="121"/>
      <c r="AB219" s="121"/>
      <c r="AC219" s="121"/>
      <c r="AD219" s="121"/>
      <c r="AE219" s="121" t="s">
        <v>51</v>
      </c>
      <c r="AF219" s="121"/>
      <c r="AG219" s="121"/>
      <c r="AH219" s="28">
        <v>271000</v>
      </c>
      <c r="AI219" s="28" t="s">
        <v>113</v>
      </c>
      <c r="AJ219" s="28">
        <v>30300</v>
      </c>
      <c r="AK219" s="28" t="str">
        <f t="shared" si="449"/>
        <v>0</v>
      </c>
      <c r="AL219" s="123" t="str">
        <f>IF(C219="","",C219&amp;"/"&amp;F219&amp;"/"&amp;N219&amp;"/"&amp;O219)</f>
        <v>14821/입고접수/mtrl.po/PurcIsttWork</v>
      </c>
      <c r="AM219" s="28" t="s">
        <v>2984</v>
      </c>
      <c r="AN219" s="28"/>
      <c r="AO219" s="28"/>
      <c r="AP219" s="28"/>
      <c r="AQ219" s="28"/>
      <c r="AR219" s="28"/>
      <c r="AS219" s="28"/>
      <c r="AT219" s="28"/>
      <c r="AU219" s="28"/>
      <c r="AV219" s="28"/>
      <c r="AW219" s="28"/>
      <c r="AX219" s="28"/>
      <c r="AY219" s="124"/>
      <c r="AZ219" s="138" t="str">
        <f>IF(C219="","","delete from module_mst where pjt_id = '"&amp;C219&amp;"' and menu_id = '"&amp;E219&amp;"';")</f>
        <v>delete from module_mst where pjt_id = '14821' and menu_id = '271003';</v>
      </c>
      <c r="BA219" s="31" t="str">
        <f>IF(C219&lt;&gt;"",CREATE_QUERY($D$1,C$2:AY$2,C219:AY219),"")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'271003', '입고접수', 'Warehousing reception', '', '', '', '1', '1', '1', 'mtrl.po', 'PurcIsttWork', '1', '1', '1', '1', '1', '1', '1', '', '0', '0', '0', '', '', '', '', 'N', '', '', '271000', '5', '30300', '0', '14821/입고접수/mtrl.po/PurcIsttWork', '공통', '');</v>
      </c>
    </row>
    <row r="220" spans="1:53">
      <c r="A220" s="1">
        <v>220</v>
      </c>
      <c r="B220" s="164" t="str">
        <f t="shared" si="434"/>
        <v xml:space="preserve">        └ (공통)입고접수</v>
      </c>
      <c r="C220" s="27" t="str">
        <f t="shared" si="435"/>
        <v>14821</v>
      </c>
      <c r="D220" s="121"/>
      <c r="E220" s="27">
        <v>271004</v>
      </c>
      <c r="F220" s="121" t="s">
        <v>1996</v>
      </c>
      <c r="G220" s="121" t="s">
        <v>3129</v>
      </c>
      <c r="H220" s="121"/>
      <c r="I220" s="121"/>
      <c r="J220" s="121"/>
      <c r="K220" s="27" t="str">
        <f t="shared" si="436"/>
        <v>1</v>
      </c>
      <c r="L220" s="27" t="str">
        <f t="shared" si="437"/>
        <v>1</v>
      </c>
      <c r="M220" s="27" t="str">
        <f t="shared" si="438"/>
        <v>1</v>
      </c>
      <c r="N220" s="121" t="s">
        <v>2401</v>
      </c>
      <c r="O220" s="121" t="s">
        <v>397</v>
      </c>
      <c r="P220" s="27" t="str">
        <f t="shared" si="439"/>
        <v>1</v>
      </c>
      <c r="Q220" s="27" t="str">
        <f t="shared" si="440"/>
        <v>1</v>
      </c>
      <c r="R220" s="27" t="str">
        <f t="shared" si="441"/>
        <v>1</v>
      </c>
      <c r="S220" s="27" t="str">
        <f t="shared" si="442"/>
        <v>1</v>
      </c>
      <c r="T220" s="27" t="str">
        <f t="shared" si="443"/>
        <v>1</v>
      </c>
      <c r="U220" s="27" t="str">
        <f t="shared" si="444"/>
        <v>1</v>
      </c>
      <c r="V220" s="27" t="str">
        <f t="shared" si="445"/>
        <v>1</v>
      </c>
      <c r="W220" s="27"/>
      <c r="X220" s="27" t="str">
        <f t="shared" si="446"/>
        <v>0</v>
      </c>
      <c r="Y220" s="27" t="str">
        <f t="shared" si="447"/>
        <v>0</v>
      </c>
      <c r="Z220" s="27" t="str">
        <f t="shared" si="448"/>
        <v>0</v>
      </c>
      <c r="AA220" s="121"/>
      <c r="AB220" s="121"/>
      <c r="AC220" s="121"/>
      <c r="AD220" s="121"/>
      <c r="AE220" s="121" t="s">
        <v>51</v>
      </c>
      <c r="AF220" s="121"/>
      <c r="AG220" s="121"/>
      <c r="AH220" s="28">
        <v>271000</v>
      </c>
      <c r="AI220" s="28" t="s">
        <v>113</v>
      </c>
      <c r="AJ220" s="28">
        <v>30500</v>
      </c>
      <c r="AK220" s="28" t="str">
        <f t="shared" si="449"/>
        <v>0</v>
      </c>
      <c r="AL220" s="123" t="str">
        <f>IF(C220="","",C220&amp;"/"&amp;F220&amp;"/"&amp;N220&amp;"/"&amp;O220)</f>
        <v>14821/입고접수/custom.dehansol.sale/PurcIsttWork</v>
      </c>
      <c r="AM220" s="28" t="s">
        <v>2984</v>
      </c>
      <c r="AN220" s="149"/>
      <c r="AO220" s="149"/>
      <c r="AP220" s="149"/>
      <c r="AQ220" s="149"/>
      <c r="AR220" s="149" t="s">
        <v>1829</v>
      </c>
      <c r="AS220" s="149"/>
      <c r="AT220" s="149" t="s">
        <v>1829</v>
      </c>
      <c r="AU220" s="149"/>
      <c r="AV220" s="149"/>
      <c r="AW220" s="149"/>
      <c r="AX220" s="149"/>
      <c r="AY220" s="124"/>
      <c r="AZ220" s="138" t="str">
        <f>IF(C220="","","delete from module_mst where pjt_id = '"&amp;C220&amp;"' and menu_id = '"&amp;E220&amp;"';")</f>
        <v>delete from module_mst where pjt_id = '14821' and menu_id = '271004';</v>
      </c>
      <c r="BA220" s="31" t="str">
        <f>IF(C220&lt;&gt;"",CREATE_QUERY($D$1,C$2:AY$2,C220:AY220),"")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'271004', '입고접수', 'Warehousing reception', '', '', '', '1', '1', '1', 'custom.dehansol.sale', 'PurcIsttWork', '1', '1', '1', '1', '1', '1', '1', '', '0', '0', '0', '', '', '', '', 'N', '', '', '271000', '5', '30500', '0', '14821/입고접수/custom.dehansol.sale/PurcIsttWork', '공통', '');</v>
      </c>
    </row>
    <row r="221" spans="1:53">
      <c r="A221" s="1">
        <v>221</v>
      </c>
      <c r="B221" s="164" t="str">
        <f t="shared" si="434"/>
        <v xml:space="preserve">        └ (공통)자재입고처리</v>
      </c>
      <c r="C221" s="27" t="str">
        <f t="shared" si="435"/>
        <v>14821</v>
      </c>
      <c r="D221" s="121"/>
      <c r="E221" s="27">
        <v>271005</v>
      </c>
      <c r="F221" s="121" t="s">
        <v>2440</v>
      </c>
      <c r="G221" s="121" t="s">
        <v>3144</v>
      </c>
      <c r="H221" s="121"/>
      <c r="I221" s="121"/>
      <c r="J221" s="121"/>
      <c r="K221" s="27" t="str">
        <f t="shared" si="436"/>
        <v>1</v>
      </c>
      <c r="L221" s="27" t="str">
        <f t="shared" si="437"/>
        <v>1</v>
      </c>
      <c r="M221" s="27" t="str">
        <f t="shared" si="438"/>
        <v>1</v>
      </c>
      <c r="N221" s="121" t="s">
        <v>312</v>
      </c>
      <c r="O221" s="121" t="s">
        <v>2441</v>
      </c>
      <c r="P221" s="27" t="str">
        <f t="shared" si="439"/>
        <v>1</v>
      </c>
      <c r="Q221" s="27" t="str">
        <f t="shared" si="440"/>
        <v>1</v>
      </c>
      <c r="R221" s="27" t="str">
        <f t="shared" si="441"/>
        <v>1</v>
      </c>
      <c r="S221" s="27" t="str">
        <f t="shared" si="442"/>
        <v>1</v>
      </c>
      <c r="T221" s="27" t="str">
        <f t="shared" si="443"/>
        <v>1</v>
      </c>
      <c r="U221" s="27" t="str">
        <f t="shared" si="444"/>
        <v>1</v>
      </c>
      <c r="V221" s="27" t="str">
        <f t="shared" si="445"/>
        <v>1</v>
      </c>
      <c r="W221" s="27"/>
      <c r="X221" s="27" t="str">
        <f t="shared" si="446"/>
        <v>0</v>
      </c>
      <c r="Y221" s="27" t="str">
        <f t="shared" si="447"/>
        <v>0</v>
      </c>
      <c r="Z221" s="27" t="str">
        <f t="shared" si="448"/>
        <v>0</v>
      </c>
      <c r="AA221" s="121"/>
      <c r="AB221" s="121"/>
      <c r="AC221" s="121"/>
      <c r="AD221" s="121"/>
      <c r="AE221" s="121" t="s">
        <v>51</v>
      </c>
      <c r="AF221" s="121"/>
      <c r="AG221" s="121"/>
      <c r="AH221" s="28">
        <v>271000</v>
      </c>
      <c r="AI221" s="28" t="s">
        <v>113</v>
      </c>
      <c r="AJ221" s="28">
        <v>40550</v>
      </c>
      <c r="AK221" s="28" t="str">
        <f t="shared" si="449"/>
        <v>0</v>
      </c>
      <c r="AL221" s="123" t="str">
        <f t="shared" ref="AL221" si="451">IF(C221="","",C221&amp;"/"&amp;F221&amp;"/"&amp;N221&amp;"/"&amp;O221)</f>
        <v>14821/자재입고처리/stock.isos/MtrlIsttWork</v>
      </c>
      <c r="AM221" s="28" t="s">
        <v>2981</v>
      </c>
      <c r="AN221" s="28"/>
      <c r="AO221" s="28"/>
      <c r="AP221" s="28"/>
      <c r="AQ221" s="28"/>
      <c r="AR221" s="28"/>
      <c r="AS221" s="28"/>
      <c r="AT221" s="28" t="s">
        <v>1829</v>
      </c>
      <c r="AU221" s="28"/>
      <c r="AV221" s="28"/>
      <c r="AW221" s="28"/>
      <c r="AX221" s="28"/>
      <c r="AY221" s="124"/>
      <c r="AZ221" s="138" t="str">
        <f>IF(C221="","","delete from module_mst where pjt_id = '"&amp;C221&amp;"' and menu_id = '"&amp;E221&amp;"';")</f>
        <v>delete from module_mst where pjt_id = '14821' and menu_id = '271005';</v>
      </c>
      <c r="BA221" s="31" t="str">
        <f>IF(C221&lt;&gt;"",CREATE_QUERY($D$1,C$2:AY$2,C221:AY221),"")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'271005', '자재입고처리', 'Material receiving processing', '', '', '', '1', '1', '1', 'stock.isos', 'MtrlIsttWork', '1', '1', '1', '1', '1', '1', '1', '', '0', '0', '0', '', '', '', '', 'N', '', '', '271000', '5', '40550', '0', '14821/자재입고처리/stock.isos/MtrlIsttWork', '공통', '');</v>
      </c>
    </row>
    <row r="222" spans="1:53">
      <c r="A222" s="1">
        <v>222</v>
      </c>
      <c r="B222" s="164" t="str">
        <f t="shared" si="434"/>
        <v xml:space="preserve">        └ (공통)입고현황</v>
      </c>
      <c r="C222" s="27" t="str">
        <f t="shared" si="435"/>
        <v>14821</v>
      </c>
      <c r="D222" s="121"/>
      <c r="E222" s="27">
        <v>271006</v>
      </c>
      <c r="F222" s="121" t="s">
        <v>2333</v>
      </c>
      <c r="G222" s="121" t="s">
        <v>3130</v>
      </c>
      <c r="H222" s="121"/>
      <c r="I222" s="121"/>
      <c r="J222" s="121"/>
      <c r="K222" s="27" t="str">
        <f t="shared" si="436"/>
        <v>1</v>
      </c>
      <c r="L222" s="27" t="str">
        <f t="shared" si="437"/>
        <v>1</v>
      </c>
      <c r="M222" s="27" t="str">
        <f t="shared" si="438"/>
        <v>1</v>
      </c>
      <c r="N222" s="121" t="s">
        <v>345</v>
      </c>
      <c r="O222" s="121" t="s">
        <v>2334</v>
      </c>
      <c r="P222" s="27" t="str">
        <f t="shared" si="439"/>
        <v>1</v>
      </c>
      <c r="Q222" s="27" t="str">
        <f t="shared" si="440"/>
        <v>1</v>
      </c>
      <c r="R222" s="27" t="str">
        <f t="shared" si="441"/>
        <v>1</v>
      </c>
      <c r="S222" s="27" t="str">
        <f t="shared" si="442"/>
        <v>1</v>
      </c>
      <c r="T222" s="27" t="str">
        <f t="shared" si="443"/>
        <v>1</v>
      </c>
      <c r="U222" s="27" t="str">
        <f t="shared" si="444"/>
        <v>1</v>
      </c>
      <c r="V222" s="27" t="str">
        <f t="shared" si="445"/>
        <v>1</v>
      </c>
      <c r="W222" s="27"/>
      <c r="X222" s="27" t="str">
        <f t="shared" si="446"/>
        <v>0</v>
      </c>
      <c r="Y222" s="27" t="str">
        <f t="shared" si="447"/>
        <v>0</v>
      </c>
      <c r="Z222" s="27" t="str">
        <f t="shared" si="448"/>
        <v>0</v>
      </c>
      <c r="AA222" s="121"/>
      <c r="AB222" s="121"/>
      <c r="AC222" s="121"/>
      <c r="AD222" s="121"/>
      <c r="AE222" s="121" t="s">
        <v>51</v>
      </c>
      <c r="AF222" s="121"/>
      <c r="AG222" s="121"/>
      <c r="AH222" s="28">
        <v>271000</v>
      </c>
      <c r="AI222" s="28" t="s">
        <v>113</v>
      </c>
      <c r="AJ222" s="28">
        <v>30400</v>
      </c>
      <c r="AK222" s="28" t="str">
        <f t="shared" si="449"/>
        <v>0</v>
      </c>
      <c r="AL222" s="123" t="str">
        <f t="shared" ref="AL222" si="452">IF(C222="","",C222&amp;"/"&amp;F222&amp;"/"&amp;N222&amp;"/"&amp;O222)</f>
        <v>14821/입고현황/mtrl.project/PrjtPurcOrderList</v>
      </c>
      <c r="AM222" s="28" t="s">
        <v>2984</v>
      </c>
      <c r="AN222" s="28"/>
      <c r="AO222" s="28" t="s">
        <v>1829</v>
      </c>
      <c r="AP222" s="28"/>
      <c r="AQ222" s="28"/>
      <c r="AR222" s="28"/>
      <c r="AS222" s="28"/>
      <c r="AT222" s="28"/>
      <c r="AU222" s="28"/>
      <c r="AV222" s="28"/>
      <c r="AW222" s="28"/>
      <c r="AX222" s="28"/>
      <c r="AY222" s="124"/>
      <c r="AZ222" s="138" t="str">
        <f>IF(C222="","","delete from module_mst where pjt_id = '"&amp;C222&amp;"' and menu_id = '"&amp;E222&amp;"';")</f>
        <v>delete from module_mst where pjt_id = '14821' and menu_id = '271006';</v>
      </c>
      <c r="BA222" s="31" t="str">
        <f>IF(C222&lt;&gt;"",CREATE_QUERY($D$1,C$2:AY$2,C222:AY222),"")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'271006', '입고현황', 'Receiving status', '', '', '', '1', '1', '1', 'mtrl.project', 'PrjtPurcOrderList', '1', '1', '1', '1', '1', '1', '1', '', '0', '0', '0', '', '', '', '', 'N', '', '', '271000', '5', '30400', '0', '14821/입고현황/mtrl.project/PrjtPurcOrderList', '공통', '');</v>
      </c>
    </row>
    <row r="223" spans="1:53">
      <c r="A223" s="1">
        <v>223</v>
      </c>
      <c r="B223" s="164" t="str">
        <f t="shared" si="434"/>
        <v/>
      </c>
      <c r="C223" s="27" t="str">
        <f t="shared" si="435"/>
        <v/>
      </c>
      <c r="D223" s="121"/>
      <c r="E223" s="27">
        <v>271007</v>
      </c>
      <c r="F223" s="121"/>
      <c r="G223" s="121" t="s">
        <v>900</v>
      </c>
      <c r="H223" s="121"/>
      <c r="I223" s="121"/>
      <c r="J223" s="121"/>
      <c r="K223" s="27" t="str">
        <f t="shared" si="436"/>
        <v/>
      </c>
      <c r="L223" s="27" t="str">
        <f t="shared" si="437"/>
        <v/>
      </c>
      <c r="M223" s="27" t="str">
        <f t="shared" si="438"/>
        <v>0</v>
      </c>
      <c r="N223" s="121"/>
      <c r="O223" s="121"/>
      <c r="P223" s="27" t="str">
        <f t="shared" si="439"/>
        <v>0</v>
      </c>
      <c r="Q223" s="27" t="str">
        <f t="shared" si="440"/>
        <v>0</v>
      </c>
      <c r="R223" s="27" t="str">
        <f t="shared" si="441"/>
        <v>0</v>
      </c>
      <c r="S223" s="27" t="str">
        <f t="shared" si="442"/>
        <v>0</v>
      </c>
      <c r="T223" s="27" t="str">
        <f t="shared" si="443"/>
        <v>0</v>
      </c>
      <c r="U223" s="27" t="str">
        <f t="shared" si="444"/>
        <v>0</v>
      </c>
      <c r="V223" s="27" t="str">
        <f t="shared" si="445"/>
        <v>1</v>
      </c>
      <c r="W223" s="27"/>
      <c r="X223" s="27" t="str">
        <f t="shared" si="446"/>
        <v/>
      </c>
      <c r="Y223" s="27" t="str">
        <f t="shared" si="447"/>
        <v/>
      </c>
      <c r="Z223" s="27" t="str">
        <f t="shared" si="448"/>
        <v/>
      </c>
      <c r="AA223" s="121"/>
      <c r="AB223" s="121"/>
      <c r="AC223" s="121"/>
      <c r="AD223" s="121"/>
      <c r="AE223" s="121" t="s">
        <v>51</v>
      </c>
      <c r="AF223" s="121"/>
      <c r="AG223" s="121"/>
      <c r="AH223" s="28">
        <v>271000</v>
      </c>
      <c r="AI223" s="28" t="s">
        <v>113</v>
      </c>
      <c r="AJ223" s="28">
        <v>6</v>
      </c>
      <c r="AK223" s="28" t="str">
        <f t="shared" si="449"/>
        <v/>
      </c>
      <c r="AL223" s="123" t="str">
        <f t="shared" ref="AL223:AL226" si="453">IF(C223="","",C223&amp;"/"&amp;F223&amp;"/"&amp;N223&amp;"/"&amp;O223)</f>
        <v/>
      </c>
      <c r="AM223" s="28"/>
      <c r="AN223" s="28"/>
      <c r="AO223" s="28"/>
      <c r="AP223" s="28"/>
      <c r="AQ223" s="28"/>
      <c r="AR223" s="28"/>
      <c r="AS223" s="28"/>
      <c r="AT223" s="28"/>
      <c r="AU223" s="28"/>
      <c r="AV223" s="28"/>
      <c r="AW223" s="28"/>
      <c r="AX223" s="28"/>
      <c r="AY223" s="124"/>
      <c r="AZ223" s="138" t="str">
        <f>IF(C223="","","delete from module_mst where pjt_id = '"&amp;C223&amp;"' and menu_id = '"&amp;E223&amp;"';")</f>
        <v/>
      </c>
      <c r="BA223" s="31" t="str">
        <f>IF(C223&lt;&gt;"",CREATE_QUERY($D$1,C$2:AY$2,C223:AY223),"")</f>
        <v/>
      </c>
    </row>
    <row r="224" spans="1:53">
      <c r="A224" s="1">
        <v>224</v>
      </c>
      <c r="B224" s="164" t="str">
        <f t="shared" si="434"/>
        <v/>
      </c>
      <c r="C224" s="27" t="str">
        <f t="shared" si="435"/>
        <v/>
      </c>
      <c r="D224" s="121"/>
      <c r="E224" s="27">
        <v>271008</v>
      </c>
      <c r="F224" s="121"/>
      <c r="G224" s="121" t="s">
        <v>900</v>
      </c>
      <c r="H224" s="121"/>
      <c r="I224" s="121"/>
      <c r="J224" s="121"/>
      <c r="K224" s="27" t="str">
        <f t="shared" si="436"/>
        <v/>
      </c>
      <c r="L224" s="27" t="str">
        <f t="shared" si="437"/>
        <v/>
      </c>
      <c r="M224" s="27" t="str">
        <f t="shared" si="438"/>
        <v>0</v>
      </c>
      <c r="N224" s="121"/>
      <c r="O224" s="121"/>
      <c r="P224" s="27" t="str">
        <f t="shared" si="439"/>
        <v>0</v>
      </c>
      <c r="Q224" s="27" t="str">
        <f t="shared" si="440"/>
        <v>0</v>
      </c>
      <c r="R224" s="27" t="str">
        <f t="shared" si="441"/>
        <v>0</v>
      </c>
      <c r="S224" s="27" t="str">
        <f t="shared" si="442"/>
        <v>0</v>
      </c>
      <c r="T224" s="27" t="str">
        <f t="shared" si="443"/>
        <v>0</v>
      </c>
      <c r="U224" s="27" t="str">
        <f t="shared" si="444"/>
        <v>0</v>
      </c>
      <c r="V224" s="27" t="str">
        <f t="shared" si="445"/>
        <v>1</v>
      </c>
      <c r="W224" s="27"/>
      <c r="X224" s="27" t="str">
        <f t="shared" si="446"/>
        <v/>
      </c>
      <c r="Y224" s="27" t="str">
        <f t="shared" si="447"/>
        <v/>
      </c>
      <c r="Z224" s="27" t="str">
        <f t="shared" si="448"/>
        <v/>
      </c>
      <c r="AA224" s="121"/>
      <c r="AB224" s="121"/>
      <c r="AC224" s="121"/>
      <c r="AD224" s="121"/>
      <c r="AE224" s="121" t="s">
        <v>51</v>
      </c>
      <c r="AF224" s="121"/>
      <c r="AG224" s="121"/>
      <c r="AH224" s="28">
        <v>271000</v>
      </c>
      <c r="AI224" s="28" t="s">
        <v>113</v>
      </c>
      <c r="AJ224" s="28">
        <v>31050</v>
      </c>
      <c r="AK224" s="28" t="str">
        <f t="shared" si="449"/>
        <v/>
      </c>
      <c r="AL224" s="123" t="str">
        <f t="shared" si="453"/>
        <v/>
      </c>
      <c r="AM224" s="28"/>
      <c r="AN224" s="28" t="s">
        <v>3245</v>
      </c>
      <c r="AO224" s="28" t="s">
        <v>3245</v>
      </c>
      <c r="AP224" s="28" t="s">
        <v>3245</v>
      </c>
      <c r="AQ224" s="28" t="s">
        <v>3245</v>
      </c>
      <c r="AR224" s="28" t="s">
        <v>3245</v>
      </c>
      <c r="AS224" s="28" t="s">
        <v>3245</v>
      </c>
      <c r="AT224" s="28" t="s">
        <v>3245</v>
      </c>
      <c r="AU224" s="28" t="s">
        <v>3245</v>
      </c>
      <c r="AV224" s="28" t="s">
        <v>3245</v>
      </c>
      <c r="AW224" s="28" t="s">
        <v>3245</v>
      </c>
      <c r="AX224" s="28" t="s">
        <v>3245</v>
      </c>
      <c r="AY224" s="124"/>
      <c r="AZ224" s="138" t="str">
        <f>IF(C224="","","delete from module_mst where pjt_id = '"&amp;C224&amp;"' and menu_id = '"&amp;E224&amp;"';")</f>
        <v/>
      </c>
      <c r="BA224" s="31" t="str">
        <f>IF(C224&lt;&gt;"",CREATE_QUERY($D$1,C$2:AY$2,C224:AY224),"")</f>
        <v/>
      </c>
    </row>
    <row r="225" spans="1:53">
      <c r="A225" s="1">
        <v>225</v>
      </c>
      <c r="B225" s="164" t="str">
        <f t="shared" si="434"/>
        <v/>
      </c>
      <c r="C225" s="27" t="str">
        <f t="shared" si="435"/>
        <v/>
      </c>
      <c r="D225" s="121"/>
      <c r="E225" s="27">
        <v>271009</v>
      </c>
      <c r="F225" s="121"/>
      <c r="G225" s="121" t="s">
        <v>900</v>
      </c>
      <c r="H225" s="121"/>
      <c r="I225" s="121"/>
      <c r="J225" s="121"/>
      <c r="K225" s="27" t="str">
        <f t="shared" si="436"/>
        <v/>
      </c>
      <c r="L225" s="27" t="str">
        <f t="shared" si="437"/>
        <v/>
      </c>
      <c r="M225" s="27" t="str">
        <f t="shared" si="438"/>
        <v>0</v>
      </c>
      <c r="N225" s="121"/>
      <c r="O225" s="121"/>
      <c r="P225" s="27" t="str">
        <f t="shared" si="439"/>
        <v>0</v>
      </c>
      <c r="Q225" s="27" t="str">
        <f t="shared" si="440"/>
        <v>0</v>
      </c>
      <c r="R225" s="27" t="str">
        <f t="shared" si="441"/>
        <v>0</v>
      </c>
      <c r="S225" s="27" t="str">
        <f t="shared" si="442"/>
        <v>0</v>
      </c>
      <c r="T225" s="27" t="str">
        <f t="shared" si="443"/>
        <v>0</v>
      </c>
      <c r="U225" s="27" t="str">
        <f t="shared" si="444"/>
        <v>0</v>
      </c>
      <c r="V225" s="27" t="str">
        <f t="shared" si="445"/>
        <v>1</v>
      </c>
      <c r="W225" s="27"/>
      <c r="X225" s="27" t="str">
        <f t="shared" si="446"/>
        <v/>
      </c>
      <c r="Y225" s="27" t="str">
        <f t="shared" si="447"/>
        <v/>
      </c>
      <c r="Z225" s="27" t="str">
        <f t="shared" si="448"/>
        <v/>
      </c>
      <c r="AA225" s="121"/>
      <c r="AB225" s="121"/>
      <c r="AC225" s="121"/>
      <c r="AD225" s="121"/>
      <c r="AE225" s="121" t="s">
        <v>51</v>
      </c>
      <c r="AF225" s="121"/>
      <c r="AG225" s="121"/>
      <c r="AH225" s="28">
        <v>271000</v>
      </c>
      <c r="AI225" s="28" t="s">
        <v>113</v>
      </c>
      <c r="AJ225" s="28">
        <v>31100</v>
      </c>
      <c r="AK225" s="28" t="str">
        <f t="shared" si="449"/>
        <v/>
      </c>
      <c r="AL225" s="123" t="str">
        <f t="shared" si="453"/>
        <v/>
      </c>
      <c r="AM225" s="28"/>
      <c r="AN225" s="28" t="s">
        <v>3245</v>
      </c>
      <c r="AO225" s="28" t="s">
        <v>3245</v>
      </c>
      <c r="AP225" s="28" t="s">
        <v>3245</v>
      </c>
      <c r="AQ225" s="28" t="s">
        <v>3245</v>
      </c>
      <c r="AR225" s="28" t="s">
        <v>3245</v>
      </c>
      <c r="AS225" s="28" t="s">
        <v>3245</v>
      </c>
      <c r="AT225" s="28" t="s">
        <v>3245</v>
      </c>
      <c r="AU225" s="28" t="s">
        <v>3245</v>
      </c>
      <c r="AV225" s="28" t="s">
        <v>3245</v>
      </c>
      <c r="AW225" s="28" t="s">
        <v>3245</v>
      </c>
      <c r="AX225" s="28" t="s">
        <v>3245</v>
      </c>
      <c r="AY225" s="124"/>
      <c r="AZ225" s="138" t="str">
        <f>IF(C225="","","delete from module_mst where pjt_id = '"&amp;C225&amp;"' and menu_id = '"&amp;E225&amp;"';")</f>
        <v/>
      </c>
      <c r="BA225" s="31" t="str">
        <f>IF(C225&lt;&gt;"",CREATE_QUERY($D$1,C$2:AY$2,C225:AY225),"")</f>
        <v/>
      </c>
    </row>
    <row r="226" spans="1:53">
      <c r="A226" s="1">
        <v>226</v>
      </c>
      <c r="B226" s="164" t="str">
        <f t="shared" si="434"/>
        <v/>
      </c>
      <c r="C226" s="27" t="str">
        <f t="shared" si="435"/>
        <v/>
      </c>
      <c r="D226" s="121"/>
      <c r="E226" s="27"/>
      <c r="F226" s="121"/>
      <c r="G226" s="121" t="s">
        <v>900</v>
      </c>
      <c r="H226" s="121"/>
      <c r="I226" s="121"/>
      <c r="J226" s="121"/>
      <c r="K226" s="27" t="str">
        <f t="shared" si="436"/>
        <v/>
      </c>
      <c r="L226" s="27" t="str">
        <f t="shared" si="437"/>
        <v/>
      </c>
      <c r="M226" s="27" t="str">
        <f t="shared" si="438"/>
        <v>0</v>
      </c>
      <c r="N226" s="121"/>
      <c r="O226" s="121"/>
      <c r="P226" s="27" t="str">
        <f t="shared" si="439"/>
        <v>0</v>
      </c>
      <c r="Q226" s="27" t="str">
        <f t="shared" si="440"/>
        <v>0</v>
      </c>
      <c r="R226" s="27" t="str">
        <f t="shared" si="441"/>
        <v>0</v>
      </c>
      <c r="S226" s="27" t="str">
        <f t="shared" si="442"/>
        <v>0</v>
      </c>
      <c r="T226" s="27" t="str">
        <f t="shared" si="443"/>
        <v>0</v>
      </c>
      <c r="U226" s="27" t="str">
        <f t="shared" si="444"/>
        <v>0</v>
      </c>
      <c r="V226" s="27" t="str">
        <f t="shared" si="445"/>
        <v>1</v>
      </c>
      <c r="W226" s="27"/>
      <c r="X226" s="27" t="str">
        <f t="shared" si="446"/>
        <v/>
      </c>
      <c r="Y226" s="27" t="str">
        <f t="shared" si="447"/>
        <v/>
      </c>
      <c r="Z226" s="27" t="str">
        <f t="shared" si="448"/>
        <v/>
      </c>
      <c r="AA226" s="121"/>
      <c r="AB226" s="121"/>
      <c r="AC226" s="121"/>
      <c r="AD226" s="121"/>
      <c r="AE226" s="121" t="s">
        <v>51</v>
      </c>
      <c r="AF226" s="121"/>
      <c r="AG226" s="121"/>
      <c r="AH226" s="28"/>
      <c r="AI226" s="28" t="s">
        <v>113</v>
      </c>
      <c r="AJ226" s="28">
        <v>31150</v>
      </c>
      <c r="AK226" s="28" t="str">
        <f t="shared" si="449"/>
        <v/>
      </c>
      <c r="AL226" s="123" t="str">
        <f t="shared" si="453"/>
        <v/>
      </c>
      <c r="AM226" s="28"/>
      <c r="AN226" s="28" t="s">
        <v>3245</v>
      </c>
      <c r="AO226" s="28" t="s">
        <v>3245</v>
      </c>
      <c r="AP226" s="28" t="s">
        <v>3245</v>
      </c>
      <c r="AQ226" s="28" t="s">
        <v>3245</v>
      </c>
      <c r="AR226" s="28" t="s">
        <v>3245</v>
      </c>
      <c r="AS226" s="28" t="s">
        <v>3245</v>
      </c>
      <c r="AT226" s="28" t="s">
        <v>3245</v>
      </c>
      <c r="AU226" s="28" t="s">
        <v>3245</v>
      </c>
      <c r="AV226" s="28" t="s">
        <v>3245</v>
      </c>
      <c r="AW226" s="28" t="s">
        <v>3245</v>
      </c>
      <c r="AX226" s="28" t="s">
        <v>3245</v>
      </c>
      <c r="AY226" s="124"/>
      <c r="AZ226" s="138" t="str">
        <f>IF(C226="","","delete from module_mst where pjt_id = '"&amp;C226&amp;"' and menu_id = '"&amp;E226&amp;"';")</f>
        <v/>
      </c>
      <c r="BA226" s="31" t="str">
        <f>IF(C226&lt;&gt;"",CREATE_QUERY($D$1,C$2:AY$2,C226:AY226),"")</f>
        <v/>
      </c>
    </row>
    <row r="227" spans="1:53">
      <c r="A227" s="1">
        <v>227</v>
      </c>
      <c r="B227" s="159" t="str">
        <f t="shared" si="434"/>
        <v xml:space="preserve">    └ 자재출고관리</v>
      </c>
      <c r="C227" s="27" t="str">
        <f t="shared" si="435"/>
        <v>14821</v>
      </c>
      <c r="D227" s="121"/>
      <c r="E227" s="21">
        <v>272000</v>
      </c>
      <c r="F227" s="118" t="s">
        <v>3352</v>
      </c>
      <c r="G227" s="118" t="s">
        <v>3131</v>
      </c>
      <c r="H227" s="118"/>
      <c r="I227" s="118"/>
      <c r="J227" s="118"/>
      <c r="K227" s="21" t="str">
        <f t="shared" si="436"/>
        <v/>
      </c>
      <c r="L227" s="21" t="str">
        <f t="shared" si="437"/>
        <v>1</v>
      </c>
      <c r="M227" s="21" t="str">
        <f t="shared" si="438"/>
        <v>0</v>
      </c>
      <c r="N227" s="118"/>
      <c r="O227" s="118"/>
      <c r="P227" s="21" t="str">
        <f t="shared" si="439"/>
        <v>0</v>
      </c>
      <c r="Q227" s="21" t="str">
        <f t="shared" si="440"/>
        <v>0</v>
      </c>
      <c r="R227" s="21" t="str">
        <f t="shared" si="441"/>
        <v>0</v>
      </c>
      <c r="S227" s="21" t="str">
        <f t="shared" si="442"/>
        <v>0</v>
      </c>
      <c r="T227" s="21" t="str">
        <f t="shared" si="443"/>
        <v>0</v>
      </c>
      <c r="U227" s="21" t="str">
        <f t="shared" si="444"/>
        <v>0</v>
      </c>
      <c r="V227" s="21" t="str">
        <f t="shared" si="445"/>
        <v>1</v>
      </c>
      <c r="W227" s="21"/>
      <c r="X227" s="21" t="str">
        <f t="shared" si="446"/>
        <v/>
      </c>
      <c r="Y227" s="21" t="str">
        <f t="shared" si="447"/>
        <v/>
      </c>
      <c r="Z227" s="21" t="str">
        <f t="shared" si="448"/>
        <v/>
      </c>
      <c r="AA227" s="118"/>
      <c r="AB227" s="118"/>
      <c r="AC227" s="118"/>
      <c r="AD227" s="118"/>
      <c r="AE227" s="118" t="s">
        <v>51</v>
      </c>
      <c r="AF227" s="118"/>
      <c r="AG227" s="118"/>
      <c r="AH227" s="26" t="s">
        <v>173</v>
      </c>
      <c r="AI227" s="26" t="s">
        <v>112</v>
      </c>
      <c r="AJ227" s="26">
        <v>30700</v>
      </c>
      <c r="AK227" s="26" t="str">
        <f t="shared" si="449"/>
        <v>0</v>
      </c>
      <c r="AL227" s="123" t="str">
        <f>IF(C227="","",C227&amp;"/"&amp;F227&amp;"/"&amp;N227&amp;"/"&amp;O227)</f>
        <v>14821/자재출고관리//</v>
      </c>
      <c r="AM227" s="26" t="s">
        <v>2979</v>
      </c>
      <c r="AN227" s="26" t="str">
        <f t="shared" ref="AN227:AX227" si="454">IF(COUNTIF(AN230:AN238,"="&amp;"Y")&gt;0,"Y",IF(COUNTIF(AN230:AN238,"="&amp;"-")&gt;0,"m",""))</f>
        <v>m</v>
      </c>
      <c r="AO227" s="26" t="str">
        <f t="shared" si="454"/>
        <v>m</v>
      </c>
      <c r="AP227" s="26" t="str">
        <f t="shared" si="454"/>
        <v>m</v>
      </c>
      <c r="AQ227" s="26" t="str">
        <f t="shared" si="454"/>
        <v>m</v>
      </c>
      <c r="AR227" s="26" t="str">
        <f t="shared" si="454"/>
        <v>m</v>
      </c>
      <c r="AS227" s="26" t="str">
        <f t="shared" si="454"/>
        <v>m</v>
      </c>
      <c r="AT227" s="26" t="str">
        <f t="shared" si="454"/>
        <v>m</v>
      </c>
      <c r="AU227" s="26" t="str">
        <f t="shared" si="454"/>
        <v>m</v>
      </c>
      <c r="AV227" s="26" t="str">
        <f t="shared" si="454"/>
        <v>m</v>
      </c>
      <c r="AW227" s="26" t="str">
        <f t="shared" si="454"/>
        <v>m</v>
      </c>
      <c r="AX227" s="26" t="str">
        <f t="shared" si="454"/>
        <v>m</v>
      </c>
      <c r="AY227" s="124"/>
      <c r="AZ227" s="138" t="str">
        <f>IF(C227="","","delete from module_mst where pjt_id = '"&amp;C227&amp;"' and menu_id = '"&amp;E227&amp;"';")</f>
        <v>delete from module_mst where pjt_id = '14821' and menu_id = '272000';</v>
      </c>
      <c r="BA227" s="31" t="str">
        <f>IF(C227&lt;&gt;"",CREATE_QUERY($D$1,C$2:AY$2,C227:AY227),"")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'272000', '자재출고관리', 'Material receiving management', '', '', '', '', '1', '0', '', '', '0', '0', '0', '0', '0', '0', '1', '', '', '', '', '', '', '', '', 'N', '', '', '270000', '4', '30700', '0', '14821/자재출고관리//', '메뉴', '');</v>
      </c>
    </row>
    <row r="228" spans="1:53" ht="15" customHeight="1">
      <c r="A228" s="1">
        <v>228</v>
      </c>
      <c r="B228" s="164" t="str">
        <f t="shared" si="434"/>
        <v xml:space="preserve">        └ (공통)생산출고관리</v>
      </c>
      <c r="C228" s="27" t="str">
        <f t="shared" si="435"/>
        <v>14821</v>
      </c>
      <c r="D228" s="121"/>
      <c r="E228" s="27">
        <v>272001</v>
      </c>
      <c r="F228" s="121" t="s">
        <v>177</v>
      </c>
      <c r="G228" s="121" t="s">
        <v>3139</v>
      </c>
      <c r="H228" s="121"/>
      <c r="I228" s="121"/>
      <c r="J228" s="121"/>
      <c r="K228" s="27" t="str">
        <f t="shared" si="436"/>
        <v>1</v>
      </c>
      <c r="L228" s="27" t="str">
        <f t="shared" si="437"/>
        <v>1</v>
      </c>
      <c r="M228" s="27" t="str">
        <f t="shared" si="438"/>
        <v>1</v>
      </c>
      <c r="N228" s="121" t="s">
        <v>312</v>
      </c>
      <c r="O228" s="121" t="s">
        <v>308</v>
      </c>
      <c r="P228" s="27" t="str">
        <f t="shared" si="439"/>
        <v>1</v>
      </c>
      <c r="Q228" s="27" t="str">
        <f t="shared" si="440"/>
        <v>1</v>
      </c>
      <c r="R228" s="27" t="str">
        <f t="shared" si="441"/>
        <v>1</v>
      </c>
      <c r="S228" s="27" t="str">
        <f t="shared" si="442"/>
        <v>1</v>
      </c>
      <c r="T228" s="27" t="str">
        <f t="shared" si="443"/>
        <v>1</v>
      </c>
      <c r="U228" s="27" t="str">
        <f t="shared" si="444"/>
        <v>1</v>
      </c>
      <c r="V228" s="27" t="str">
        <f t="shared" si="445"/>
        <v>1</v>
      </c>
      <c r="W228" s="27"/>
      <c r="X228" s="27" t="str">
        <f t="shared" si="446"/>
        <v>0</v>
      </c>
      <c r="Y228" s="27" t="str">
        <f t="shared" si="447"/>
        <v>0</v>
      </c>
      <c r="Z228" s="27" t="str">
        <f t="shared" si="448"/>
        <v>0</v>
      </c>
      <c r="AA228" s="121"/>
      <c r="AB228" s="121"/>
      <c r="AC228" s="121"/>
      <c r="AD228" s="121"/>
      <c r="AE228" s="121" t="s">
        <v>51</v>
      </c>
      <c r="AF228" s="121"/>
      <c r="AG228" s="121"/>
      <c r="AH228" s="28">
        <v>272000</v>
      </c>
      <c r="AI228" s="28" t="s">
        <v>113</v>
      </c>
      <c r="AJ228" s="28">
        <v>40200</v>
      </c>
      <c r="AK228" s="28" t="str">
        <f t="shared" si="449"/>
        <v>0</v>
      </c>
      <c r="AL228" s="123" t="str">
        <f>IF(C228="","",C228&amp;"/"&amp;F228&amp;"/"&amp;N228&amp;"/"&amp;O228)</f>
        <v>14821/생산출고관리/stock.isos/ProdOsttWork</v>
      </c>
      <c r="AM228" s="28" t="s">
        <v>2981</v>
      </c>
      <c r="AN228" s="28"/>
      <c r="AO228" s="28"/>
      <c r="AP228" s="28"/>
      <c r="AQ228" s="28"/>
      <c r="AR228" s="28"/>
      <c r="AS228" s="28"/>
      <c r="AT228" s="28" t="s">
        <v>1829</v>
      </c>
      <c r="AU228" s="28"/>
      <c r="AV228" s="28"/>
      <c r="AW228" s="28"/>
      <c r="AX228" s="28"/>
      <c r="AY228" s="124"/>
      <c r="AZ228" s="138" t="str">
        <f>IF(C228="","","delete from module_mst where pjt_id = '"&amp;C228&amp;"' and menu_id = '"&amp;E228&amp;"';")</f>
        <v>delete from module_mst where pjt_id = '14821' and menu_id = '272001';</v>
      </c>
      <c r="BA228" s="31" t="str">
        <f>IF(C228&lt;&gt;"",CREATE_QUERY($D$1,C$2:AY$2,C228:AY228),"")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'272001', '생산출고관리', 'Forwarding to product management', '', '', '', '1', '1', '1', 'stock.isos', 'ProdOsttWork', '1', '1', '1', '1', '1', '1', '1', '', '0', '0', '0', '', '', '', '', 'N', '', '', '272000', '5', '40200', '0', '14821/생산출고관리/stock.isos/ProdOsttWork', '공통', '');</v>
      </c>
    </row>
    <row r="229" spans="1:53">
      <c r="A229" s="1">
        <v>229</v>
      </c>
      <c r="B229" s="164" t="str">
        <f t="shared" si="434"/>
        <v xml:space="preserve">        └ (선택)생산출고관리(M)</v>
      </c>
      <c r="C229" s="27" t="str">
        <f t="shared" si="435"/>
        <v>14821</v>
      </c>
      <c r="D229" s="121"/>
      <c r="E229" s="27">
        <v>272002</v>
      </c>
      <c r="F229" s="121" t="s">
        <v>2410</v>
      </c>
      <c r="G229" s="121"/>
      <c r="H229" s="121"/>
      <c r="I229" s="121"/>
      <c r="J229" s="121"/>
      <c r="K229" s="27" t="str">
        <f t="shared" si="436"/>
        <v>1</v>
      </c>
      <c r="L229" s="27" t="str">
        <f t="shared" si="437"/>
        <v>1</v>
      </c>
      <c r="M229" s="27" t="str">
        <f t="shared" si="438"/>
        <v>1</v>
      </c>
      <c r="N229" s="121" t="s">
        <v>312</v>
      </c>
      <c r="O229" s="121" t="s">
        <v>2409</v>
      </c>
      <c r="P229" s="27" t="str">
        <f t="shared" si="439"/>
        <v>1</v>
      </c>
      <c r="Q229" s="27" t="str">
        <f t="shared" si="440"/>
        <v>1</v>
      </c>
      <c r="R229" s="27" t="str">
        <f t="shared" si="441"/>
        <v>1</v>
      </c>
      <c r="S229" s="27" t="str">
        <f t="shared" si="442"/>
        <v>1</v>
      </c>
      <c r="T229" s="27" t="str">
        <f t="shared" si="443"/>
        <v>1</v>
      </c>
      <c r="U229" s="27" t="str">
        <f t="shared" si="444"/>
        <v>1</v>
      </c>
      <c r="V229" s="27" t="str">
        <f t="shared" si="445"/>
        <v>1</v>
      </c>
      <c r="W229" s="27"/>
      <c r="X229" s="27" t="str">
        <f t="shared" si="446"/>
        <v>0</v>
      </c>
      <c r="Y229" s="27" t="str">
        <f t="shared" si="447"/>
        <v>0</v>
      </c>
      <c r="Z229" s="27" t="str">
        <f t="shared" si="448"/>
        <v>0</v>
      </c>
      <c r="AA229" s="121"/>
      <c r="AB229" s="121"/>
      <c r="AC229" s="121"/>
      <c r="AD229" s="121"/>
      <c r="AE229" s="121" t="s">
        <v>51</v>
      </c>
      <c r="AF229" s="121"/>
      <c r="AG229" s="121"/>
      <c r="AH229" s="28">
        <v>272000</v>
      </c>
      <c r="AI229" s="28" t="s">
        <v>113</v>
      </c>
      <c r="AJ229" s="28">
        <v>40500</v>
      </c>
      <c r="AK229" s="28" t="str">
        <f t="shared" si="449"/>
        <v>0</v>
      </c>
      <c r="AL229" s="123" t="str">
        <f>IF(C229="","",C229&amp;"/"&amp;F229&amp;"/"&amp;N229&amp;"/"&amp;O229)</f>
        <v>14821/생산출고관리(M)/stock.isos/ProdOsttWorkV2</v>
      </c>
      <c r="AM229" s="28" t="s">
        <v>3350</v>
      </c>
      <c r="AN229" s="28"/>
      <c r="AO229" s="28"/>
      <c r="AP229" s="28"/>
      <c r="AQ229" s="28"/>
      <c r="AR229" s="28"/>
      <c r="AS229" s="28"/>
      <c r="AT229" s="28"/>
      <c r="AU229" s="28"/>
      <c r="AV229" s="28"/>
      <c r="AW229" s="28"/>
      <c r="AX229" s="28"/>
      <c r="AY229" s="124"/>
      <c r="AZ229" s="138" t="str">
        <f>IF(C229="","","delete from module_mst where pjt_id = '"&amp;C229&amp;"' and menu_id = '"&amp;E229&amp;"';")</f>
        <v>delete from module_mst where pjt_id = '14821' and menu_id = '272002';</v>
      </c>
      <c r="BA229" s="31" t="str">
        <f>IF(C229&lt;&gt;"",CREATE_QUERY($D$1,C$2:AY$2,C229:AY229),"")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'272002', '생산출고관리(M)', '', '', '', '', '1', '1', '1', 'stock.isos', 'ProdOsttWorkV2', '1', '1', '1', '1', '1', '1', '1', '', '0', '0', '0', '', '', '', '', 'N', '', '', '272000', '5', '40500', '0', '14821/생산출고관리(M)/stock.isos/ProdOsttWorkV2', '선택', '');</v>
      </c>
    </row>
    <row r="230" spans="1:53">
      <c r="A230" s="1">
        <v>230</v>
      </c>
      <c r="B230" s="164" t="str">
        <f t="shared" si="434"/>
        <v/>
      </c>
      <c r="C230" s="27" t="str">
        <f t="shared" si="435"/>
        <v/>
      </c>
      <c r="D230" s="121"/>
      <c r="E230" s="27">
        <v>272003</v>
      </c>
      <c r="F230" s="121"/>
      <c r="G230" s="121" t="s">
        <v>900</v>
      </c>
      <c r="H230" s="121"/>
      <c r="I230" s="121"/>
      <c r="J230" s="121"/>
      <c r="K230" s="27" t="str">
        <f t="shared" si="436"/>
        <v/>
      </c>
      <c r="L230" s="27" t="str">
        <f t="shared" si="437"/>
        <v/>
      </c>
      <c r="M230" s="27" t="str">
        <f t="shared" si="438"/>
        <v>0</v>
      </c>
      <c r="N230" s="121"/>
      <c r="O230" s="121"/>
      <c r="P230" s="27" t="str">
        <f t="shared" si="439"/>
        <v>0</v>
      </c>
      <c r="Q230" s="27" t="str">
        <f t="shared" si="440"/>
        <v>0</v>
      </c>
      <c r="R230" s="27" t="str">
        <f t="shared" si="441"/>
        <v>0</v>
      </c>
      <c r="S230" s="27" t="str">
        <f t="shared" si="442"/>
        <v>0</v>
      </c>
      <c r="T230" s="27" t="str">
        <f t="shared" si="443"/>
        <v>0</v>
      </c>
      <c r="U230" s="27" t="str">
        <f t="shared" si="444"/>
        <v>0</v>
      </c>
      <c r="V230" s="27" t="str">
        <f t="shared" si="445"/>
        <v>1</v>
      </c>
      <c r="W230" s="27"/>
      <c r="X230" s="27" t="str">
        <f t="shared" si="446"/>
        <v/>
      </c>
      <c r="Y230" s="27" t="str">
        <f t="shared" si="447"/>
        <v/>
      </c>
      <c r="Z230" s="27" t="str">
        <f t="shared" si="448"/>
        <v/>
      </c>
      <c r="AA230" s="121"/>
      <c r="AB230" s="121"/>
      <c r="AC230" s="121"/>
      <c r="AD230" s="121"/>
      <c r="AE230" s="121" t="s">
        <v>51</v>
      </c>
      <c r="AF230" s="121"/>
      <c r="AG230" s="121"/>
      <c r="AH230" s="28">
        <v>272000</v>
      </c>
      <c r="AI230" s="28" t="s">
        <v>113</v>
      </c>
      <c r="AJ230" s="28">
        <v>6</v>
      </c>
      <c r="AK230" s="28" t="str">
        <f t="shared" si="449"/>
        <v/>
      </c>
      <c r="AL230" s="123" t="str">
        <f t="shared" ref="AL230:AL237" si="455">IF(C230="","",C230&amp;"/"&amp;F230&amp;"/"&amp;N230&amp;"/"&amp;O230)</f>
        <v/>
      </c>
      <c r="AM230" s="28"/>
      <c r="AN230" s="28"/>
      <c r="AO230" s="28"/>
      <c r="AP230" s="28"/>
      <c r="AQ230" s="28"/>
      <c r="AR230" s="28"/>
      <c r="AS230" s="28"/>
      <c r="AT230" s="28"/>
      <c r="AU230" s="28"/>
      <c r="AV230" s="28"/>
      <c r="AW230" s="28"/>
      <c r="AX230" s="28"/>
      <c r="AY230" s="124"/>
      <c r="AZ230" s="138" t="str">
        <f>IF(C230="","","delete from module_mst where pjt_id = '"&amp;C230&amp;"' and menu_id = '"&amp;E230&amp;"';")</f>
        <v/>
      </c>
      <c r="BA230" s="31" t="str">
        <f>IF(C230&lt;&gt;"",CREATE_QUERY($D$1,C$2:AY$2,C230:AY230),"")</f>
        <v/>
      </c>
    </row>
    <row r="231" spans="1:53">
      <c r="A231" s="1">
        <v>231</v>
      </c>
      <c r="B231" s="164" t="str">
        <f t="shared" si="434"/>
        <v/>
      </c>
      <c r="C231" s="27" t="str">
        <f t="shared" si="435"/>
        <v/>
      </c>
      <c r="D231" s="121"/>
      <c r="E231" s="27">
        <v>272004</v>
      </c>
      <c r="F231" s="121"/>
      <c r="G231" s="121" t="s">
        <v>900</v>
      </c>
      <c r="H231" s="121"/>
      <c r="I231" s="121"/>
      <c r="J231" s="121"/>
      <c r="K231" s="27" t="str">
        <f t="shared" si="436"/>
        <v/>
      </c>
      <c r="L231" s="27" t="str">
        <f t="shared" si="437"/>
        <v/>
      </c>
      <c r="M231" s="27" t="str">
        <f t="shared" si="438"/>
        <v>0</v>
      </c>
      <c r="N231" s="121"/>
      <c r="O231" s="121"/>
      <c r="P231" s="27" t="str">
        <f t="shared" si="439"/>
        <v>0</v>
      </c>
      <c r="Q231" s="27" t="str">
        <f t="shared" si="440"/>
        <v>0</v>
      </c>
      <c r="R231" s="27" t="str">
        <f t="shared" si="441"/>
        <v>0</v>
      </c>
      <c r="S231" s="27" t="str">
        <f t="shared" si="442"/>
        <v>0</v>
      </c>
      <c r="T231" s="27" t="str">
        <f t="shared" si="443"/>
        <v>0</v>
      </c>
      <c r="U231" s="27" t="str">
        <f t="shared" si="444"/>
        <v>0</v>
      </c>
      <c r="V231" s="27" t="str">
        <f t="shared" si="445"/>
        <v>1</v>
      </c>
      <c r="W231" s="27"/>
      <c r="X231" s="27" t="str">
        <f t="shared" si="446"/>
        <v/>
      </c>
      <c r="Y231" s="27" t="str">
        <f t="shared" si="447"/>
        <v/>
      </c>
      <c r="Z231" s="27" t="str">
        <f t="shared" si="448"/>
        <v/>
      </c>
      <c r="AA231" s="121"/>
      <c r="AB231" s="121"/>
      <c r="AC231" s="121"/>
      <c r="AD231" s="121"/>
      <c r="AE231" s="121" t="s">
        <v>51</v>
      </c>
      <c r="AF231" s="121"/>
      <c r="AG231" s="121"/>
      <c r="AH231" s="28">
        <v>272000</v>
      </c>
      <c r="AI231" s="28" t="s">
        <v>113</v>
      </c>
      <c r="AJ231" s="28">
        <v>31050</v>
      </c>
      <c r="AK231" s="28" t="str">
        <f t="shared" si="449"/>
        <v/>
      </c>
      <c r="AL231" s="123" t="str">
        <f t="shared" si="455"/>
        <v/>
      </c>
      <c r="AM231" s="28"/>
      <c r="AN231" s="28" t="s">
        <v>3245</v>
      </c>
      <c r="AO231" s="28" t="s">
        <v>3245</v>
      </c>
      <c r="AP231" s="28" t="s">
        <v>3245</v>
      </c>
      <c r="AQ231" s="28" t="s">
        <v>3245</v>
      </c>
      <c r="AR231" s="28" t="s">
        <v>3245</v>
      </c>
      <c r="AS231" s="28" t="s">
        <v>3245</v>
      </c>
      <c r="AT231" s="28" t="s">
        <v>3245</v>
      </c>
      <c r="AU231" s="28" t="s">
        <v>3245</v>
      </c>
      <c r="AV231" s="28" t="s">
        <v>3245</v>
      </c>
      <c r="AW231" s="28" t="s">
        <v>3245</v>
      </c>
      <c r="AX231" s="28" t="s">
        <v>3245</v>
      </c>
      <c r="AY231" s="124"/>
      <c r="AZ231" s="138" t="str">
        <f>IF(C231="","","delete from module_mst where pjt_id = '"&amp;C231&amp;"' and menu_id = '"&amp;E231&amp;"';")</f>
        <v/>
      </c>
      <c r="BA231" s="31" t="str">
        <f>IF(C231&lt;&gt;"",CREATE_QUERY($D$1,C$2:AY$2,C231:AY231),"")</f>
        <v/>
      </c>
    </row>
    <row r="232" spans="1:53">
      <c r="A232" s="1">
        <v>232</v>
      </c>
      <c r="B232" s="164" t="str">
        <f t="shared" si="434"/>
        <v/>
      </c>
      <c r="C232" s="27" t="str">
        <f t="shared" si="435"/>
        <v/>
      </c>
      <c r="D232" s="121"/>
      <c r="E232" s="27">
        <v>272005</v>
      </c>
      <c r="F232" s="121"/>
      <c r="G232" s="121" t="s">
        <v>900</v>
      </c>
      <c r="H232" s="121"/>
      <c r="I232" s="121"/>
      <c r="J232" s="121"/>
      <c r="K232" s="27" t="str">
        <f t="shared" si="436"/>
        <v/>
      </c>
      <c r="L232" s="27" t="str">
        <f t="shared" si="437"/>
        <v/>
      </c>
      <c r="M232" s="27" t="str">
        <f t="shared" si="438"/>
        <v>0</v>
      </c>
      <c r="N232" s="121"/>
      <c r="O232" s="121"/>
      <c r="P232" s="27" t="str">
        <f t="shared" si="439"/>
        <v>0</v>
      </c>
      <c r="Q232" s="27" t="str">
        <f t="shared" si="440"/>
        <v>0</v>
      </c>
      <c r="R232" s="27" t="str">
        <f t="shared" si="441"/>
        <v>0</v>
      </c>
      <c r="S232" s="27" t="str">
        <f t="shared" si="442"/>
        <v>0</v>
      </c>
      <c r="T232" s="27" t="str">
        <f t="shared" si="443"/>
        <v>0</v>
      </c>
      <c r="U232" s="27" t="str">
        <f t="shared" si="444"/>
        <v>0</v>
      </c>
      <c r="V232" s="27" t="str">
        <f t="shared" si="445"/>
        <v>1</v>
      </c>
      <c r="W232" s="27"/>
      <c r="X232" s="27" t="str">
        <f t="shared" si="446"/>
        <v/>
      </c>
      <c r="Y232" s="27" t="str">
        <f t="shared" si="447"/>
        <v/>
      </c>
      <c r="Z232" s="27" t="str">
        <f t="shared" si="448"/>
        <v/>
      </c>
      <c r="AA232" s="121"/>
      <c r="AB232" s="121"/>
      <c r="AC232" s="121"/>
      <c r="AD232" s="121"/>
      <c r="AE232" s="121" t="s">
        <v>51</v>
      </c>
      <c r="AF232" s="121"/>
      <c r="AG232" s="121"/>
      <c r="AH232" s="28">
        <v>272000</v>
      </c>
      <c r="AI232" s="28" t="s">
        <v>113</v>
      </c>
      <c r="AJ232" s="28">
        <v>31100</v>
      </c>
      <c r="AK232" s="28" t="str">
        <f t="shared" si="449"/>
        <v/>
      </c>
      <c r="AL232" s="123" t="str">
        <f t="shared" si="455"/>
        <v/>
      </c>
      <c r="AM232" s="28"/>
      <c r="AN232" s="28" t="s">
        <v>3245</v>
      </c>
      <c r="AO232" s="28" t="s">
        <v>3245</v>
      </c>
      <c r="AP232" s="28" t="s">
        <v>3245</v>
      </c>
      <c r="AQ232" s="28" t="s">
        <v>3245</v>
      </c>
      <c r="AR232" s="28" t="s">
        <v>3245</v>
      </c>
      <c r="AS232" s="28" t="s">
        <v>3245</v>
      </c>
      <c r="AT232" s="28" t="s">
        <v>3245</v>
      </c>
      <c r="AU232" s="28" t="s">
        <v>3245</v>
      </c>
      <c r="AV232" s="28" t="s">
        <v>3245</v>
      </c>
      <c r="AW232" s="28" t="s">
        <v>3245</v>
      </c>
      <c r="AX232" s="28" t="s">
        <v>3245</v>
      </c>
      <c r="AY232" s="124"/>
      <c r="AZ232" s="138" t="str">
        <f>IF(C232="","","delete from module_mst where pjt_id = '"&amp;C232&amp;"' and menu_id = '"&amp;E232&amp;"';")</f>
        <v/>
      </c>
      <c r="BA232" s="31" t="str">
        <f>IF(C232&lt;&gt;"",CREATE_QUERY($D$1,C$2:AY$2,C232:AY232),"")</f>
        <v/>
      </c>
    </row>
    <row r="233" spans="1:53">
      <c r="A233" s="1">
        <v>233</v>
      </c>
      <c r="B233" s="164" t="str">
        <f t="shared" si="434"/>
        <v/>
      </c>
      <c r="C233" s="27" t="str">
        <f t="shared" si="435"/>
        <v/>
      </c>
      <c r="D233" s="121"/>
      <c r="E233" s="27">
        <v>272006</v>
      </c>
      <c r="F233" s="121"/>
      <c r="G233" s="121" t="s">
        <v>900</v>
      </c>
      <c r="H233" s="121"/>
      <c r="I233" s="121"/>
      <c r="J233" s="121"/>
      <c r="K233" s="27" t="str">
        <f t="shared" si="436"/>
        <v/>
      </c>
      <c r="L233" s="27" t="str">
        <f t="shared" si="437"/>
        <v/>
      </c>
      <c r="M233" s="27" t="str">
        <f t="shared" si="438"/>
        <v>0</v>
      </c>
      <c r="N233" s="121"/>
      <c r="O233" s="121"/>
      <c r="P233" s="27" t="str">
        <f t="shared" si="439"/>
        <v>0</v>
      </c>
      <c r="Q233" s="27" t="str">
        <f t="shared" si="440"/>
        <v>0</v>
      </c>
      <c r="R233" s="27" t="str">
        <f t="shared" si="441"/>
        <v>0</v>
      </c>
      <c r="S233" s="27" t="str">
        <f t="shared" si="442"/>
        <v>0</v>
      </c>
      <c r="T233" s="27" t="str">
        <f t="shared" si="443"/>
        <v>0</v>
      </c>
      <c r="U233" s="27" t="str">
        <f t="shared" si="444"/>
        <v>0</v>
      </c>
      <c r="V233" s="27" t="str">
        <f t="shared" si="445"/>
        <v>1</v>
      </c>
      <c r="W233" s="27"/>
      <c r="X233" s="27" t="str">
        <f t="shared" si="446"/>
        <v/>
      </c>
      <c r="Y233" s="27" t="str">
        <f t="shared" si="447"/>
        <v/>
      </c>
      <c r="Z233" s="27" t="str">
        <f t="shared" si="448"/>
        <v/>
      </c>
      <c r="AA233" s="121"/>
      <c r="AB233" s="121"/>
      <c r="AC233" s="121"/>
      <c r="AD233" s="121"/>
      <c r="AE233" s="121" t="s">
        <v>51</v>
      </c>
      <c r="AF233" s="121"/>
      <c r="AG233" s="121"/>
      <c r="AH233" s="28">
        <v>272000</v>
      </c>
      <c r="AI233" s="28" t="s">
        <v>113</v>
      </c>
      <c r="AJ233" s="28">
        <v>31150</v>
      </c>
      <c r="AK233" s="28" t="str">
        <f t="shared" si="449"/>
        <v/>
      </c>
      <c r="AL233" s="123" t="str">
        <f t="shared" si="455"/>
        <v/>
      </c>
      <c r="AM233" s="28"/>
      <c r="AN233" s="28" t="s">
        <v>3245</v>
      </c>
      <c r="AO233" s="28" t="s">
        <v>3245</v>
      </c>
      <c r="AP233" s="28" t="s">
        <v>3245</v>
      </c>
      <c r="AQ233" s="28" t="s">
        <v>3245</v>
      </c>
      <c r="AR233" s="28" t="s">
        <v>3245</v>
      </c>
      <c r="AS233" s="28" t="s">
        <v>3245</v>
      </c>
      <c r="AT233" s="28" t="s">
        <v>3245</v>
      </c>
      <c r="AU233" s="28" t="s">
        <v>3245</v>
      </c>
      <c r="AV233" s="28" t="s">
        <v>3245</v>
      </c>
      <c r="AW233" s="28" t="s">
        <v>3245</v>
      </c>
      <c r="AX233" s="28" t="s">
        <v>3245</v>
      </c>
      <c r="AY233" s="124"/>
      <c r="AZ233" s="138" t="str">
        <f>IF(C233="","","delete from module_mst where pjt_id = '"&amp;C233&amp;"' and menu_id = '"&amp;E233&amp;"';")</f>
        <v/>
      </c>
      <c r="BA233" s="31" t="str">
        <f>IF(C233&lt;&gt;"",CREATE_QUERY($D$1,C$2:AY$2,C233:AY233),"")</f>
        <v/>
      </c>
    </row>
    <row r="234" spans="1:53">
      <c r="A234" s="1">
        <v>234</v>
      </c>
      <c r="B234" s="164" t="str">
        <f t="shared" si="434"/>
        <v/>
      </c>
      <c r="C234" s="27" t="str">
        <f t="shared" si="435"/>
        <v/>
      </c>
      <c r="D234" s="121"/>
      <c r="E234" s="27">
        <v>272007</v>
      </c>
      <c r="F234" s="121"/>
      <c r="G234" s="121" t="s">
        <v>900</v>
      </c>
      <c r="H234" s="121"/>
      <c r="I234" s="121"/>
      <c r="J234" s="121"/>
      <c r="K234" s="27" t="str">
        <f t="shared" si="436"/>
        <v/>
      </c>
      <c r="L234" s="27" t="str">
        <f t="shared" si="437"/>
        <v/>
      </c>
      <c r="M234" s="27" t="str">
        <f t="shared" si="438"/>
        <v>0</v>
      </c>
      <c r="N234" s="121"/>
      <c r="O234" s="121"/>
      <c r="P234" s="27" t="str">
        <f t="shared" si="439"/>
        <v>0</v>
      </c>
      <c r="Q234" s="27" t="str">
        <f t="shared" si="440"/>
        <v>0</v>
      </c>
      <c r="R234" s="27" t="str">
        <f t="shared" si="441"/>
        <v>0</v>
      </c>
      <c r="S234" s="27" t="str">
        <f t="shared" si="442"/>
        <v>0</v>
      </c>
      <c r="T234" s="27" t="str">
        <f t="shared" si="443"/>
        <v>0</v>
      </c>
      <c r="U234" s="27" t="str">
        <f t="shared" si="444"/>
        <v>0</v>
      </c>
      <c r="V234" s="27" t="str">
        <f t="shared" si="445"/>
        <v>1</v>
      </c>
      <c r="W234" s="27"/>
      <c r="X234" s="27" t="str">
        <f t="shared" si="446"/>
        <v/>
      </c>
      <c r="Y234" s="27" t="str">
        <f t="shared" si="447"/>
        <v/>
      </c>
      <c r="Z234" s="27" t="str">
        <f t="shared" si="448"/>
        <v/>
      </c>
      <c r="AA234" s="121"/>
      <c r="AB234" s="121"/>
      <c r="AC234" s="121"/>
      <c r="AD234" s="121"/>
      <c r="AE234" s="121" t="s">
        <v>51</v>
      </c>
      <c r="AF234" s="121"/>
      <c r="AG234" s="121"/>
      <c r="AH234" s="28">
        <v>272000</v>
      </c>
      <c r="AI234" s="28" t="s">
        <v>113</v>
      </c>
      <c r="AJ234" s="28">
        <v>31200</v>
      </c>
      <c r="AK234" s="28" t="str">
        <f t="shared" si="449"/>
        <v/>
      </c>
      <c r="AL234" s="123" t="str">
        <f t="shared" si="455"/>
        <v/>
      </c>
      <c r="AM234" s="28"/>
      <c r="AN234" s="28" t="s">
        <v>3245</v>
      </c>
      <c r="AO234" s="28" t="s">
        <v>3245</v>
      </c>
      <c r="AP234" s="28" t="s">
        <v>3245</v>
      </c>
      <c r="AQ234" s="28" t="s">
        <v>3245</v>
      </c>
      <c r="AR234" s="28" t="s">
        <v>3245</v>
      </c>
      <c r="AS234" s="28" t="s">
        <v>3245</v>
      </c>
      <c r="AT234" s="28" t="s">
        <v>3245</v>
      </c>
      <c r="AU234" s="28" t="s">
        <v>3245</v>
      </c>
      <c r="AV234" s="28" t="s">
        <v>3245</v>
      </c>
      <c r="AW234" s="28" t="s">
        <v>3245</v>
      </c>
      <c r="AX234" s="28" t="s">
        <v>3245</v>
      </c>
      <c r="AY234" s="124"/>
      <c r="AZ234" s="138" t="str">
        <f>IF(C234="","","delete from module_mst where pjt_id = '"&amp;C234&amp;"' and menu_id = '"&amp;E234&amp;"';")</f>
        <v/>
      </c>
      <c r="BA234" s="31" t="str">
        <f>IF(C234&lt;&gt;"",CREATE_QUERY($D$1,C$2:AY$2,C234:AY234),"")</f>
        <v/>
      </c>
    </row>
    <row r="235" spans="1:53">
      <c r="A235" s="1">
        <v>235</v>
      </c>
      <c r="B235" s="164" t="str">
        <f t="shared" si="434"/>
        <v/>
      </c>
      <c r="C235" s="27" t="str">
        <f t="shared" si="435"/>
        <v/>
      </c>
      <c r="D235" s="121"/>
      <c r="E235" s="27">
        <v>272008</v>
      </c>
      <c r="F235" s="121"/>
      <c r="G235" s="121" t="s">
        <v>900</v>
      </c>
      <c r="H235" s="121"/>
      <c r="I235" s="121"/>
      <c r="J235" s="121"/>
      <c r="K235" s="27" t="str">
        <f t="shared" si="436"/>
        <v/>
      </c>
      <c r="L235" s="27" t="str">
        <f t="shared" si="437"/>
        <v/>
      </c>
      <c r="M235" s="27" t="str">
        <f t="shared" si="438"/>
        <v>0</v>
      </c>
      <c r="N235" s="121"/>
      <c r="O235" s="121"/>
      <c r="P235" s="27" t="str">
        <f t="shared" si="439"/>
        <v>0</v>
      </c>
      <c r="Q235" s="27" t="str">
        <f t="shared" si="440"/>
        <v>0</v>
      </c>
      <c r="R235" s="27" t="str">
        <f t="shared" si="441"/>
        <v>0</v>
      </c>
      <c r="S235" s="27" t="str">
        <f t="shared" si="442"/>
        <v>0</v>
      </c>
      <c r="T235" s="27" t="str">
        <f t="shared" si="443"/>
        <v>0</v>
      </c>
      <c r="U235" s="27" t="str">
        <f t="shared" si="444"/>
        <v>0</v>
      </c>
      <c r="V235" s="27" t="str">
        <f t="shared" si="445"/>
        <v>1</v>
      </c>
      <c r="W235" s="27"/>
      <c r="X235" s="27" t="str">
        <f t="shared" si="446"/>
        <v/>
      </c>
      <c r="Y235" s="27" t="str">
        <f t="shared" si="447"/>
        <v/>
      </c>
      <c r="Z235" s="27" t="str">
        <f t="shared" si="448"/>
        <v/>
      </c>
      <c r="AA235" s="121"/>
      <c r="AB235" s="121"/>
      <c r="AC235" s="121"/>
      <c r="AD235" s="121"/>
      <c r="AE235" s="121" t="s">
        <v>51</v>
      </c>
      <c r="AF235" s="121"/>
      <c r="AG235" s="121"/>
      <c r="AH235" s="28">
        <v>272000</v>
      </c>
      <c r="AI235" s="28" t="s">
        <v>113</v>
      </c>
      <c r="AJ235" s="28">
        <v>31250</v>
      </c>
      <c r="AK235" s="28" t="str">
        <f t="shared" si="449"/>
        <v/>
      </c>
      <c r="AL235" s="123" t="str">
        <f t="shared" si="455"/>
        <v/>
      </c>
      <c r="AM235" s="28"/>
      <c r="AN235" s="28" t="s">
        <v>3245</v>
      </c>
      <c r="AO235" s="28" t="s">
        <v>3245</v>
      </c>
      <c r="AP235" s="28" t="s">
        <v>3245</v>
      </c>
      <c r="AQ235" s="28" t="s">
        <v>3245</v>
      </c>
      <c r="AR235" s="28" t="s">
        <v>3245</v>
      </c>
      <c r="AS235" s="28" t="s">
        <v>3245</v>
      </c>
      <c r="AT235" s="28" t="s">
        <v>3245</v>
      </c>
      <c r="AU235" s="28" t="s">
        <v>3245</v>
      </c>
      <c r="AV235" s="28" t="s">
        <v>3245</v>
      </c>
      <c r="AW235" s="28" t="s">
        <v>3245</v>
      </c>
      <c r="AX235" s="28" t="s">
        <v>3245</v>
      </c>
      <c r="AY235" s="124"/>
      <c r="AZ235" s="138" t="str">
        <f>IF(C235="","","delete from module_mst where pjt_id = '"&amp;C235&amp;"' and menu_id = '"&amp;E235&amp;"';")</f>
        <v/>
      </c>
      <c r="BA235" s="31" t="str">
        <f>IF(C235&lt;&gt;"",CREATE_QUERY($D$1,C$2:AY$2,C235:AY235),"")</f>
        <v/>
      </c>
    </row>
    <row r="236" spans="1:53">
      <c r="A236" s="1">
        <v>236</v>
      </c>
      <c r="B236" s="164" t="str">
        <f t="shared" si="434"/>
        <v/>
      </c>
      <c r="C236" s="27" t="str">
        <f t="shared" si="435"/>
        <v/>
      </c>
      <c r="D236" s="121"/>
      <c r="E236" s="27">
        <v>272009</v>
      </c>
      <c r="F236" s="121"/>
      <c r="G236" s="121" t="s">
        <v>900</v>
      </c>
      <c r="H236" s="121"/>
      <c r="I236" s="121"/>
      <c r="J236" s="121"/>
      <c r="K236" s="27" t="str">
        <f t="shared" si="436"/>
        <v/>
      </c>
      <c r="L236" s="27" t="str">
        <f t="shared" si="437"/>
        <v/>
      </c>
      <c r="M236" s="27" t="str">
        <f t="shared" si="438"/>
        <v>0</v>
      </c>
      <c r="N236" s="121"/>
      <c r="O236" s="121"/>
      <c r="P236" s="27" t="str">
        <f t="shared" si="439"/>
        <v>0</v>
      </c>
      <c r="Q236" s="27" t="str">
        <f t="shared" si="440"/>
        <v>0</v>
      </c>
      <c r="R236" s="27" t="str">
        <f t="shared" si="441"/>
        <v>0</v>
      </c>
      <c r="S236" s="27" t="str">
        <f t="shared" si="442"/>
        <v>0</v>
      </c>
      <c r="T236" s="27" t="str">
        <f t="shared" si="443"/>
        <v>0</v>
      </c>
      <c r="U236" s="27" t="str">
        <f t="shared" si="444"/>
        <v>0</v>
      </c>
      <c r="V236" s="27" t="str">
        <f t="shared" si="445"/>
        <v>1</v>
      </c>
      <c r="W236" s="27"/>
      <c r="X236" s="27" t="str">
        <f t="shared" si="446"/>
        <v/>
      </c>
      <c r="Y236" s="27" t="str">
        <f t="shared" si="447"/>
        <v/>
      </c>
      <c r="Z236" s="27" t="str">
        <f t="shared" si="448"/>
        <v/>
      </c>
      <c r="AA236" s="121"/>
      <c r="AB236" s="121"/>
      <c r="AC236" s="121"/>
      <c r="AD236" s="121"/>
      <c r="AE236" s="121" t="s">
        <v>51</v>
      </c>
      <c r="AF236" s="121"/>
      <c r="AG236" s="121"/>
      <c r="AH236" s="28">
        <v>272000</v>
      </c>
      <c r="AI236" s="28" t="s">
        <v>113</v>
      </c>
      <c r="AJ236" s="28">
        <v>31300</v>
      </c>
      <c r="AK236" s="28" t="str">
        <f t="shared" si="449"/>
        <v/>
      </c>
      <c r="AL236" s="123" t="str">
        <f t="shared" si="455"/>
        <v/>
      </c>
      <c r="AM236" s="28"/>
      <c r="AN236" s="28" t="s">
        <v>3245</v>
      </c>
      <c r="AO236" s="28" t="s">
        <v>3245</v>
      </c>
      <c r="AP236" s="28" t="s">
        <v>3245</v>
      </c>
      <c r="AQ236" s="28" t="s">
        <v>3245</v>
      </c>
      <c r="AR236" s="28" t="s">
        <v>3245</v>
      </c>
      <c r="AS236" s="28" t="s">
        <v>3245</v>
      </c>
      <c r="AT236" s="28" t="s">
        <v>3245</v>
      </c>
      <c r="AU236" s="28" t="s">
        <v>3245</v>
      </c>
      <c r="AV236" s="28" t="s">
        <v>3245</v>
      </c>
      <c r="AW236" s="28" t="s">
        <v>3245</v>
      </c>
      <c r="AX236" s="28" t="s">
        <v>3245</v>
      </c>
      <c r="AY236" s="124"/>
      <c r="AZ236" s="138" t="str">
        <f>IF(C236="","","delete from module_mst where pjt_id = '"&amp;C236&amp;"' and menu_id = '"&amp;E236&amp;"';")</f>
        <v/>
      </c>
      <c r="BA236" s="31" t="str">
        <f>IF(C236&lt;&gt;"",CREATE_QUERY($D$1,C$2:AY$2,C236:AY236),"")</f>
        <v/>
      </c>
    </row>
    <row r="237" spans="1:53">
      <c r="A237" s="1">
        <v>237</v>
      </c>
      <c r="B237" s="164" t="str">
        <f t="shared" si="434"/>
        <v/>
      </c>
      <c r="C237" s="27" t="str">
        <f t="shared" si="435"/>
        <v/>
      </c>
      <c r="D237" s="121"/>
      <c r="E237" s="27">
        <v>272010</v>
      </c>
      <c r="F237" s="121"/>
      <c r="G237" s="121" t="s">
        <v>900</v>
      </c>
      <c r="H237" s="121"/>
      <c r="I237" s="121"/>
      <c r="J237" s="121"/>
      <c r="K237" s="27" t="str">
        <f t="shared" si="436"/>
        <v/>
      </c>
      <c r="L237" s="27" t="str">
        <f t="shared" si="437"/>
        <v/>
      </c>
      <c r="M237" s="27" t="str">
        <f t="shared" si="438"/>
        <v>0</v>
      </c>
      <c r="N237" s="121"/>
      <c r="O237" s="121"/>
      <c r="P237" s="27" t="str">
        <f t="shared" si="439"/>
        <v>0</v>
      </c>
      <c r="Q237" s="27" t="str">
        <f t="shared" si="440"/>
        <v>0</v>
      </c>
      <c r="R237" s="27" t="str">
        <f t="shared" si="441"/>
        <v>0</v>
      </c>
      <c r="S237" s="27" t="str">
        <f t="shared" si="442"/>
        <v>0</v>
      </c>
      <c r="T237" s="27" t="str">
        <f t="shared" si="443"/>
        <v>0</v>
      </c>
      <c r="U237" s="27" t="str">
        <f t="shared" si="444"/>
        <v>0</v>
      </c>
      <c r="V237" s="27" t="str">
        <f t="shared" si="445"/>
        <v>1</v>
      </c>
      <c r="W237" s="27"/>
      <c r="X237" s="27" t="str">
        <f t="shared" si="446"/>
        <v/>
      </c>
      <c r="Y237" s="27" t="str">
        <f t="shared" si="447"/>
        <v/>
      </c>
      <c r="Z237" s="27" t="str">
        <f t="shared" si="448"/>
        <v/>
      </c>
      <c r="AA237" s="121"/>
      <c r="AB237" s="121"/>
      <c r="AC237" s="121"/>
      <c r="AD237" s="121"/>
      <c r="AE237" s="121" t="s">
        <v>51</v>
      </c>
      <c r="AF237" s="121"/>
      <c r="AG237" s="121"/>
      <c r="AH237" s="28">
        <v>272000</v>
      </c>
      <c r="AI237" s="28" t="s">
        <v>113</v>
      </c>
      <c r="AJ237" s="28">
        <v>31350</v>
      </c>
      <c r="AK237" s="28" t="str">
        <f t="shared" si="449"/>
        <v/>
      </c>
      <c r="AL237" s="123" t="str">
        <f t="shared" si="455"/>
        <v/>
      </c>
      <c r="AM237" s="28"/>
      <c r="AN237" s="28" t="s">
        <v>3245</v>
      </c>
      <c r="AO237" s="28" t="s">
        <v>3245</v>
      </c>
      <c r="AP237" s="28" t="s">
        <v>3245</v>
      </c>
      <c r="AQ237" s="28" t="s">
        <v>3245</v>
      </c>
      <c r="AR237" s="28" t="s">
        <v>3245</v>
      </c>
      <c r="AS237" s="28" t="s">
        <v>3245</v>
      </c>
      <c r="AT237" s="28" t="s">
        <v>3245</v>
      </c>
      <c r="AU237" s="28" t="s">
        <v>3245</v>
      </c>
      <c r="AV237" s="28" t="s">
        <v>3245</v>
      </c>
      <c r="AW237" s="28" t="s">
        <v>3245</v>
      </c>
      <c r="AX237" s="28" t="s">
        <v>3245</v>
      </c>
      <c r="AY237" s="124"/>
      <c r="AZ237" s="138" t="str">
        <f>IF(C237="","","delete from module_mst where pjt_id = '"&amp;C237&amp;"' and menu_id = '"&amp;E237&amp;"';")</f>
        <v/>
      </c>
      <c r="BA237" s="31" t="str">
        <f>IF(C237&lt;&gt;"",CREATE_QUERY($D$1,C$2:AY$2,C237:AY237),"")</f>
        <v/>
      </c>
    </row>
    <row r="238" spans="1:53">
      <c r="A238" s="1">
        <v>238</v>
      </c>
      <c r="B238" s="164" t="str">
        <f t="shared" si="434"/>
        <v/>
      </c>
      <c r="C238" s="27" t="str">
        <f t="shared" si="435"/>
        <v/>
      </c>
      <c r="D238" s="121"/>
      <c r="E238" s="27"/>
      <c r="F238" s="121"/>
      <c r="G238" s="121" t="s">
        <v>900</v>
      </c>
      <c r="H238" s="121"/>
      <c r="I238" s="121"/>
      <c r="J238" s="121"/>
      <c r="K238" s="27" t="str">
        <f t="shared" si="436"/>
        <v/>
      </c>
      <c r="L238" s="27" t="str">
        <f t="shared" si="437"/>
        <v/>
      </c>
      <c r="M238" s="27" t="str">
        <f t="shared" si="438"/>
        <v>0</v>
      </c>
      <c r="N238" s="121"/>
      <c r="O238" s="121"/>
      <c r="P238" s="27" t="str">
        <f t="shared" si="439"/>
        <v>0</v>
      </c>
      <c r="Q238" s="27" t="str">
        <f t="shared" si="440"/>
        <v>0</v>
      </c>
      <c r="R238" s="27" t="str">
        <f t="shared" si="441"/>
        <v>0</v>
      </c>
      <c r="S238" s="27" t="str">
        <f t="shared" si="442"/>
        <v>0</v>
      </c>
      <c r="T238" s="27" t="str">
        <f t="shared" si="443"/>
        <v>0</v>
      </c>
      <c r="U238" s="27" t="str">
        <f t="shared" si="444"/>
        <v>0</v>
      </c>
      <c r="V238" s="27" t="str">
        <f t="shared" si="445"/>
        <v>1</v>
      </c>
      <c r="W238" s="27"/>
      <c r="X238" s="27" t="str">
        <f t="shared" si="446"/>
        <v/>
      </c>
      <c r="Y238" s="27" t="str">
        <f t="shared" si="447"/>
        <v/>
      </c>
      <c r="Z238" s="27" t="str">
        <f t="shared" si="448"/>
        <v/>
      </c>
      <c r="AA238" s="121"/>
      <c r="AB238" s="121"/>
      <c r="AC238" s="121"/>
      <c r="AD238" s="121"/>
      <c r="AE238" s="121" t="s">
        <v>51</v>
      </c>
      <c r="AF238" s="121"/>
      <c r="AG238" s="121"/>
      <c r="AH238" s="28"/>
      <c r="AI238" s="28" t="s">
        <v>113</v>
      </c>
      <c r="AJ238" s="28">
        <v>31400</v>
      </c>
      <c r="AK238" s="28" t="str">
        <f t="shared" si="449"/>
        <v/>
      </c>
      <c r="AL238" s="123" t="str">
        <f>IF(C238="","",C238&amp;"/"&amp;F238&amp;"/"&amp;N238&amp;"/"&amp;O238)</f>
        <v/>
      </c>
      <c r="AM238" s="28"/>
      <c r="AN238" s="28" t="s">
        <v>3245</v>
      </c>
      <c r="AO238" s="28" t="s">
        <v>3245</v>
      </c>
      <c r="AP238" s="28" t="s">
        <v>3245</v>
      </c>
      <c r="AQ238" s="28" t="s">
        <v>3245</v>
      </c>
      <c r="AR238" s="28" t="s">
        <v>3245</v>
      </c>
      <c r="AS238" s="28" t="s">
        <v>3245</v>
      </c>
      <c r="AT238" s="28" t="s">
        <v>3245</v>
      </c>
      <c r="AU238" s="28" t="s">
        <v>3245</v>
      </c>
      <c r="AV238" s="28" t="s">
        <v>3245</v>
      </c>
      <c r="AW238" s="28" t="s">
        <v>3245</v>
      </c>
      <c r="AX238" s="28" t="s">
        <v>3245</v>
      </c>
      <c r="AY238" s="124"/>
      <c r="AZ238" s="138" t="str">
        <f>IF(C238="","","delete from module_mst where pjt_id = '"&amp;C238&amp;"' and menu_id = '"&amp;E238&amp;"';")</f>
        <v/>
      </c>
      <c r="BA238" s="31" t="str">
        <f>IF(C238&lt;&gt;"",CREATE_QUERY($D$1,C$2:AY$2,C238:AY238),"")</f>
        <v/>
      </c>
    </row>
    <row r="239" spans="1:53">
      <c r="A239" s="1">
        <v>239</v>
      </c>
      <c r="B239" s="159" t="str">
        <f t="shared" si="434"/>
        <v xml:space="preserve">    └ 제품입고관리</v>
      </c>
      <c r="C239" s="27" t="str">
        <f t="shared" si="435"/>
        <v>14821</v>
      </c>
      <c r="D239" s="121"/>
      <c r="E239" s="21">
        <v>273000</v>
      </c>
      <c r="F239" s="118" t="s">
        <v>3353</v>
      </c>
      <c r="G239" s="118" t="s">
        <v>3131</v>
      </c>
      <c r="H239" s="118"/>
      <c r="I239" s="118"/>
      <c r="J239" s="118"/>
      <c r="K239" s="21" t="str">
        <f t="shared" si="436"/>
        <v/>
      </c>
      <c r="L239" s="21" t="str">
        <f t="shared" si="437"/>
        <v>1</v>
      </c>
      <c r="M239" s="21" t="str">
        <f t="shared" si="438"/>
        <v>0</v>
      </c>
      <c r="N239" s="118"/>
      <c r="O239" s="118"/>
      <c r="P239" s="21" t="str">
        <f t="shared" si="439"/>
        <v>0</v>
      </c>
      <c r="Q239" s="21" t="str">
        <f t="shared" si="440"/>
        <v>0</v>
      </c>
      <c r="R239" s="21" t="str">
        <f t="shared" si="441"/>
        <v>0</v>
      </c>
      <c r="S239" s="21" t="str">
        <f t="shared" si="442"/>
        <v>0</v>
      </c>
      <c r="T239" s="21" t="str">
        <f t="shared" si="443"/>
        <v>0</v>
      </c>
      <c r="U239" s="21" t="str">
        <f t="shared" si="444"/>
        <v>0</v>
      </c>
      <c r="V239" s="21" t="str">
        <f t="shared" si="445"/>
        <v>1</v>
      </c>
      <c r="W239" s="21"/>
      <c r="X239" s="21" t="str">
        <f t="shared" si="446"/>
        <v/>
      </c>
      <c r="Y239" s="21" t="str">
        <f t="shared" si="447"/>
        <v/>
      </c>
      <c r="Z239" s="21" t="str">
        <f t="shared" si="448"/>
        <v/>
      </c>
      <c r="AA239" s="118"/>
      <c r="AB239" s="118"/>
      <c r="AC239" s="118"/>
      <c r="AD239" s="118"/>
      <c r="AE239" s="118" t="s">
        <v>51</v>
      </c>
      <c r="AF239" s="118"/>
      <c r="AG239" s="118"/>
      <c r="AH239" s="26" t="s">
        <v>173</v>
      </c>
      <c r="AI239" s="26" t="s">
        <v>112</v>
      </c>
      <c r="AJ239" s="26">
        <v>30700</v>
      </c>
      <c r="AK239" s="26" t="str">
        <f t="shared" si="449"/>
        <v>0</v>
      </c>
      <c r="AL239" s="123" t="str">
        <f>IF(C239="","",C239&amp;"/"&amp;F239&amp;"/"&amp;N239&amp;"/"&amp;O239)</f>
        <v>14821/제품입고관리//</v>
      </c>
      <c r="AM239" s="26" t="s">
        <v>2979</v>
      </c>
      <c r="AN239" s="26" t="str">
        <f t="shared" ref="AN239:AX239" si="456">IF(COUNTIF(AN241:AN245,"="&amp;"Y")&gt;0,"Y",IF(COUNTIF(AN241:AN245,"="&amp;"-")&gt;0,"m",""))</f>
        <v>m</v>
      </c>
      <c r="AO239" s="26" t="str">
        <f t="shared" si="456"/>
        <v>m</v>
      </c>
      <c r="AP239" s="26" t="str">
        <f t="shared" si="456"/>
        <v>m</v>
      </c>
      <c r="AQ239" s="26" t="str">
        <f t="shared" si="456"/>
        <v>m</v>
      </c>
      <c r="AR239" s="26" t="str">
        <f t="shared" si="456"/>
        <v>m</v>
      </c>
      <c r="AS239" s="26" t="str">
        <f t="shared" si="456"/>
        <v>m</v>
      </c>
      <c r="AT239" s="26" t="str">
        <f t="shared" si="456"/>
        <v>m</v>
      </c>
      <c r="AU239" s="26" t="str">
        <f t="shared" si="456"/>
        <v>m</v>
      </c>
      <c r="AV239" s="26" t="str">
        <f t="shared" si="456"/>
        <v>m</v>
      </c>
      <c r="AW239" s="26" t="str">
        <f t="shared" si="456"/>
        <v>m</v>
      </c>
      <c r="AX239" s="26" t="str">
        <f t="shared" si="456"/>
        <v>m</v>
      </c>
      <c r="AY239" s="124"/>
      <c r="AZ239" s="138" t="str">
        <f>IF(C239="","","delete from module_mst where pjt_id = '"&amp;C239&amp;"' and menu_id = '"&amp;E239&amp;"';")</f>
        <v>delete from module_mst where pjt_id = '14821' and menu_id = '273000';</v>
      </c>
      <c r="BA239" s="31" t="str">
        <f>IF(C239&lt;&gt;"",CREATE_QUERY($D$1,C$2:AY$2,C239:AY239),"")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'273000', '제품입고관리', 'Material receiving management', '', '', '', '', '1', '0', '', '', '0', '0', '0', '0', '0', '0', '1', '', '', '', '', '', '', '', '', 'N', '', '', '270000', '4', '30700', '0', '14821/제품입고관리//', '메뉴', '');</v>
      </c>
    </row>
    <row r="240" spans="1:53">
      <c r="A240" s="1">
        <v>240</v>
      </c>
      <c r="B240" s="164" t="str">
        <f t="shared" si="434"/>
        <v xml:space="preserve">        └ 상품입고관리</v>
      </c>
      <c r="C240" s="27" t="str">
        <f t="shared" si="435"/>
        <v>14821</v>
      </c>
      <c r="D240" s="121"/>
      <c r="E240" s="27">
        <v>271024</v>
      </c>
      <c r="F240" s="121" t="s">
        <v>3305</v>
      </c>
      <c r="G240" s="121" t="s">
        <v>900</v>
      </c>
      <c r="H240" s="121"/>
      <c r="I240" s="121"/>
      <c r="J240" s="121"/>
      <c r="K240" s="27" t="str">
        <f t="shared" si="436"/>
        <v>1</v>
      </c>
      <c r="L240" s="27" t="str">
        <f t="shared" si="437"/>
        <v>1</v>
      </c>
      <c r="M240" s="27" t="str">
        <f t="shared" si="438"/>
        <v>1</v>
      </c>
      <c r="N240" s="121" t="s">
        <v>2967</v>
      </c>
      <c r="O240" s="121" t="s">
        <v>3306</v>
      </c>
      <c r="P240" s="27" t="str">
        <f t="shared" si="439"/>
        <v>1</v>
      </c>
      <c r="Q240" s="27" t="str">
        <f t="shared" si="440"/>
        <v>1</v>
      </c>
      <c r="R240" s="27" t="str">
        <f t="shared" si="441"/>
        <v>1</v>
      </c>
      <c r="S240" s="27" t="str">
        <f t="shared" si="442"/>
        <v>1</v>
      </c>
      <c r="T240" s="27" t="str">
        <f t="shared" si="443"/>
        <v>1</v>
      </c>
      <c r="U240" s="27" t="str">
        <f t="shared" si="444"/>
        <v>1</v>
      </c>
      <c r="V240" s="27" t="str">
        <f t="shared" si="445"/>
        <v>1</v>
      </c>
      <c r="W240" s="27"/>
      <c r="X240" s="27" t="str">
        <f t="shared" si="446"/>
        <v>0</v>
      </c>
      <c r="Y240" s="27" t="str">
        <f t="shared" si="447"/>
        <v>0</v>
      </c>
      <c r="Z240" s="27" t="str">
        <f t="shared" si="448"/>
        <v>0</v>
      </c>
      <c r="AA240" s="121"/>
      <c r="AB240" s="121"/>
      <c r="AC240" s="121"/>
      <c r="AD240" s="121"/>
      <c r="AE240" s="121" t="s">
        <v>51</v>
      </c>
      <c r="AF240" s="121"/>
      <c r="AG240" s="121"/>
      <c r="AH240" s="28">
        <v>273000</v>
      </c>
      <c r="AI240" s="28" t="s">
        <v>113</v>
      </c>
      <c r="AJ240" s="28">
        <v>40800</v>
      </c>
      <c r="AK240" s="28" t="str">
        <f t="shared" si="449"/>
        <v>0</v>
      </c>
      <c r="AL240" s="123" t="str">
        <f>IF(C240="","",C240&amp;"/"&amp;F240&amp;"/"&amp;N240&amp;"/"&amp;O240)</f>
        <v>14821/상품입고관리/custom.iypkg.stock.isos/IsttWork3</v>
      </c>
      <c r="AM240" s="28"/>
      <c r="AN240" s="28" t="s">
        <v>3245</v>
      </c>
      <c r="AO240" s="28" t="s">
        <v>3245</v>
      </c>
      <c r="AP240" s="28" t="s">
        <v>3245</v>
      </c>
      <c r="AQ240" s="28" t="s">
        <v>3245</v>
      </c>
      <c r="AR240" s="28" t="s">
        <v>3245</v>
      </c>
      <c r="AS240" s="28" t="s">
        <v>3245</v>
      </c>
      <c r="AT240" s="28" t="s">
        <v>3245</v>
      </c>
      <c r="AU240" s="28" t="s">
        <v>3245</v>
      </c>
      <c r="AV240" s="28" t="s">
        <v>3245</v>
      </c>
      <c r="AW240" s="28" t="s">
        <v>3245</v>
      </c>
      <c r="AX240" s="28" t="s">
        <v>3245</v>
      </c>
      <c r="AY240" s="124"/>
      <c r="AZ240" s="138" t="str">
        <f>IF(C240="","","delete from module_mst where pjt_id = '"&amp;C240&amp;"' and menu_id = '"&amp;E240&amp;"';")</f>
        <v>delete from module_mst where pjt_id = '14821' and menu_id = '271024';</v>
      </c>
      <c r="BA240" s="31" t="str">
        <f>IF(C240&lt;&gt;"",CREATE_QUERY($D$1,C$2:AY$2,C240:AY240),"")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'271024', '상품입고관리', '', '', '', '', '1', '1', '1', 'custom.iypkg.stock.isos', 'IsttWork3', '1', '1', '1', '1', '1', '1', '1', '', '0', '0', '0', '', '', '', '', 'N', '', '', '273000', '5', '40800', '0', '14821/상품입고관리/custom.iypkg.stock.isos/IsttWork3', '', '');</v>
      </c>
    </row>
    <row r="241" spans="1:53">
      <c r="A241" s="1">
        <v>241</v>
      </c>
      <c r="B241" s="164" t="str">
        <f t="shared" si="434"/>
        <v/>
      </c>
      <c r="C241" s="27" t="str">
        <f t="shared" si="435"/>
        <v/>
      </c>
      <c r="D241" s="121"/>
      <c r="E241" s="27">
        <v>273001</v>
      </c>
      <c r="F241" s="121"/>
      <c r="G241" s="121" t="s">
        <v>900</v>
      </c>
      <c r="H241" s="121"/>
      <c r="I241" s="121"/>
      <c r="J241" s="121"/>
      <c r="K241" s="27" t="str">
        <f t="shared" si="436"/>
        <v/>
      </c>
      <c r="L241" s="27" t="str">
        <f t="shared" si="437"/>
        <v/>
      </c>
      <c r="M241" s="27" t="str">
        <f t="shared" si="438"/>
        <v>0</v>
      </c>
      <c r="N241" s="121"/>
      <c r="O241" s="121"/>
      <c r="P241" s="27" t="str">
        <f t="shared" si="439"/>
        <v>0</v>
      </c>
      <c r="Q241" s="27" t="str">
        <f t="shared" si="440"/>
        <v>0</v>
      </c>
      <c r="R241" s="27" t="str">
        <f t="shared" si="441"/>
        <v>0</v>
      </c>
      <c r="S241" s="27" t="str">
        <f t="shared" si="442"/>
        <v>0</v>
      </c>
      <c r="T241" s="27" t="str">
        <f t="shared" si="443"/>
        <v>0</v>
      </c>
      <c r="U241" s="27" t="str">
        <f t="shared" si="444"/>
        <v>0</v>
      </c>
      <c r="V241" s="27" t="str">
        <f t="shared" si="445"/>
        <v>1</v>
      </c>
      <c r="W241" s="27"/>
      <c r="X241" s="27" t="str">
        <f t="shared" si="446"/>
        <v/>
      </c>
      <c r="Y241" s="27" t="str">
        <f t="shared" si="447"/>
        <v/>
      </c>
      <c r="Z241" s="27" t="str">
        <f t="shared" si="448"/>
        <v/>
      </c>
      <c r="AA241" s="121"/>
      <c r="AB241" s="121"/>
      <c r="AC241" s="121"/>
      <c r="AD241" s="121"/>
      <c r="AE241" s="121" t="s">
        <v>51</v>
      </c>
      <c r="AF241" s="121"/>
      <c r="AG241" s="121"/>
      <c r="AH241" s="28">
        <v>273000</v>
      </c>
      <c r="AI241" s="28" t="s">
        <v>113</v>
      </c>
      <c r="AJ241" s="28">
        <v>6</v>
      </c>
      <c r="AK241" s="28" t="str">
        <f t="shared" si="449"/>
        <v/>
      </c>
      <c r="AL241" s="123" t="str">
        <f t="shared" ref="AL241:AL245" si="457">IF(C241="","",C241&amp;"/"&amp;F241&amp;"/"&amp;N241&amp;"/"&amp;O241)</f>
        <v/>
      </c>
      <c r="AM241" s="28"/>
      <c r="AN241" s="28"/>
      <c r="AO241" s="28"/>
      <c r="AP241" s="28"/>
      <c r="AQ241" s="28"/>
      <c r="AR241" s="28"/>
      <c r="AS241" s="28"/>
      <c r="AT241" s="28"/>
      <c r="AU241" s="28"/>
      <c r="AV241" s="28"/>
      <c r="AW241" s="28"/>
      <c r="AX241" s="28"/>
      <c r="AY241" s="124"/>
      <c r="AZ241" s="138" t="str">
        <f>IF(C241="","","delete from module_mst where pjt_id = '"&amp;C241&amp;"' and menu_id = '"&amp;E241&amp;"';")</f>
        <v/>
      </c>
      <c r="BA241" s="31" t="str">
        <f>IF(C241&lt;&gt;"",CREATE_QUERY($D$1,C$2:AY$2,C241:AY241),"")</f>
        <v/>
      </c>
    </row>
    <row r="242" spans="1:53">
      <c r="A242" s="1">
        <v>242</v>
      </c>
      <c r="B242" s="164" t="str">
        <f t="shared" si="434"/>
        <v/>
      </c>
      <c r="C242" s="27" t="str">
        <f t="shared" si="435"/>
        <v/>
      </c>
      <c r="D242" s="121"/>
      <c r="E242" s="27">
        <v>273002</v>
      </c>
      <c r="F242" s="121"/>
      <c r="G242" s="121" t="s">
        <v>900</v>
      </c>
      <c r="H242" s="121"/>
      <c r="I242" s="121"/>
      <c r="J242" s="121"/>
      <c r="K242" s="27" t="str">
        <f t="shared" si="436"/>
        <v/>
      </c>
      <c r="L242" s="27" t="str">
        <f t="shared" si="437"/>
        <v/>
      </c>
      <c r="M242" s="27" t="str">
        <f t="shared" si="438"/>
        <v>0</v>
      </c>
      <c r="N242" s="121"/>
      <c r="O242" s="121"/>
      <c r="P242" s="27" t="str">
        <f t="shared" si="439"/>
        <v>0</v>
      </c>
      <c r="Q242" s="27" t="str">
        <f t="shared" si="440"/>
        <v>0</v>
      </c>
      <c r="R242" s="27" t="str">
        <f t="shared" si="441"/>
        <v>0</v>
      </c>
      <c r="S242" s="27" t="str">
        <f t="shared" si="442"/>
        <v>0</v>
      </c>
      <c r="T242" s="27" t="str">
        <f t="shared" si="443"/>
        <v>0</v>
      </c>
      <c r="U242" s="27" t="str">
        <f t="shared" si="444"/>
        <v>0</v>
      </c>
      <c r="V242" s="27" t="str">
        <f t="shared" si="445"/>
        <v>1</v>
      </c>
      <c r="W242" s="27"/>
      <c r="X242" s="27" t="str">
        <f t="shared" si="446"/>
        <v/>
      </c>
      <c r="Y242" s="27" t="str">
        <f t="shared" si="447"/>
        <v/>
      </c>
      <c r="Z242" s="27" t="str">
        <f t="shared" si="448"/>
        <v/>
      </c>
      <c r="AA242" s="121"/>
      <c r="AB242" s="121"/>
      <c r="AC242" s="121"/>
      <c r="AD242" s="121"/>
      <c r="AE242" s="121" t="s">
        <v>51</v>
      </c>
      <c r="AF242" s="121"/>
      <c r="AG242" s="121"/>
      <c r="AH242" s="28">
        <v>273000</v>
      </c>
      <c r="AI242" s="28" t="s">
        <v>113</v>
      </c>
      <c r="AJ242" s="28">
        <v>31050</v>
      </c>
      <c r="AK242" s="28" t="str">
        <f t="shared" si="449"/>
        <v/>
      </c>
      <c r="AL242" s="123" t="str">
        <f t="shared" si="457"/>
        <v/>
      </c>
      <c r="AM242" s="28"/>
      <c r="AN242" s="28" t="s">
        <v>3245</v>
      </c>
      <c r="AO242" s="28" t="s">
        <v>3245</v>
      </c>
      <c r="AP242" s="28" t="s">
        <v>3245</v>
      </c>
      <c r="AQ242" s="28" t="s">
        <v>3245</v>
      </c>
      <c r="AR242" s="28" t="s">
        <v>3245</v>
      </c>
      <c r="AS242" s="28" t="s">
        <v>3245</v>
      </c>
      <c r="AT242" s="28" t="s">
        <v>3245</v>
      </c>
      <c r="AU242" s="28" t="s">
        <v>3245</v>
      </c>
      <c r="AV242" s="28" t="s">
        <v>3245</v>
      </c>
      <c r="AW242" s="28" t="s">
        <v>3245</v>
      </c>
      <c r="AX242" s="28" t="s">
        <v>3245</v>
      </c>
      <c r="AY242" s="124"/>
      <c r="AZ242" s="138" t="str">
        <f>IF(C242="","","delete from module_mst where pjt_id = '"&amp;C242&amp;"' and menu_id = '"&amp;E242&amp;"';")</f>
        <v/>
      </c>
      <c r="BA242" s="31" t="str">
        <f>IF(C242&lt;&gt;"",CREATE_QUERY($D$1,C$2:AY$2,C242:AY242),"")</f>
        <v/>
      </c>
    </row>
    <row r="243" spans="1:53">
      <c r="A243" s="1">
        <v>243</v>
      </c>
      <c r="B243" s="164" t="str">
        <f t="shared" si="434"/>
        <v/>
      </c>
      <c r="C243" s="27" t="str">
        <f t="shared" si="435"/>
        <v/>
      </c>
      <c r="D243" s="121"/>
      <c r="E243" s="27">
        <v>273003</v>
      </c>
      <c r="F243" s="121"/>
      <c r="G243" s="121" t="s">
        <v>900</v>
      </c>
      <c r="H243" s="121"/>
      <c r="I243" s="121"/>
      <c r="J243" s="121"/>
      <c r="K243" s="27" t="str">
        <f t="shared" si="436"/>
        <v/>
      </c>
      <c r="L243" s="27" t="str">
        <f t="shared" si="437"/>
        <v/>
      </c>
      <c r="M243" s="27" t="str">
        <f t="shared" si="438"/>
        <v>0</v>
      </c>
      <c r="N243" s="121"/>
      <c r="O243" s="121"/>
      <c r="P243" s="27" t="str">
        <f t="shared" si="439"/>
        <v>0</v>
      </c>
      <c r="Q243" s="27" t="str">
        <f t="shared" si="440"/>
        <v>0</v>
      </c>
      <c r="R243" s="27" t="str">
        <f t="shared" si="441"/>
        <v>0</v>
      </c>
      <c r="S243" s="27" t="str">
        <f t="shared" si="442"/>
        <v>0</v>
      </c>
      <c r="T243" s="27" t="str">
        <f t="shared" si="443"/>
        <v>0</v>
      </c>
      <c r="U243" s="27" t="str">
        <f t="shared" si="444"/>
        <v>0</v>
      </c>
      <c r="V243" s="27" t="str">
        <f t="shared" si="445"/>
        <v>1</v>
      </c>
      <c r="W243" s="27"/>
      <c r="X243" s="27" t="str">
        <f t="shared" si="446"/>
        <v/>
      </c>
      <c r="Y243" s="27" t="str">
        <f t="shared" si="447"/>
        <v/>
      </c>
      <c r="Z243" s="27" t="str">
        <f t="shared" si="448"/>
        <v/>
      </c>
      <c r="AA243" s="121"/>
      <c r="AB243" s="121"/>
      <c r="AC243" s="121"/>
      <c r="AD243" s="121"/>
      <c r="AE243" s="121" t="s">
        <v>51</v>
      </c>
      <c r="AF243" s="121"/>
      <c r="AG243" s="121"/>
      <c r="AH243" s="28">
        <v>273000</v>
      </c>
      <c r="AI243" s="28" t="s">
        <v>113</v>
      </c>
      <c r="AJ243" s="28">
        <v>31100</v>
      </c>
      <c r="AK243" s="28" t="str">
        <f t="shared" si="449"/>
        <v/>
      </c>
      <c r="AL243" s="123" t="str">
        <f t="shared" si="457"/>
        <v/>
      </c>
      <c r="AM243" s="28"/>
      <c r="AN243" s="28" t="s">
        <v>3245</v>
      </c>
      <c r="AO243" s="28" t="s">
        <v>3245</v>
      </c>
      <c r="AP243" s="28" t="s">
        <v>3245</v>
      </c>
      <c r="AQ243" s="28" t="s">
        <v>3245</v>
      </c>
      <c r="AR243" s="28" t="s">
        <v>3245</v>
      </c>
      <c r="AS243" s="28" t="s">
        <v>3245</v>
      </c>
      <c r="AT243" s="28" t="s">
        <v>3245</v>
      </c>
      <c r="AU243" s="28" t="s">
        <v>3245</v>
      </c>
      <c r="AV243" s="28" t="s">
        <v>3245</v>
      </c>
      <c r="AW243" s="28" t="s">
        <v>3245</v>
      </c>
      <c r="AX243" s="28" t="s">
        <v>3245</v>
      </c>
      <c r="AY243" s="124"/>
      <c r="AZ243" s="138" t="str">
        <f>IF(C243="","","delete from module_mst where pjt_id = '"&amp;C243&amp;"' and menu_id = '"&amp;E243&amp;"';")</f>
        <v/>
      </c>
      <c r="BA243" s="31" t="str">
        <f>IF(C243&lt;&gt;"",CREATE_QUERY($D$1,C$2:AY$2,C243:AY243),"")</f>
        <v/>
      </c>
    </row>
    <row r="244" spans="1:53">
      <c r="A244" s="1">
        <v>244</v>
      </c>
      <c r="B244" s="164" t="str">
        <f t="shared" si="434"/>
        <v/>
      </c>
      <c r="C244" s="27" t="str">
        <f t="shared" si="435"/>
        <v/>
      </c>
      <c r="D244" s="121"/>
      <c r="E244" s="27">
        <v>273004</v>
      </c>
      <c r="F244" s="121"/>
      <c r="G244" s="121" t="s">
        <v>900</v>
      </c>
      <c r="H244" s="121"/>
      <c r="I244" s="121"/>
      <c r="J244" s="121"/>
      <c r="K244" s="27" t="str">
        <f t="shared" si="436"/>
        <v/>
      </c>
      <c r="L244" s="27" t="str">
        <f t="shared" si="437"/>
        <v/>
      </c>
      <c r="M244" s="27" t="str">
        <f t="shared" si="438"/>
        <v>0</v>
      </c>
      <c r="N244" s="121"/>
      <c r="O244" s="121"/>
      <c r="P244" s="27" t="str">
        <f t="shared" si="439"/>
        <v>0</v>
      </c>
      <c r="Q244" s="27" t="str">
        <f t="shared" si="440"/>
        <v>0</v>
      </c>
      <c r="R244" s="27" t="str">
        <f t="shared" si="441"/>
        <v>0</v>
      </c>
      <c r="S244" s="27" t="str">
        <f t="shared" si="442"/>
        <v>0</v>
      </c>
      <c r="T244" s="27" t="str">
        <f t="shared" si="443"/>
        <v>0</v>
      </c>
      <c r="U244" s="27" t="str">
        <f t="shared" si="444"/>
        <v>0</v>
      </c>
      <c r="V244" s="27" t="str">
        <f t="shared" si="445"/>
        <v>1</v>
      </c>
      <c r="W244" s="27"/>
      <c r="X244" s="27" t="str">
        <f t="shared" si="446"/>
        <v/>
      </c>
      <c r="Y244" s="27" t="str">
        <f t="shared" si="447"/>
        <v/>
      </c>
      <c r="Z244" s="27" t="str">
        <f t="shared" si="448"/>
        <v/>
      </c>
      <c r="AA244" s="121"/>
      <c r="AB244" s="121"/>
      <c r="AC244" s="121"/>
      <c r="AD244" s="121"/>
      <c r="AE244" s="121" t="s">
        <v>51</v>
      </c>
      <c r="AF244" s="121"/>
      <c r="AG244" s="121"/>
      <c r="AH244" s="28">
        <v>273000</v>
      </c>
      <c r="AI244" s="28" t="s">
        <v>113</v>
      </c>
      <c r="AJ244" s="28">
        <v>31150</v>
      </c>
      <c r="AK244" s="28" t="str">
        <f t="shared" si="449"/>
        <v/>
      </c>
      <c r="AL244" s="123" t="str">
        <f t="shared" si="457"/>
        <v/>
      </c>
      <c r="AM244" s="28"/>
      <c r="AN244" s="28" t="s">
        <v>3245</v>
      </c>
      <c r="AO244" s="28" t="s">
        <v>3245</v>
      </c>
      <c r="AP244" s="28" t="s">
        <v>3245</v>
      </c>
      <c r="AQ244" s="28" t="s">
        <v>3245</v>
      </c>
      <c r="AR244" s="28" t="s">
        <v>3245</v>
      </c>
      <c r="AS244" s="28" t="s">
        <v>3245</v>
      </c>
      <c r="AT244" s="28" t="s">
        <v>3245</v>
      </c>
      <c r="AU244" s="28" t="s">
        <v>3245</v>
      </c>
      <c r="AV244" s="28" t="s">
        <v>3245</v>
      </c>
      <c r="AW244" s="28" t="s">
        <v>3245</v>
      </c>
      <c r="AX244" s="28" t="s">
        <v>3245</v>
      </c>
      <c r="AY244" s="124"/>
      <c r="AZ244" s="138" t="str">
        <f>IF(C244="","","delete from module_mst where pjt_id = '"&amp;C244&amp;"' and menu_id = '"&amp;E244&amp;"';")</f>
        <v/>
      </c>
      <c r="BA244" s="31" t="str">
        <f>IF(C244&lt;&gt;"",CREATE_QUERY($D$1,C$2:AY$2,C244:AY244),"")</f>
        <v/>
      </c>
    </row>
    <row r="245" spans="1:53">
      <c r="A245" s="1">
        <v>245</v>
      </c>
      <c r="B245" s="164" t="str">
        <f t="shared" si="434"/>
        <v/>
      </c>
      <c r="C245" s="27" t="str">
        <f t="shared" si="435"/>
        <v/>
      </c>
      <c r="D245" s="121"/>
      <c r="E245" s="27"/>
      <c r="F245" s="121"/>
      <c r="G245" s="121" t="s">
        <v>900</v>
      </c>
      <c r="H245" s="121"/>
      <c r="I245" s="121"/>
      <c r="J245" s="121"/>
      <c r="K245" s="27" t="str">
        <f t="shared" si="436"/>
        <v/>
      </c>
      <c r="L245" s="27" t="str">
        <f t="shared" si="437"/>
        <v/>
      </c>
      <c r="M245" s="27" t="str">
        <f t="shared" si="438"/>
        <v>0</v>
      </c>
      <c r="N245" s="121"/>
      <c r="O245" s="121"/>
      <c r="P245" s="27" t="str">
        <f t="shared" si="439"/>
        <v>0</v>
      </c>
      <c r="Q245" s="27" t="str">
        <f t="shared" si="440"/>
        <v>0</v>
      </c>
      <c r="R245" s="27" t="str">
        <f t="shared" si="441"/>
        <v>0</v>
      </c>
      <c r="S245" s="27" t="str">
        <f t="shared" si="442"/>
        <v>0</v>
      </c>
      <c r="T245" s="27" t="str">
        <f t="shared" si="443"/>
        <v>0</v>
      </c>
      <c r="U245" s="27" t="str">
        <f t="shared" si="444"/>
        <v>0</v>
      </c>
      <c r="V245" s="27" t="str">
        <f t="shared" si="445"/>
        <v>1</v>
      </c>
      <c r="W245" s="27"/>
      <c r="X245" s="27" t="str">
        <f t="shared" si="446"/>
        <v/>
      </c>
      <c r="Y245" s="27" t="str">
        <f t="shared" si="447"/>
        <v/>
      </c>
      <c r="Z245" s="27" t="str">
        <f t="shared" si="448"/>
        <v/>
      </c>
      <c r="AA245" s="121"/>
      <c r="AB245" s="121"/>
      <c r="AC245" s="121"/>
      <c r="AD245" s="121"/>
      <c r="AE245" s="121" t="s">
        <v>51</v>
      </c>
      <c r="AF245" s="121"/>
      <c r="AG245" s="121"/>
      <c r="AH245" s="28"/>
      <c r="AI245" s="28" t="s">
        <v>113</v>
      </c>
      <c r="AJ245" s="28">
        <v>31200</v>
      </c>
      <c r="AK245" s="28" t="str">
        <f t="shared" si="449"/>
        <v/>
      </c>
      <c r="AL245" s="123" t="str">
        <f t="shared" si="457"/>
        <v/>
      </c>
      <c r="AM245" s="28"/>
      <c r="AN245" s="28" t="s">
        <v>3245</v>
      </c>
      <c r="AO245" s="28" t="s">
        <v>3245</v>
      </c>
      <c r="AP245" s="28" t="s">
        <v>3245</v>
      </c>
      <c r="AQ245" s="28" t="s">
        <v>3245</v>
      </c>
      <c r="AR245" s="28" t="s">
        <v>3245</v>
      </c>
      <c r="AS245" s="28" t="s">
        <v>3245</v>
      </c>
      <c r="AT245" s="28" t="s">
        <v>3245</v>
      </c>
      <c r="AU245" s="28" t="s">
        <v>3245</v>
      </c>
      <c r="AV245" s="28" t="s">
        <v>3245</v>
      </c>
      <c r="AW245" s="28" t="s">
        <v>3245</v>
      </c>
      <c r="AX245" s="28" t="s">
        <v>3245</v>
      </c>
      <c r="AY245" s="124"/>
      <c r="AZ245" s="138" t="str">
        <f>IF(C245="","","delete from module_mst where pjt_id = '"&amp;C245&amp;"' and menu_id = '"&amp;E245&amp;"';")</f>
        <v/>
      </c>
      <c r="BA245" s="31" t="str">
        <f>IF(C245&lt;&gt;"",CREATE_QUERY($D$1,C$2:AY$2,C245:AY245),"")</f>
        <v/>
      </c>
    </row>
    <row r="246" spans="1:53">
      <c r="A246" s="1">
        <v>246</v>
      </c>
      <c r="B246" s="159" t="str">
        <f t="shared" si="434"/>
        <v xml:space="preserve">    └ 제품출고관리</v>
      </c>
      <c r="C246" s="27" t="str">
        <f t="shared" si="435"/>
        <v>14821</v>
      </c>
      <c r="D246" s="121"/>
      <c r="E246" s="21">
        <v>274000</v>
      </c>
      <c r="F246" s="118" t="s">
        <v>2941</v>
      </c>
      <c r="G246" s="118" t="s">
        <v>3131</v>
      </c>
      <c r="H246" s="118"/>
      <c r="I246" s="118"/>
      <c r="J246" s="118"/>
      <c r="K246" s="21" t="str">
        <f t="shared" si="436"/>
        <v/>
      </c>
      <c r="L246" s="21" t="str">
        <f t="shared" si="437"/>
        <v>1</v>
      </c>
      <c r="M246" s="21" t="str">
        <f t="shared" si="438"/>
        <v>0</v>
      </c>
      <c r="N246" s="118"/>
      <c r="O246" s="118"/>
      <c r="P246" s="21" t="str">
        <f t="shared" si="439"/>
        <v>0</v>
      </c>
      <c r="Q246" s="21" t="str">
        <f t="shared" si="440"/>
        <v>0</v>
      </c>
      <c r="R246" s="21" t="str">
        <f t="shared" si="441"/>
        <v>0</v>
      </c>
      <c r="S246" s="21" t="str">
        <f t="shared" si="442"/>
        <v>0</v>
      </c>
      <c r="T246" s="21" t="str">
        <f t="shared" si="443"/>
        <v>0</v>
      </c>
      <c r="U246" s="21" t="str">
        <f t="shared" si="444"/>
        <v>0</v>
      </c>
      <c r="V246" s="21" t="str">
        <f t="shared" si="445"/>
        <v>1</v>
      </c>
      <c r="W246" s="21"/>
      <c r="X246" s="21" t="str">
        <f t="shared" si="446"/>
        <v/>
      </c>
      <c r="Y246" s="21" t="str">
        <f t="shared" si="447"/>
        <v/>
      </c>
      <c r="Z246" s="21" t="str">
        <f t="shared" si="448"/>
        <v/>
      </c>
      <c r="AA246" s="118"/>
      <c r="AB246" s="118"/>
      <c r="AC246" s="118"/>
      <c r="AD246" s="118"/>
      <c r="AE246" s="118" t="s">
        <v>51</v>
      </c>
      <c r="AF246" s="118"/>
      <c r="AG246" s="118"/>
      <c r="AH246" s="26" t="s">
        <v>173</v>
      </c>
      <c r="AI246" s="26" t="s">
        <v>112</v>
      </c>
      <c r="AJ246" s="26">
        <v>30700</v>
      </c>
      <c r="AK246" s="26" t="str">
        <f t="shared" si="449"/>
        <v>0</v>
      </c>
      <c r="AL246" s="123" t="str">
        <f t="shared" ref="AL246:AL258" si="458">IF(C246="","",C246&amp;"/"&amp;F246&amp;"/"&amp;N246&amp;"/"&amp;O246)</f>
        <v>14821/제품출고관리//</v>
      </c>
      <c r="AM246" s="26" t="s">
        <v>2979</v>
      </c>
      <c r="AN246" s="26" t="str">
        <f t="shared" ref="AN246:AX246" si="459">IF(COUNTIF(AN259:AN267,"="&amp;"Y")&gt;0,"Y",IF(COUNTIF(AN259:AN267,"="&amp;"-")&gt;0,"m",""))</f>
        <v>m</v>
      </c>
      <c r="AO246" s="26" t="str">
        <f t="shared" si="459"/>
        <v>m</v>
      </c>
      <c r="AP246" s="26" t="str">
        <f t="shared" si="459"/>
        <v>m</v>
      </c>
      <c r="AQ246" s="26" t="str">
        <f t="shared" si="459"/>
        <v>m</v>
      </c>
      <c r="AR246" s="26" t="str">
        <f t="shared" si="459"/>
        <v>m</v>
      </c>
      <c r="AS246" s="26" t="str">
        <f t="shared" si="459"/>
        <v>m</v>
      </c>
      <c r="AT246" s="26" t="str">
        <f t="shared" si="459"/>
        <v>m</v>
      </c>
      <c r="AU246" s="26" t="str">
        <f t="shared" si="459"/>
        <v>m</v>
      </c>
      <c r="AV246" s="26" t="str">
        <f t="shared" si="459"/>
        <v>m</v>
      </c>
      <c r="AW246" s="26" t="str">
        <f t="shared" si="459"/>
        <v>m</v>
      </c>
      <c r="AX246" s="26" t="str">
        <f t="shared" si="459"/>
        <v>m</v>
      </c>
      <c r="AY246" s="124"/>
      <c r="AZ246" s="138" t="str">
        <f>IF(C246="","","delete from module_mst where pjt_id = '"&amp;C246&amp;"' and menu_id = '"&amp;E246&amp;"';")</f>
        <v>delete from module_mst where pjt_id = '14821' and menu_id = '274000';</v>
      </c>
      <c r="BA246" s="31" t="str">
        <f>IF(C246&lt;&gt;"",CREATE_QUERY($D$1,C$2:AY$2,C246:AY246),"")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'274000', '제품출고관리', 'Material receiving management', '', '', '', '', '1', '0', '', '', '0', '0', '0', '0', '0', '0', '1', '', '', '', '', '', '', '', '', 'N', '', '', '270000', '4', '30700', '0', '14821/제품출고관리//', '메뉴', '');</v>
      </c>
    </row>
    <row r="247" spans="1:53">
      <c r="A247" s="1">
        <v>247</v>
      </c>
      <c r="B247" s="164" t="str">
        <f t="shared" si="434"/>
        <v xml:space="preserve">        └ (일양)출하계획(3일)</v>
      </c>
      <c r="C247" s="27" t="str">
        <f t="shared" si="435"/>
        <v>14821</v>
      </c>
      <c r="D247" s="121"/>
      <c r="E247" s="27">
        <v>274001</v>
      </c>
      <c r="F247" s="121" t="s">
        <v>3023</v>
      </c>
      <c r="G247" s="121" t="s">
        <v>3149</v>
      </c>
      <c r="H247" s="121"/>
      <c r="I247" s="121"/>
      <c r="J247" s="121"/>
      <c r="K247" s="27" t="str">
        <f t="shared" si="436"/>
        <v>1</v>
      </c>
      <c r="L247" s="27" t="str">
        <f t="shared" si="437"/>
        <v>1</v>
      </c>
      <c r="M247" s="27" t="str">
        <f t="shared" si="438"/>
        <v>1</v>
      </c>
      <c r="N247" s="121" t="s">
        <v>2967</v>
      </c>
      <c r="O247" s="121" t="s">
        <v>3024</v>
      </c>
      <c r="P247" s="27" t="str">
        <f t="shared" si="439"/>
        <v>1</v>
      </c>
      <c r="Q247" s="27" t="str">
        <f t="shared" si="440"/>
        <v>1</v>
      </c>
      <c r="R247" s="27" t="str">
        <f t="shared" si="441"/>
        <v>1</v>
      </c>
      <c r="S247" s="27" t="str">
        <f t="shared" si="442"/>
        <v>1</v>
      </c>
      <c r="T247" s="27" t="str">
        <f t="shared" si="443"/>
        <v>1</v>
      </c>
      <c r="U247" s="27" t="str">
        <f t="shared" si="444"/>
        <v>1</v>
      </c>
      <c r="V247" s="27" t="str">
        <f t="shared" si="445"/>
        <v>1</v>
      </c>
      <c r="W247" s="27"/>
      <c r="X247" s="27" t="str">
        <f t="shared" si="446"/>
        <v>0</v>
      </c>
      <c r="Y247" s="27" t="str">
        <f t="shared" si="447"/>
        <v>0</v>
      </c>
      <c r="Z247" s="27" t="str">
        <f t="shared" si="448"/>
        <v>0</v>
      </c>
      <c r="AA247" s="121"/>
      <c r="AB247" s="121"/>
      <c r="AC247" s="121"/>
      <c r="AD247" s="121"/>
      <c r="AE247" s="121" t="s">
        <v>51</v>
      </c>
      <c r="AF247" s="121"/>
      <c r="AG247" s="121"/>
      <c r="AH247" s="28">
        <v>274000</v>
      </c>
      <c r="AI247" s="28" t="s">
        <v>113</v>
      </c>
      <c r="AJ247" s="28">
        <v>40011</v>
      </c>
      <c r="AK247" s="28" t="str">
        <f t="shared" si="449"/>
        <v>0</v>
      </c>
      <c r="AL247" s="123" t="str">
        <f t="shared" si="458"/>
        <v>14821/출하계획(3일)/custom.iypkg.stock.isos/SptsList1</v>
      </c>
      <c r="AM247" s="28" t="s">
        <v>3010</v>
      </c>
      <c r="AN247" s="28"/>
      <c r="AO247" s="28"/>
      <c r="AP247" s="28"/>
      <c r="AQ247" s="28"/>
      <c r="AR247" s="28"/>
      <c r="AS247" s="28"/>
      <c r="AT247" s="28"/>
      <c r="AU247" s="28"/>
      <c r="AV247" s="28"/>
      <c r="AW247" s="28" t="s">
        <v>1829</v>
      </c>
      <c r="AX247" s="28"/>
      <c r="AY247" s="124"/>
      <c r="AZ247" s="138" t="str">
        <f>IF(C247="","","delete from module_mst where pjt_id = '"&amp;C247&amp;"' and menu_id = '"&amp;E247&amp;"';")</f>
        <v>delete from module_mst where pjt_id = '14821' and menu_id = '274001';</v>
      </c>
      <c r="BA247" s="31" t="str">
        <f>IF(C247&lt;&gt;"",CREATE_QUERY($D$1,C$2:AY$2,C247:AY247),"")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'274001', '출하계획(3일)', 'Shipment plan (3 days)', '', '', '', '1', '1', '1', 'custom.iypkg.stock.isos', 'SptsList1', '1', '1', '1', '1', '1', '1', '1', '', '0', '0', '0', '', '', '', '', 'N', '', '', '274000', '5', '40011', '0', '14821/출하계획(3일)/custom.iypkg.stock.isos/SptsList1', '일양', '');</v>
      </c>
    </row>
    <row r="248" spans="1:53">
      <c r="A248" s="1">
        <v>248</v>
      </c>
      <c r="B248" s="164" t="str">
        <f t="shared" si="434"/>
        <v xml:space="preserve">        └ (공통)출고대기현황</v>
      </c>
      <c r="C248" s="27" t="str">
        <f t="shared" ref="C248:C267" si="460">IF(F248="","","14821")</f>
        <v>14821</v>
      </c>
      <c r="D248" s="121"/>
      <c r="E248" s="27">
        <v>274002</v>
      </c>
      <c r="F248" s="121" t="s">
        <v>178</v>
      </c>
      <c r="G248" s="121" t="s">
        <v>3140</v>
      </c>
      <c r="H248" s="121"/>
      <c r="I248" s="121"/>
      <c r="J248" s="121"/>
      <c r="K248" s="27" t="str">
        <f t="shared" si="436"/>
        <v>1</v>
      </c>
      <c r="L248" s="27" t="str">
        <f t="shared" ref="L248:L267" si="461">IF(F248="","","1")</f>
        <v>1</v>
      </c>
      <c r="M248" s="27" t="str">
        <f t="shared" si="438"/>
        <v>1</v>
      </c>
      <c r="N248" s="121" t="s">
        <v>312</v>
      </c>
      <c r="O248" s="121" t="s">
        <v>309</v>
      </c>
      <c r="P248" s="27" t="str">
        <f t="shared" ref="P248:P279" si="462">IF(O248="","0","1")</f>
        <v>1</v>
      </c>
      <c r="Q248" s="27" t="str">
        <f t="shared" ref="Q248:Q267" si="463">IF(O248="","0","1")</f>
        <v>1</v>
      </c>
      <c r="R248" s="27" t="str">
        <f t="shared" ref="R248:R267" si="464">IF(O248="","0","1")</f>
        <v>1</v>
      </c>
      <c r="S248" s="27" t="str">
        <f t="shared" ref="S248:S267" si="465">IF(O248="","0","1")</f>
        <v>1</v>
      </c>
      <c r="T248" s="27" t="str">
        <f t="shared" ref="T248:T267" si="466">IF(O248="","0","1")</f>
        <v>1</v>
      </c>
      <c r="U248" s="27" t="str">
        <f t="shared" ref="U248:U267" si="467">IF(O248="","0","1")</f>
        <v>1</v>
      </c>
      <c r="V248" s="27" t="str">
        <f t="shared" ref="V248:V267" si="468">IF(O248="","1","1")</f>
        <v>1</v>
      </c>
      <c r="W248" s="27"/>
      <c r="X248" s="27" t="str">
        <f t="shared" ref="X248:X267" si="469">IF(O248="","","0")</f>
        <v>0</v>
      </c>
      <c r="Y248" s="27" t="str">
        <f t="shared" ref="Y248:Y267" si="470">IF(O248="","","0")</f>
        <v>0</v>
      </c>
      <c r="Z248" s="27" t="str">
        <f t="shared" ref="Z248:Z267" si="471">IF(O248="","","0")</f>
        <v>0</v>
      </c>
      <c r="AA248" s="121"/>
      <c r="AB248" s="121"/>
      <c r="AC248" s="121"/>
      <c r="AD248" s="121"/>
      <c r="AE248" s="121" t="s">
        <v>51</v>
      </c>
      <c r="AF248" s="121"/>
      <c r="AG248" s="121"/>
      <c r="AH248" s="28">
        <v>274000</v>
      </c>
      <c r="AI248" s="28" t="s">
        <v>113</v>
      </c>
      <c r="AJ248" s="28">
        <v>40250</v>
      </c>
      <c r="AK248" s="28" t="str">
        <f t="shared" ref="AK248:AK267" si="472">IF(B248="","","0")</f>
        <v>0</v>
      </c>
      <c r="AL248" s="123" t="str">
        <f t="shared" si="458"/>
        <v>14821/출고대기현황/stock.isos/ProdOsttWait</v>
      </c>
      <c r="AM248" s="28" t="s">
        <v>2981</v>
      </c>
      <c r="AN248" s="28"/>
      <c r="AO248" s="28"/>
      <c r="AP248" s="28"/>
      <c r="AQ248" s="28"/>
      <c r="AR248" s="28"/>
      <c r="AS248" s="28"/>
      <c r="AT248" s="28" t="s">
        <v>1829</v>
      </c>
      <c r="AU248" s="28"/>
      <c r="AV248" s="28"/>
      <c r="AW248" s="28"/>
      <c r="AX248" s="28"/>
      <c r="AY248" s="124"/>
      <c r="AZ248" s="138" t="str">
        <f>IF(C248="","","delete from module_mst where pjt_id = '"&amp;C248&amp;"' and menu_id = '"&amp;E248&amp;"';")</f>
        <v>delete from module_mst where pjt_id = '14821' and menu_id = '274002';</v>
      </c>
      <c r="BA248" s="31" t="str">
        <f>IF(C248&lt;&gt;"",CREATE_QUERY($D$1,C$2:AY$2,C248:AY248),"")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'274002', '출고대기현황', 'Forwarding standby status', '', '', '', '1', '1', '1', 'stock.isos', 'ProdOsttWait', '1', '1', '1', '1', '1', '1', '1', '', '0', '0', '0', '', '', '', '', 'N', '', '', '274000', '5', '40250', '0', '14821/출고대기현황/stock.isos/ProdOsttWait', '공통', '');</v>
      </c>
    </row>
    <row r="249" spans="1:53">
      <c r="A249" s="1">
        <v>249</v>
      </c>
      <c r="B249" s="164" t="str">
        <f t="shared" si="434"/>
        <v xml:space="preserve">        └ (공통)제품출고관리</v>
      </c>
      <c r="C249" s="27" t="str">
        <f t="shared" si="460"/>
        <v>14821</v>
      </c>
      <c r="D249" s="121"/>
      <c r="E249" s="27">
        <v>274003</v>
      </c>
      <c r="F249" s="121" t="s">
        <v>2941</v>
      </c>
      <c r="G249" s="121" t="s">
        <v>3141</v>
      </c>
      <c r="H249" s="121"/>
      <c r="I249" s="121"/>
      <c r="J249" s="121"/>
      <c r="K249" s="27" t="str">
        <f t="shared" si="436"/>
        <v>1</v>
      </c>
      <c r="L249" s="27" t="str">
        <f t="shared" si="461"/>
        <v>1</v>
      </c>
      <c r="M249" s="27" t="str">
        <f t="shared" si="438"/>
        <v>1</v>
      </c>
      <c r="N249" s="121" t="s">
        <v>312</v>
      </c>
      <c r="O249" s="121" t="s">
        <v>310</v>
      </c>
      <c r="P249" s="27" t="str">
        <f t="shared" si="462"/>
        <v>1</v>
      </c>
      <c r="Q249" s="27" t="str">
        <f t="shared" si="463"/>
        <v>1</v>
      </c>
      <c r="R249" s="27" t="str">
        <f t="shared" si="464"/>
        <v>1</v>
      </c>
      <c r="S249" s="27" t="str">
        <f t="shared" si="465"/>
        <v>1</v>
      </c>
      <c r="T249" s="27" t="str">
        <f t="shared" si="466"/>
        <v>1</v>
      </c>
      <c r="U249" s="27" t="str">
        <f t="shared" si="467"/>
        <v>1</v>
      </c>
      <c r="V249" s="27" t="str">
        <f t="shared" si="468"/>
        <v>1</v>
      </c>
      <c r="W249" s="27"/>
      <c r="X249" s="27" t="str">
        <f t="shared" si="469"/>
        <v>0</v>
      </c>
      <c r="Y249" s="27" t="str">
        <f t="shared" si="470"/>
        <v>0</v>
      </c>
      <c r="Z249" s="27" t="str">
        <f t="shared" si="471"/>
        <v>0</v>
      </c>
      <c r="AA249" s="121"/>
      <c r="AB249" s="121"/>
      <c r="AC249" s="121"/>
      <c r="AD249" s="121"/>
      <c r="AE249" s="121" t="s">
        <v>51</v>
      </c>
      <c r="AF249" s="121"/>
      <c r="AG249" s="121"/>
      <c r="AH249" s="28">
        <v>274000</v>
      </c>
      <c r="AI249" s="28" t="s">
        <v>113</v>
      </c>
      <c r="AJ249" s="28">
        <v>40300</v>
      </c>
      <c r="AK249" s="28" t="str">
        <f t="shared" si="472"/>
        <v>0</v>
      </c>
      <c r="AL249" s="123" t="str">
        <f t="shared" si="458"/>
        <v>14821/제품출고관리/stock.isos/GoodsOsttWork</v>
      </c>
      <c r="AM249" s="28" t="s">
        <v>2981</v>
      </c>
      <c r="AN249" s="28"/>
      <c r="AO249" s="28"/>
      <c r="AP249" s="28"/>
      <c r="AQ249" s="28"/>
      <c r="AR249" s="28"/>
      <c r="AS249" s="28"/>
      <c r="AT249" s="28" t="s">
        <v>1829</v>
      </c>
      <c r="AU249" s="28"/>
      <c r="AV249" s="28"/>
      <c r="AW249" s="28"/>
      <c r="AX249" s="28"/>
      <c r="AY249" s="124"/>
      <c r="AZ249" s="138" t="str">
        <f>IF(C249="","","delete from module_mst where pjt_id = '"&amp;C249&amp;"' and menu_id = '"&amp;E249&amp;"';")</f>
        <v>delete from module_mst where pjt_id = '14821' and menu_id = '274003';</v>
      </c>
      <c r="BA249" s="31" t="str">
        <f>IF(C249&lt;&gt;"",CREATE_QUERY($D$1,C$2:AY$2,C249:AY249),"")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'274003', '제품출고관리', 'Product forwarding management', '', '', '', '1', '1', '1', 'stock.isos', 'GoodsOsttWork', '1', '1', '1', '1', '1', '1', '1', '', '0', '0', '0', '', '', '', '', 'N', '', '', '274000', '5', '40300', '0', '14821/제품출고관리/stock.isos/GoodsOsttWork', '공통', '');</v>
      </c>
    </row>
    <row r="250" spans="1:53">
      <c r="A250" s="1">
        <v>250</v>
      </c>
      <c r="B250" s="164" t="str">
        <f t="shared" si="434"/>
        <v xml:space="preserve">        └ (선택)제품출고관리</v>
      </c>
      <c r="C250" s="27" t="str">
        <f t="shared" si="460"/>
        <v>14821</v>
      </c>
      <c r="D250" s="121"/>
      <c r="E250" s="27">
        <v>274004</v>
      </c>
      <c r="F250" s="121" t="s">
        <v>2941</v>
      </c>
      <c r="G250" s="121" t="s">
        <v>900</v>
      </c>
      <c r="H250" s="121"/>
      <c r="I250" s="121"/>
      <c r="J250" s="121"/>
      <c r="K250" s="27" t="str">
        <f t="shared" si="436"/>
        <v>1</v>
      </c>
      <c r="L250" s="27" t="str">
        <f t="shared" si="461"/>
        <v>1</v>
      </c>
      <c r="M250" s="27" t="str">
        <f t="shared" si="438"/>
        <v>1</v>
      </c>
      <c r="N250" s="121" t="s">
        <v>3304</v>
      </c>
      <c r="O250" s="121" t="s">
        <v>310</v>
      </c>
      <c r="P250" s="27" t="str">
        <f t="shared" si="462"/>
        <v>1</v>
      </c>
      <c r="Q250" s="27" t="str">
        <f t="shared" si="463"/>
        <v>1</v>
      </c>
      <c r="R250" s="27" t="str">
        <f t="shared" si="464"/>
        <v>1</v>
      </c>
      <c r="S250" s="27" t="str">
        <f t="shared" si="465"/>
        <v>1</v>
      </c>
      <c r="T250" s="27" t="str">
        <f t="shared" si="466"/>
        <v>1</v>
      </c>
      <c r="U250" s="27" t="str">
        <f t="shared" si="467"/>
        <v>1</v>
      </c>
      <c r="V250" s="27" t="str">
        <f t="shared" si="468"/>
        <v>1</v>
      </c>
      <c r="W250" s="27"/>
      <c r="X250" s="27" t="str">
        <f t="shared" si="469"/>
        <v>0</v>
      </c>
      <c r="Y250" s="27" t="str">
        <f t="shared" si="470"/>
        <v>0</v>
      </c>
      <c r="Z250" s="27" t="str">
        <f t="shared" si="471"/>
        <v>0</v>
      </c>
      <c r="AA250" s="121"/>
      <c r="AB250" s="121"/>
      <c r="AC250" s="121"/>
      <c r="AD250" s="121"/>
      <c r="AE250" s="121" t="s">
        <v>51</v>
      </c>
      <c r="AF250" s="121"/>
      <c r="AG250" s="121"/>
      <c r="AH250" s="28">
        <v>274000</v>
      </c>
      <c r="AI250" s="28" t="s">
        <v>113</v>
      </c>
      <c r="AJ250" s="28">
        <v>40750</v>
      </c>
      <c r="AK250" s="28" t="str">
        <f t="shared" si="472"/>
        <v>0</v>
      </c>
      <c r="AL250" s="123" t="str">
        <f t="shared" si="458"/>
        <v>14821/제품출고관리/custom.sjflv.stock.isos/GoodsOsttWork</v>
      </c>
      <c r="AM250" s="28" t="s">
        <v>3350</v>
      </c>
      <c r="AN250" s="28" t="s">
        <v>3245</v>
      </c>
      <c r="AO250" s="28" t="s">
        <v>3245</v>
      </c>
      <c r="AP250" s="28" t="s">
        <v>3245</v>
      </c>
      <c r="AQ250" s="28" t="s">
        <v>3245</v>
      </c>
      <c r="AR250" s="28" t="s">
        <v>3245</v>
      </c>
      <c r="AS250" s="28" t="s">
        <v>3245</v>
      </c>
      <c r="AT250" s="28" t="s">
        <v>3245</v>
      </c>
      <c r="AU250" s="28" t="s">
        <v>3245</v>
      </c>
      <c r="AV250" s="28" t="s">
        <v>3245</v>
      </c>
      <c r="AW250" s="28" t="s">
        <v>3245</v>
      </c>
      <c r="AX250" s="28" t="s">
        <v>3245</v>
      </c>
      <c r="AY250" s="124"/>
      <c r="AZ250" s="138" t="str">
        <f>IF(C250="","","delete from module_mst where pjt_id = '"&amp;C250&amp;"' and menu_id = '"&amp;E250&amp;"';")</f>
        <v>delete from module_mst where pjt_id = '14821' and menu_id = '274004';</v>
      </c>
      <c r="BA250" s="31" t="str">
        <f>IF(C250&lt;&gt;"",CREATE_QUERY($D$1,C$2:AY$2,C250:AY250),"")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'274004', '제품출고관리', '', '', '', '', '1', '1', '1', 'custom.sjflv.stock.isos', 'GoodsOsttWork', '1', '1', '1', '1', '1', '1', '1', '', '0', '0', '0', '', '', '', '', 'N', '', '', '274000', '5', '40750', '0', '14821/제품출고관리/custom.sjflv.stock.isos/GoodsOsttWork', '선택', '');</v>
      </c>
    </row>
    <row r="251" spans="1:53">
      <c r="A251" s="1">
        <v>251</v>
      </c>
      <c r="B251" s="164" t="str">
        <f t="shared" ref="B251" si="473">IF(F251="","",IF(AI251="1","",IF(AI251="2","└ ",IF(AI251="3","  └ ",IF(AI251="4","    └ ",IF(AI251="5","        └ ",IF(AI251="6","         └ ",IF(AI251="7"="            └ ",""))))))))&amp;IF(AM251="","",IF(AM251="메뉴","","("&amp;AM251&amp;")"))&amp;F251</f>
        <v xml:space="preserve">        └ (선택)제품출고관리</v>
      </c>
      <c r="C251" s="27" t="str">
        <f t="shared" si="460"/>
        <v>14821</v>
      </c>
      <c r="D251" s="121"/>
      <c r="E251" s="27">
        <v>274005</v>
      </c>
      <c r="F251" s="121" t="s">
        <v>2941</v>
      </c>
      <c r="G251" s="121" t="s">
        <v>3141</v>
      </c>
      <c r="H251" s="121"/>
      <c r="I251" s="121"/>
      <c r="J251" s="121"/>
      <c r="K251" s="27" t="str">
        <f t="shared" ref="K251" si="474">IF(O251="","","1")</f>
        <v>1</v>
      </c>
      <c r="L251" s="27" t="str">
        <f t="shared" si="461"/>
        <v>1</v>
      </c>
      <c r="M251" s="27" t="str">
        <f t="shared" ref="M251" si="475">IF(O251="","0","1")</f>
        <v>1</v>
      </c>
      <c r="N251" s="121" t="s">
        <v>3323</v>
      </c>
      <c r="O251" s="121" t="s">
        <v>310</v>
      </c>
      <c r="P251" s="27" t="str">
        <f t="shared" si="462"/>
        <v>1</v>
      </c>
      <c r="Q251" s="27" t="str">
        <f t="shared" si="463"/>
        <v>1</v>
      </c>
      <c r="R251" s="27" t="str">
        <f t="shared" si="464"/>
        <v>1</v>
      </c>
      <c r="S251" s="27" t="str">
        <f t="shared" si="465"/>
        <v>1</v>
      </c>
      <c r="T251" s="27" t="str">
        <f t="shared" si="466"/>
        <v>1</v>
      </c>
      <c r="U251" s="27" t="str">
        <f t="shared" si="467"/>
        <v>1</v>
      </c>
      <c r="V251" s="27" t="str">
        <f t="shared" si="468"/>
        <v>1</v>
      </c>
      <c r="W251" s="27"/>
      <c r="X251" s="27" t="str">
        <f t="shared" si="469"/>
        <v>0</v>
      </c>
      <c r="Y251" s="27" t="str">
        <f t="shared" si="470"/>
        <v>0</v>
      </c>
      <c r="Z251" s="27" t="str">
        <f t="shared" si="471"/>
        <v>0</v>
      </c>
      <c r="AA251" s="121"/>
      <c r="AB251" s="121"/>
      <c r="AC251" s="121"/>
      <c r="AD251" s="121"/>
      <c r="AE251" s="121" t="s">
        <v>51</v>
      </c>
      <c r="AF251" s="121"/>
      <c r="AG251" s="121"/>
      <c r="AH251" s="28">
        <v>274000</v>
      </c>
      <c r="AI251" s="28" t="s">
        <v>113</v>
      </c>
      <c r="AJ251" s="28">
        <v>40300</v>
      </c>
      <c r="AK251" s="28" t="str">
        <f t="shared" si="472"/>
        <v>0</v>
      </c>
      <c r="AL251" s="123" t="str">
        <f t="shared" si="458"/>
        <v>14821/제품출고관리/custom.nbolt.stock.isos/GoodsOsttWork</v>
      </c>
      <c r="AM251" s="28" t="s">
        <v>3350</v>
      </c>
      <c r="AN251" s="28"/>
      <c r="AO251" s="28"/>
      <c r="AP251" s="28"/>
      <c r="AQ251" s="28"/>
      <c r="AR251" s="28"/>
      <c r="AS251" s="28"/>
      <c r="AT251" s="28" t="s">
        <v>1829</v>
      </c>
      <c r="AU251" s="28"/>
      <c r="AV251" s="28"/>
      <c r="AW251" s="28"/>
      <c r="AX251" s="28"/>
      <c r="AY251" s="124"/>
      <c r="AZ251" s="138" t="str">
        <f>IF(C251="","","delete from module_mst where pjt_id = '"&amp;C251&amp;"' and menu_id = '"&amp;E251&amp;"';")</f>
        <v>delete from module_mst where pjt_id = '14821' and menu_id = '274005';</v>
      </c>
      <c r="BA251" s="31" t="str">
        <f>IF(C251&lt;&gt;"",CREATE_QUERY($D$1,C$2:AY$2,C251:AY251),"")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'274005', '제품출고관리', 'Product forwarding management', '', '', '', '1', '1', '1', 'custom.nbolt.stock.isos', 'GoodsOsttWork', '1', '1', '1', '1', '1', '1', '1', '', '0', '0', '0', '', '', '', '', 'N', '', '', '274000', '5', '40300', '0', '14821/제품출고관리/custom.nbolt.stock.isos/GoodsOsttWork', '선택', '');</v>
      </c>
    </row>
    <row r="252" spans="1:53">
      <c r="A252" s="1">
        <v>252</v>
      </c>
      <c r="B252" s="164" t="str">
        <f t="shared" ref="B252:B267" si="476">IF(F252="","",IF(AI252="1","",IF(AI252="2","└ ",IF(AI252="3","  └ ",IF(AI252="4","    └ ",IF(AI252="5","        └ ",IF(AI252="6","         └ ",IF(AI252="7"="            └ ",""))))))))&amp;IF(AM252="","",IF(AM252="메뉴","","("&amp;AM252&amp;")"))&amp;F252</f>
        <v xml:space="preserve">        └ (선택)제품출고관리</v>
      </c>
      <c r="C252" s="27" t="str">
        <f t="shared" si="460"/>
        <v>14821</v>
      </c>
      <c r="D252" s="121"/>
      <c r="E252" s="27">
        <v>274006</v>
      </c>
      <c r="F252" s="121" t="s">
        <v>3328</v>
      </c>
      <c r="G252" s="121" t="s">
        <v>900</v>
      </c>
      <c r="H252" s="121"/>
      <c r="I252" s="121"/>
      <c r="J252" s="121"/>
      <c r="K252" s="27" t="str">
        <f t="shared" ref="K252:K267" si="477">IF(O252="","","1")</f>
        <v>1</v>
      </c>
      <c r="L252" s="27" t="str">
        <f t="shared" si="461"/>
        <v>1</v>
      </c>
      <c r="M252" s="27" t="str">
        <f t="shared" ref="M252:M267" si="478">IF(O252="","0","1")</f>
        <v>1</v>
      </c>
      <c r="N252" s="121" t="s">
        <v>3329</v>
      </c>
      <c r="O252" s="121" t="s">
        <v>310</v>
      </c>
      <c r="P252" s="27" t="str">
        <f t="shared" si="462"/>
        <v>1</v>
      </c>
      <c r="Q252" s="27" t="str">
        <f t="shared" si="463"/>
        <v>1</v>
      </c>
      <c r="R252" s="27" t="str">
        <f t="shared" si="464"/>
        <v>1</v>
      </c>
      <c r="S252" s="27" t="str">
        <f t="shared" si="465"/>
        <v>1</v>
      </c>
      <c r="T252" s="27" t="str">
        <f t="shared" si="466"/>
        <v>1</v>
      </c>
      <c r="U252" s="27" t="str">
        <f t="shared" si="467"/>
        <v>1</v>
      </c>
      <c r="V252" s="27" t="str">
        <f t="shared" si="468"/>
        <v>1</v>
      </c>
      <c r="W252" s="27"/>
      <c r="X252" s="27" t="str">
        <f t="shared" si="469"/>
        <v>0</v>
      </c>
      <c r="Y252" s="27" t="str">
        <f t="shared" si="470"/>
        <v>0</v>
      </c>
      <c r="Z252" s="27" t="str">
        <f t="shared" si="471"/>
        <v>0</v>
      </c>
      <c r="AA252" s="121"/>
      <c r="AB252" s="121"/>
      <c r="AC252" s="121"/>
      <c r="AD252" s="121"/>
      <c r="AE252" s="121" t="s">
        <v>51</v>
      </c>
      <c r="AF252" s="121"/>
      <c r="AG252" s="121"/>
      <c r="AH252" s="28">
        <v>274000</v>
      </c>
      <c r="AI252" s="28" t="s">
        <v>113</v>
      </c>
      <c r="AJ252" s="28">
        <v>40900</v>
      </c>
      <c r="AK252" s="28" t="str">
        <f t="shared" si="472"/>
        <v>0</v>
      </c>
      <c r="AL252" s="123" t="str">
        <f t="shared" si="458"/>
        <v>14821/제품출고관리/custom.komec.stock.isos/GoodsOsttWork</v>
      </c>
      <c r="AM252" s="28" t="s">
        <v>3350</v>
      </c>
      <c r="AN252" s="28" t="s">
        <v>3245</v>
      </c>
      <c r="AO252" s="28" t="s">
        <v>3245</v>
      </c>
      <c r="AP252" s="28" t="s">
        <v>3245</v>
      </c>
      <c r="AQ252" s="28" t="s">
        <v>3245</v>
      </c>
      <c r="AR252" s="28" t="s">
        <v>3245</v>
      </c>
      <c r="AS252" s="28" t="s">
        <v>3245</v>
      </c>
      <c r="AT252" s="28" t="s">
        <v>3245</v>
      </c>
      <c r="AU252" s="28" t="s">
        <v>3245</v>
      </c>
      <c r="AV252" s="28" t="s">
        <v>3245</v>
      </c>
      <c r="AW252" s="28" t="s">
        <v>3245</v>
      </c>
      <c r="AX252" s="28" t="s">
        <v>3245</v>
      </c>
      <c r="AY252" s="124"/>
      <c r="AZ252" s="138" t="str">
        <f>IF(C252="","","delete from module_mst where pjt_id = '"&amp;C252&amp;"' and menu_id = '"&amp;E252&amp;"';")</f>
        <v>delete from module_mst where pjt_id = '14821' and menu_id = '274006';</v>
      </c>
      <c r="BA252" s="31" t="str">
        <f>IF(C252&lt;&gt;"",CREATE_QUERY($D$1,C$2:AY$2,C252:AY252),"")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'274006', '제품출고관리', '', '', '', '', '1', '1', '1', 'custom.komec.stock.isos', 'GoodsOsttWork', '1', '1', '1', '1', '1', '1', '1', '', '0', '0', '0', '', '', '', '', 'N', '', '', '274000', '5', '40900', '0', '14821/제품출고관리/custom.komec.stock.isos/GoodsOsttWork', '선택', '');</v>
      </c>
    </row>
    <row r="253" spans="1:53">
      <c r="A253" s="1">
        <v>253</v>
      </c>
      <c r="B253" s="164" t="str">
        <f t="shared" si="476"/>
        <v xml:space="preserve">        └ (선택)판매출고관리</v>
      </c>
      <c r="C253" s="27" t="str">
        <f t="shared" si="460"/>
        <v>14821</v>
      </c>
      <c r="D253" s="121"/>
      <c r="E253" s="27">
        <v>274007</v>
      </c>
      <c r="F253" s="121" t="s">
        <v>3019</v>
      </c>
      <c r="G253" s="121" t="s">
        <v>3146</v>
      </c>
      <c r="H253" s="121"/>
      <c r="I253" s="121"/>
      <c r="J253" s="121"/>
      <c r="K253" s="27" t="str">
        <f t="shared" si="477"/>
        <v>1</v>
      </c>
      <c r="L253" s="27" t="str">
        <f t="shared" si="461"/>
        <v>1</v>
      </c>
      <c r="M253" s="27" t="str">
        <f t="shared" si="478"/>
        <v>1</v>
      </c>
      <c r="N253" s="121" t="s">
        <v>2967</v>
      </c>
      <c r="O253" s="121" t="s">
        <v>2968</v>
      </c>
      <c r="P253" s="27" t="str">
        <f t="shared" si="462"/>
        <v>1</v>
      </c>
      <c r="Q253" s="27" t="str">
        <f t="shared" si="463"/>
        <v>1</v>
      </c>
      <c r="R253" s="27" t="str">
        <f t="shared" si="464"/>
        <v>1</v>
      </c>
      <c r="S253" s="27" t="str">
        <f t="shared" si="465"/>
        <v>1</v>
      </c>
      <c r="T253" s="27" t="str">
        <f t="shared" si="466"/>
        <v>1</v>
      </c>
      <c r="U253" s="27" t="str">
        <f t="shared" si="467"/>
        <v>1</v>
      </c>
      <c r="V253" s="27" t="str">
        <f t="shared" si="468"/>
        <v>1</v>
      </c>
      <c r="W253" s="27"/>
      <c r="X253" s="27" t="str">
        <f t="shared" si="469"/>
        <v>0</v>
      </c>
      <c r="Y253" s="27" t="str">
        <f t="shared" si="470"/>
        <v>0</v>
      </c>
      <c r="Z253" s="27" t="str">
        <f t="shared" si="471"/>
        <v>0</v>
      </c>
      <c r="AA253" s="121"/>
      <c r="AB253" s="121"/>
      <c r="AC253" s="121"/>
      <c r="AD253" s="121"/>
      <c r="AE253" s="121" t="s">
        <v>51</v>
      </c>
      <c r="AF253" s="121"/>
      <c r="AG253" s="121"/>
      <c r="AH253" s="28">
        <v>274000</v>
      </c>
      <c r="AI253" s="28" t="s">
        <v>113</v>
      </c>
      <c r="AJ253" s="28">
        <v>40012</v>
      </c>
      <c r="AK253" s="28" t="str">
        <f t="shared" si="472"/>
        <v>0</v>
      </c>
      <c r="AL253" s="123" t="str">
        <f t="shared" si="458"/>
        <v>14821/판매출고관리/custom.iypkg.stock.isos/SaleOstt</v>
      </c>
      <c r="AM253" s="28" t="s">
        <v>3350</v>
      </c>
      <c r="AN253" s="28"/>
      <c r="AO253" s="28"/>
      <c r="AP253" s="28"/>
      <c r="AQ253" s="28"/>
      <c r="AR253" s="28"/>
      <c r="AS253" s="28"/>
      <c r="AT253" s="28"/>
      <c r="AU253" s="28"/>
      <c r="AV253" s="28"/>
      <c r="AW253" s="28" t="s">
        <v>1829</v>
      </c>
      <c r="AX253" s="28"/>
      <c r="AY253" s="124"/>
      <c r="AZ253" s="138" t="str">
        <f>IF(C253="","","delete from module_mst where pjt_id = '"&amp;C253&amp;"' and menu_id = '"&amp;E253&amp;"';")</f>
        <v>delete from module_mst where pjt_id = '14821' and menu_id = '274007';</v>
      </c>
      <c r="BA253" s="31" t="str">
        <f>IF(C253&lt;&gt;"",CREATE_QUERY($D$1,C$2:AY$2,C253:AY253),"")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'274007', '판매출고관리', 'Sales and delivery management', '', '', '', '1', '1', '1', 'custom.iypkg.stock.isos', 'SaleOstt', '1', '1', '1', '1', '1', '1', '1', '', '0', '0', '0', '', '', '', '', 'N', '', '', '274000', '5', '40012', '0', '14821/판매출고관리/custom.iypkg.stock.isos/SaleOstt', '선택', '');</v>
      </c>
    </row>
    <row r="254" spans="1:53">
      <c r="A254" s="1">
        <v>254</v>
      </c>
      <c r="B254" s="164" t="str">
        <f t="shared" si="476"/>
        <v xml:space="preserve">        └ (선택)판매출고관리</v>
      </c>
      <c r="C254" s="27" t="str">
        <f t="shared" si="460"/>
        <v>14821</v>
      </c>
      <c r="D254" s="121"/>
      <c r="E254" s="27">
        <v>274008</v>
      </c>
      <c r="F254" s="121" t="s">
        <v>3342</v>
      </c>
      <c r="G254" s="121" t="s">
        <v>900</v>
      </c>
      <c r="H254" s="121"/>
      <c r="I254" s="121"/>
      <c r="J254" s="121"/>
      <c r="K254" s="27" t="str">
        <f t="shared" si="477"/>
        <v>1</v>
      </c>
      <c r="L254" s="27" t="str">
        <f t="shared" si="461"/>
        <v>1</v>
      </c>
      <c r="M254" s="27" t="str">
        <f t="shared" si="478"/>
        <v>1</v>
      </c>
      <c r="N254" s="121" t="s">
        <v>3343</v>
      </c>
      <c r="O254" s="121" t="s">
        <v>3344</v>
      </c>
      <c r="P254" s="27" t="str">
        <f t="shared" si="462"/>
        <v>1</v>
      </c>
      <c r="Q254" s="27" t="str">
        <f t="shared" si="463"/>
        <v>1</v>
      </c>
      <c r="R254" s="27" t="str">
        <f t="shared" si="464"/>
        <v>1</v>
      </c>
      <c r="S254" s="27" t="str">
        <f t="shared" si="465"/>
        <v>1</v>
      </c>
      <c r="T254" s="27" t="str">
        <f t="shared" si="466"/>
        <v>1</v>
      </c>
      <c r="U254" s="27" t="str">
        <f t="shared" si="467"/>
        <v>1</v>
      </c>
      <c r="V254" s="27" t="str">
        <f t="shared" si="468"/>
        <v>1</v>
      </c>
      <c r="W254" s="27"/>
      <c r="X254" s="27" t="str">
        <f t="shared" si="469"/>
        <v>0</v>
      </c>
      <c r="Y254" s="27" t="str">
        <f t="shared" si="470"/>
        <v>0</v>
      </c>
      <c r="Z254" s="27" t="str">
        <f t="shared" si="471"/>
        <v>0</v>
      </c>
      <c r="AA254" s="121"/>
      <c r="AB254" s="121"/>
      <c r="AC254" s="121"/>
      <c r="AD254" s="121"/>
      <c r="AE254" s="121" t="s">
        <v>51</v>
      </c>
      <c r="AF254" s="121"/>
      <c r="AG254" s="121"/>
      <c r="AH254" s="28">
        <v>274000</v>
      </c>
      <c r="AI254" s="28" t="s">
        <v>113</v>
      </c>
      <c r="AJ254" s="28">
        <v>41050</v>
      </c>
      <c r="AK254" s="28" t="str">
        <f t="shared" si="472"/>
        <v>0</v>
      </c>
      <c r="AL254" s="123" t="str">
        <f t="shared" si="458"/>
        <v>14821/판매출고관리/custom.iypkg.stock.isos/SaleOstt2</v>
      </c>
      <c r="AM254" s="28" t="s">
        <v>3350</v>
      </c>
      <c r="AN254" s="28" t="s">
        <v>3245</v>
      </c>
      <c r="AO254" s="28" t="s">
        <v>3245</v>
      </c>
      <c r="AP254" s="28" t="s">
        <v>3245</v>
      </c>
      <c r="AQ254" s="28" t="s">
        <v>3245</v>
      </c>
      <c r="AR254" s="28" t="s">
        <v>3245</v>
      </c>
      <c r="AS254" s="28" t="s">
        <v>3245</v>
      </c>
      <c r="AT254" s="28" t="s">
        <v>3245</v>
      </c>
      <c r="AU254" s="28" t="s">
        <v>3245</v>
      </c>
      <c r="AV254" s="28" t="s">
        <v>3245</v>
      </c>
      <c r="AW254" s="28" t="s">
        <v>3245</v>
      </c>
      <c r="AX254" s="28" t="s">
        <v>3245</v>
      </c>
      <c r="AY254" s="124"/>
      <c r="AZ254" s="138" t="str">
        <f>IF(C254="","","delete from module_mst where pjt_id = '"&amp;C254&amp;"' and menu_id = '"&amp;E254&amp;"';")</f>
        <v>delete from module_mst where pjt_id = '14821' and menu_id = '274008';</v>
      </c>
      <c r="BA254" s="31" t="str">
        <f>IF(C254&lt;&gt;"",CREATE_QUERY($D$1,C$2:AY$2,C254:AY254),"")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'274008', '판매출고관리', '', '', '', '', '1', '1', '1', 'custom.iypkg.stock.isos', 'SaleOstt2', '1', '1', '1', '1', '1', '1', '1', '', '0', '0', '0', '', '', '', '', 'N', '', '', '274000', '5', '41050', '0', '14821/판매출고관리/custom.iypkg.stock.isos/SaleOstt2', '선택', '');</v>
      </c>
    </row>
    <row r="255" spans="1:53">
      <c r="A255" s="1">
        <v>255</v>
      </c>
      <c r="B255" s="164" t="str">
        <f t="shared" si="476"/>
        <v xml:space="preserve">        └ (선택)판매출고관리</v>
      </c>
      <c r="C255" s="27" t="str">
        <f t="shared" si="460"/>
        <v>14821</v>
      </c>
      <c r="D255" s="121"/>
      <c r="E255" s="27">
        <v>274009</v>
      </c>
      <c r="F255" s="121" t="s">
        <v>3019</v>
      </c>
      <c r="G255" s="121" t="s">
        <v>900</v>
      </c>
      <c r="H255" s="121"/>
      <c r="I255" s="121"/>
      <c r="J255" s="121"/>
      <c r="K255" s="27" t="str">
        <f t="shared" si="477"/>
        <v>1</v>
      </c>
      <c r="L255" s="27" t="str">
        <f t="shared" si="461"/>
        <v>1</v>
      </c>
      <c r="M255" s="27" t="str">
        <f t="shared" si="478"/>
        <v>1</v>
      </c>
      <c r="N255" s="121" t="s">
        <v>3256</v>
      </c>
      <c r="O255" s="121" t="s">
        <v>2968</v>
      </c>
      <c r="P255" s="27" t="str">
        <f t="shared" si="462"/>
        <v>1</v>
      </c>
      <c r="Q255" s="27" t="str">
        <f t="shared" si="463"/>
        <v>1</v>
      </c>
      <c r="R255" s="27" t="str">
        <f t="shared" si="464"/>
        <v>1</v>
      </c>
      <c r="S255" s="27" t="str">
        <f t="shared" si="465"/>
        <v>1</v>
      </c>
      <c r="T255" s="27" t="str">
        <f t="shared" si="466"/>
        <v>1</v>
      </c>
      <c r="U255" s="27" t="str">
        <f t="shared" si="467"/>
        <v>1</v>
      </c>
      <c r="V255" s="27" t="str">
        <f t="shared" si="468"/>
        <v>1</v>
      </c>
      <c r="W255" s="27"/>
      <c r="X255" s="27" t="str">
        <f t="shared" si="469"/>
        <v>0</v>
      </c>
      <c r="Y255" s="27" t="str">
        <f t="shared" si="470"/>
        <v>0</v>
      </c>
      <c r="Z255" s="27" t="str">
        <f t="shared" si="471"/>
        <v>0</v>
      </c>
      <c r="AA255" s="121"/>
      <c r="AB255" s="121"/>
      <c r="AC255" s="121"/>
      <c r="AD255" s="121"/>
      <c r="AE255" s="121" t="s">
        <v>51</v>
      </c>
      <c r="AF255" s="121"/>
      <c r="AG255" s="121"/>
      <c r="AH255" s="28">
        <v>274000</v>
      </c>
      <c r="AI255" s="28" t="s">
        <v>113</v>
      </c>
      <c r="AJ255" s="28">
        <v>41100</v>
      </c>
      <c r="AK255" s="28" t="str">
        <f t="shared" si="472"/>
        <v>0</v>
      </c>
      <c r="AL255" s="123" t="str">
        <f t="shared" si="458"/>
        <v>14821/판매출고관리/custom.dehansol.stock.isos/SaleOstt</v>
      </c>
      <c r="AM255" s="28" t="s">
        <v>3350</v>
      </c>
      <c r="AN255" s="28"/>
      <c r="AO255" s="28"/>
      <c r="AP255" s="28"/>
      <c r="AQ255" s="28" t="s">
        <v>1829</v>
      </c>
      <c r="AR255" s="28"/>
      <c r="AS255" s="28"/>
      <c r="AT255" s="28"/>
      <c r="AU255" s="28"/>
      <c r="AV255" s="28"/>
      <c r="AW255" s="28"/>
      <c r="AX255" s="28"/>
      <c r="AY255" s="124"/>
      <c r="AZ255" s="138" t="str">
        <f>IF(C255="","","delete from module_mst where pjt_id = '"&amp;C255&amp;"' and menu_id = '"&amp;E255&amp;"';")</f>
        <v>delete from module_mst where pjt_id = '14821' and menu_id = '274009';</v>
      </c>
      <c r="BA255" s="31" t="str">
        <f>IF(C255&lt;&gt;"",CREATE_QUERY($D$1,C$2:AY$2,C255:AY255),"")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'274009', '판매출고관리', '', '', '', '', '1', '1', '1', 'custom.dehansol.stock.isos', 'SaleOstt', '1', '1', '1', '1', '1', '1', '1', '', '0', '0', '0', '', '', '', '', 'N', '', '', '274000', '5', '41100', '0', '14821/판매출고관리/custom.dehansol.stock.isos/SaleOstt', '선택', '');</v>
      </c>
    </row>
    <row r="256" spans="1:53">
      <c r="A256" s="1">
        <v>256</v>
      </c>
      <c r="B256" s="164" t="str">
        <f t="shared" si="476"/>
        <v xml:space="preserve">        └ (공통)판매출고현황</v>
      </c>
      <c r="C256" s="27" t="str">
        <f t="shared" si="460"/>
        <v>14821</v>
      </c>
      <c r="D256" s="121"/>
      <c r="E256" s="27">
        <v>274010</v>
      </c>
      <c r="F256" s="121" t="s">
        <v>3257</v>
      </c>
      <c r="G256" s="121" t="s">
        <v>900</v>
      </c>
      <c r="H256" s="121"/>
      <c r="I256" s="121"/>
      <c r="J256" s="121"/>
      <c r="K256" s="27" t="str">
        <f t="shared" si="477"/>
        <v>1</v>
      </c>
      <c r="L256" s="27" t="str">
        <f t="shared" si="461"/>
        <v>1</v>
      </c>
      <c r="M256" s="27" t="str">
        <f t="shared" si="478"/>
        <v>1</v>
      </c>
      <c r="N256" s="121" t="s">
        <v>312</v>
      </c>
      <c r="O256" s="121" t="s">
        <v>3258</v>
      </c>
      <c r="P256" s="27" t="str">
        <f t="shared" si="462"/>
        <v>1</v>
      </c>
      <c r="Q256" s="27" t="str">
        <f t="shared" si="463"/>
        <v>1</v>
      </c>
      <c r="R256" s="27" t="str">
        <f t="shared" si="464"/>
        <v>1</v>
      </c>
      <c r="S256" s="27" t="str">
        <f t="shared" si="465"/>
        <v>1</v>
      </c>
      <c r="T256" s="27" t="str">
        <f t="shared" si="466"/>
        <v>1</v>
      </c>
      <c r="U256" s="27" t="str">
        <f t="shared" si="467"/>
        <v>1</v>
      </c>
      <c r="V256" s="27" t="str">
        <f t="shared" si="468"/>
        <v>1</v>
      </c>
      <c r="W256" s="27"/>
      <c r="X256" s="27" t="str">
        <f t="shared" si="469"/>
        <v>0</v>
      </c>
      <c r="Y256" s="27" t="str">
        <f t="shared" si="470"/>
        <v>0</v>
      </c>
      <c r="Z256" s="27" t="str">
        <f t="shared" si="471"/>
        <v>0</v>
      </c>
      <c r="AA256" s="121"/>
      <c r="AB256" s="121"/>
      <c r="AC256" s="121"/>
      <c r="AD256" s="121"/>
      <c r="AE256" s="121" t="s">
        <v>51</v>
      </c>
      <c r="AF256" s="121"/>
      <c r="AG256" s="121"/>
      <c r="AH256" s="28">
        <v>274000</v>
      </c>
      <c r="AI256" s="28" t="s">
        <v>113</v>
      </c>
      <c r="AJ256" s="28">
        <v>41150</v>
      </c>
      <c r="AK256" s="28" t="str">
        <f t="shared" si="472"/>
        <v>0</v>
      </c>
      <c r="AL256" s="123" t="str">
        <f t="shared" si="458"/>
        <v>14821/판매출고현황/stock.isos/GoodsOsttList</v>
      </c>
      <c r="AM256" s="28" t="s">
        <v>3259</v>
      </c>
      <c r="AN256" s="28" t="s">
        <v>1829</v>
      </c>
      <c r="AO256" s="28" t="s">
        <v>1829</v>
      </c>
      <c r="AP256" s="28" t="s">
        <v>1829</v>
      </c>
      <c r="AQ256" s="28" t="s">
        <v>1829</v>
      </c>
      <c r="AR256" s="28" t="s">
        <v>1829</v>
      </c>
      <c r="AS256" s="28" t="s">
        <v>1829</v>
      </c>
      <c r="AT256" s="28" t="s">
        <v>1829</v>
      </c>
      <c r="AU256" s="28" t="s">
        <v>1829</v>
      </c>
      <c r="AV256" s="28" t="s">
        <v>1829</v>
      </c>
      <c r="AW256" s="28" t="s">
        <v>1829</v>
      </c>
      <c r="AX256" s="28" t="s">
        <v>1829</v>
      </c>
      <c r="AY256" s="124"/>
      <c r="AZ256" s="138" t="str">
        <f>IF(C256="","","delete from module_mst where pjt_id = '"&amp;C256&amp;"' and menu_id = '"&amp;E256&amp;"';")</f>
        <v>delete from module_mst where pjt_id = '14821' and menu_id = '274010';</v>
      </c>
      <c r="BA256" s="31" t="str">
        <f>IF(C256&lt;&gt;"",CREATE_QUERY($D$1,C$2:AY$2,C256:AY256),"")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'274010', '판매출고현황', '', '', '', '', '1', '1', '1', 'stock.isos', 'GoodsOsttList', '1', '1', '1', '1', '1', '1', '1', '', '0', '0', '0', '', '', '', '', 'N', '', '', '274000', '5', '41150', '0', '14821/판매출고현황/stock.isos/GoodsOsttList', '공통', '');</v>
      </c>
    </row>
    <row r="257" spans="1:53">
      <c r="A257" s="1">
        <v>257</v>
      </c>
      <c r="B257" s="164" t="str">
        <f t="shared" si="476"/>
        <v xml:space="preserve">        └ (공통)판매 반품 관리</v>
      </c>
      <c r="C257" s="27" t="str">
        <f t="shared" si="460"/>
        <v>14821</v>
      </c>
      <c r="D257" s="121"/>
      <c r="E257" s="27">
        <v>274011</v>
      </c>
      <c r="F257" s="121" t="s">
        <v>2339</v>
      </c>
      <c r="G257" s="121" t="s">
        <v>3143</v>
      </c>
      <c r="H257" s="121"/>
      <c r="I257" s="121"/>
      <c r="J257" s="121"/>
      <c r="K257" s="27" t="str">
        <f t="shared" si="477"/>
        <v>1</v>
      </c>
      <c r="L257" s="27" t="str">
        <f t="shared" si="461"/>
        <v>1</v>
      </c>
      <c r="M257" s="27" t="str">
        <f t="shared" si="478"/>
        <v>1</v>
      </c>
      <c r="N257" s="121" t="s">
        <v>312</v>
      </c>
      <c r="O257" s="121" t="s">
        <v>2340</v>
      </c>
      <c r="P257" s="27" t="str">
        <f t="shared" si="462"/>
        <v>1</v>
      </c>
      <c r="Q257" s="27" t="str">
        <f t="shared" si="463"/>
        <v>1</v>
      </c>
      <c r="R257" s="27" t="str">
        <f t="shared" si="464"/>
        <v>1</v>
      </c>
      <c r="S257" s="27" t="str">
        <f t="shared" si="465"/>
        <v>1</v>
      </c>
      <c r="T257" s="27" t="str">
        <f t="shared" si="466"/>
        <v>1</v>
      </c>
      <c r="U257" s="27" t="str">
        <f t="shared" si="467"/>
        <v>1</v>
      </c>
      <c r="V257" s="27" t="str">
        <f t="shared" si="468"/>
        <v>1</v>
      </c>
      <c r="W257" s="27"/>
      <c r="X257" s="27" t="str">
        <f t="shared" si="469"/>
        <v>0</v>
      </c>
      <c r="Y257" s="27" t="str">
        <f t="shared" si="470"/>
        <v>0</v>
      </c>
      <c r="Z257" s="27" t="str">
        <f t="shared" si="471"/>
        <v>0</v>
      </c>
      <c r="AA257" s="121"/>
      <c r="AB257" s="121"/>
      <c r="AC257" s="121"/>
      <c r="AD257" s="121"/>
      <c r="AE257" s="121" t="s">
        <v>51</v>
      </c>
      <c r="AF257" s="121"/>
      <c r="AG257" s="121"/>
      <c r="AH257" s="28">
        <v>274000</v>
      </c>
      <c r="AI257" s="28" t="s">
        <v>113</v>
      </c>
      <c r="AJ257" s="28">
        <v>40450</v>
      </c>
      <c r="AK257" s="28" t="str">
        <f t="shared" si="472"/>
        <v>0</v>
      </c>
      <c r="AL257" s="123" t="str">
        <f t="shared" si="458"/>
        <v>14821/판매 반품 관리/stock.isos/GoodsRettWork</v>
      </c>
      <c r="AM257" s="28" t="s">
        <v>2981</v>
      </c>
      <c r="AN257" s="28"/>
      <c r="AO257" s="28"/>
      <c r="AP257" s="28"/>
      <c r="AQ257" s="28"/>
      <c r="AR257" s="28"/>
      <c r="AS257" s="28"/>
      <c r="AT257" s="28" t="s">
        <v>1829</v>
      </c>
      <c r="AU257" s="28"/>
      <c r="AV257" s="28"/>
      <c r="AW257" s="28"/>
      <c r="AX257" s="28"/>
      <c r="AY257" s="124"/>
      <c r="AZ257" s="138" t="str">
        <f>IF(C257="","","delete from module_mst where pjt_id = '"&amp;C257&amp;"' and menu_id = '"&amp;E257&amp;"';")</f>
        <v>delete from module_mst where pjt_id = '14821' and menu_id = '274011';</v>
      </c>
      <c r="BA257" s="31" t="str">
        <f>IF(C257&lt;&gt;"",CREATE_QUERY($D$1,C$2:AY$2,C257:AY257),"")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'274011', '판매 반품 관리', 'Sales Returns Management', '', '', '', '1', '1', '1', 'stock.isos', 'GoodsRettWork', '1', '1', '1', '1', '1', '1', '1', '', '0', '0', '0', '', '', '', '', 'N', '', '', '274000', '5', '40450', '0', '14821/판매 반품 관리/stock.isos/GoodsRettWork', '공통', '');</v>
      </c>
    </row>
    <row r="258" spans="1:53">
      <c r="A258" s="1">
        <v>258</v>
      </c>
      <c r="B258" s="164" t="str">
        <f t="shared" si="476"/>
        <v xml:space="preserve">        └ (선택)출고/미출고 현황</v>
      </c>
      <c r="C258" s="27" t="str">
        <f t="shared" si="460"/>
        <v>14821</v>
      </c>
      <c r="D258" s="121"/>
      <c r="E258" s="27">
        <v>274012</v>
      </c>
      <c r="F258" s="121" t="s">
        <v>3020</v>
      </c>
      <c r="G258" s="121" t="s">
        <v>3145</v>
      </c>
      <c r="H258" s="121"/>
      <c r="I258" s="121"/>
      <c r="J258" s="121"/>
      <c r="K258" s="27" t="str">
        <f t="shared" si="477"/>
        <v>1</v>
      </c>
      <c r="L258" s="27" t="str">
        <f t="shared" si="461"/>
        <v>1</v>
      </c>
      <c r="M258" s="27" t="str">
        <f t="shared" si="478"/>
        <v>1</v>
      </c>
      <c r="N258" s="121" t="s">
        <v>2967</v>
      </c>
      <c r="O258" s="121" t="s">
        <v>3021</v>
      </c>
      <c r="P258" s="27" t="str">
        <f t="shared" si="462"/>
        <v>1</v>
      </c>
      <c r="Q258" s="27" t="str">
        <f t="shared" si="463"/>
        <v>1</v>
      </c>
      <c r="R258" s="27" t="str">
        <f t="shared" si="464"/>
        <v>1</v>
      </c>
      <c r="S258" s="27" t="str">
        <f t="shared" si="465"/>
        <v>1</v>
      </c>
      <c r="T258" s="27" t="str">
        <f t="shared" si="466"/>
        <v>1</v>
      </c>
      <c r="U258" s="27" t="str">
        <f t="shared" si="467"/>
        <v>1</v>
      </c>
      <c r="V258" s="27" t="str">
        <f t="shared" si="468"/>
        <v>1</v>
      </c>
      <c r="W258" s="27"/>
      <c r="X258" s="27" t="str">
        <f t="shared" si="469"/>
        <v>0</v>
      </c>
      <c r="Y258" s="27" t="str">
        <f t="shared" si="470"/>
        <v>0</v>
      </c>
      <c r="Z258" s="27" t="str">
        <f t="shared" si="471"/>
        <v>0</v>
      </c>
      <c r="AA258" s="121"/>
      <c r="AB258" s="121"/>
      <c r="AC258" s="121"/>
      <c r="AD258" s="121"/>
      <c r="AE258" s="121" t="s">
        <v>51</v>
      </c>
      <c r="AF258" s="121"/>
      <c r="AG258" s="121"/>
      <c r="AH258" s="28">
        <v>274000</v>
      </c>
      <c r="AI258" s="28" t="s">
        <v>113</v>
      </c>
      <c r="AJ258" s="28">
        <v>40010</v>
      </c>
      <c r="AK258" s="28" t="str">
        <f t="shared" si="472"/>
        <v>0</v>
      </c>
      <c r="AL258" s="123" t="str">
        <f t="shared" si="458"/>
        <v>14821/출고/미출고 현황/custom.iypkg.stock.isos/OsttWaitList</v>
      </c>
      <c r="AM258" s="28" t="s">
        <v>3350</v>
      </c>
      <c r="AN258" s="28"/>
      <c r="AO258" s="28"/>
      <c r="AP258" s="28"/>
      <c r="AQ258" s="28"/>
      <c r="AR258" s="28"/>
      <c r="AS258" s="28"/>
      <c r="AT258" s="28"/>
      <c r="AU258" s="28"/>
      <c r="AV258" s="28"/>
      <c r="AW258" s="28" t="s">
        <v>1829</v>
      </c>
      <c r="AX258" s="28"/>
      <c r="AY258" s="124"/>
      <c r="AZ258" s="138" t="str">
        <f>IF(C258="","","delete from module_mst where pjt_id = '"&amp;C258&amp;"' and menu_id = '"&amp;E258&amp;"';")</f>
        <v>delete from module_mst where pjt_id = '14821' and menu_id = '274012';</v>
      </c>
      <c r="BA258" s="31" t="str">
        <f>IF(C258&lt;&gt;"",CREATE_QUERY($D$1,C$2:AY$2,C258:AY258),"")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'274012', '출고/미출고 현황', 'Forwarding/not forwarding status', '', '', '', '1', '1', '1', 'custom.iypkg.stock.isos', 'OsttWaitList', '1', '1', '1', '1', '1', '1', '1', '', '0', '0', '0', '', '', '', '', 'N', '', '', '274000', '5', '40010', '0', '14821/출고/미출고 현황/custom.iypkg.stock.isos/OsttWaitList', '선택', '');</v>
      </c>
    </row>
    <row r="259" spans="1:53">
      <c r="A259" s="1">
        <v>259</v>
      </c>
      <c r="B259" s="164" t="str">
        <f t="shared" si="476"/>
        <v/>
      </c>
      <c r="C259" s="27" t="str">
        <f t="shared" si="460"/>
        <v/>
      </c>
      <c r="D259" s="121"/>
      <c r="E259" s="27">
        <v>274013</v>
      </c>
      <c r="F259" s="121"/>
      <c r="G259" s="121" t="s">
        <v>900</v>
      </c>
      <c r="H259" s="121"/>
      <c r="I259" s="121"/>
      <c r="J259" s="121"/>
      <c r="K259" s="27" t="str">
        <f t="shared" si="477"/>
        <v/>
      </c>
      <c r="L259" s="27" t="str">
        <f t="shared" si="461"/>
        <v/>
      </c>
      <c r="M259" s="27" t="str">
        <f t="shared" si="478"/>
        <v>0</v>
      </c>
      <c r="N259" s="121"/>
      <c r="O259" s="121"/>
      <c r="P259" s="27" t="str">
        <f t="shared" si="462"/>
        <v>0</v>
      </c>
      <c r="Q259" s="27" t="str">
        <f t="shared" si="463"/>
        <v>0</v>
      </c>
      <c r="R259" s="27" t="str">
        <f t="shared" si="464"/>
        <v>0</v>
      </c>
      <c r="S259" s="27" t="str">
        <f t="shared" si="465"/>
        <v>0</v>
      </c>
      <c r="T259" s="27" t="str">
        <f t="shared" si="466"/>
        <v>0</v>
      </c>
      <c r="U259" s="27" t="str">
        <f t="shared" si="467"/>
        <v>0</v>
      </c>
      <c r="V259" s="27" t="str">
        <f t="shared" si="468"/>
        <v>1</v>
      </c>
      <c r="W259" s="27"/>
      <c r="X259" s="27" t="str">
        <f t="shared" si="469"/>
        <v/>
      </c>
      <c r="Y259" s="27" t="str">
        <f t="shared" si="470"/>
        <v/>
      </c>
      <c r="Z259" s="27" t="str">
        <f t="shared" si="471"/>
        <v/>
      </c>
      <c r="AA259" s="121"/>
      <c r="AB259" s="121"/>
      <c r="AC259" s="121"/>
      <c r="AD259" s="121"/>
      <c r="AE259" s="121" t="s">
        <v>51</v>
      </c>
      <c r="AF259" s="121"/>
      <c r="AG259" s="121"/>
      <c r="AH259" s="28">
        <v>274000</v>
      </c>
      <c r="AI259" s="28" t="s">
        <v>113</v>
      </c>
      <c r="AJ259" s="28">
        <v>6</v>
      </c>
      <c r="AK259" s="28" t="str">
        <f t="shared" si="472"/>
        <v/>
      </c>
      <c r="AL259" s="123" t="str">
        <f t="shared" ref="AL259:AL266" si="479">IF(C259="","",C259&amp;"/"&amp;F259&amp;"/"&amp;N259&amp;"/"&amp;O259)</f>
        <v/>
      </c>
      <c r="AM259" s="28"/>
      <c r="AN259" s="28"/>
      <c r="AO259" s="28"/>
      <c r="AP259" s="28"/>
      <c r="AQ259" s="28"/>
      <c r="AR259" s="28"/>
      <c r="AS259" s="28"/>
      <c r="AT259" s="28"/>
      <c r="AU259" s="28"/>
      <c r="AV259" s="28"/>
      <c r="AW259" s="28"/>
      <c r="AX259" s="28"/>
      <c r="AY259" s="124"/>
      <c r="AZ259" s="138" t="str">
        <f>IF(C259="","","delete from module_mst where pjt_id = '"&amp;C259&amp;"' and menu_id = '"&amp;E259&amp;"';")</f>
        <v/>
      </c>
      <c r="BA259" s="31" t="str">
        <f>IF(C259&lt;&gt;"",CREATE_QUERY($D$1,C$2:AY$2,C259:AY259),"")</f>
        <v/>
      </c>
    </row>
    <row r="260" spans="1:53">
      <c r="A260" s="1">
        <v>260</v>
      </c>
      <c r="B260" s="164" t="str">
        <f t="shared" si="476"/>
        <v/>
      </c>
      <c r="C260" s="27" t="str">
        <f t="shared" si="460"/>
        <v/>
      </c>
      <c r="D260" s="121"/>
      <c r="E260" s="27">
        <v>274014</v>
      </c>
      <c r="F260" s="121"/>
      <c r="G260" s="121" t="s">
        <v>900</v>
      </c>
      <c r="H260" s="121"/>
      <c r="I260" s="121"/>
      <c r="J260" s="121"/>
      <c r="K260" s="27" t="str">
        <f t="shared" si="477"/>
        <v/>
      </c>
      <c r="L260" s="27" t="str">
        <f t="shared" si="461"/>
        <v/>
      </c>
      <c r="M260" s="27" t="str">
        <f t="shared" si="478"/>
        <v>0</v>
      </c>
      <c r="N260" s="121"/>
      <c r="O260" s="121"/>
      <c r="P260" s="27" t="str">
        <f t="shared" si="462"/>
        <v>0</v>
      </c>
      <c r="Q260" s="27" t="str">
        <f t="shared" si="463"/>
        <v>0</v>
      </c>
      <c r="R260" s="27" t="str">
        <f t="shared" si="464"/>
        <v>0</v>
      </c>
      <c r="S260" s="27" t="str">
        <f t="shared" si="465"/>
        <v>0</v>
      </c>
      <c r="T260" s="27" t="str">
        <f t="shared" si="466"/>
        <v>0</v>
      </c>
      <c r="U260" s="27" t="str">
        <f t="shared" si="467"/>
        <v>0</v>
      </c>
      <c r="V260" s="27" t="str">
        <f t="shared" si="468"/>
        <v>1</v>
      </c>
      <c r="W260" s="27"/>
      <c r="X260" s="27" t="str">
        <f t="shared" si="469"/>
        <v/>
      </c>
      <c r="Y260" s="27" t="str">
        <f t="shared" si="470"/>
        <v/>
      </c>
      <c r="Z260" s="27" t="str">
        <f t="shared" si="471"/>
        <v/>
      </c>
      <c r="AA260" s="121"/>
      <c r="AB260" s="121"/>
      <c r="AC260" s="121"/>
      <c r="AD260" s="121"/>
      <c r="AE260" s="121" t="s">
        <v>51</v>
      </c>
      <c r="AF260" s="121"/>
      <c r="AG260" s="121"/>
      <c r="AH260" s="28">
        <v>274000</v>
      </c>
      <c r="AI260" s="28" t="s">
        <v>113</v>
      </c>
      <c r="AJ260" s="28">
        <v>31050</v>
      </c>
      <c r="AK260" s="28" t="str">
        <f t="shared" si="472"/>
        <v/>
      </c>
      <c r="AL260" s="123" t="str">
        <f t="shared" si="479"/>
        <v/>
      </c>
      <c r="AM260" s="28"/>
      <c r="AN260" s="28" t="s">
        <v>3245</v>
      </c>
      <c r="AO260" s="28" t="s">
        <v>3245</v>
      </c>
      <c r="AP260" s="28" t="s">
        <v>3245</v>
      </c>
      <c r="AQ260" s="28" t="s">
        <v>3245</v>
      </c>
      <c r="AR260" s="28" t="s">
        <v>3245</v>
      </c>
      <c r="AS260" s="28" t="s">
        <v>3245</v>
      </c>
      <c r="AT260" s="28" t="s">
        <v>3245</v>
      </c>
      <c r="AU260" s="28" t="s">
        <v>3245</v>
      </c>
      <c r="AV260" s="28" t="s">
        <v>3245</v>
      </c>
      <c r="AW260" s="28" t="s">
        <v>3245</v>
      </c>
      <c r="AX260" s="28" t="s">
        <v>3245</v>
      </c>
      <c r="AY260" s="124"/>
      <c r="AZ260" s="138" t="str">
        <f>IF(C260="","","delete from module_mst where pjt_id = '"&amp;C260&amp;"' and menu_id = '"&amp;E260&amp;"';")</f>
        <v/>
      </c>
      <c r="BA260" s="31" t="str">
        <f>IF(C260&lt;&gt;"",CREATE_QUERY($D$1,C$2:AY$2,C260:AY260),"")</f>
        <v/>
      </c>
    </row>
    <row r="261" spans="1:53">
      <c r="A261" s="1">
        <v>261</v>
      </c>
      <c r="B261" s="164" t="str">
        <f t="shared" si="476"/>
        <v/>
      </c>
      <c r="C261" s="27" t="str">
        <f t="shared" si="460"/>
        <v/>
      </c>
      <c r="D261" s="121"/>
      <c r="E261" s="27">
        <v>274015</v>
      </c>
      <c r="F261" s="121"/>
      <c r="G261" s="121" t="s">
        <v>900</v>
      </c>
      <c r="H261" s="121"/>
      <c r="I261" s="121"/>
      <c r="J261" s="121"/>
      <c r="K261" s="27" t="str">
        <f t="shared" si="477"/>
        <v/>
      </c>
      <c r="L261" s="27" t="str">
        <f t="shared" si="461"/>
        <v/>
      </c>
      <c r="M261" s="27" t="str">
        <f t="shared" si="478"/>
        <v>0</v>
      </c>
      <c r="N261" s="121"/>
      <c r="O261" s="121"/>
      <c r="P261" s="27" t="str">
        <f t="shared" si="462"/>
        <v>0</v>
      </c>
      <c r="Q261" s="27" t="str">
        <f t="shared" si="463"/>
        <v>0</v>
      </c>
      <c r="R261" s="27" t="str">
        <f t="shared" si="464"/>
        <v>0</v>
      </c>
      <c r="S261" s="27" t="str">
        <f t="shared" si="465"/>
        <v>0</v>
      </c>
      <c r="T261" s="27" t="str">
        <f t="shared" si="466"/>
        <v>0</v>
      </c>
      <c r="U261" s="27" t="str">
        <f t="shared" si="467"/>
        <v>0</v>
      </c>
      <c r="V261" s="27" t="str">
        <f t="shared" si="468"/>
        <v>1</v>
      </c>
      <c r="W261" s="27"/>
      <c r="X261" s="27" t="str">
        <f t="shared" si="469"/>
        <v/>
      </c>
      <c r="Y261" s="27" t="str">
        <f t="shared" si="470"/>
        <v/>
      </c>
      <c r="Z261" s="27" t="str">
        <f t="shared" si="471"/>
        <v/>
      </c>
      <c r="AA261" s="121"/>
      <c r="AB261" s="121"/>
      <c r="AC261" s="121"/>
      <c r="AD261" s="121"/>
      <c r="AE261" s="121" t="s">
        <v>51</v>
      </c>
      <c r="AF261" s="121"/>
      <c r="AG261" s="121"/>
      <c r="AH261" s="28">
        <v>274000</v>
      </c>
      <c r="AI261" s="28" t="s">
        <v>113</v>
      </c>
      <c r="AJ261" s="28">
        <v>31100</v>
      </c>
      <c r="AK261" s="28" t="str">
        <f t="shared" si="472"/>
        <v/>
      </c>
      <c r="AL261" s="123" t="str">
        <f t="shared" si="479"/>
        <v/>
      </c>
      <c r="AM261" s="28"/>
      <c r="AN261" s="28" t="s">
        <v>3245</v>
      </c>
      <c r="AO261" s="28" t="s">
        <v>3245</v>
      </c>
      <c r="AP261" s="28" t="s">
        <v>3245</v>
      </c>
      <c r="AQ261" s="28" t="s">
        <v>3245</v>
      </c>
      <c r="AR261" s="28" t="s">
        <v>3245</v>
      </c>
      <c r="AS261" s="28" t="s">
        <v>3245</v>
      </c>
      <c r="AT261" s="28" t="s">
        <v>3245</v>
      </c>
      <c r="AU261" s="28" t="s">
        <v>3245</v>
      </c>
      <c r="AV261" s="28" t="s">
        <v>3245</v>
      </c>
      <c r="AW261" s="28" t="s">
        <v>3245</v>
      </c>
      <c r="AX261" s="28" t="s">
        <v>3245</v>
      </c>
      <c r="AY261" s="124"/>
      <c r="AZ261" s="138" t="str">
        <f>IF(C261="","","delete from module_mst where pjt_id = '"&amp;C261&amp;"' and menu_id = '"&amp;E261&amp;"';")</f>
        <v/>
      </c>
      <c r="BA261" s="31" t="str">
        <f>IF(C261&lt;&gt;"",CREATE_QUERY($D$1,C$2:AY$2,C261:AY261),"")</f>
        <v/>
      </c>
    </row>
    <row r="262" spans="1:53">
      <c r="A262" s="1">
        <v>262</v>
      </c>
      <c r="B262" s="164" t="str">
        <f t="shared" si="476"/>
        <v/>
      </c>
      <c r="C262" s="27" t="str">
        <f t="shared" si="460"/>
        <v/>
      </c>
      <c r="D262" s="121"/>
      <c r="E262" s="27">
        <v>274016</v>
      </c>
      <c r="F262" s="121"/>
      <c r="G262" s="121" t="s">
        <v>900</v>
      </c>
      <c r="H262" s="121"/>
      <c r="I262" s="121"/>
      <c r="J262" s="121"/>
      <c r="K262" s="27" t="str">
        <f t="shared" si="477"/>
        <v/>
      </c>
      <c r="L262" s="27" t="str">
        <f t="shared" si="461"/>
        <v/>
      </c>
      <c r="M262" s="27" t="str">
        <f t="shared" si="478"/>
        <v>0</v>
      </c>
      <c r="N262" s="121"/>
      <c r="O262" s="121"/>
      <c r="P262" s="27" t="str">
        <f t="shared" si="462"/>
        <v>0</v>
      </c>
      <c r="Q262" s="27" t="str">
        <f t="shared" si="463"/>
        <v>0</v>
      </c>
      <c r="R262" s="27" t="str">
        <f t="shared" si="464"/>
        <v>0</v>
      </c>
      <c r="S262" s="27" t="str">
        <f t="shared" si="465"/>
        <v>0</v>
      </c>
      <c r="T262" s="27" t="str">
        <f t="shared" si="466"/>
        <v>0</v>
      </c>
      <c r="U262" s="27" t="str">
        <f t="shared" si="467"/>
        <v>0</v>
      </c>
      <c r="V262" s="27" t="str">
        <f t="shared" si="468"/>
        <v>1</v>
      </c>
      <c r="W262" s="27"/>
      <c r="X262" s="27" t="str">
        <f t="shared" si="469"/>
        <v/>
      </c>
      <c r="Y262" s="27" t="str">
        <f t="shared" si="470"/>
        <v/>
      </c>
      <c r="Z262" s="27" t="str">
        <f t="shared" si="471"/>
        <v/>
      </c>
      <c r="AA262" s="121"/>
      <c r="AB262" s="121"/>
      <c r="AC262" s="121"/>
      <c r="AD262" s="121"/>
      <c r="AE262" s="121" t="s">
        <v>51</v>
      </c>
      <c r="AF262" s="121"/>
      <c r="AG262" s="121"/>
      <c r="AH262" s="28">
        <v>274000</v>
      </c>
      <c r="AI262" s="28" t="s">
        <v>113</v>
      </c>
      <c r="AJ262" s="28">
        <v>31150</v>
      </c>
      <c r="AK262" s="28" t="str">
        <f t="shared" si="472"/>
        <v/>
      </c>
      <c r="AL262" s="123" t="str">
        <f t="shared" si="479"/>
        <v/>
      </c>
      <c r="AM262" s="28"/>
      <c r="AN262" s="28" t="s">
        <v>3245</v>
      </c>
      <c r="AO262" s="28" t="s">
        <v>3245</v>
      </c>
      <c r="AP262" s="28" t="s">
        <v>3245</v>
      </c>
      <c r="AQ262" s="28" t="s">
        <v>3245</v>
      </c>
      <c r="AR262" s="28" t="s">
        <v>3245</v>
      </c>
      <c r="AS262" s="28" t="s">
        <v>3245</v>
      </c>
      <c r="AT262" s="28" t="s">
        <v>3245</v>
      </c>
      <c r="AU262" s="28" t="s">
        <v>3245</v>
      </c>
      <c r="AV262" s="28" t="s">
        <v>3245</v>
      </c>
      <c r="AW262" s="28" t="s">
        <v>3245</v>
      </c>
      <c r="AX262" s="28" t="s">
        <v>3245</v>
      </c>
      <c r="AY262" s="124"/>
      <c r="AZ262" s="138" t="str">
        <f>IF(C262="","","delete from module_mst where pjt_id = '"&amp;C262&amp;"' and menu_id = '"&amp;E262&amp;"';")</f>
        <v/>
      </c>
      <c r="BA262" s="31" t="str">
        <f>IF(C262&lt;&gt;"",CREATE_QUERY($D$1,C$2:AY$2,C262:AY262),"")</f>
        <v/>
      </c>
    </row>
    <row r="263" spans="1:53">
      <c r="A263" s="1">
        <v>263</v>
      </c>
      <c r="B263" s="164" t="str">
        <f t="shared" si="476"/>
        <v/>
      </c>
      <c r="C263" s="27" t="str">
        <f t="shared" si="460"/>
        <v/>
      </c>
      <c r="D263" s="121"/>
      <c r="E263" s="27">
        <v>274017</v>
      </c>
      <c r="F263" s="121"/>
      <c r="G263" s="121" t="s">
        <v>900</v>
      </c>
      <c r="H263" s="121"/>
      <c r="I263" s="121"/>
      <c r="J263" s="121"/>
      <c r="K263" s="27" t="str">
        <f t="shared" si="477"/>
        <v/>
      </c>
      <c r="L263" s="27" t="str">
        <f t="shared" si="461"/>
        <v/>
      </c>
      <c r="M263" s="27" t="str">
        <f t="shared" si="478"/>
        <v>0</v>
      </c>
      <c r="N263" s="121"/>
      <c r="O263" s="121"/>
      <c r="P263" s="27" t="str">
        <f t="shared" si="462"/>
        <v>0</v>
      </c>
      <c r="Q263" s="27" t="str">
        <f t="shared" si="463"/>
        <v>0</v>
      </c>
      <c r="R263" s="27" t="str">
        <f t="shared" si="464"/>
        <v>0</v>
      </c>
      <c r="S263" s="27" t="str">
        <f t="shared" si="465"/>
        <v>0</v>
      </c>
      <c r="T263" s="27" t="str">
        <f t="shared" si="466"/>
        <v>0</v>
      </c>
      <c r="U263" s="27" t="str">
        <f t="shared" si="467"/>
        <v>0</v>
      </c>
      <c r="V263" s="27" t="str">
        <f t="shared" si="468"/>
        <v>1</v>
      </c>
      <c r="W263" s="27"/>
      <c r="X263" s="27" t="str">
        <f t="shared" si="469"/>
        <v/>
      </c>
      <c r="Y263" s="27" t="str">
        <f t="shared" si="470"/>
        <v/>
      </c>
      <c r="Z263" s="27" t="str">
        <f t="shared" si="471"/>
        <v/>
      </c>
      <c r="AA263" s="121"/>
      <c r="AB263" s="121"/>
      <c r="AC263" s="121"/>
      <c r="AD263" s="121"/>
      <c r="AE263" s="121" t="s">
        <v>51</v>
      </c>
      <c r="AF263" s="121"/>
      <c r="AG263" s="121"/>
      <c r="AH263" s="28">
        <v>274000</v>
      </c>
      <c r="AI263" s="28" t="s">
        <v>113</v>
      </c>
      <c r="AJ263" s="28">
        <v>31200</v>
      </c>
      <c r="AK263" s="28" t="str">
        <f t="shared" si="472"/>
        <v/>
      </c>
      <c r="AL263" s="123" t="str">
        <f t="shared" si="479"/>
        <v/>
      </c>
      <c r="AM263" s="28"/>
      <c r="AN263" s="28" t="s">
        <v>3245</v>
      </c>
      <c r="AO263" s="28" t="s">
        <v>3245</v>
      </c>
      <c r="AP263" s="28" t="s">
        <v>3245</v>
      </c>
      <c r="AQ263" s="28" t="s">
        <v>3245</v>
      </c>
      <c r="AR263" s="28" t="s">
        <v>3245</v>
      </c>
      <c r="AS263" s="28" t="s">
        <v>3245</v>
      </c>
      <c r="AT263" s="28" t="s">
        <v>3245</v>
      </c>
      <c r="AU263" s="28" t="s">
        <v>3245</v>
      </c>
      <c r="AV263" s="28" t="s">
        <v>3245</v>
      </c>
      <c r="AW263" s="28" t="s">
        <v>3245</v>
      </c>
      <c r="AX263" s="28" t="s">
        <v>3245</v>
      </c>
      <c r="AY263" s="124"/>
      <c r="AZ263" s="138" t="str">
        <f>IF(C263="","","delete from module_mst where pjt_id = '"&amp;C263&amp;"' and menu_id = '"&amp;E263&amp;"';")</f>
        <v/>
      </c>
      <c r="BA263" s="31" t="str">
        <f>IF(C263&lt;&gt;"",CREATE_QUERY($D$1,C$2:AY$2,C263:AY263),"")</f>
        <v/>
      </c>
    </row>
    <row r="264" spans="1:53">
      <c r="A264" s="1">
        <v>264</v>
      </c>
      <c r="B264" s="164" t="str">
        <f t="shared" si="476"/>
        <v/>
      </c>
      <c r="C264" s="27" t="str">
        <f t="shared" si="460"/>
        <v/>
      </c>
      <c r="D264" s="121"/>
      <c r="E264" s="27">
        <v>274018</v>
      </c>
      <c r="F264" s="121"/>
      <c r="G264" s="121" t="s">
        <v>900</v>
      </c>
      <c r="H264" s="121"/>
      <c r="I264" s="121"/>
      <c r="J264" s="121"/>
      <c r="K264" s="27" t="str">
        <f t="shared" si="477"/>
        <v/>
      </c>
      <c r="L264" s="27" t="str">
        <f t="shared" si="461"/>
        <v/>
      </c>
      <c r="M264" s="27" t="str">
        <f t="shared" si="478"/>
        <v>0</v>
      </c>
      <c r="N264" s="121"/>
      <c r="O264" s="121"/>
      <c r="P264" s="27" t="str">
        <f t="shared" si="462"/>
        <v>0</v>
      </c>
      <c r="Q264" s="27" t="str">
        <f t="shared" si="463"/>
        <v>0</v>
      </c>
      <c r="R264" s="27" t="str">
        <f t="shared" si="464"/>
        <v>0</v>
      </c>
      <c r="S264" s="27" t="str">
        <f t="shared" si="465"/>
        <v>0</v>
      </c>
      <c r="T264" s="27" t="str">
        <f t="shared" si="466"/>
        <v>0</v>
      </c>
      <c r="U264" s="27" t="str">
        <f t="shared" si="467"/>
        <v>0</v>
      </c>
      <c r="V264" s="27" t="str">
        <f t="shared" si="468"/>
        <v>1</v>
      </c>
      <c r="W264" s="27"/>
      <c r="X264" s="27" t="str">
        <f t="shared" si="469"/>
        <v/>
      </c>
      <c r="Y264" s="27" t="str">
        <f t="shared" si="470"/>
        <v/>
      </c>
      <c r="Z264" s="27" t="str">
        <f t="shared" si="471"/>
        <v/>
      </c>
      <c r="AA264" s="121"/>
      <c r="AB264" s="121"/>
      <c r="AC264" s="121"/>
      <c r="AD264" s="121"/>
      <c r="AE264" s="121" t="s">
        <v>51</v>
      </c>
      <c r="AF264" s="121"/>
      <c r="AG264" s="121"/>
      <c r="AH264" s="28">
        <v>274000</v>
      </c>
      <c r="AI264" s="28" t="s">
        <v>113</v>
      </c>
      <c r="AJ264" s="28">
        <v>31250</v>
      </c>
      <c r="AK264" s="28" t="str">
        <f t="shared" si="472"/>
        <v/>
      </c>
      <c r="AL264" s="123" t="str">
        <f t="shared" si="479"/>
        <v/>
      </c>
      <c r="AM264" s="28"/>
      <c r="AN264" s="28" t="s">
        <v>3245</v>
      </c>
      <c r="AO264" s="28" t="s">
        <v>3245</v>
      </c>
      <c r="AP264" s="28" t="s">
        <v>3245</v>
      </c>
      <c r="AQ264" s="28" t="s">
        <v>3245</v>
      </c>
      <c r="AR264" s="28" t="s">
        <v>3245</v>
      </c>
      <c r="AS264" s="28" t="s">
        <v>3245</v>
      </c>
      <c r="AT264" s="28" t="s">
        <v>3245</v>
      </c>
      <c r="AU264" s="28" t="s">
        <v>3245</v>
      </c>
      <c r="AV264" s="28" t="s">
        <v>3245</v>
      </c>
      <c r="AW264" s="28" t="s">
        <v>3245</v>
      </c>
      <c r="AX264" s="28" t="s">
        <v>3245</v>
      </c>
      <c r="AY264" s="124"/>
      <c r="AZ264" s="138" t="str">
        <f>IF(C264="","","delete from module_mst where pjt_id = '"&amp;C264&amp;"' and menu_id = '"&amp;E264&amp;"';")</f>
        <v/>
      </c>
      <c r="BA264" s="31" t="str">
        <f>IF(C264&lt;&gt;"",CREATE_QUERY($D$1,C$2:AY$2,C264:AY264),"")</f>
        <v/>
      </c>
    </row>
    <row r="265" spans="1:53">
      <c r="A265" s="1">
        <v>265</v>
      </c>
      <c r="B265" s="164" t="str">
        <f t="shared" si="476"/>
        <v/>
      </c>
      <c r="C265" s="27" t="str">
        <f t="shared" si="460"/>
        <v/>
      </c>
      <c r="D265" s="121"/>
      <c r="E265" s="27">
        <v>274019</v>
      </c>
      <c r="F265" s="121"/>
      <c r="G265" s="121" t="s">
        <v>900</v>
      </c>
      <c r="H265" s="121"/>
      <c r="I265" s="121"/>
      <c r="J265" s="121"/>
      <c r="K265" s="27" t="str">
        <f t="shared" si="477"/>
        <v/>
      </c>
      <c r="L265" s="27" t="str">
        <f t="shared" si="461"/>
        <v/>
      </c>
      <c r="M265" s="27" t="str">
        <f t="shared" si="478"/>
        <v>0</v>
      </c>
      <c r="N265" s="121"/>
      <c r="O265" s="121"/>
      <c r="P265" s="27" t="str">
        <f t="shared" si="462"/>
        <v>0</v>
      </c>
      <c r="Q265" s="27" t="str">
        <f t="shared" si="463"/>
        <v>0</v>
      </c>
      <c r="R265" s="27" t="str">
        <f t="shared" si="464"/>
        <v>0</v>
      </c>
      <c r="S265" s="27" t="str">
        <f t="shared" si="465"/>
        <v>0</v>
      </c>
      <c r="T265" s="27" t="str">
        <f t="shared" si="466"/>
        <v>0</v>
      </c>
      <c r="U265" s="27" t="str">
        <f t="shared" si="467"/>
        <v>0</v>
      </c>
      <c r="V265" s="27" t="str">
        <f t="shared" si="468"/>
        <v>1</v>
      </c>
      <c r="W265" s="27"/>
      <c r="X265" s="27" t="str">
        <f t="shared" si="469"/>
        <v/>
      </c>
      <c r="Y265" s="27" t="str">
        <f t="shared" si="470"/>
        <v/>
      </c>
      <c r="Z265" s="27" t="str">
        <f t="shared" si="471"/>
        <v/>
      </c>
      <c r="AA265" s="121"/>
      <c r="AB265" s="121"/>
      <c r="AC265" s="121"/>
      <c r="AD265" s="121"/>
      <c r="AE265" s="121" t="s">
        <v>51</v>
      </c>
      <c r="AF265" s="121"/>
      <c r="AG265" s="121"/>
      <c r="AH265" s="28">
        <v>274000</v>
      </c>
      <c r="AI265" s="28" t="s">
        <v>113</v>
      </c>
      <c r="AJ265" s="28">
        <v>31300</v>
      </c>
      <c r="AK265" s="28" t="str">
        <f t="shared" si="472"/>
        <v/>
      </c>
      <c r="AL265" s="123" t="str">
        <f t="shared" si="479"/>
        <v/>
      </c>
      <c r="AM265" s="28"/>
      <c r="AN265" s="28" t="s">
        <v>3245</v>
      </c>
      <c r="AO265" s="28" t="s">
        <v>3245</v>
      </c>
      <c r="AP265" s="28" t="s">
        <v>3245</v>
      </c>
      <c r="AQ265" s="28" t="s">
        <v>3245</v>
      </c>
      <c r="AR265" s="28" t="s">
        <v>3245</v>
      </c>
      <c r="AS265" s="28" t="s">
        <v>3245</v>
      </c>
      <c r="AT265" s="28" t="s">
        <v>3245</v>
      </c>
      <c r="AU265" s="28" t="s">
        <v>3245</v>
      </c>
      <c r="AV265" s="28" t="s">
        <v>3245</v>
      </c>
      <c r="AW265" s="28" t="s">
        <v>3245</v>
      </c>
      <c r="AX265" s="28" t="s">
        <v>3245</v>
      </c>
      <c r="AY265" s="124"/>
      <c r="AZ265" s="138" t="str">
        <f>IF(C265="","","delete from module_mst where pjt_id = '"&amp;C265&amp;"' and menu_id = '"&amp;E265&amp;"';")</f>
        <v/>
      </c>
      <c r="BA265" s="31" t="str">
        <f>IF(C265&lt;&gt;"",CREATE_QUERY($D$1,C$2:AY$2,C265:AY265),"")</f>
        <v/>
      </c>
    </row>
    <row r="266" spans="1:53">
      <c r="A266" s="1">
        <v>266</v>
      </c>
      <c r="B266" s="164" t="str">
        <f t="shared" si="476"/>
        <v/>
      </c>
      <c r="C266" s="27" t="str">
        <f t="shared" si="460"/>
        <v/>
      </c>
      <c r="D266" s="121"/>
      <c r="E266" s="27">
        <v>274020</v>
      </c>
      <c r="F266" s="121"/>
      <c r="G266" s="121" t="s">
        <v>900</v>
      </c>
      <c r="H266" s="121"/>
      <c r="I266" s="121"/>
      <c r="J266" s="121"/>
      <c r="K266" s="27" t="str">
        <f t="shared" si="477"/>
        <v/>
      </c>
      <c r="L266" s="27" t="str">
        <f t="shared" si="461"/>
        <v/>
      </c>
      <c r="M266" s="27" t="str">
        <f t="shared" si="478"/>
        <v>0</v>
      </c>
      <c r="N266" s="121"/>
      <c r="O266" s="121"/>
      <c r="P266" s="27" t="str">
        <f t="shared" si="462"/>
        <v>0</v>
      </c>
      <c r="Q266" s="27" t="str">
        <f t="shared" si="463"/>
        <v>0</v>
      </c>
      <c r="R266" s="27" t="str">
        <f t="shared" si="464"/>
        <v>0</v>
      </c>
      <c r="S266" s="27" t="str">
        <f t="shared" si="465"/>
        <v>0</v>
      </c>
      <c r="T266" s="27" t="str">
        <f t="shared" si="466"/>
        <v>0</v>
      </c>
      <c r="U266" s="27" t="str">
        <f t="shared" si="467"/>
        <v>0</v>
      </c>
      <c r="V266" s="27" t="str">
        <f t="shared" si="468"/>
        <v>1</v>
      </c>
      <c r="W266" s="27"/>
      <c r="X266" s="27" t="str">
        <f t="shared" si="469"/>
        <v/>
      </c>
      <c r="Y266" s="27" t="str">
        <f t="shared" si="470"/>
        <v/>
      </c>
      <c r="Z266" s="27" t="str">
        <f t="shared" si="471"/>
        <v/>
      </c>
      <c r="AA266" s="121"/>
      <c r="AB266" s="121"/>
      <c r="AC266" s="121"/>
      <c r="AD266" s="121"/>
      <c r="AE266" s="121" t="s">
        <v>51</v>
      </c>
      <c r="AF266" s="121"/>
      <c r="AG266" s="121"/>
      <c r="AH266" s="28">
        <v>274000</v>
      </c>
      <c r="AI266" s="28" t="s">
        <v>113</v>
      </c>
      <c r="AJ266" s="28">
        <v>31350</v>
      </c>
      <c r="AK266" s="28" t="str">
        <f t="shared" si="472"/>
        <v/>
      </c>
      <c r="AL266" s="123" t="str">
        <f t="shared" si="479"/>
        <v/>
      </c>
      <c r="AM266" s="28"/>
      <c r="AN266" s="28" t="s">
        <v>3245</v>
      </c>
      <c r="AO266" s="28" t="s">
        <v>3245</v>
      </c>
      <c r="AP266" s="28" t="s">
        <v>3245</v>
      </c>
      <c r="AQ266" s="28" t="s">
        <v>3245</v>
      </c>
      <c r="AR266" s="28" t="s">
        <v>3245</v>
      </c>
      <c r="AS266" s="28" t="s">
        <v>3245</v>
      </c>
      <c r="AT266" s="28" t="s">
        <v>3245</v>
      </c>
      <c r="AU266" s="28" t="s">
        <v>3245</v>
      </c>
      <c r="AV266" s="28" t="s">
        <v>3245</v>
      </c>
      <c r="AW266" s="28" t="s">
        <v>3245</v>
      </c>
      <c r="AX266" s="28" t="s">
        <v>3245</v>
      </c>
      <c r="AY266" s="124"/>
      <c r="AZ266" s="138" t="str">
        <f>IF(C266="","","delete from module_mst where pjt_id = '"&amp;C266&amp;"' and menu_id = '"&amp;E266&amp;"';")</f>
        <v/>
      </c>
      <c r="BA266" s="31" t="str">
        <f>IF(C266&lt;&gt;"",CREATE_QUERY($D$1,C$2:AY$2,C266:AY266),"")</f>
        <v/>
      </c>
    </row>
    <row r="267" spans="1:53">
      <c r="A267" s="1">
        <v>267</v>
      </c>
      <c r="B267" s="164" t="str">
        <f t="shared" si="476"/>
        <v/>
      </c>
      <c r="C267" s="27" t="str">
        <f t="shared" si="460"/>
        <v/>
      </c>
      <c r="D267" s="121"/>
      <c r="E267" s="27"/>
      <c r="F267" s="121"/>
      <c r="G267" s="121" t="s">
        <v>900</v>
      </c>
      <c r="H267" s="121"/>
      <c r="I267" s="121"/>
      <c r="J267" s="121"/>
      <c r="K267" s="27" t="str">
        <f t="shared" si="477"/>
        <v/>
      </c>
      <c r="L267" s="27" t="str">
        <f t="shared" si="461"/>
        <v/>
      </c>
      <c r="M267" s="27" t="str">
        <f t="shared" si="478"/>
        <v>0</v>
      </c>
      <c r="N267" s="121"/>
      <c r="O267" s="121"/>
      <c r="P267" s="27" t="str">
        <f t="shared" si="462"/>
        <v>0</v>
      </c>
      <c r="Q267" s="27" t="str">
        <f t="shared" si="463"/>
        <v>0</v>
      </c>
      <c r="R267" s="27" t="str">
        <f t="shared" si="464"/>
        <v>0</v>
      </c>
      <c r="S267" s="27" t="str">
        <f t="shared" si="465"/>
        <v>0</v>
      </c>
      <c r="T267" s="27" t="str">
        <f t="shared" si="466"/>
        <v>0</v>
      </c>
      <c r="U267" s="27" t="str">
        <f t="shared" si="467"/>
        <v>0</v>
      </c>
      <c r="V267" s="27" t="str">
        <f t="shared" si="468"/>
        <v>1</v>
      </c>
      <c r="W267" s="27"/>
      <c r="X267" s="27" t="str">
        <f t="shared" si="469"/>
        <v/>
      </c>
      <c r="Y267" s="27" t="str">
        <f t="shared" si="470"/>
        <v/>
      </c>
      <c r="Z267" s="27" t="str">
        <f t="shared" si="471"/>
        <v/>
      </c>
      <c r="AA267" s="121"/>
      <c r="AB267" s="121"/>
      <c r="AC267" s="121"/>
      <c r="AD267" s="121"/>
      <c r="AE267" s="121" t="s">
        <v>51</v>
      </c>
      <c r="AF267" s="121"/>
      <c r="AG267" s="121"/>
      <c r="AH267" s="28"/>
      <c r="AI267" s="28" t="s">
        <v>113</v>
      </c>
      <c r="AJ267" s="28">
        <v>31400</v>
      </c>
      <c r="AK267" s="28" t="str">
        <f t="shared" si="472"/>
        <v/>
      </c>
      <c r="AL267" s="123" t="str">
        <f>IF(C267="","",C267&amp;"/"&amp;F267&amp;"/"&amp;N267&amp;"/"&amp;O267)</f>
        <v/>
      </c>
      <c r="AM267" s="28"/>
      <c r="AN267" s="28" t="s">
        <v>3245</v>
      </c>
      <c r="AO267" s="28" t="s">
        <v>3245</v>
      </c>
      <c r="AP267" s="28" t="s">
        <v>3245</v>
      </c>
      <c r="AQ267" s="28" t="s">
        <v>3245</v>
      </c>
      <c r="AR267" s="28" t="s">
        <v>3245</v>
      </c>
      <c r="AS267" s="28" t="s">
        <v>3245</v>
      </c>
      <c r="AT267" s="28" t="s">
        <v>3245</v>
      </c>
      <c r="AU267" s="28" t="s">
        <v>3245</v>
      </c>
      <c r="AV267" s="28" t="s">
        <v>3245</v>
      </c>
      <c r="AW267" s="28" t="s">
        <v>3245</v>
      </c>
      <c r="AX267" s="28" t="s">
        <v>3245</v>
      </c>
      <c r="AY267" s="124"/>
      <c r="AZ267" s="138" t="str">
        <f>IF(C267="","","delete from module_mst where pjt_id = '"&amp;C267&amp;"' and menu_id = '"&amp;E267&amp;"';")</f>
        <v/>
      </c>
      <c r="BA267" s="31" t="str">
        <f>IF(C267&lt;&gt;"",CREATE_QUERY($D$1,C$2:AY$2,C267:AY267),"")</f>
        <v/>
      </c>
    </row>
    <row r="268" spans="1:53">
      <c r="A268" s="1">
        <v>268</v>
      </c>
      <c r="B268" s="159" t="str">
        <f t="shared" si="280"/>
        <v xml:space="preserve">    └ 재고운영</v>
      </c>
      <c r="C268" s="27" t="str">
        <f t="shared" si="318"/>
        <v>14821</v>
      </c>
      <c r="D268" s="121"/>
      <c r="E268" s="21">
        <v>275000</v>
      </c>
      <c r="F268" s="118" t="s">
        <v>3354</v>
      </c>
      <c r="G268" s="118" t="s">
        <v>3136</v>
      </c>
      <c r="H268" s="118"/>
      <c r="I268" s="118"/>
      <c r="J268" s="118"/>
      <c r="K268" s="21" t="str">
        <f t="shared" si="334"/>
        <v/>
      </c>
      <c r="L268" s="21" t="str">
        <f t="shared" si="319"/>
        <v>1</v>
      </c>
      <c r="M268" s="21" t="str">
        <f t="shared" si="335"/>
        <v>0</v>
      </c>
      <c r="N268" s="118"/>
      <c r="O268" s="118"/>
      <c r="P268" s="21" t="str">
        <f t="shared" si="270"/>
        <v>0</v>
      </c>
      <c r="Q268" s="21" t="str">
        <f t="shared" si="271"/>
        <v>0</v>
      </c>
      <c r="R268" s="21" t="str">
        <f t="shared" si="272"/>
        <v>0</v>
      </c>
      <c r="S268" s="21" t="str">
        <f t="shared" si="273"/>
        <v>0</v>
      </c>
      <c r="T268" s="21" t="str">
        <f t="shared" si="274"/>
        <v>0</v>
      </c>
      <c r="U268" s="21" t="str">
        <f t="shared" si="275"/>
        <v>0</v>
      </c>
      <c r="V268" s="21" t="str">
        <f t="shared" si="276"/>
        <v>1</v>
      </c>
      <c r="W268" s="21"/>
      <c r="X268" s="21" t="str">
        <f t="shared" si="277"/>
        <v/>
      </c>
      <c r="Y268" s="21" t="str">
        <f t="shared" si="278"/>
        <v/>
      </c>
      <c r="Z268" s="21" t="str">
        <f t="shared" si="279"/>
        <v/>
      </c>
      <c r="AA268" s="118"/>
      <c r="AB268" s="118"/>
      <c r="AC268" s="118"/>
      <c r="AD268" s="118"/>
      <c r="AE268" s="118" t="s">
        <v>51</v>
      </c>
      <c r="AF268" s="118"/>
      <c r="AG268" s="118"/>
      <c r="AH268" s="26" t="s">
        <v>173</v>
      </c>
      <c r="AI268" s="26" t="s">
        <v>112</v>
      </c>
      <c r="AJ268" s="26">
        <v>40050</v>
      </c>
      <c r="AK268" s="26" t="str">
        <f t="shared" si="320"/>
        <v>0</v>
      </c>
      <c r="AL268" s="123" t="str">
        <f t="shared" si="140"/>
        <v>14821/재고운영//</v>
      </c>
      <c r="AM268" s="26" t="s">
        <v>2979</v>
      </c>
      <c r="AN268" s="26" t="str">
        <f t="shared" ref="AN268:AX268" si="480">IF(COUNTIF(AN269:AN279,"="&amp;"Y")&gt;0,"Y",IF(COUNTIF(AN269:AN279,"="&amp;"-")&gt;0,"m",""))</f>
        <v>m</v>
      </c>
      <c r="AO268" s="26" t="str">
        <f t="shared" si="480"/>
        <v>m</v>
      </c>
      <c r="AP268" s="26" t="str">
        <f t="shared" si="480"/>
        <v>m</v>
      </c>
      <c r="AQ268" s="26" t="str">
        <f t="shared" si="480"/>
        <v>m</v>
      </c>
      <c r="AR268" s="26" t="str">
        <f t="shared" si="480"/>
        <v>m</v>
      </c>
      <c r="AS268" s="26" t="str">
        <f t="shared" si="480"/>
        <v>m</v>
      </c>
      <c r="AT268" s="26" t="str">
        <f t="shared" si="480"/>
        <v>Y</v>
      </c>
      <c r="AU268" s="26" t="str">
        <f t="shared" si="480"/>
        <v>m</v>
      </c>
      <c r="AV268" s="26" t="str">
        <f t="shared" si="480"/>
        <v>m</v>
      </c>
      <c r="AW268" s="26" t="str">
        <f t="shared" si="480"/>
        <v>Y</v>
      </c>
      <c r="AX268" s="26" t="str">
        <f t="shared" si="480"/>
        <v>Y</v>
      </c>
      <c r="AY268" s="124"/>
      <c r="AZ268" s="138" t="str">
        <f>IF(C268="","","delete from module_mst where pjt_id = '"&amp;C268&amp;"' and menu_id = '"&amp;E268&amp;"';")</f>
        <v>delete from module_mst where pjt_id = '14821' and menu_id = '275000';</v>
      </c>
      <c r="BA268" s="31" t="str">
        <f>IF(C268&lt;&gt;"",CREATE_QUERY($D$1,C$2:AY$2,C268:AY268),"")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'275000', '재고운영', 'Receiving and forwarding management', '', '', '', '', '1', '0', '', '', '0', '0', '0', '0', '0', '0', '1', '', '', '', '', '', '', '', '', 'N', '', '', '270000', '4', '40050', '0', '14821/재고운영//', '메뉴', '');</v>
      </c>
    </row>
    <row r="269" spans="1:53" ht="19" customHeight="1">
      <c r="A269" s="1">
        <v>269</v>
      </c>
      <c r="B269" s="164" t="str">
        <f t="shared" si="280"/>
        <v xml:space="preserve">        └ (공통)기타입고관리</v>
      </c>
      <c r="C269" s="27" t="str">
        <f t="shared" si="318"/>
        <v>14821</v>
      </c>
      <c r="D269" s="121"/>
      <c r="E269" s="27">
        <v>275001</v>
      </c>
      <c r="F269" s="121" t="s">
        <v>176</v>
      </c>
      <c r="G269" s="121" t="s">
        <v>3137</v>
      </c>
      <c r="H269" s="121"/>
      <c r="I269" s="121"/>
      <c r="J269" s="121"/>
      <c r="K269" s="27" t="str">
        <f t="shared" si="334"/>
        <v>1</v>
      </c>
      <c r="L269" s="27" t="str">
        <f t="shared" si="319"/>
        <v>1</v>
      </c>
      <c r="M269" s="27" t="str">
        <f t="shared" si="335"/>
        <v>1</v>
      </c>
      <c r="N269" s="121" t="s">
        <v>312</v>
      </c>
      <c r="O269" s="121" t="s">
        <v>306</v>
      </c>
      <c r="P269" s="27" t="str">
        <f t="shared" si="270"/>
        <v>1</v>
      </c>
      <c r="Q269" s="27" t="str">
        <f t="shared" si="271"/>
        <v>1</v>
      </c>
      <c r="R269" s="27" t="str">
        <f t="shared" si="272"/>
        <v>1</v>
      </c>
      <c r="S269" s="27" t="str">
        <f t="shared" si="273"/>
        <v>1</v>
      </c>
      <c r="T269" s="27" t="str">
        <f t="shared" si="274"/>
        <v>1</v>
      </c>
      <c r="U269" s="27" t="str">
        <f t="shared" si="275"/>
        <v>1</v>
      </c>
      <c r="V269" s="27" t="str">
        <f t="shared" si="276"/>
        <v>1</v>
      </c>
      <c r="W269" s="27"/>
      <c r="X269" s="27" t="str">
        <f t="shared" si="277"/>
        <v>0</v>
      </c>
      <c r="Y269" s="27" t="str">
        <f t="shared" si="278"/>
        <v>0</v>
      </c>
      <c r="Z269" s="27" t="str">
        <f t="shared" si="279"/>
        <v>0</v>
      </c>
      <c r="AA269" s="121"/>
      <c r="AB269" s="121"/>
      <c r="AC269" s="121"/>
      <c r="AD269" s="121"/>
      <c r="AE269" s="121" t="s">
        <v>51</v>
      </c>
      <c r="AF269" s="121"/>
      <c r="AG269" s="121"/>
      <c r="AH269" s="28">
        <v>275000</v>
      </c>
      <c r="AI269" s="28" t="s">
        <v>113</v>
      </c>
      <c r="AJ269" s="28">
        <v>40100</v>
      </c>
      <c r="AK269" s="28" t="str">
        <f t="shared" si="320"/>
        <v>0</v>
      </c>
      <c r="AL269" s="123" t="str">
        <f t="shared" si="140"/>
        <v>14821/기타입고관리/stock.isos/EtcIsttWork</v>
      </c>
      <c r="AM269" s="28" t="s">
        <v>2981</v>
      </c>
      <c r="AN269" s="28"/>
      <c r="AO269" s="28"/>
      <c r="AP269" s="28"/>
      <c r="AQ269" s="28"/>
      <c r="AR269" s="28"/>
      <c r="AS269" s="28"/>
      <c r="AT269" s="28" t="s">
        <v>1829</v>
      </c>
      <c r="AU269" s="28"/>
      <c r="AV269" s="28"/>
      <c r="AW269" s="28"/>
      <c r="AX269" s="28"/>
      <c r="AY269" s="124"/>
      <c r="AZ269" s="138" t="str">
        <f>IF(C269="","","delete from module_mst where pjt_id = '"&amp;C269&amp;"' and menu_id = '"&amp;E269&amp;"';")</f>
        <v>delete from module_mst where pjt_id = '14821' and menu_id = '275001';</v>
      </c>
      <c r="BA269" s="31" t="str">
        <f>IF(C269&lt;&gt;"",CREATE_QUERY($D$1,C$2:AY$2,C269:AY269),"")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'275001', '기타입고관리', 'Other receiving management', '', '', '', '1', '1', '1', 'stock.isos', 'EtcIsttWork', '1', '1', '1', '1', '1', '1', '1', '', '0', '0', '0', '', '', '', '', 'N', '', '', '275000', '5', '40100', '0', '14821/기타입고관리/stock.isos/EtcIsttWork', '공통', '');</v>
      </c>
    </row>
    <row r="270" spans="1:53">
      <c r="A270" s="1">
        <v>270</v>
      </c>
      <c r="B270" s="164" t="str">
        <f t="shared" si="280"/>
        <v xml:space="preserve">        └ (공통)기타출고관리</v>
      </c>
      <c r="C270" s="27" t="str">
        <f t="shared" si="318"/>
        <v>14821</v>
      </c>
      <c r="D270" s="121"/>
      <c r="E270" s="27">
        <v>275002</v>
      </c>
      <c r="F270" s="121" t="s">
        <v>175</v>
      </c>
      <c r="G270" s="121" t="s">
        <v>3138</v>
      </c>
      <c r="H270" s="121"/>
      <c r="I270" s="121"/>
      <c r="J270" s="121"/>
      <c r="K270" s="27" t="str">
        <f t="shared" si="334"/>
        <v>1</v>
      </c>
      <c r="L270" s="27" t="str">
        <f t="shared" si="319"/>
        <v>1</v>
      </c>
      <c r="M270" s="27" t="str">
        <f t="shared" si="335"/>
        <v>1</v>
      </c>
      <c r="N270" s="121" t="s">
        <v>312</v>
      </c>
      <c r="O270" s="121" t="s">
        <v>307</v>
      </c>
      <c r="P270" s="27" t="str">
        <f t="shared" si="270"/>
        <v>1</v>
      </c>
      <c r="Q270" s="27" t="str">
        <f t="shared" si="271"/>
        <v>1</v>
      </c>
      <c r="R270" s="27" t="str">
        <f t="shared" si="272"/>
        <v>1</v>
      </c>
      <c r="S270" s="27" t="str">
        <f t="shared" si="273"/>
        <v>1</v>
      </c>
      <c r="T270" s="27" t="str">
        <f t="shared" si="274"/>
        <v>1</v>
      </c>
      <c r="U270" s="27" t="str">
        <f t="shared" si="275"/>
        <v>1</v>
      </c>
      <c r="V270" s="27" t="str">
        <f t="shared" si="276"/>
        <v>1</v>
      </c>
      <c r="W270" s="27"/>
      <c r="X270" s="27" t="str">
        <f t="shared" si="277"/>
        <v>0</v>
      </c>
      <c r="Y270" s="27" t="str">
        <f t="shared" si="278"/>
        <v>0</v>
      </c>
      <c r="Z270" s="27" t="str">
        <f t="shared" si="279"/>
        <v>0</v>
      </c>
      <c r="AA270" s="121"/>
      <c r="AB270" s="121"/>
      <c r="AC270" s="121"/>
      <c r="AD270" s="121"/>
      <c r="AE270" s="121" t="s">
        <v>51</v>
      </c>
      <c r="AF270" s="121"/>
      <c r="AG270" s="121"/>
      <c r="AH270" s="28">
        <v>275000</v>
      </c>
      <c r="AI270" s="28" t="s">
        <v>113</v>
      </c>
      <c r="AJ270" s="28">
        <v>40150</v>
      </c>
      <c r="AK270" s="28" t="str">
        <f t="shared" si="320"/>
        <v>0</v>
      </c>
      <c r="AL270" s="123" t="str">
        <f t="shared" si="140"/>
        <v>14821/기타출고관리/stock.isos/EtcOsttWork</v>
      </c>
      <c r="AM270" s="28" t="s">
        <v>2981</v>
      </c>
      <c r="AN270" s="28"/>
      <c r="AO270" s="28"/>
      <c r="AP270" s="28"/>
      <c r="AQ270" s="28"/>
      <c r="AR270" s="28"/>
      <c r="AS270" s="28"/>
      <c r="AT270" s="28" t="s">
        <v>1829</v>
      </c>
      <c r="AU270" s="28"/>
      <c r="AV270" s="28"/>
      <c r="AW270" s="28"/>
      <c r="AX270" s="28"/>
      <c r="AY270" s="124"/>
      <c r="AZ270" s="138" t="str">
        <f>IF(C270="","","delete from module_mst where pjt_id = '"&amp;C270&amp;"' and menu_id = '"&amp;E270&amp;"';")</f>
        <v>delete from module_mst where pjt_id = '14821' and menu_id = '275002';</v>
      </c>
      <c r="BA270" s="31" t="str">
        <f>IF(C270&lt;&gt;"",CREATE_QUERY($D$1,C$2:AY$2,C270:AY270),"")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'275002', '기타출고관리', 'Other forwarding management', '', '', '', '1', '1', '1', 'stock.isos', 'EtcOsttWork', '1', '1', '1', '1', '1', '1', '1', '', '0', '0', '0', '', '', '', '', 'N', '', '', '275000', '5', '40150', '0', '14821/기타출고관리/stock.isos/EtcOsttWork', '공통', '');</v>
      </c>
    </row>
    <row r="271" spans="1:53">
      <c r="A271" s="1">
        <v>271</v>
      </c>
      <c r="B271" s="164" t="str">
        <f t="shared" si="280"/>
        <v xml:space="preserve">        └ (공통)재고 이동 관리</v>
      </c>
      <c r="C271" s="27" t="str">
        <f t="shared" si="318"/>
        <v>14821</v>
      </c>
      <c r="D271" s="121"/>
      <c r="E271" s="27">
        <v>275003</v>
      </c>
      <c r="F271" s="121" t="s">
        <v>281</v>
      </c>
      <c r="G271" s="121" t="s">
        <v>3142</v>
      </c>
      <c r="H271" s="121"/>
      <c r="I271" s="121"/>
      <c r="J271" s="121"/>
      <c r="K271" s="27" t="str">
        <f t="shared" si="334"/>
        <v>1</v>
      </c>
      <c r="L271" s="27" t="str">
        <f t="shared" si="319"/>
        <v>1</v>
      </c>
      <c r="M271" s="27" t="str">
        <f t="shared" si="335"/>
        <v>1</v>
      </c>
      <c r="N271" s="121" t="s">
        <v>312</v>
      </c>
      <c r="O271" s="121" t="s">
        <v>311</v>
      </c>
      <c r="P271" s="27" t="str">
        <f t="shared" si="270"/>
        <v>1</v>
      </c>
      <c r="Q271" s="27" t="str">
        <f t="shared" si="271"/>
        <v>1</v>
      </c>
      <c r="R271" s="27" t="str">
        <f t="shared" si="272"/>
        <v>1</v>
      </c>
      <c r="S271" s="27" t="str">
        <f t="shared" si="273"/>
        <v>1</v>
      </c>
      <c r="T271" s="27" t="str">
        <f t="shared" si="274"/>
        <v>1</v>
      </c>
      <c r="U271" s="27" t="str">
        <f t="shared" si="275"/>
        <v>1</v>
      </c>
      <c r="V271" s="27" t="str">
        <f t="shared" si="276"/>
        <v>1</v>
      </c>
      <c r="W271" s="27"/>
      <c r="X271" s="27" t="str">
        <f t="shared" si="277"/>
        <v>0</v>
      </c>
      <c r="Y271" s="27" t="str">
        <f t="shared" si="278"/>
        <v>0</v>
      </c>
      <c r="Z271" s="27" t="str">
        <f t="shared" si="279"/>
        <v>0</v>
      </c>
      <c r="AA271" s="121"/>
      <c r="AB271" s="121"/>
      <c r="AC271" s="121"/>
      <c r="AD271" s="121"/>
      <c r="AE271" s="121" t="s">
        <v>51</v>
      </c>
      <c r="AF271" s="121"/>
      <c r="AG271" s="121"/>
      <c r="AH271" s="28">
        <v>275000</v>
      </c>
      <c r="AI271" s="28" t="s">
        <v>113</v>
      </c>
      <c r="AJ271" s="28">
        <v>40350</v>
      </c>
      <c r="AK271" s="28" t="str">
        <f t="shared" si="320"/>
        <v>0</v>
      </c>
      <c r="AL271" s="123" t="str">
        <f t="shared" si="140"/>
        <v>14821/재고 이동 관리/stock.isos/MoveWork</v>
      </c>
      <c r="AM271" s="28" t="s">
        <v>2981</v>
      </c>
      <c r="AN271" s="28"/>
      <c r="AO271" s="28"/>
      <c r="AP271" s="28"/>
      <c r="AQ271" s="28"/>
      <c r="AR271" s="28"/>
      <c r="AS271" s="28"/>
      <c r="AT271" s="28" t="s">
        <v>1829</v>
      </c>
      <c r="AU271" s="28"/>
      <c r="AV271" s="28"/>
      <c r="AW271" s="28"/>
      <c r="AX271" s="28"/>
      <c r="AY271" s="124"/>
      <c r="AZ271" s="138" t="str">
        <f>IF(C271="","","delete from module_mst where pjt_id = '"&amp;C271&amp;"' and menu_id = '"&amp;E271&amp;"';")</f>
        <v>delete from module_mst where pjt_id = '14821' and menu_id = '275003';</v>
      </c>
      <c r="BA271" s="31" t="str">
        <f>IF(C271&lt;&gt;"",CREATE_QUERY($D$1,C$2:AY$2,C271:AY271),"")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'275003', '재고 이동 관리', 'Inventory movement management', '', '', '', '1', '1', '1', 'stock.isos', 'MoveWork', '1', '1', '1', '1', '1', '1', '1', '', '0', '0', '0', '', '', '', '', 'N', '', '', '275000', '5', '40350', '0', '14821/재고 이동 관리/stock.isos/MoveWork', '공통', '');</v>
      </c>
    </row>
    <row r="272" spans="1:53">
      <c r="A272" s="1">
        <v>272</v>
      </c>
      <c r="B272" s="164" t="str">
        <f t="shared" si="280"/>
        <v xml:space="preserve">        └ (공통)외주 입출고 관리</v>
      </c>
      <c r="C272" s="27" t="str">
        <f t="shared" si="318"/>
        <v>14821</v>
      </c>
      <c r="D272" s="121"/>
      <c r="E272" s="27">
        <v>275004</v>
      </c>
      <c r="F272" s="121" t="s">
        <v>1924</v>
      </c>
      <c r="G272" s="121" t="s">
        <v>3234</v>
      </c>
      <c r="H272" s="121"/>
      <c r="I272" s="121"/>
      <c r="J272" s="121"/>
      <c r="K272" s="27" t="str">
        <f t="shared" si="334"/>
        <v>1</v>
      </c>
      <c r="L272" s="27" t="str">
        <f t="shared" si="319"/>
        <v>1</v>
      </c>
      <c r="M272" s="27" t="str">
        <f t="shared" si="335"/>
        <v>1</v>
      </c>
      <c r="N272" s="121" t="s">
        <v>312</v>
      </c>
      <c r="O272" s="121" t="s">
        <v>1925</v>
      </c>
      <c r="P272" s="27" t="str">
        <f t="shared" si="270"/>
        <v>1</v>
      </c>
      <c r="Q272" s="27" t="str">
        <f t="shared" si="271"/>
        <v>1</v>
      </c>
      <c r="R272" s="27" t="str">
        <f t="shared" si="272"/>
        <v>1</v>
      </c>
      <c r="S272" s="27" t="str">
        <f t="shared" si="273"/>
        <v>1</v>
      </c>
      <c r="T272" s="27" t="str">
        <f t="shared" si="274"/>
        <v>1</v>
      </c>
      <c r="U272" s="27" t="str">
        <f t="shared" si="275"/>
        <v>1</v>
      </c>
      <c r="V272" s="27" t="str">
        <f t="shared" si="276"/>
        <v>1</v>
      </c>
      <c r="W272" s="27"/>
      <c r="X272" s="27" t="str">
        <f t="shared" si="277"/>
        <v>0</v>
      </c>
      <c r="Y272" s="27" t="str">
        <f t="shared" si="278"/>
        <v>0</v>
      </c>
      <c r="Z272" s="27" t="str">
        <f t="shared" si="279"/>
        <v>0</v>
      </c>
      <c r="AA272" s="121"/>
      <c r="AB272" s="121"/>
      <c r="AC272" s="121"/>
      <c r="AD272" s="121"/>
      <c r="AE272" s="121" t="s">
        <v>51</v>
      </c>
      <c r="AF272" s="121"/>
      <c r="AG272" s="121"/>
      <c r="AH272" s="28">
        <v>275000</v>
      </c>
      <c r="AI272" s="28" t="s">
        <v>113</v>
      </c>
      <c r="AJ272" s="28">
        <v>40400</v>
      </c>
      <c r="AK272" s="28" t="str">
        <f t="shared" si="320"/>
        <v>0</v>
      </c>
      <c r="AL272" s="123" t="str">
        <f t="shared" si="140"/>
        <v>14821/외주 입출고 관리/stock.isos/OtodWork</v>
      </c>
      <c r="AM272" s="28" t="s">
        <v>2981</v>
      </c>
      <c r="AN272" s="28"/>
      <c r="AO272" s="28"/>
      <c r="AP272" s="28"/>
      <c r="AQ272" s="28"/>
      <c r="AR272" s="28"/>
      <c r="AS272" s="28"/>
      <c r="AT272" s="28" t="s">
        <v>1829</v>
      </c>
      <c r="AU272" s="28"/>
      <c r="AV272" s="28"/>
      <c r="AW272" s="28"/>
      <c r="AX272" s="28"/>
      <c r="AY272" s="124"/>
      <c r="AZ272" s="138" t="str">
        <f>IF(C272="","","delete from module_mst where pjt_id = '"&amp;C272&amp;"' and menu_id = '"&amp;E272&amp;"';")</f>
        <v>delete from module_mst where pjt_id = '14821' and menu_id = '275004';</v>
      </c>
      <c r="BA272" s="31" t="str">
        <f>IF(C272&lt;&gt;"",CREATE_QUERY($D$1,C$2:AY$2,C272:AY272),"")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'275004', '외주 입출고 관리', 'Outsourced receiving and forwarding management', '', '', '', '1', '1', '1', 'stock.isos', 'OtodWork', '1', '1', '1', '1', '1', '1', '1', '', '0', '0', '0', '', '', '', '', 'N', '', '', '275000', '5', '40400', '0', '14821/외주 입출고 관리/stock.isos/OtodWork', '공통', '');</v>
      </c>
    </row>
    <row r="273" spans="1:53">
      <c r="A273" s="1">
        <v>273</v>
      </c>
      <c r="B273" s="164" t="str">
        <f t="shared" si="280"/>
        <v xml:space="preserve">        └ (선택)입고/미입고 현황</v>
      </c>
      <c r="C273" s="27" t="str">
        <f t="shared" ref="C273:C326" si="481">IF(F273="","","14821")</f>
        <v>14821</v>
      </c>
      <c r="D273" s="121"/>
      <c r="E273" s="27">
        <v>275005</v>
      </c>
      <c r="F273" s="121" t="s">
        <v>3022</v>
      </c>
      <c r="G273" s="121" t="s">
        <v>3148</v>
      </c>
      <c r="H273" s="121"/>
      <c r="I273" s="121"/>
      <c r="J273" s="121"/>
      <c r="K273" s="27" t="str">
        <f t="shared" si="334"/>
        <v>1</v>
      </c>
      <c r="L273" s="27" t="str">
        <f t="shared" ref="L273:L326" si="482">IF(F273="","","1")</f>
        <v>1</v>
      </c>
      <c r="M273" s="27" t="str">
        <f t="shared" si="335"/>
        <v>1</v>
      </c>
      <c r="N273" s="121" t="s">
        <v>2967</v>
      </c>
      <c r="O273" s="121" t="s">
        <v>2978</v>
      </c>
      <c r="P273" s="27" t="str">
        <f t="shared" ref="P273" si="483">IF(O273="","0","1")</f>
        <v>1</v>
      </c>
      <c r="Q273" s="27" t="str">
        <f t="shared" ref="Q273" si="484">IF(O273="","0","1")</f>
        <v>1</v>
      </c>
      <c r="R273" s="27" t="str">
        <f t="shared" ref="R273" si="485">IF(O273="","0","1")</f>
        <v>1</v>
      </c>
      <c r="S273" s="27" t="str">
        <f t="shared" ref="S273" si="486">IF(O273="","0","1")</f>
        <v>1</v>
      </c>
      <c r="T273" s="27" t="str">
        <f t="shared" ref="T273" si="487">IF(O273="","0","1")</f>
        <v>1</v>
      </c>
      <c r="U273" s="27" t="str">
        <f t="shared" ref="U273" si="488">IF(O273="","0","1")</f>
        <v>1</v>
      </c>
      <c r="V273" s="27" t="str">
        <f t="shared" ref="V273" si="489">IF(O273="","1","1")</f>
        <v>1</v>
      </c>
      <c r="W273" s="27"/>
      <c r="X273" s="27" t="str">
        <f t="shared" ref="X273" si="490">IF(O273="","","0")</f>
        <v>0</v>
      </c>
      <c r="Y273" s="27" t="str">
        <f t="shared" ref="Y273" si="491">IF(O273="","","0")</f>
        <v>0</v>
      </c>
      <c r="Z273" s="27" t="str">
        <f t="shared" ref="Z273" si="492">IF(O273="","","0")</f>
        <v>0</v>
      </c>
      <c r="AA273" s="121"/>
      <c r="AB273" s="121"/>
      <c r="AC273" s="121"/>
      <c r="AD273" s="121"/>
      <c r="AE273" s="121" t="s">
        <v>51</v>
      </c>
      <c r="AF273" s="121"/>
      <c r="AG273" s="121"/>
      <c r="AH273" s="28">
        <v>275000</v>
      </c>
      <c r="AI273" s="28" t="s">
        <v>113</v>
      </c>
      <c r="AJ273" s="28">
        <v>40003</v>
      </c>
      <c r="AK273" s="28" t="str">
        <f t="shared" ref="AK273:AK325" si="493">IF(B273="","","0")</f>
        <v>0</v>
      </c>
      <c r="AL273" s="123" t="str">
        <f t="shared" ref="AL273" si="494">IF(C273="","",C273&amp;"/"&amp;F273&amp;"/"&amp;N273&amp;"/"&amp;O273)</f>
        <v>14821/입고/미입고 현황/custom.iypkg.stock.isos/IsttList1</v>
      </c>
      <c r="AM273" s="28" t="s">
        <v>3350</v>
      </c>
      <c r="AN273" s="28"/>
      <c r="AO273" s="28"/>
      <c r="AP273" s="28"/>
      <c r="AQ273" s="28"/>
      <c r="AR273" s="28"/>
      <c r="AS273" s="28"/>
      <c r="AT273" s="28"/>
      <c r="AU273" s="28"/>
      <c r="AV273" s="28"/>
      <c r="AW273" s="28" t="s">
        <v>1829</v>
      </c>
      <c r="AX273" s="28"/>
      <c r="AY273" s="124"/>
      <c r="AZ273" s="138" t="str">
        <f>IF(C273="","","delete from module_mst where pjt_id = '"&amp;C273&amp;"' and menu_id = '"&amp;E273&amp;"';")</f>
        <v>delete from module_mst where pjt_id = '14821' and menu_id = '275005';</v>
      </c>
      <c r="BA273" s="31" t="str">
        <f>IF(C273&lt;&gt;"",CREATE_QUERY($D$1,C$2:AY$2,C273:AY273),"")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'275005', '입고/미입고 현황', 'Receiving/not received status', '', '', '', '1', '1', '1', 'custom.iypkg.stock.isos', 'IsttList1', '1', '1', '1', '1', '1', '1', '1', '', '0', '0', '0', '', '', '', '', 'N', '', '', '275000', '5', '40003', '0', '14821/입고/미입고 현황/custom.iypkg.stock.isos/IsttList1', '선택', '');</v>
      </c>
    </row>
    <row r="274" spans="1:53">
      <c r="A274" s="1">
        <v>274</v>
      </c>
      <c r="B274" s="164" t="str">
        <f t="shared" si="280"/>
        <v xml:space="preserve">        └ (공통)월간자재수불현황</v>
      </c>
      <c r="C274" s="27" t="str">
        <f t="shared" si="481"/>
        <v>14821</v>
      </c>
      <c r="D274" s="121"/>
      <c r="E274" s="27">
        <v>275006</v>
      </c>
      <c r="F274" s="121" t="s">
        <v>3248</v>
      </c>
      <c r="G274" s="121" t="s">
        <v>900</v>
      </c>
      <c r="H274" s="121"/>
      <c r="I274" s="121"/>
      <c r="J274" s="121"/>
      <c r="K274" s="27" t="str">
        <f t="shared" si="334"/>
        <v>1</v>
      </c>
      <c r="L274" s="27" t="str">
        <f t="shared" si="482"/>
        <v>1</v>
      </c>
      <c r="M274" s="27" t="str">
        <f t="shared" si="335"/>
        <v>1</v>
      </c>
      <c r="N274" s="121" t="s">
        <v>312</v>
      </c>
      <c r="O274" s="121" t="s">
        <v>3249</v>
      </c>
      <c r="P274" s="27" t="str">
        <f t="shared" ref="P274" si="495">IF(O274="","0","1")</f>
        <v>1</v>
      </c>
      <c r="Q274" s="27" t="str">
        <f t="shared" ref="Q274" si="496">IF(O274="","0","1")</f>
        <v>1</v>
      </c>
      <c r="R274" s="27" t="str">
        <f t="shared" ref="R274" si="497">IF(O274="","0","1")</f>
        <v>1</v>
      </c>
      <c r="S274" s="27" t="str">
        <f t="shared" ref="S274" si="498">IF(O274="","0","1")</f>
        <v>1</v>
      </c>
      <c r="T274" s="27" t="str">
        <f t="shared" ref="T274" si="499">IF(O274="","0","1")</f>
        <v>1</v>
      </c>
      <c r="U274" s="27" t="str">
        <f t="shared" ref="U274" si="500">IF(O274="","0","1")</f>
        <v>1</v>
      </c>
      <c r="V274" s="27" t="str">
        <f t="shared" ref="V274" si="501">IF(O274="","1","1")</f>
        <v>1</v>
      </c>
      <c r="W274" s="27"/>
      <c r="X274" s="27" t="str">
        <f t="shared" ref="X274" si="502">IF(O274="","","0")</f>
        <v>0</v>
      </c>
      <c r="Y274" s="27" t="str">
        <f t="shared" ref="Y274" si="503">IF(O274="","","0")</f>
        <v>0</v>
      </c>
      <c r="Z274" s="27" t="str">
        <f t="shared" ref="Z274" si="504">IF(O274="","","0")</f>
        <v>0</v>
      </c>
      <c r="AA274" s="121"/>
      <c r="AB274" s="121"/>
      <c r="AC274" s="121"/>
      <c r="AD274" s="121"/>
      <c r="AE274" s="121" t="s">
        <v>51</v>
      </c>
      <c r="AF274" s="121"/>
      <c r="AG274" s="121"/>
      <c r="AH274" s="28">
        <v>275000</v>
      </c>
      <c r="AI274" s="28" t="s">
        <v>113</v>
      </c>
      <c r="AJ274" s="28">
        <v>41050</v>
      </c>
      <c r="AK274" s="28" t="str">
        <f t="shared" si="493"/>
        <v>0</v>
      </c>
      <c r="AL274" s="123" t="str">
        <f t="shared" ref="AL274" si="505">IF(C274="","",C274&amp;"/"&amp;F274&amp;"/"&amp;N274&amp;"/"&amp;O274)</f>
        <v>14821/월간자재수불현황/stock.isos/MtrlMonthList</v>
      </c>
      <c r="AM274" s="28" t="s">
        <v>2984</v>
      </c>
      <c r="AN274" s="28"/>
      <c r="AO274" s="28"/>
      <c r="AP274" s="28"/>
      <c r="AQ274" s="28"/>
      <c r="AR274" s="28"/>
      <c r="AS274" s="28"/>
      <c r="AT274" s="28"/>
      <c r="AU274" s="28"/>
      <c r="AV274" s="28"/>
      <c r="AW274" s="28"/>
      <c r="AX274" s="28" t="s">
        <v>1829</v>
      </c>
      <c r="AY274" s="124"/>
      <c r="AZ274" s="138" t="str">
        <f>IF(C274="","","delete from module_mst where pjt_id = '"&amp;C274&amp;"' and menu_id = '"&amp;E274&amp;"';")</f>
        <v>delete from module_mst where pjt_id = '14821' and menu_id = '275006';</v>
      </c>
      <c r="BA274" s="31" t="str">
        <f>IF(C274&lt;&gt;"",CREATE_QUERY($D$1,C$2:AY$2,C274:AY274),"")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'275006', '월간자재수불현황', '', '', '', '', '1', '1', '1', 'stock.isos', 'MtrlMonthList', '1', '1', '1', '1', '1', '1', '1', '', '0', '0', '0', '', '', '', '', 'N', '', '', '275000', '5', '41050', '0', '14821/월간자재수불현황/stock.isos/MtrlMonthList', '공통', '');</v>
      </c>
    </row>
    <row r="275" spans="1:53">
      <c r="A275" s="1">
        <v>275</v>
      </c>
      <c r="B275" s="164" t="str">
        <f>IF(F275="","",IF(AI275="1","",IF(AI275="2","└ ",IF(AI275="3","  └ ",IF(AI275="4","    └ ",IF(AI275="5","        └ ",IF(AI275="6","         └ ",IF(AI275="7"="            └ ",""))))))))&amp;IF(AM275="","",IF(AM275="메뉴","","("&amp;AM275&amp;")"))&amp;F275</f>
        <v xml:space="preserve">        └ (선택)외주입고관리</v>
      </c>
      <c r="C275" s="27" t="str">
        <f>IF(F275="","","14821")</f>
        <v>14821</v>
      </c>
      <c r="D275" s="121"/>
      <c r="E275" s="27">
        <v>275007</v>
      </c>
      <c r="F275" s="121" t="s">
        <v>3033</v>
      </c>
      <c r="G275" s="121" t="s">
        <v>3231</v>
      </c>
      <c r="H275" s="121"/>
      <c r="I275" s="121"/>
      <c r="J275" s="121"/>
      <c r="K275" s="27" t="str">
        <f>IF(O275="","","1")</f>
        <v>1</v>
      </c>
      <c r="L275" s="27" t="str">
        <f>IF(F275="","","1")</f>
        <v>1</v>
      </c>
      <c r="M275" s="27" t="str">
        <f>IF(O275="","0","1")</f>
        <v>1</v>
      </c>
      <c r="N275" s="121" t="s">
        <v>3025</v>
      </c>
      <c r="O275" s="121" t="s">
        <v>3031</v>
      </c>
      <c r="P275" s="27" t="str">
        <f>IF(O275="","0","1")</f>
        <v>1</v>
      </c>
      <c r="Q275" s="27" t="str">
        <f>IF(O275="","0","1")</f>
        <v>1</v>
      </c>
      <c r="R275" s="27" t="str">
        <f>IF(O275="","0","1")</f>
        <v>1</v>
      </c>
      <c r="S275" s="27" t="str">
        <f>IF(O275="","0","1")</f>
        <v>1</v>
      </c>
      <c r="T275" s="27" t="str">
        <f>IF(O275="","0","1")</f>
        <v>1</v>
      </c>
      <c r="U275" s="27" t="str">
        <f>IF(O275="","0","1")</f>
        <v>1</v>
      </c>
      <c r="V275" s="27" t="str">
        <f>IF(O275="","1","1")</f>
        <v>1</v>
      </c>
      <c r="W275" s="27"/>
      <c r="X275" s="27" t="str">
        <f>IF(O275="","","0")</f>
        <v>0</v>
      </c>
      <c r="Y275" s="27" t="str">
        <f>IF(O275="","","0")</f>
        <v>0</v>
      </c>
      <c r="Z275" s="27" t="str">
        <f>IF(O275="","","0")</f>
        <v>0</v>
      </c>
      <c r="AA275" s="121"/>
      <c r="AB275" s="121"/>
      <c r="AC275" s="121"/>
      <c r="AD275" s="121"/>
      <c r="AE275" s="121" t="s">
        <v>51</v>
      </c>
      <c r="AF275" s="121"/>
      <c r="AG275" s="121"/>
      <c r="AH275" s="28">
        <v>275000</v>
      </c>
      <c r="AI275" s="28" t="s">
        <v>113</v>
      </c>
      <c r="AJ275" s="28">
        <v>60</v>
      </c>
      <c r="AK275" s="28" t="str">
        <f>IF(B275="","","0")</f>
        <v>0</v>
      </c>
      <c r="AL275" s="123" t="str">
        <f>IF(C275="","",C275&amp;"/"&amp;F275&amp;"/"&amp;N275&amp;"/"&amp;O275)</f>
        <v>14821/외주입고관리/custom.iypkg.prod/WorkEntry2</v>
      </c>
      <c r="AM275" s="28" t="s">
        <v>3350</v>
      </c>
      <c r="AN275" s="28"/>
      <c r="AO275" s="28"/>
      <c r="AP275" s="28"/>
      <c r="AQ275" s="28"/>
      <c r="AR275" s="28"/>
      <c r="AS275" s="28"/>
      <c r="AT275" s="28"/>
      <c r="AU275" s="28"/>
      <c r="AV275" s="28"/>
      <c r="AW275" s="28" t="s">
        <v>1829</v>
      </c>
      <c r="AX275" s="28"/>
      <c r="AY275" s="124"/>
      <c r="AZ275" s="138" t="str">
        <f>IF(C275="","","delete from module_mst where pjt_id = '"&amp;C275&amp;"' and menu_id = '"&amp;E275&amp;"';")</f>
        <v>delete from module_mst where pjt_id = '14821' and menu_id = '275007';</v>
      </c>
      <c r="BA275" s="31" t="str">
        <f>IF(C275&lt;&gt;"",CREATE_QUERY($D$1,C$2:AY$2,C275:AY275),"")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'275007', '외주입고관리', 'Outsourced receiving management', '', '', '', '1', '1', '1', 'custom.iypkg.prod', 'WorkEntry2', '1', '1', '1', '1', '1', '1', '1', '', '0', '0', '0', '', '', '', '', 'N', '', '', '275000', '5', '60', '0', '14821/외주입고관리/custom.iypkg.prod/WorkEntry2', '선택', '');</v>
      </c>
    </row>
    <row r="276" spans="1:53">
      <c r="A276" s="1">
        <v>276</v>
      </c>
      <c r="B276" s="164" t="str">
        <f>IF(F276="","",IF(AI276="1","",IF(AI276="2","└ ",IF(AI276="3","  └ ",IF(AI276="4","    └ ",IF(AI276="5","        └ ",IF(AI276="6","         └ ",IF(AI276="7"="            └ ",""))))))))&amp;IF(AM276="","",IF(AM276="메뉴","","("&amp;AM276&amp;")"))&amp;F276</f>
        <v xml:space="preserve">        └ (일양)외주 및 상품 매입집계</v>
      </c>
      <c r="C276" s="27" t="str">
        <f>IF(F276="","","14821")</f>
        <v>14821</v>
      </c>
      <c r="D276" s="121"/>
      <c r="E276" s="27">
        <v>275008</v>
      </c>
      <c r="F276" s="121" t="s">
        <v>3034</v>
      </c>
      <c r="G276" s="121" t="s">
        <v>3232</v>
      </c>
      <c r="H276" s="121"/>
      <c r="I276" s="121"/>
      <c r="J276" s="121"/>
      <c r="K276" s="27" t="str">
        <f>IF(O276="","","1")</f>
        <v>1</v>
      </c>
      <c r="L276" s="27" t="str">
        <f>IF(F276="","","1")</f>
        <v>1</v>
      </c>
      <c r="M276" s="27" t="str">
        <f>IF(O276="","0","1")</f>
        <v>1</v>
      </c>
      <c r="N276" s="121" t="s">
        <v>3025</v>
      </c>
      <c r="O276" s="121" t="s">
        <v>3035</v>
      </c>
      <c r="P276" s="27" t="str">
        <f>IF(O276="","0","1")</f>
        <v>1</v>
      </c>
      <c r="Q276" s="27" t="str">
        <f>IF(O276="","0","1")</f>
        <v>1</v>
      </c>
      <c r="R276" s="27" t="str">
        <f>IF(O276="","0","1")</f>
        <v>1</v>
      </c>
      <c r="S276" s="27" t="str">
        <f>IF(O276="","0","1")</f>
        <v>1</v>
      </c>
      <c r="T276" s="27" t="str">
        <f>IF(O276="","0","1")</f>
        <v>1</v>
      </c>
      <c r="U276" s="27" t="str">
        <f>IF(O276="","0","1")</f>
        <v>1</v>
      </c>
      <c r="V276" s="27" t="str">
        <f>IF(O276="","1","1")</f>
        <v>1</v>
      </c>
      <c r="W276" s="27"/>
      <c r="X276" s="27" t="str">
        <f>IF(O276="","","0")</f>
        <v>0</v>
      </c>
      <c r="Y276" s="27" t="str">
        <f>IF(O276="","","0")</f>
        <v>0</v>
      </c>
      <c r="Z276" s="27" t="str">
        <f>IF(O276="","","0")</f>
        <v>0</v>
      </c>
      <c r="AA276" s="121"/>
      <c r="AB276" s="121"/>
      <c r="AC276" s="121"/>
      <c r="AD276" s="121"/>
      <c r="AE276" s="121" t="s">
        <v>51</v>
      </c>
      <c r="AF276" s="121"/>
      <c r="AG276" s="121"/>
      <c r="AH276" s="28">
        <v>275000</v>
      </c>
      <c r="AI276" s="28" t="s">
        <v>113</v>
      </c>
      <c r="AJ276" s="28">
        <v>70</v>
      </c>
      <c r="AK276" s="28" t="str">
        <f>IF(B276="","","0")</f>
        <v>0</v>
      </c>
      <c r="AL276" s="123" t="str">
        <f t="shared" ref="AL276:AL277" si="506">IF(C276="","",C276&amp;"/"&amp;F276&amp;"/"&amp;N276&amp;"/"&amp;O276)</f>
        <v>14821/외주 및 상품 매입집계/custom.iypkg.prod/WorkList3</v>
      </c>
      <c r="AM276" s="28" t="s">
        <v>3010</v>
      </c>
      <c r="AN276" s="28"/>
      <c r="AO276" s="28"/>
      <c r="AP276" s="28"/>
      <c r="AQ276" s="28"/>
      <c r="AR276" s="28"/>
      <c r="AS276" s="28"/>
      <c r="AT276" s="28"/>
      <c r="AU276" s="28"/>
      <c r="AV276" s="28"/>
      <c r="AW276" s="28" t="s">
        <v>1829</v>
      </c>
      <c r="AX276" s="28"/>
      <c r="AY276" s="124"/>
      <c r="AZ276" s="138" t="str">
        <f>IF(C276="","","delete from module_mst where pjt_id = '"&amp;C276&amp;"' and menu_id = '"&amp;E276&amp;"';")</f>
        <v>delete from module_mst where pjt_id = '14821' and menu_id = '275008';</v>
      </c>
      <c r="BA276" s="31" t="str">
        <f>IF(C276&lt;&gt;"",CREATE_QUERY($D$1,C$2:AY$2,C276:AY276),"")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'275008', '외주 및 상품 매입집계', 'Outsourcing and goods purchase total', '', '', '', '1', '1', '1', 'custom.iypkg.prod', 'WorkList3', '1', '1', '1', '1', '1', '1', '1', '', '0', '0', '0', '', '', '', '', 'N', '', '', '275000', '5', '70', '0', '14821/외주 및 상품 매입집계/custom.iypkg.prod/WorkList3', '일양', '');</v>
      </c>
    </row>
    <row r="277" spans="1:53">
      <c r="A277" s="1">
        <v>277</v>
      </c>
      <c r="B277" s="164" t="str">
        <f>IF(F277="","",IF(AI277="1","",IF(AI277="2","└ ",IF(AI277="3","  └ ",IF(AI277="4","    └ ",IF(AI277="5","        └ ",IF(AI277="6","         └ ",IF(AI277="7"="            └ ",""))))))))&amp;IF(AM277="","",IF(AM277="메뉴","","("&amp;AM277&amp;")"))&amp;F277</f>
        <v xml:space="preserve">        └ (일양)외주 현황</v>
      </c>
      <c r="C277" s="27" t="str">
        <f>IF(F277="","","14821")</f>
        <v>14821</v>
      </c>
      <c r="D277" s="121"/>
      <c r="E277" s="27">
        <v>275009</v>
      </c>
      <c r="F277" s="121" t="s">
        <v>3036</v>
      </c>
      <c r="G277" s="121" t="s">
        <v>3191</v>
      </c>
      <c r="H277" s="121"/>
      <c r="I277" s="121"/>
      <c r="J277" s="121"/>
      <c r="K277" s="27" t="str">
        <f>IF(O277="","","1")</f>
        <v>1</v>
      </c>
      <c r="L277" s="27" t="str">
        <f>IF(F277="","","1")</f>
        <v>1</v>
      </c>
      <c r="M277" s="27" t="str">
        <f>IF(O277="","0","1")</f>
        <v>1</v>
      </c>
      <c r="N277" s="121" t="s">
        <v>3025</v>
      </c>
      <c r="O277" s="121" t="s">
        <v>3037</v>
      </c>
      <c r="P277" s="27" t="str">
        <f>IF(O277="","0","1")</f>
        <v>1</v>
      </c>
      <c r="Q277" s="27" t="str">
        <f>IF(O277="","0","1")</f>
        <v>1</v>
      </c>
      <c r="R277" s="27" t="str">
        <f>IF(O277="","0","1")</f>
        <v>1</v>
      </c>
      <c r="S277" s="27" t="str">
        <f>IF(O277="","0","1")</f>
        <v>1</v>
      </c>
      <c r="T277" s="27" t="str">
        <f>IF(O277="","0","1")</f>
        <v>1</v>
      </c>
      <c r="U277" s="27" t="str">
        <f>IF(O277="","0","1")</f>
        <v>1</v>
      </c>
      <c r="V277" s="27" t="str">
        <f>IF(O277="","1","1")</f>
        <v>1</v>
      </c>
      <c r="W277" s="27"/>
      <c r="X277" s="27" t="str">
        <f>IF(O277="","","0")</f>
        <v>0</v>
      </c>
      <c r="Y277" s="27" t="str">
        <f>IF(O277="","","0")</f>
        <v>0</v>
      </c>
      <c r="Z277" s="27" t="str">
        <f>IF(O277="","","0")</f>
        <v>0</v>
      </c>
      <c r="AA277" s="121"/>
      <c r="AB277" s="121"/>
      <c r="AC277" s="121"/>
      <c r="AD277" s="121"/>
      <c r="AE277" s="121" t="s">
        <v>51</v>
      </c>
      <c r="AF277" s="121"/>
      <c r="AG277" s="121"/>
      <c r="AH277" s="28">
        <v>275000</v>
      </c>
      <c r="AI277" s="28" t="s">
        <v>113</v>
      </c>
      <c r="AJ277" s="28">
        <v>80</v>
      </c>
      <c r="AK277" s="28" t="str">
        <f>IF(B277="","","0")</f>
        <v>0</v>
      </c>
      <c r="AL277" s="123" t="str">
        <f t="shared" si="506"/>
        <v>14821/외주 현황/custom.iypkg.prod/WorkList4</v>
      </c>
      <c r="AM277" s="28" t="s">
        <v>3010</v>
      </c>
      <c r="AN277" s="28"/>
      <c r="AO277" s="28"/>
      <c r="AP277" s="28"/>
      <c r="AQ277" s="28"/>
      <c r="AR277" s="28"/>
      <c r="AS277" s="28"/>
      <c r="AT277" s="28"/>
      <c r="AU277" s="28"/>
      <c r="AV277" s="28"/>
      <c r="AW277" s="28" t="s">
        <v>1829</v>
      </c>
      <c r="AX277" s="28"/>
      <c r="AY277" s="124"/>
      <c r="AZ277" s="138" t="str">
        <f>IF(C277="","","delete from module_mst where pjt_id = '"&amp;C277&amp;"' and menu_id = '"&amp;E277&amp;"';")</f>
        <v>delete from module_mst where pjt_id = '14821' and menu_id = '275009';</v>
      </c>
      <c r="BA277" s="31" t="str">
        <f>IF(C277&lt;&gt;"",CREATE_QUERY($D$1,C$2:AY$2,C277:AY277),"")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'275009', '외주 현황', 'Outsourcing status', '', '', '', '1', '1', '1', 'custom.iypkg.prod', 'WorkList4', '1', '1', '1', '1', '1', '1', '1', '', '0', '0', '0', '', '', '', '', 'N', '', '', '275000', '5', '80', '0', '14821/외주 현황/custom.iypkg.prod/WorkList4', '일양', '');</v>
      </c>
    </row>
    <row r="278" spans="1:53">
      <c r="A278" s="1">
        <v>278</v>
      </c>
      <c r="B278" s="164" t="str">
        <f t="shared" si="280"/>
        <v/>
      </c>
      <c r="C278" s="27" t="str">
        <f t="shared" si="481"/>
        <v/>
      </c>
      <c r="D278" s="121"/>
      <c r="E278" s="27">
        <v>275010</v>
      </c>
      <c r="F278" s="121"/>
      <c r="G278" s="121" t="s">
        <v>900</v>
      </c>
      <c r="H278" s="121"/>
      <c r="I278" s="121"/>
      <c r="J278" s="121"/>
      <c r="K278" s="27" t="str">
        <f t="shared" si="334"/>
        <v/>
      </c>
      <c r="L278" s="27" t="str">
        <f t="shared" si="482"/>
        <v/>
      </c>
      <c r="M278" s="27" t="str">
        <f t="shared" si="335"/>
        <v>0</v>
      </c>
      <c r="N278" s="121"/>
      <c r="O278" s="121"/>
      <c r="P278" s="27" t="str">
        <f t="shared" ref="P278:P279" si="507">IF(O278="","0","1")</f>
        <v>0</v>
      </c>
      <c r="Q278" s="27" t="str">
        <f t="shared" ref="Q278:Q279" si="508">IF(O278="","0","1")</f>
        <v>0</v>
      </c>
      <c r="R278" s="27" t="str">
        <f t="shared" ref="R278:R279" si="509">IF(O278="","0","1")</f>
        <v>0</v>
      </c>
      <c r="S278" s="27" t="str">
        <f t="shared" ref="S278:S279" si="510">IF(O278="","0","1")</f>
        <v>0</v>
      </c>
      <c r="T278" s="27" t="str">
        <f t="shared" ref="T278:T279" si="511">IF(O278="","0","1")</f>
        <v>0</v>
      </c>
      <c r="U278" s="27" t="str">
        <f t="shared" ref="U278:U279" si="512">IF(O278="","0","1")</f>
        <v>0</v>
      </c>
      <c r="V278" s="27" t="str">
        <f t="shared" ref="V278:V279" si="513">IF(O278="","1","1")</f>
        <v>1</v>
      </c>
      <c r="W278" s="27"/>
      <c r="X278" s="27" t="str">
        <f t="shared" ref="X278:X279" si="514">IF(O278="","","0")</f>
        <v/>
      </c>
      <c r="Y278" s="27" t="str">
        <f t="shared" ref="Y278:Y279" si="515">IF(O278="","","0")</f>
        <v/>
      </c>
      <c r="Z278" s="27" t="str">
        <f t="shared" ref="Z278:Z279" si="516">IF(O278="","","0")</f>
        <v/>
      </c>
      <c r="AA278" s="121"/>
      <c r="AB278" s="121"/>
      <c r="AC278" s="121"/>
      <c r="AD278" s="121"/>
      <c r="AE278" s="121" t="s">
        <v>51</v>
      </c>
      <c r="AF278" s="121"/>
      <c r="AG278" s="121"/>
      <c r="AH278" s="28">
        <v>275000</v>
      </c>
      <c r="AI278" s="28" t="s">
        <v>113</v>
      </c>
      <c r="AJ278" s="28">
        <v>41100</v>
      </c>
      <c r="AK278" s="28" t="str">
        <f t="shared" si="493"/>
        <v/>
      </c>
      <c r="AL278" s="123" t="str">
        <f t="shared" ref="AL278" si="517">IF(C278="","",C278&amp;"/"&amp;F278&amp;"/"&amp;N278&amp;"/"&amp;O278)</f>
        <v/>
      </c>
      <c r="AM278" s="28"/>
      <c r="AN278" s="28" t="s">
        <v>3245</v>
      </c>
      <c r="AO278" s="28" t="s">
        <v>3245</v>
      </c>
      <c r="AP278" s="28" t="s">
        <v>3245</v>
      </c>
      <c r="AQ278" s="28" t="s">
        <v>3245</v>
      </c>
      <c r="AR278" s="28" t="s">
        <v>3245</v>
      </c>
      <c r="AS278" s="28" t="s">
        <v>3245</v>
      </c>
      <c r="AT278" s="28" t="s">
        <v>3245</v>
      </c>
      <c r="AU278" s="28" t="s">
        <v>3245</v>
      </c>
      <c r="AV278" s="28" t="s">
        <v>3245</v>
      </c>
      <c r="AW278" s="28" t="s">
        <v>3245</v>
      </c>
      <c r="AX278" s="28" t="s">
        <v>3245</v>
      </c>
      <c r="AY278" s="124"/>
      <c r="AZ278" s="138" t="str">
        <f>IF(C278="","","delete from module_mst where pjt_id = '"&amp;C278&amp;"' and menu_id = '"&amp;E278&amp;"';")</f>
        <v/>
      </c>
      <c r="BA278" s="31" t="str">
        <f>IF(C278&lt;&gt;"",CREATE_QUERY($D$1,C$2:AY$2,C278:AY278),"")</f>
        <v/>
      </c>
    </row>
    <row r="279" spans="1:53">
      <c r="A279" s="1">
        <v>279</v>
      </c>
      <c r="B279" s="164" t="str">
        <f t="shared" si="280"/>
        <v/>
      </c>
      <c r="C279" s="27" t="str">
        <f t="shared" si="481"/>
        <v/>
      </c>
      <c r="D279" s="121"/>
      <c r="E279" s="27">
        <v>275011</v>
      </c>
      <c r="F279" s="121"/>
      <c r="G279" s="121" t="s">
        <v>900</v>
      </c>
      <c r="H279" s="121"/>
      <c r="I279" s="121"/>
      <c r="J279" s="121"/>
      <c r="K279" s="27" t="str">
        <f t="shared" ref="K279:K334" si="518">IF(O279="","","1")</f>
        <v/>
      </c>
      <c r="L279" s="27" t="str">
        <f t="shared" si="482"/>
        <v/>
      </c>
      <c r="M279" s="27" t="str">
        <f t="shared" ref="M279:M334" si="519">IF(O279="","0","1")</f>
        <v>0</v>
      </c>
      <c r="N279" s="121"/>
      <c r="O279" s="121"/>
      <c r="P279" s="27" t="str">
        <f t="shared" si="507"/>
        <v>0</v>
      </c>
      <c r="Q279" s="27" t="str">
        <f t="shared" si="508"/>
        <v>0</v>
      </c>
      <c r="R279" s="27" t="str">
        <f t="shared" si="509"/>
        <v>0</v>
      </c>
      <c r="S279" s="27" t="str">
        <f t="shared" si="510"/>
        <v>0</v>
      </c>
      <c r="T279" s="27" t="str">
        <f t="shared" si="511"/>
        <v>0</v>
      </c>
      <c r="U279" s="27" t="str">
        <f t="shared" si="512"/>
        <v>0</v>
      </c>
      <c r="V279" s="27" t="str">
        <f t="shared" si="513"/>
        <v>1</v>
      </c>
      <c r="W279" s="27"/>
      <c r="X279" s="27" t="str">
        <f t="shared" si="514"/>
        <v/>
      </c>
      <c r="Y279" s="27" t="str">
        <f t="shared" si="515"/>
        <v/>
      </c>
      <c r="Z279" s="27" t="str">
        <f t="shared" si="516"/>
        <v/>
      </c>
      <c r="AA279" s="121"/>
      <c r="AB279" s="121"/>
      <c r="AC279" s="121"/>
      <c r="AD279" s="121"/>
      <c r="AE279" s="121" t="s">
        <v>51</v>
      </c>
      <c r="AF279" s="121"/>
      <c r="AG279" s="121"/>
      <c r="AH279" s="28">
        <v>275000</v>
      </c>
      <c r="AI279" s="28" t="s">
        <v>113</v>
      </c>
      <c r="AJ279" s="28">
        <v>41150</v>
      </c>
      <c r="AK279" s="28" t="str">
        <f t="shared" si="493"/>
        <v/>
      </c>
      <c r="AL279" s="123" t="str">
        <f t="shared" ref="AL279" si="520">IF(C279="","",C279&amp;"/"&amp;F279&amp;"/"&amp;N279&amp;"/"&amp;O279)</f>
        <v/>
      </c>
      <c r="AM279" s="28"/>
      <c r="AN279" s="28" t="s">
        <v>3245</v>
      </c>
      <c r="AO279" s="28" t="s">
        <v>3245</v>
      </c>
      <c r="AP279" s="28" t="s">
        <v>3245</v>
      </c>
      <c r="AQ279" s="28" t="s">
        <v>3245</v>
      </c>
      <c r="AR279" s="28" t="s">
        <v>3245</v>
      </c>
      <c r="AS279" s="28" t="s">
        <v>3245</v>
      </c>
      <c r="AT279" s="28" t="s">
        <v>3245</v>
      </c>
      <c r="AU279" s="28" t="s">
        <v>3245</v>
      </c>
      <c r="AV279" s="28" t="s">
        <v>3245</v>
      </c>
      <c r="AW279" s="28" t="s">
        <v>3245</v>
      </c>
      <c r="AX279" s="28" t="s">
        <v>3245</v>
      </c>
      <c r="AY279" s="124"/>
      <c r="AZ279" s="138" t="str">
        <f>IF(C279="","","delete from module_mst where pjt_id = '"&amp;C279&amp;"' and menu_id = '"&amp;E279&amp;"';")</f>
        <v/>
      </c>
      <c r="BA279" s="31" t="str">
        <f>IF(C279&lt;&gt;"",CREATE_QUERY($D$1,C$2:AY$2,C279:AY279),"")</f>
        <v/>
      </c>
    </row>
    <row r="280" spans="1:53">
      <c r="A280" s="1">
        <v>280</v>
      </c>
      <c r="B280" s="164" t="str">
        <f t="shared" ref="B280:B334" si="521">IF(F280="","",IF(AI280="1","",IF(AI280="2","└ ",IF(AI280="3","  └ ",IF(AI280="4","    └ ",IF(AI280="5","        └ ",IF(AI280="6","         └ ",IF(AI280="7"="            └ ",""))))))))&amp;IF(AM280="","",IF(AM280="메뉴","","("&amp;AM280&amp;")"))&amp;F280</f>
        <v/>
      </c>
      <c r="C280" s="27" t="str">
        <f t="shared" si="481"/>
        <v/>
      </c>
      <c r="D280" s="121"/>
      <c r="E280" s="27"/>
      <c r="F280" s="121"/>
      <c r="G280" s="121" t="s">
        <v>900</v>
      </c>
      <c r="H280" s="121"/>
      <c r="I280" s="121"/>
      <c r="J280" s="121"/>
      <c r="K280" s="27" t="str">
        <f t="shared" si="518"/>
        <v/>
      </c>
      <c r="L280" s="27" t="str">
        <f t="shared" si="482"/>
        <v/>
      </c>
      <c r="M280" s="27" t="str">
        <f t="shared" si="519"/>
        <v>0</v>
      </c>
      <c r="N280" s="121"/>
      <c r="O280" s="121"/>
      <c r="P280" s="27" t="str">
        <f t="shared" si="270"/>
        <v>0</v>
      </c>
      <c r="Q280" s="27" t="str">
        <f t="shared" si="271"/>
        <v>0</v>
      </c>
      <c r="R280" s="27" t="str">
        <f t="shared" si="272"/>
        <v>0</v>
      </c>
      <c r="S280" s="27" t="str">
        <f t="shared" si="273"/>
        <v>0</v>
      </c>
      <c r="T280" s="27" t="str">
        <f t="shared" si="274"/>
        <v>0</v>
      </c>
      <c r="U280" s="27" t="str">
        <f t="shared" si="275"/>
        <v>0</v>
      </c>
      <c r="V280" s="27" t="str">
        <f t="shared" si="276"/>
        <v>1</v>
      </c>
      <c r="W280" s="27"/>
      <c r="X280" s="27" t="str">
        <f t="shared" si="277"/>
        <v/>
      </c>
      <c r="Y280" s="27" t="str">
        <f t="shared" si="278"/>
        <v/>
      </c>
      <c r="Z280" s="27" t="str">
        <f t="shared" si="279"/>
        <v/>
      </c>
      <c r="AA280" s="121"/>
      <c r="AB280" s="121"/>
      <c r="AC280" s="121"/>
      <c r="AD280" s="121"/>
      <c r="AE280" s="121"/>
      <c r="AF280" s="121"/>
      <c r="AG280" s="121"/>
      <c r="AH280" s="27"/>
      <c r="AI280" s="27"/>
      <c r="AJ280" s="27" t="s">
        <v>900</v>
      </c>
      <c r="AK280" s="27" t="str">
        <f t="shared" si="493"/>
        <v/>
      </c>
      <c r="AL280" s="123" t="str">
        <f t="shared" si="140"/>
        <v/>
      </c>
      <c r="AM280" s="27"/>
      <c r="AN280" s="27"/>
      <c r="AO280" s="27"/>
      <c r="AP280" s="27"/>
      <c r="AQ280" s="27"/>
      <c r="AR280" s="27"/>
      <c r="AS280" s="27"/>
      <c r="AT280" s="27"/>
      <c r="AU280" s="27"/>
      <c r="AV280" s="27"/>
      <c r="AW280" s="27"/>
      <c r="AX280" s="27"/>
      <c r="AY280" s="124"/>
      <c r="AZ280" s="138" t="str">
        <f>IF(C280="","","delete from module_mst where pjt_id = '"&amp;C280&amp;"' and menu_id = '"&amp;E280&amp;"';")</f>
        <v/>
      </c>
      <c r="BA280" s="31" t="str">
        <f>IF(C280&lt;&gt;"",CREATE_QUERY($D$1,C$2:AY$2,C280:AY280),"")</f>
        <v/>
      </c>
    </row>
    <row r="281" spans="1:53">
      <c r="A281" s="1">
        <v>281</v>
      </c>
      <c r="B281" s="159" t="str">
        <f t="shared" si="521"/>
        <v xml:space="preserve">    └ 수불마감</v>
      </c>
      <c r="C281" s="27" t="str">
        <f t="shared" si="481"/>
        <v>14821</v>
      </c>
      <c r="D281" s="121"/>
      <c r="E281" s="21">
        <v>276000</v>
      </c>
      <c r="F281" s="118" t="s">
        <v>180</v>
      </c>
      <c r="G281" s="118" t="s">
        <v>3150</v>
      </c>
      <c r="H281" s="118"/>
      <c r="I281" s="118"/>
      <c r="J281" s="118"/>
      <c r="K281" s="21" t="str">
        <f t="shared" si="518"/>
        <v/>
      </c>
      <c r="L281" s="21" t="str">
        <f t="shared" si="482"/>
        <v>1</v>
      </c>
      <c r="M281" s="21" t="str">
        <f t="shared" si="519"/>
        <v>0</v>
      </c>
      <c r="N281" s="118"/>
      <c r="O281" s="118"/>
      <c r="P281" s="21" t="str">
        <f t="shared" si="270"/>
        <v>0</v>
      </c>
      <c r="Q281" s="21" t="str">
        <f t="shared" si="271"/>
        <v>0</v>
      </c>
      <c r="R281" s="21" t="str">
        <f t="shared" si="272"/>
        <v>0</v>
      </c>
      <c r="S281" s="21" t="str">
        <f t="shared" si="273"/>
        <v>0</v>
      </c>
      <c r="T281" s="21" t="str">
        <f t="shared" si="274"/>
        <v>0</v>
      </c>
      <c r="U281" s="21" t="str">
        <f t="shared" si="275"/>
        <v>0</v>
      </c>
      <c r="V281" s="21" t="str">
        <f t="shared" si="276"/>
        <v>1</v>
      </c>
      <c r="W281" s="21"/>
      <c r="X281" s="21" t="str">
        <f t="shared" si="277"/>
        <v/>
      </c>
      <c r="Y281" s="21" t="str">
        <f t="shared" si="278"/>
        <v/>
      </c>
      <c r="Z281" s="21" t="str">
        <f t="shared" si="279"/>
        <v/>
      </c>
      <c r="AA281" s="118"/>
      <c r="AB281" s="118"/>
      <c r="AC281" s="118"/>
      <c r="AD281" s="118"/>
      <c r="AE281" s="118" t="s">
        <v>51</v>
      </c>
      <c r="AF281" s="118"/>
      <c r="AG281" s="118"/>
      <c r="AH281" s="26" t="s">
        <v>173</v>
      </c>
      <c r="AI281" s="26" t="s">
        <v>112</v>
      </c>
      <c r="AJ281" s="26">
        <v>50500</v>
      </c>
      <c r="AK281" s="26" t="str">
        <f t="shared" si="493"/>
        <v>0</v>
      </c>
      <c r="AL281" s="123" t="str">
        <f t="shared" si="140"/>
        <v>14821/수불마감//</v>
      </c>
      <c r="AM281" s="26" t="s">
        <v>2979</v>
      </c>
      <c r="AN281" s="26" t="str">
        <f t="shared" ref="AN281:AX281" si="522">IF(COUNTIF(AN282:AN292,"="&amp;"Y")&gt;0,"Y",IF(COUNTIF(AN282:AN292,"="&amp;"-")&gt;0,"m",""))</f>
        <v>m</v>
      </c>
      <c r="AO281" s="26" t="str">
        <f t="shared" si="522"/>
        <v>m</v>
      </c>
      <c r="AP281" s="26" t="str">
        <f t="shared" si="522"/>
        <v>m</v>
      </c>
      <c r="AQ281" s="26" t="str">
        <f t="shared" si="522"/>
        <v>m</v>
      </c>
      <c r="AR281" s="26" t="str">
        <f t="shared" si="522"/>
        <v>Y</v>
      </c>
      <c r="AS281" s="26" t="str">
        <f t="shared" si="522"/>
        <v>m</v>
      </c>
      <c r="AT281" s="26" t="str">
        <f t="shared" si="522"/>
        <v>Y</v>
      </c>
      <c r="AU281" s="26" t="str">
        <f t="shared" si="522"/>
        <v>m</v>
      </c>
      <c r="AV281" s="26" t="str">
        <f t="shared" si="522"/>
        <v>m</v>
      </c>
      <c r="AW281" s="26" t="str">
        <f t="shared" si="522"/>
        <v>m</v>
      </c>
      <c r="AX281" s="26" t="str">
        <f t="shared" si="522"/>
        <v>m</v>
      </c>
      <c r="AY281" s="124"/>
      <c r="AZ281" s="138" t="str">
        <f>IF(C281="","","delete from module_mst where pjt_id = '"&amp;C281&amp;"' and menu_id = '"&amp;E281&amp;"';")</f>
        <v>delete from module_mst where pjt_id = '14821' and menu_id = '276000';</v>
      </c>
      <c r="BA281" s="31" t="str">
        <f>IF(C281&lt;&gt;"",CREATE_QUERY($D$1,C$2:AY$2,C281:AY281),"")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'276000', '수불마감', 'Inventory ledger closing', '', '', '', '', '1', '0', '', '', '0', '0', '0', '0', '0', '0', '1', '', '', '', '', '', '', '', '', 'N', '', '', '270000', '4', '50500', '0', '14821/수불마감//', '메뉴', '');</v>
      </c>
    </row>
    <row r="282" spans="1:53">
      <c r="A282" s="1">
        <v>282</v>
      </c>
      <c r="B282" s="164" t="str">
        <f t="shared" si="521"/>
        <v xml:space="preserve">        └ (공통)자재재고현황</v>
      </c>
      <c r="C282" s="27" t="str">
        <f t="shared" si="481"/>
        <v>14821</v>
      </c>
      <c r="D282" s="121"/>
      <c r="E282" s="27">
        <v>276001</v>
      </c>
      <c r="F282" s="121" t="s">
        <v>182</v>
      </c>
      <c r="G282" s="121" t="s">
        <v>3151</v>
      </c>
      <c r="H282" s="121"/>
      <c r="I282" s="121"/>
      <c r="J282" s="121"/>
      <c r="K282" s="27" t="str">
        <f t="shared" si="518"/>
        <v>1</v>
      </c>
      <c r="L282" s="27" t="str">
        <f t="shared" si="482"/>
        <v>1</v>
      </c>
      <c r="M282" s="27" t="str">
        <f t="shared" si="519"/>
        <v>1</v>
      </c>
      <c r="N282" s="121" t="s">
        <v>315</v>
      </c>
      <c r="O282" s="121" t="s">
        <v>186</v>
      </c>
      <c r="P282" s="27" t="str">
        <f t="shared" si="270"/>
        <v>1</v>
      </c>
      <c r="Q282" s="27" t="str">
        <f t="shared" si="271"/>
        <v>1</v>
      </c>
      <c r="R282" s="27" t="str">
        <f t="shared" si="272"/>
        <v>1</v>
      </c>
      <c r="S282" s="27" t="str">
        <f t="shared" si="273"/>
        <v>1</v>
      </c>
      <c r="T282" s="27" t="str">
        <f t="shared" si="274"/>
        <v>1</v>
      </c>
      <c r="U282" s="27" t="str">
        <f t="shared" si="275"/>
        <v>1</v>
      </c>
      <c r="V282" s="27" t="str">
        <f t="shared" si="276"/>
        <v>1</v>
      </c>
      <c r="W282" s="27"/>
      <c r="X282" s="27" t="str">
        <f t="shared" si="277"/>
        <v>0</v>
      </c>
      <c r="Y282" s="27" t="str">
        <f t="shared" si="278"/>
        <v>0</v>
      </c>
      <c r="Z282" s="27" t="str">
        <f t="shared" si="279"/>
        <v>0</v>
      </c>
      <c r="AA282" s="121"/>
      <c r="AB282" s="121"/>
      <c r="AC282" s="121"/>
      <c r="AD282" s="121"/>
      <c r="AE282" s="121" t="s">
        <v>51</v>
      </c>
      <c r="AF282" s="121"/>
      <c r="AG282" s="121"/>
      <c r="AH282" s="28">
        <v>276000</v>
      </c>
      <c r="AI282" s="28" t="s">
        <v>113</v>
      </c>
      <c r="AJ282" s="28">
        <v>50550</v>
      </c>
      <c r="AK282" s="28" t="str">
        <f t="shared" si="493"/>
        <v>0</v>
      </c>
      <c r="AL282" s="123" t="str">
        <f t="shared" si="140"/>
        <v>14821/자재재고현황/stock.close/MtrlStockList</v>
      </c>
      <c r="AM282" s="28" t="s">
        <v>2981</v>
      </c>
      <c r="AN282" s="28"/>
      <c r="AO282" s="28"/>
      <c r="AP282" s="28"/>
      <c r="AQ282" s="28"/>
      <c r="AR282" s="28"/>
      <c r="AS282" s="28"/>
      <c r="AT282" s="28" t="s">
        <v>1829</v>
      </c>
      <c r="AU282" s="28"/>
      <c r="AV282" s="28"/>
      <c r="AW282" s="28"/>
      <c r="AX282" s="28"/>
      <c r="AY282" s="124"/>
      <c r="AZ282" s="138" t="str">
        <f>IF(C282="","","delete from module_mst where pjt_id = '"&amp;C282&amp;"' and menu_id = '"&amp;E282&amp;"';")</f>
        <v>delete from module_mst where pjt_id = '14821' and menu_id = '276001';</v>
      </c>
      <c r="BA282" s="31" t="str">
        <f>IF(C282&lt;&gt;"",CREATE_QUERY($D$1,C$2:AY$2,C282:AY282),"")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'276001', '자재재고현황', 'Material Inventory Status', '', '', '', '1', '1', '1', 'stock.close', 'MtrlStockList', '1', '1', '1', '1', '1', '1', '1', '', '0', '0', '0', '', '', '', '', 'N', '', '', '276000', '5', '50550', '0', '14821/자재재고현황/stock.close/MtrlStockList', '공통', '');</v>
      </c>
    </row>
    <row r="283" spans="1:53">
      <c r="A283" s="1">
        <v>283</v>
      </c>
      <c r="B283" s="164" t="str">
        <f t="shared" si="521"/>
        <v xml:space="preserve">        └ (공통)제품재고현황</v>
      </c>
      <c r="C283" s="27" t="str">
        <f t="shared" si="481"/>
        <v>14821</v>
      </c>
      <c r="D283" s="121"/>
      <c r="E283" s="27">
        <v>276002</v>
      </c>
      <c r="F283" s="121" t="s">
        <v>183</v>
      </c>
      <c r="G283" s="121" t="s">
        <v>3152</v>
      </c>
      <c r="H283" s="121"/>
      <c r="I283" s="121"/>
      <c r="J283" s="121"/>
      <c r="K283" s="27" t="str">
        <f t="shared" si="518"/>
        <v>1</v>
      </c>
      <c r="L283" s="27" t="str">
        <f t="shared" si="482"/>
        <v>1</v>
      </c>
      <c r="M283" s="27" t="str">
        <f t="shared" si="519"/>
        <v>1</v>
      </c>
      <c r="N283" s="121" t="s">
        <v>315</v>
      </c>
      <c r="O283" s="121" t="s">
        <v>187</v>
      </c>
      <c r="P283" s="27" t="str">
        <f t="shared" si="270"/>
        <v>1</v>
      </c>
      <c r="Q283" s="27" t="str">
        <f t="shared" si="271"/>
        <v>1</v>
      </c>
      <c r="R283" s="27" t="str">
        <f t="shared" si="272"/>
        <v>1</v>
      </c>
      <c r="S283" s="27" t="str">
        <f t="shared" si="273"/>
        <v>1</v>
      </c>
      <c r="T283" s="27" t="str">
        <f t="shared" si="274"/>
        <v>1</v>
      </c>
      <c r="U283" s="27" t="str">
        <f t="shared" si="275"/>
        <v>1</v>
      </c>
      <c r="V283" s="27" t="str">
        <f t="shared" si="276"/>
        <v>1</v>
      </c>
      <c r="W283" s="27"/>
      <c r="X283" s="27" t="str">
        <f t="shared" si="277"/>
        <v>0</v>
      </c>
      <c r="Y283" s="27" t="str">
        <f t="shared" si="278"/>
        <v>0</v>
      </c>
      <c r="Z283" s="27" t="str">
        <f t="shared" si="279"/>
        <v>0</v>
      </c>
      <c r="AA283" s="121"/>
      <c r="AB283" s="121"/>
      <c r="AC283" s="121"/>
      <c r="AD283" s="121"/>
      <c r="AE283" s="121" t="s">
        <v>51</v>
      </c>
      <c r="AF283" s="121"/>
      <c r="AG283" s="121"/>
      <c r="AH283" s="28">
        <v>276000</v>
      </c>
      <c r="AI283" s="28" t="s">
        <v>113</v>
      </c>
      <c r="AJ283" s="28">
        <v>50552</v>
      </c>
      <c r="AK283" s="28" t="str">
        <f t="shared" si="493"/>
        <v>0</v>
      </c>
      <c r="AL283" s="123" t="str">
        <f t="shared" si="140"/>
        <v>14821/제품재고현황/stock.close/GoodsStockList</v>
      </c>
      <c r="AM283" s="28" t="s">
        <v>2981</v>
      </c>
      <c r="AN283" s="28"/>
      <c r="AO283" s="28"/>
      <c r="AP283" s="28"/>
      <c r="AQ283" s="28"/>
      <c r="AR283" s="28"/>
      <c r="AS283" s="28"/>
      <c r="AT283" s="28" t="s">
        <v>1829</v>
      </c>
      <c r="AU283" s="28"/>
      <c r="AV283" s="28"/>
      <c r="AW283" s="28"/>
      <c r="AX283" s="28"/>
      <c r="AY283" s="124"/>
      <c r="AZ283" s="138" t="str">
        <f>IF(C283="","","delete from module_mst where pjt_id = '"&amp;C283&amp;"' and menu_id = '"&amp;E283&amp;"';")</f>
        <v>delete from module_mst where pjt_id = '14821' and menu_id = '276002';</v>
      </c>
      <c r="BA283" s="31" t="str">
        <f>IF(C283&lt;&gt;"",CREATE_QUERY($D$1,C$2:AY$2,C283:AY283),"")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'276002', '제품재고현황', 'Product Inventory Status', '', '', '', '1', '1', '1', 'stock.close', 'GoodsStockList', '1', '1', '1', '1', '1', '1', '1', '', '0', '0', '0', '', '', '', '', 'N', '', '', '276000', '5', '50552', '0', '14821/제품재고현황/stock.close/GoodsStockList', '공통', '');</v>
      </c>
    </row>
    <row r="284" spans="1:53">
      <c r="A284" s="1">
        <v>284</v>
      </c>
      <c r="B284" s="164" t="str">
        <f t="shared" si="521"/>
        <v xml:space="preserve">        └ (공통)월수불마감</v>
      </c>
      <c r="C284" s="27" t="str">
        <f t="shared" si="481"/>
        <v>14821</v>
      </c>
      <c r="D284" s="121"/>
      <c r="E284" s="27">
        <v>276003</v>
      </c>
      <c r="F284" s="121" t="s">
        <v>184</v>
      </c>
      <c r="G284" s="121" t="s">
        <v>3153</v>
      </c>
      <c r="H284" s="121"/>
      <c r="I284" s="121"/>
      <c r="J284" s="121"/>
      <c r="K284" s="27" t="str">
        <f t="shared" si="518"/>
        <v>1</v>
      </c>
      <c r="L284" s="27" t="str">
        <f t="shared" si="482"/>
        <v>1</v>
      </c>
      <c r="M284" s="27" t="str">
        <f t="shared" si="519"/>
        <v>1</v>
      </c>
      <c r="N284" s="121" t="s">
        <v>315</v>
      </c>
      <c r="O284" s="121" t="s">
        <v>188</v>
      </c>
      <c r="P284" s="27" t="str">
        <f t="shared" si="270"/>
        <v>1</v>
      </c>
      <c r="Q284" s="27" t="str">
        <f t="shared" si="271"/>
        <v>1</v>
      </c>
      <c r="R284" s="27" t="str">
        <f t="shared" si="272"/>
        <v>1</v>
      </c>
      <c r="S284" s="27" t="str">
        <f t="shared" si="273"/>
        <v>1</v>
      </c>
      <c r="T284" s="27" t="str">
        <f t="shared" si="274"/>
        <v>1</v>
      </c>
      <c r="U284" s="27" t="str">
        <f t="shared" si="275"/>
        <v>1</v>
      </c>
      <c r="V284" s="27" t="str">
        <f t="shared" si="276"/>
        <v>1</v>
      </c>
      <c r="W284" s="27"/>
      <c r="X284" s="27" t="str">
        <f t="shared" si="277"/>
        <v>0</v>
      </c>
      <c r="Y284" s="27" t="str">
        <f t="shared" si="278"/>
        <v>0</v>
      </c>
      <c r="Z284" s="27" t="str">
        <f t="shared" si="279"/>
        <v>0</v>
      </c>
      <c r="AA284" s="121"/>
      <c r="AB284" s="121"/>
      <c r="AC284" s="121"/>
      <c r="AD284" s="121"/>
      <c r="AE284" s="121" t="s">
        <v>51</v>
      </c>
      <c r="AF284" s="121"/>
      <c r="AG284" s="121"/>
      <c r="AH284" s="28">
        <v>276000</v>
      </c>
      <c r="AI284" s="28" t="s">
        <v>113</v>
      </c>
      <c r="AJ284" s="28">
        <v>50554</v>
      </c>
      <c r="AK284" s="28" t="str">
        <f t="shared" si="493"/>
        <v>0</v>
      </c>
      <c r="AL284" s="123" t="str">
        <f t="shared" si="140"/>
        <v>14821/월수불마감/stock.close/StockClose</v>
      </c>
      <c r="AM284" s="28" t="s">
        <v>2981</v>
      </c>
      <c r="AN284" s="28"/>
      <c r="AO284" s="28"/>
      <c r="AP284" s="28"/>
      <c r="AQ284" s="28"/>
      <c r="AR284" s="28"/>
      <c r="AS284" s="28"/>
      <c r="AT284" s="28" t="s">
        <v>1829</v>
      </c>
      <c r="AU284" s="28"/>
      <c r="AV284" s="28"/>
      <c r="AW284" s="28"/>
      <c r="AX284" s="28"/>
      <c r="AY284" s="124"/>
      <c r="AZ284" s="138" t="str">
        <f>IF(C284="","","delete from module_mst where pjt_id = '"&amp;C284&amp;"' and menu_id = '"&amp;E284&amp;"';")</f>
        <v>delete from module_mst where pjt_id = '14821' and menu_id = '276003';</v>
      </c>
      <c r="BA284" s="31" t="str">
        <f>IF(C284&lt;&gt;"",CREATE_QUERY($D$1,C$2:AY$2,C284:AY284),"")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'276003', '월수불마감', 'Monthly deadline', '', '', '', '1', '1', '1', 'stock.close', 'StockClose', '1', '1', '1', '1', '1', '1', '1', '', '0', '0', '0', '', '', '', '', 'N', '', '', '276000', '5', '50554', '0', '14821/월수불마감/stock.close/StockClose', '공통', '');</v>
      </c>
    </row>
    <row r="285" spans="1:53">
      <c r="A285" s="1">
        <v>285</v>
      </c>
      <c r="B285" s="164" t="str">
        <f t="shared" si="521"/>
        <v xml:space="preserve">        └ (공통)수불대장</v>
      </c>
      <c r="C285" s="27" t="str">
        <f t="shared" si="481"/>
        <v>14821</v>
      </c>
      <c r="D285" s="121"/>
      <c r="E285" s="27">
        <v>276004</v>
      </c>
      <c r="F285" s="121" t="s">
        <v>185</v>
      </c>
      <c r="G285" s="121" t="s">
        <v>3121</v>
      </c>
      <c r="H285" s="121"/>
      <c r="I285" s="121"/>
      <c r="J285" s="121"/>
      <c r="K285" s="27" t="str">
        <f t="shared" si="518"/>
        <v>1</v>
      </c>
      <c r="L285" s="27" t="str">
        <f t="shared" si="482"/>
        <v>1</v>
      </c>
      <c r="M285" s="27" t="str">
        <f t="shared" si="519"/>
        <v>1</v>
      </c>
      <c r="N285" s="121" t="s">
        <v>315</v>
      </c>
      <c r="O285" s="121" t="s">
        <v>313</v>
      </c>
      <c r="P285" s="27" t="str">
        <f t="shared" si="270"/>
        <v>1</v>
      </c>
      <c r="Q285" s="27" t="str">
        <f t="shared" si="271"/>
        <v>1</v>
      </c>
      <c r="R285" s="27" t="str">
        <f t="shared" si="272"/>
        <v>1</v>
      </c>
      <c r="S285" s="27" t="str">
        <f t="shared" si="273"/>
        <v>1</v>
      </c>
      <c r="T285" s="27" t="str">
        <f t="shared" si="274"/>
        <v>1</v>
      </c>
      <c r="U285" s="27" t="str">
        <f t="shared" si="275"/>
        <v>1</v>
      </c>
      <c r="V285" s="27" t="str">
        <f t="shared" si="276"/>
        <v>1</v>
      </c>
      <c r="W285" s="27"/>
      <c r="X285" s="27" t="str">
        <f t="shared" si="277"/>
        <v>0</v>
      </c>
      <c r="Y285" s="27" t="str">
        <f t="shared" si="278"/>
        <v>0</v>
      </c>
      <c r="Z285" s="27" t="str">
        <f t="shared" si="279"/>
        <v>0</v>
      </c>
      <c r="AA285" s="121"/>
      <c r="AB285" s="121"/>
      <c r="AC285" s="121"/>
      <c r="AD285" s="121"/>
      <c r="AE285" s="121" t="s">
        <v>51</v>
      </c>
      <c r="AF285" s="121"/>
      <c r="AG285" s="121"/>
      <c r="AH285" s="28">
        <v>276000</v>
      </c>
      <c r="AI285" s="28" t="s">
        <v>113</v>
      </c>
      <c r="AJ285" s="28">
        <v>50556</v>
      </c>
      <c r="AK285" s="28" t="str">
        <f t="shared" si="493"/>
        <v>0</v>
      </c>
      <c r="AL285" s="123" t="str">
        <f t="shared" si="140"/>
        <v>14821/수불대장/stock.close/IsosList</v>
      </c>
      <c r="AM285" s="28" t="s">
        <v>2981</v>
      </c>
      <c r="AN285" s="28"/>
      <c r="AO285" s="28"/>
      <c r="AP285" s="28"/>
      <c r="AQ285" s="28"/>
      <c r="AR285" s="28"/>
      <c r="AS285" s="28"/>
      <c r="AT285" s="28" t="s">
        <v>1829</v>
      </c>
      <c r="AU285" s="28"/>
      <c r="AV285" s="28"/>
      <c r="AW285" s="28"/>
      <c r="AX285" s="28"/>
      <c r="AY285" s="124"/>
      <c r="AZ285" s="138" t="str">
        <f>IF(C285="","","delete from module_mst where pjt_id = '"&amp;C285&amp;"' and menu_id = '"&amp;E285&amp;"';")</f>
        <v>delete from module_mst where pjt_id = '14821' and menu_id = '276004';</v>
      </c>
      <c r="BA285" s="31" t="str">
        <f>IF(C285&lt;&gt;"",CREATE_QUERY($D$1,C$2:AY$2,C285:AY285),"")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'276004', '수불대장', 'Inventory ledger', '', '', '', '1', '1', '1', 'stock.close', 'IsosList', '1', '1', '1', '1', '1', '1', '1', '', '0', '0', '0', '', '', '', '', 'N', '', '', '276000', '5', '50556', '0', '14821/수불대장/stock.close/IsosList', '공통', '');</v>
      </c>
    </row>
    <row r="286" spans="1:53">
      <c r="A286" s="1">
        <v>286</v>
      </c>
      <c r="B286" s="164" t="str">
        <f t="shared" si="521"/>
        <v xml:space="preserve">        └ (선택)일자별 재고현황</v>
      </c>
      <c r="C286" s="27" t="str">
        <f t="shared" si="481"/>
        <v>14821</v>
      </c>
      <c r="D286" s="121"/>
      <c r="E286" s="27">
        <v>276005</v>
      </c>
      <c r="F286" s="121" t="s">
        <v>2376</v>
      </c>
      <c r="G286" s="121" t="s">
        <v>3154</v>
      </c>
      <c r="H286" s="121"/>
      <c r="I286" s="121"/>
      <c r="J286" s="121"/>
      <c r="K286" s="27" t="str">
        <f t="shared" si="518"/>
        <v>1</v>
      </c>
      <c r="L286" s="27" t="str">
        <f t="shared" si="482"/>
        <v>1</v>
      </c>
      <c r="M286" s="27" t="str">
        <f t="shared" si="519"/>
        <v>1</v>
      </c>
      <c r="N286" s="121" t="s">
        <v>315</v>
      </c>
      <c r="O286" s="121" t="s">
        <v>2379</v>
      </c>
      <c r="P286" s="27" t="str">
        <f t="shared" si="270"/>
        <v>1</v>
      </c>
      <c r="Q286" s="27" t="str">
        <f t="shared" si="271"/>
        <v>1</v>
      </c>
      <c r="R286" s="27" t="str">
        <f t="shared" si="272"/>
        <v>1</v>
      </c>
      <c r="S286" s="27" t="str">
        <f t="shared" si="273"/>
        <v>1</v>
      </c>
      <c r="T286" s="27" t="str">
        <f t="shared" si="274"/>
        <v>1</v>
      </c>
      <c r="U286" s="27" t="str">
        <f t="shared" si="275"/>
        <v>1</v>
      </c>
      <c r="V286" s="27" t="str">
        <f t="shared" si="276"/>
        <v>1</v>
      </c>
      <c r="W286" s="27"/>
      <c r="X286" s="27" t="str">
        <f t="shared" si="277"/>
        <v>0</v>
      </c>
      <c r="Y286" s="27" t="str">
        <f t="shared" si="278"/>
        <v>0</v>
      </c>
      <c r="Z286" s="27" t="str">
        <f t="shared" si="279"/>
        <v>0</v>
      </c>
      <c r="AA286" s="121"/>
      <c r="AB286" s="121"/>
      <c r="AC286" s="121"/>
      <c r="AD286" s="121"/>
      <c r="AE286" s="121" t="s">
        <v>51</v>
      </c>
      <c r="AF286" s="121"/>
      <c r="AG286" s="121"/>
      <c r="AH286" s="28">
        <v>276000</v>
      </c>
      <c r="AI286" s="28" t="s">
        <v>113</v>
      </c>
      <c r="AJ286" s="28">
        <v>50558</v>
      </c>
      <c r="AK286" s="28" t="str">
        <f t="shared" si="493"/>
        <v>0</v>
      </c>
      <c r="AL286" s="123" t="str">
        <f t="shared" ref="AL286" si="523">IF(C286="","",C286&amp;"/"&amp;F286&amp;"/"&amp;N286&amp;"/"&amp;O286)</f>
        <v>14821/일자별 재고현황/stock.close/DailyStockWork</v>
      </c>
      <c r="AM286" s="28" t="s">
        <v>3350</v>
      </c>
      <c r="AN286" s="28"/>
      <c r="AO286" s="28"/>
      <c r="AP286" s="28"/>
      <c r="AQ286" s="28"/>
      <c r="AR286" s="28" t="s">
        <v>1829</v>
      </c>
      <c r="AS286" s="28"/>
      <c r="AT286" s="28"/>
      <c r="AU286" s="28"/>
      <c r="AV286" s="28"/>
      <c r="AW286" s="28"/>
      <c r="AX286" s="28"/>
      <c r="AY286" s="124"/>
      <c r="AZ286" s="138" t="str">
        <f>IF(C286="","","delete from module_mst where pjt_id = '"&amp;C286&amp;"' and menu_id = '"&amp;E286&amp;"';")</f>
        <v>delete from module_mst where pjt_id = '14821' and menu_id = '276005';</v>
      </c>
      <c r="BA286" s="31" t="str">
        <f>IF(C286&lt;&gt;"",CREATE_QUERY($D$1,C$2:AY$2,C286:AY286),"")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'276005', '일자별 재고현황', 'Inventory status by date', '', '', '', '1', '1', '1', 'stock.close', 'DailyStockWork', '1', '1', '1', '1', '1', '1', '1', '', '0', '0', '0', '', '', '', '', 'N', '', '', '276000', '5', '50558', '0', '14821/일자별 재고현황/stock.close/DailyStockWork', '선택', '');</v>
      </c>
    </row>
    <row r="287" spans="1:53">
      <c r="A287" s="1">
        <v>287</v>
      </c>
      <c r="B287" s="164" t="str">
        <f t="shared" si="521"/>
        <v/>
      </c>
      <c r="C287" s="27" t="str">
        <f t="shared" si="481"/>
        <v/>
      </c>
      <c r="D287" s="121"/>
      <c r="E287" s="27">
        <v>276006</v>
      </c>
      <c r="F287" s="121"/>
      <c r="G287" s="121" t="s">
        <v>900</v>
      </c>
      <c r="H287" s="121"/>
      <c r="I287" s="121"/>
      <c r="J287" s="121"/>
      <c r="K287" s="27" t="str">
        <f t="shared" si="518"/>
        <v/>
      </c>
      <c r="L287" s="27" t="str">
        <f t="shared" si="482"/>
        <v/>
      </c>
      <c r="M287" s="27" t="str">
        <f t="shared" si="519"/>
        <v>0</v>
      </c>
      <c r="N287" s="121"/>
      <c r="O287" s="121"/>
      <c r="P287" s="27" t="str">
        <f t="shared" ref="P287:P292" si="524">IF(O287="","0","1")</f>
        <v>0</v>
      </c>
      <c r="Q287" s="27" t="str">
        <f t="shared" ref="Q287:Q292" si="525">IF(O287="","0","1")</f>
        <v>0</v>
      </c>
      <c r="R287" s="27" t="str">
        <f t="shared" ref="R287:R292" si="526">IF(O287="","0","1")</f>
        <v>0</v>
      </c>
      <c r="S287" s="27" t="str">
        <f t="shared" ref="S287:S292" si="527">IF(O287="","0","1")</f>
        <v>0</v>
      </c>
      <c r="T287" s="27" t="str">
        <f t="shared" ref="T287:T292" si="528">IF(O287="","0","1")</f>
        <v>0</v>
      </c>
      <c r="U287" s="27" t="str">
        <f t="shared" ref="U287:U292" si="529">IF(O287="","0","1")</f>
        <v>0</v>
      </c>
      <c r="V287" s="27" t="str">
        <f t="shared" ref="V287:V292" si="530">IF(O287="","1","1")</f>
        <v>1</v>
      </c>
      <c r="W287" s="27"/>
      <c r="X287" s="27" t="str">
        <f t="shared" ref="X287:X292" si="531">IF(O287="","","0")</f>
        <v/>
      </c>
      <c r="Y287" s="27" t="str">
        <f t="shared" ref="Y287:Y292" si="532">IF(O287="","","0")</f>
        <v/>
      </c>
      <c r="Z287" s="27" t="str">
        <f t="shared" ref="Z287:Z292" si="533">IF(O287="","","0")</f>
        <v/>
      </c>
      <c r="AA287" s="121"/>
      <c r="AB287" s="121"/>
      <c r="AC287" s="121"/>
      <c r="AD287" s="121"/>
      <c r="AE287" s="121" t="s">
        <v>51</v>
      </c>
      <c r="AF287" s="121"/>
      <c r="AG287" s="121"/>
      <c r="AH287" s="28">
        <v>276000</v>
      </c>
      <c r="AI287" s="28" t="s">
        <v>113</v>
      </c>
      <c r="AJ287" s="28">
        <v>50572</v>
      </c>
      <c r="AK287" s="28" t="str">
        <f t="shared" si="493"/>
        <v/>
      </c>
      <c r="AL287" s="123" t="str">
        <f t="shared" ref="AL287:AL289" si="534">IF(C287="","",C287&amp;"/"&amp;F287&amp;"/"&amp;N287&amp;"/"&amp;O287)</f>
        <v/>
      </c>
      <c r="AM287" s="28"/>
      <c r="AN287" s="28" t="s">
        <v>3245</v>
      </c>
      <c r="AO287" s="28" t="s">
        <v>3245</v>
      </c>
      <c r="AP287" s="28" t="s">
        <v>3245</v>
      </c>
      <c r="AQ287" s="28" t="s">
        <v>3245</v>
      </c>
      <c r="AR287" s="28" t="s">
        <v>3245</v>
      </c>
      <c r="AS287" s="28" t="s">
        <v>3245</v>
      </c>
      <c r="AT287" s="28" t="s">
        <v>3245</v>
      </c>
      <c r="AU287" s="28" t="s">
        <v>3245</v>
      </c>
      <c r="AV287" s="28" t="s">
        <v>3245</v>
      </c>
      <c r="AW287" s="28" t="s">
        <v>3245</v>
      </c>
      <c r="AX287" s="28" t="s">
        <v>3245</v>
      </c>
      <c r="AY287" s="124"/>
      <c r="AZ287" s="138" t="str">
        <f>IF(C287="","","delete from module_mst where pjt_id = '"&amp;C287&amp;"' and menu_id = '"&amp;E287&amp;"';")</f>
        <v/>
      </c>
      <c r="BA287" s="31" t="str">
        <f>IF(C287&lt;&gt;"",CREATE_QUERY($D$1,C$2:AY$2,C287:AY287),"")</f>
        <v/>
      </c>
    </row>
    <row r="288" spans="1:53">
      <c r="A288" s="1">
        <v>288</v>
      </c>
      <c r="B288" s="164" t="str">
        <f t="shared" si="521"/>
        <v/>
      </c>
      <c r="C288" s="27" t="str">
        <f t="shared" si="481"/>
        <v/>
      </c>
      <c r="D288" s="121"/>
      <c r="E288" s="27">
        <v>276007</v>
      </c>
      <c r="F288" s="121"/>
      <c r="G288" s="121" t="s">
        <v>900</v>
      </c>
      <c r="H288" s="121"/>
      <c r="I288" s="121"/>
      <c r="J288" s="121"/>
      <c r="K288" s="27" t="str">
        <f t="shared" si="518"/>
        <v/>
      </c>
      <c r="L288" s="27" t="str">
        <f t="shared" si="482"/>
        <v/>
      </c>
      <c r="M288" s="27" t="str">
        <f t="shared" si="519"/>
        <v>0</v>
      </c>
      <c r="N288" s="121"/>
      <c r="O288" s="121"/>
      <c r="P288" s="27" t="str">
        <f t="shared" si="524"/>
        <v>0</v>
      </c>
      <c r="Q288" s="27" t="str">
        <f t="shared" si="525"/>
        <v>0</v>
      </c>
      <c r="R288" s="27" t="str">
        <f t="shared" si="526"/>
        <v>0</v>
      </c>
      <c r="S288" s="27" t="str">
        <f t="shared" si="527"/>
        <v>0</v>
      </c>
      <c r="T288" s="27" t="str">
        <f t="shared" si="528"/>
        <v>0</v>
      </c>
      <c r="U288" s="27" t="str">
        <f t="shared" si="529"/>
        <v>0</v>
      </c>
      <c r="V288" s="27" t="str">
        <f t="shared" si="530"/>
        <v>1</v>
      </c>
      <c r="W288" s="27"/>
      <c r="X288" s="27" t="str">
        <f t="shared" si="531"/>
        <v/>
      </c>
      <c r="Y288" s="27" t="str">
        <f t="shared" si="532"/>
        <v/>
      </c>
      <c r="Z288" s="27" t="str">
        <f t="shared" si="533"/>
        <v/>
      </c>
      <c r="AA288" s="121"/>
      <c r="AB288" s="121"/>
      <c r="AC288" s="121"/>
      <c r="AD288" s="121"/>
      <c r="AE288" s="121" t="s">
        <v>51</v>
      </c>
      <c r="AF288" s="121"/>
      <c r="AG288" s="121"/>
      <c r="AH288" s="28">
        <v>276000</v>
      </c>
      <c r="AI288" s="28" t="s">
        <v>113</v>
      </c>
      <c r="AJ288" s="28">
        <v>50574</v>
      </c>
      <c r="AK288" s="28" t="str">
        <f t="shared" si="493"/>
        <v/>
      </c>
      <c r="AL288" s="123" t="str">
        <f t="shared" si="534"/>
        <v/>
      </c>
      <c r="AM288" s="28"/>
      <c r="AN288" s="28" t="s">
        <v>3245</v>
      </c>
      <c r="AO288" s="28" t="s">
        <v>3245</v>
      </c>
      <c r="AP288" s="28" t="s">
        <v>3245</v>
      </c>
      <c r="AQ288" s="28" t="s">
        <v>3245</v>
      </c>
      <c r="AR288" s="28" t="s">
        <v>3245</v>
      </c>
      <c r="AS288" s="28" t="s">
        <v>3245</v>
      </c>
      <c r="AT288" s="28" t="s">
        <v>3245</v>
      </c>
      <c r="AU288" s="28" t="s">
        <v>3245</v>
      </c>
      <c r="AV288" s="28" t="s">
        <v>3245</v>
      </c>
      <c r="AW288" s="28" t="s">
        <v>3245</v>
      </c>
      <c r="AX288" s="28" t="s">
        <v>3245</v>
      </c>
      <c r="AY288" s="124"/>
      <c r="AZ288" s="138" t="str">
        <f>IF(C288="","","delete from module_mst where pjt_id = '"&amp;C288&amp;"' and menu_id = '"&amp;E288&amp;"';")</f>
        <v/>
      </c>
      <c r="BA288" s="31" t="str">
        <f>IF(C288&lt;&gt;"",CREATE_QUERY($D$1,C$2:AY$2,C288:AY288),"")</f>
        <v/>
      </c>
    </row>
    <row r="289" spans="1:53">
      <c r="A289" s="1">
        <v>289</v>
      </c>
      <c r="B289" s="164" t="str">
        <f t="shared" si="521"/>
        <v/>
      </c>
      <c r="C289" s="27" t="str">
        <f t="shared" si="481"/>
        <v/>
      </c>
      <c r="D289" s="121"/>
      <c r="E289" s="27">
        <v>276008</v>
      </c>
      <c r="F289" s="121"/>
      <c r="G289" s="121" t="s">
        <v>900</v>
      </c>
      <c r="H289" s="121"/>
      <c r="I289" s="121"/>
      <c r="J289" s="121"/>
      <c r="K289" s="27" t="str">
        <f t="shared" si="518"/>
        <v/>
      </c>
      <c r="L289" s="27" t="str">
        <f t="shared" si="482"/>
        <v/>
      </c>
      <c r="M289" s="27" t="str">
        <f t="shared" si="519"/>
        <v>0</v>
      </c>
      <c r="N289" s="121"/>
      <c r="O289" s="121"/>
      <c r="P289" s="27" t="str">
        <f t="shared" si="524"/>
        <v>0</v>
      </c>
      <c r="Q289" s="27" t="str">
        <f t="shared" si="525"/>
        <v>0</v>
      </c>
      <c r="R289" s="27" t="str">
        <f t="shared" si="526"/>
        <v>0</v>
      </c>
      <c r="S289" s="27" t="str">
        <f t="shared" si="527"/>
        <v>0</v>
      </c>
      <c r="T289" s="27" t="str">
        <f t="shared" si="528"/>
        <v>0</v>
      </c>
      <c r="U289" s="27" t="str">
        <f t="shared" si="529"/>
        <v>0</v>
      </c>
      <c r="V289" s="27" t="str">
        <f t="shared" si="530"/>
        <v>1</v>
      </c>
      <c r="W289" s="27"/>
      <c r="X289" s="27" t="str">
        <f t="shared" si="531"/>
        <v/>
      </c>
      <c r="Y289" s="27" t="str">
        <f t="shared" si="532"/>
        <v/>
      </c>
      <c r="Z289" s="27" t="str">
        <f t="shared" si="533"/>
        <v/>
      </c>
      <c r="AA289" s="121"/>
      <c r="AB289" s="121"/>
      <c r="AC289" s="121"/>
      <c r="AD289" s="121"/>
      <c r="AE289" s="121" t="s">
        <v>51</v>
      </c>
      <c r="AF289" s="121"/>
      <c r="AG289" s="121"/>
      <c r="AH289" s="28">
        <v>276000</v>
      </c>
      <c r="AI289" s="28" t="s">
        <v>113</v>
      </c>
      <c r="AJ289" s="28">
        <v>50576</v>
      </c>
      <c r="AK289" s="28" t="str">
        <f t="shared" si="493"/>
        <v/>
      </c>
      <c r="AL289" s="123" t="str">
        <f t="shared" si="534"/>
        <v/>
      </c>
      <c r="AM289" s="28"/>
      <c r="AN289" s="28" t="s">
        <v>3245</v>
      </c>
      <c r="AO289" s="28" t="s">
        <v>3245</v>
      </c>
      <c r="AP289" s="28" t="s">
        <v>3245</v>
      </c>
      <c r="AQ289" s="28" t="s">
        <v>3245</v>
      </c>
      <c r="AR289" s="28" t="s">
        <v>3245</v>
      </c>
      <c r="AS289" s="28" t="s">
        <v>3245</v>
      </c>
      <c r="AT289" s="28" t="s">
        <v>3245</v>
      </c>
      <c r="AU289" s="28" t="s">
        <v>3245</v>
      </c>
      <c r="AV289" s="28" t="s">
        <v>3245</v>
      </c>
      <c r="AW289" s="28" t="s">
        <v>3245</v>
      </c>
      <c r="AX289" s="28" t="s">
        <v>3245</v>
      </c>
      <c r="AY289" s="124"/>
      <c r="AZ289" s="138" t="str">
        <f>IF(C289="","","delete from module_mst where pjt_id = '"&amp;C289&amp;"' and menu_id = '"&amp;E289&amp;"';")</f>
        <v/>
      </c>
      <c r="BA289" s="31" t="str">
        <f>IF(C289&lt;&gt;"",CREATE_QUERY($D$1,C$2:AY$2,C289:AY289),"")</f>
        <v/>
      </c>
    </row>
    <row r="290" spans="1:53">
      <c r="A290" s="1">
        <v>290</v>
      </c>
      <c r="B290" s="164" t="str">
        <f t="shared" si="521"/>
        <v/>
      </c>
      <c r="C290" s="27" t="str">
        <f t="shared" si="481"/>
        <v/>
      </c>
      <c r="D290" s="121"/>
      <c r="E290" s="27">
        <v>276009</v>
      </c>
      <c r="F290" s="121"/>
      <c r="G290" s="121" t="s">
        <v>900</v>
      </c>
      <c r="H290" s="121"/>
      <c r="I290" s="121"/>
      <c r="J290" s="121"/>
      <c r="K290" s="27" t="str">
        <f t="shared" si="518"/>
        <v/>
      </c>
      <c r="L290" s="27" t="str">
        <f t="shared" si="482"/>
        <v/>
      </c>
      <c r="M290" s="27" t="str">
        <f t="shared" si="519"/>
        <v>0</v>
      </c>
      <c r="N290" s="121"/>
      <c r="O290" s="121"/>
      <c r="P290" s="27" t="str">
        <f t="shared" si="524"/>
        <v>0</v>
      </c>
      <c r="Q290" s="27" t="str">
        <f t="shared" si="525"/>
        <v>0</v>
      </c>
      <c r="R290" s="27" t="str">
        <f t="shared" si="526"/>
        <v>0</v>
      </c>
      <c r="S290" s="27" t="str">
        <f t="shared" si="527"/>
        <v>0</v>
      </c>
      <c r="T290" s="27" t="str">
        <f t="shared" si="528"/>
        <v>0</v>
      </c>
      <c r="U290" s="27" t="str">
        <f t="shared" si="529"/>
        <v>0</v>
      </c>
      <c r="V290" s="27" t="str">
        <f t="shared" si="530"/>
        <v>1</v>
      </c>
      <c r="W290" s="27"/>
      <c r="X290" s="27" t="str">
        <f t="shared" si="531"/>
        <v/>
      </c>
      <c r="Y290" s="27" t="str">
        <f t="shared" si="532"/>
        <v/>
      </c>
      <c r="Z290" s="27" t="str">
        <f t="shared" si="533"/>
        <v/>
      </c>
      <c r="AA290" s="121"/>
      <c r="AB290" s="121"/>
      <c r="AC290" s="121"/>
      <c r="AD290" s="121"/>
      <c r="AE290" s="121" t="s">
        <v>51</v>
      </c>
      <c r="AF290" s="121"/>
      <c r="AG290" s="121"/>
      <c r="AH290" s="28">
        <v>276000</v>
      </c>
      <c r="AI290" s="28" t="s">
        <v>113</v>
      </c>
      <c r="AJ290" s="28">
        <v>50578</v>
      </c>
      <c r="AK290" s="28" t="str">
        <f t="shared" si="493"/>
        <v/>
      </c>
      <c r="AL290" s="123" t="str">
        <f t="shared" ref="AL290:AL292" si="535">IF(C290="","",C290&amp;"/"&amp;F290&amp;"/"&amp;N290&amp;"/"&amp;O290)</f>
        <v/>
      </c>
      <c r="AM290" s="28"/>
      <c r="AN290" s="28" t="s">
        <v>3245</v>
      </c>
      <c r="AO290" s="28" t="s">
        <v>3245</v>
      </c>
      <c r="AP290" s="28" t="s">
        <v>3245</v>
      </c>
      <c r="AQ290" s="28" t="s">
        <v>3245</v>
      </c>
      <c r="AR290" s="28" t="s">
        <v>3245</v>
      </c>
      <c r="AS290" s="28" t="s">
        <v>3245</v>
      </c>
      <c r="AT290" s="28" t="s">
        <v>3245</v>
      </c>
      <c r="AU290" s="28" t="s">
        <v>3245</v>
      </c>
      <c r="AV290" s="28" t="s">
        <v>3245</v>
      </c>
      <c r="AW290" s="28" t="s">
        <v>3245</v>
      </c>
      <c r="AX290" s="28" t="s">
        <v>3245</v>
      </c>
      <c r="AY290" s="124"/>
      <c r="AZ290" s="138" t="str">
        <f>IF(C290="","","delete from module_mst where pjt_id = '"&amp;C290&amp;"' and menu_id = '"&amp;E290&amp;"';")</f>
        <v/>
      </c>
      <c r="BA290" s="31" t="str">
        <f>IF(C290&lt;&gt;"",CREATE_QUERY($D$1,C$2:AY$2,C290:AY290),"")</f>
        <v/>
      </c>
    </row>
    <row r="291" spans="1:53">
      <c r="A291" s="1">
        <v>291</v>
      </c>
      <c r="B291" s="164" t="str">
        <f t="shared" si="521"/>
        <v/>
      </c>
      <c r="C291" s="27" t="str">
        <f t="shared" si="481"/>
        <v/>
      </c>
      <c r="D291" s="121"/>
      <c r="E291" s="27">
        <v>276010</v>
      </c>
      <c r="F291" s="121"/>
      <c r="G291" s="121" t="s">
        <v>900</v>
      </c>
      <c r="H291" s="121"/>
      <c r="I291" s="121"/>
      <c r="J291" s="121"/>
      <c r="K291" s="27" t="str">
        <f t="shared" si="518"/>
        <v/>
      </c>
      <c r="L291" s="27" t="str">
        <f t="shared" si="482"/>
        <v/>
      </c>
      <c r="M291" s="27" t="str">
        <f t="shared" si="519"/>
        <v>0</v>
      </c>
      <c r="N291" s="121"/>
      <c r="O291" s="121"/>
      <c r="P291" s="27" t="str">
        <f t="shared" si="524"/>
        <v>0</v>
      </c>
      <c r="Q291" s="27" t="str">
        <f t="shared" si="525"/>
        <v>0</v>
      </c>
      <c r="R291" s="27" t="str">
        <f t="shared" si="526"/>
        <v>0</v>
      </c>
      <c r="S291" s="27" t="str">
        <f t="shared" si="527"/>
        <v>0</v>
      </c>
      <c r="T291" s="27" t="str">
        <f t="shared" si="528"/>
        <v>0</v>
      </c>
      <c r="U291" s="27" t="str">
        <f t="shared" si="529"/>
        <v>0</v>
      </c>
      <c r="V291" s="27" t="str">
        <f t="shared" si="530"/>
        <v>1</v>
      </c>
      <c r="W291" s="27"/>
      <c r="X291" s="27" t="str">
        <f t="shared" si="531"/>
        <v/>
      </c>
      <c r="Y291" s="27" t="str">
        <f t="shared" si="532"/>
        <v/>
      </c>
      <c r="Z291" s="27" t="str">
        <f t="shared" si="533"/>
        <v/>
      </c>
      <c r="AA291" s="121"/>
      <c r="AB291" s="121"/>
      <c r="AC291" s="121"/>
      <c r="AD291" s="121"/>
      <c r="AE291" s="121" t="s">
        <v>51</v>
      </c>
      <c r="AF291" s="121"/>
      <c r="AG291" s="121"/>
      <c r="AH291" s="28">
        <v>276000</v>
      </c>
      <c r="AI291" s="28" t="s">
        <v>113</v>
      </c>
      <c r="AJ291" s="28">
        <v>50580</v>
      </c>
      <c r="AK291" s="28" t="str">
        <f t="shared" si="493"/>
        <v/>
      </c>
      <c r="AL291" s="123" t="str">
        <f t="shared" si="535"/>
        <v/>
      </c>
      <c r="AM291" s="28"/>
      <c r="AN291" s="28" t="s">
        <v>3245</v>
      </c>
      <c r="AO291" s="28" t="s">
        <v>3245</v>
      </c>
      <c r="AP291" s="28" t="s">
        <v>3245</v>
      </c>
      <c r="AQ291" s="28" t="s">
        <v>3245</v>
      </c>
      <c r="AR291" s="28" t="s">
        <v>3245</v>
      </c>
      <c r="AS291" s="28" t="s">
        <v>3245</v>
      </c>
      <c r="AT291" s="28" t="s">
        <v>3245</v>
      </c>
      <c r="AU291" s="28" t="s">
        <v>3245</v>
      </c>
      <c r="AV291" s="28" t="s">
        <v>3245</v>
      </c>
      <c r="AW291" s="28" t="s">
        <v>3245</v>
      </c>
      <c r="AX291" s="28" t="s">
        <v>3245</v>
      </c>
      <c r="AY291" s="124"/>
      <c r="AZ291" s="138" t="str">
        <f>IF(C291="","","delete from module_mst where pjt_id = '"&amp;C291&amp;"' and menu_id = '"&amp;E291&amp;"';")</f>
        <v/>
      </c>
      <c r="BA291" s="31" t="str">
        <f>IF(C291&lt;&gt;"",CREATE_QUERY($D$1,C$2:AY$2,C291:AY291),"")</f>
        <v/>
      </c>
    </row>
    <row r="292" spans="1:53">
      <c r="A292" s="1">
        <v>292</v>
      </c>
      <c r="B292" s="164" t="str">
        <f t="shared" si="521"/>
        <v/>
      </c>
      <c r="C292" s="27" t="str">
        <f t="shared" si="481"/>
        <v/>
      </c>
      <c r="D292" s="121"/>
      <c r="E292" s="27">
        <v>276011</v>
      </c>
      <c r="F292" s="121"/>
      <c r="G292" s="121" t="s">
        <v>900</v>
      </c>
      <c r="H292" s="121"/>
      <c r="I292" s="121"/>
      <c r="J292" s="121"/>
      <c r="K292" s="27" t="str">
        <f t="shared" si="518"/>
        <v/>
      </c>
      <c r="L292" s="27" t="str">
        <f t="shared" si="482"/>
        <v/>
      </c>
      <c r="M292" s="27" t="str">
        <f t="shared" si="519"/>
        <v>0</v>
      </c>
      <c r="N292" s="121"/>
      <c r="O292" s="121"/>
      <c r="P292" s="27" t="str">
        <f t="shared" si="524"/>
        <v>0</v>
      </c>
      <c r="Q292" s="27" t="str">
        <f t="shared" si="525"/>
        <v>0</v>
      </c>
      <c r="R292" s="27" t="str">
        <f t="shared" si="526"/>
        <v>0</v>
      </c>
      <c r="S292" s="27" t="str">
        <f t="shared" si="527"/>
        <v>0</v>
      </c>
      <c r="T292" s="27" t="str">
        <f t="shared" si="528"/>
        <v>0</v>
      </c>
      <c r="U292" s="27" t="str">
        <f t="shared" si="529"/>
        <v>0</v>
      </c>
      <c r="V292" s="27" t="str">
        <f t="shared" si="530"/>
        <v>1</v>
      </c>
      <c r="W292" s="27"/>
      <c r="X292" s="27" t="str">
        <f t="shared" si="531"/>
        <v/>
      </c>
      <c r="Y292" s="27" t="str">
        <f t="shared" si="532"/>
        <v/>
      </c>
      <c r="Z292" s="27" t="str">
        <f t="shared" si="533"/>
        <v/>
      </c>
      <c r="AA292" s="121"/>
      <c r="AB292" s="121"/>
      <c r="AC292" s="121"/>
      <c r="AD292" s="121"/>
      <c r="AE292" s="121" t="s">
        <v>51</v>
      </c>
      <c r="AF292" s="121"/>
      <c r="AG292" s="121"/>
      <c r="AH292" s="28">
        <v>276000</v>
      </c>
      <c r="AI292" s="28" t="s">
        <v>113</v>
      </c>
      <c r="AJ292" s="28">
        <v>50582</v>
      </c>
      <c r="AK292" s="28" t="str">
        <f t="shared" si="493"/>
        <v/>
      </c>
      <c r="AL292" s="123" t="str">
        <f t="shared" si="535"/>
        <v/>
      </c>
      <c r="AM292" s="28"/>
      <c r="AN292" s="28" t="s">
        <v>3245</v>
      </c>
      <c r="AO292" s="28" t="s">
        <v>3245</v>
      </c>
      <c r="AP292" s="28" t="s">
        <v>3245</v>
      </c>
      <c r="AQ292" s="28" t="s">
        <v>3245</v>
      </c>
      <c r="AR292" s="28" t="s">
        <v>3245</v>
      </c>
      <c r="AS292" s="28" t="s">
        <v>3245</v>
      </c>
      <c r="AT292" s="28" t="s">
        <v>3245</v>
      </c>
      <c r="AU292" s="28" t="s">
        <v>3245</v>
      </c>
      <c r="AV292" s="28" t="s">
        <v>3245</v>
      </c>
      <c r="AW292" s="28" t="s">
        <v>3245</v>
      </c>
      <c r="AX292" s="28" t="s">
        <v>3245</v>
      </c>
      <c r="AY292" s="124"/>
      <c r="AZ292" s="138" t="str">
        <f>IF(C292="","","delete from module_mst where pjt_id = '"&amp;C292&amp;"' and menu_id = '"&amp;E292&amp;"';")</f>
        <v/>
      </c>
      <c r="BA292" s="31" t="str">
        <f>IF(C292&lt;&gt;"",CREATE_QUERY($D$1,C$2:AY$2,C292:AY292),"")</f>
        <v/>
      </c>
    </row>
    <row r="293" spans="1:53">
      <c r="A293" s="1">
        <v>293</v>
      </c>
      <c r="B293" s="164" t="str">
        <f t="shared" si="521"/>
        <v/>
      </c>
      <c r="C293" s="27" t="str">
        <f t="shared" si="481"/>
        <v/>
      </c>
      <c r="D293" s="121"/>
      <c r="E293" s="27"/>
      <c r="F293" s="121"/>
      <c r="G293" s="121" t="s">
        <v>900</v>
      </c>
      <c r="H293" s="121"/>
      <c r="I293" s="121"/>
      <c r="J293" s="121"/>
      <c r="K293" s="27" t="str">
        <f t="shared" si="518"/>
        <v/>
      </c>
      <c r="L293" s="27" t="str">
        <f t="shared" si="482"/>
        <v/>
      </c>
      <c r="M293" s="27" t="str">
        <f t="shared" si="519"/>
        <v>0</v>
      </c>
      <c r="N293" s="121"/>
      <c r="O293" s="121"/>
      <c r="P293" s="27" t="str">
        <f t="shared" si="270"/>
        <v>0</v>
      </c>
      <c r="Q293" s="27" t="str">
        <f t="shared" si="271"/>
        <v>0</v>
      </c>
      <c r="R293" s="27" t="str">
        <f t="shared" si="272"/>
        <v>0</v>
      </c>
      <c r="S293" s="27" t="str">
        <f t="shared" si="273"/>
        <v>0</v>
      </c>
      <c r="T293" s="27" t="str">
        <f t="shared" si="274"/>
        <v>0</v>
      </c>
      <c r="U293" s="27" t="str">
        <f t="shared" si="275"/>
        <v>0</v>
      </c>
      <c r="V293" s="27" t="str">
        <f t="shared" si="276"/>
        <v>1</v>
      </c>
      <c r="W293" s="27"/>
      <c r="X293" s="27" t="str">
        <f t="shared" si="277"/>
        <v/>
      </c>
      <c r="Y293" s="27" t="str">
        <f t="shared" si="278"/>
        <v/>
      </c>
      <c r="Z293" s="27" t="str">
        <f t="shared" si="279"/>
        <v/>
      </c>
      <c r="AA293" s="121"/>
      <c r="AB293" s="121"/>
      <c r="AC293" s="121"/>
      <c r="AD293" s="121"/>
      <c r="AE293" s="121"/>
      <c r="AF293" s="121"/>
      <c r="AG293" s="121"/>
      <c r="AH293" s="28"/>
      <c r="AI293" s="27"/>
      <c r="AJ293" s="27" t="s">
        <v>900</v>
      </c>
      <c r="AK293" s="27" t="str">
        <f t="shared" si="493"/>
        <v/>
      </c>
      <c r="AL293" s="123" t="str">
        <f t="shared" si="140"/>
        <v/>
      </c>
      <c r="AM293" s="27"/>
      <c r="AN293" s="27"/>
      <c r="AO293" s="27"/>
      <c r="AP293" s="27"/>
      <c r="AQ293" s="27"/>
      <c r="AR293" s="27"/>
      <c r="AS293" s="27"/>
      <c r="AT293" s="27"/>
      <c r="AU293" s="27"/>
      <c r="AV293" s="27"/>
      <c r="AW293" s="27"/>
      <c r="AX293" s="27"/>
      <c r="AY293" s="124"/>
      <c r="AZ293" s="138" t="str">
        <f>IF(C293="","","delete from module_mst where pjt_id = '"&amp;C293&amp;"' and menu_id = '"&amp;E293&amp;"';")</f>
        <v/>
      </c>
      <c r="BA293" s="31" t="str">
        <f>IF(C293&lt;&gt;"",CREATE_QUERY($D$1,C$2:AY$2,C293:AY293),"")</f>
        <v/>
      </c>
    </row>
    <row r="294" spans="1:53">
      <c r="A294" s="1">
        <v>294</v>
      </c>
      <c r="B294" s="159" t="str">
        <f t="shared" si="521"/>
        <v xml:space="preserve">    └ Lot수불</v>
      </c>
      <c r="C294" s="27" t="str">
        <f t="shared" si="481"/>
        <v>14821</v>
      </c>
      <c r="D294" s="121"/>
      <c r="E294" s="21">
        <v>277000</v>
      </c>
      <c r="F294" s="118" t="s">
        <v>189</v>
      </c>
      <c r="G294" s="118" t="s">
        <v>3155</v>
      </c>
      <c r="H294" s="118"/>
      <c r="I294" s="118"/>
      <c r="J294" s="118"/>
      <c r="K294" s="21" t="str">
        <f t="shared" si="518"/>
        <v/>
      </c>
      <c r="L294" s="21" t="str">
        <f t="shared" si="482"/>
        <v>1</v>
      </c>
      <c r="M294" s="21" t="str">
        <f t="shared" si="519"/>
        <v>0</v>
      </c>
      <c r="N294" s="118"/>
      <c r="O294" s="118"/>
      <c r="P294" s="21" t="str">
        <f t="shared" si="270"/>
        <v>0</v>
      </c>
      <c r="Q294" s="21" t="str">
        <f t="shared" si="271"/>
        <v>0</v>
      </c>
      <c r="R294" s="21" t="str">
        <f t="shared" si="272"/>
        <v>0</v>
      </c>
      <c r="S294" s="21" t="str">
        <f t="shared" si="273"/>
        <v>0</v>
      </c>
      <c r="T294" s="21" t="str">
        <f t="shared" si="274"/>
        <v>0</v>
      </c>
      <c r="U294" s="21" t="str">
        <f t="shared" si="275"/>
        <v>0</v>
      </c>
      <c r="V294" s="21" t="str">
        <f t="shared" si="276"/>
        <v>1</v>
      </c>
      <c r="W294" s="21"/>
      <c r="X294" s="21" t="str">
        <f t="shared" si="277"/>
        <v/>
      </c>
      <c r="Y294" s="21" t="str">
        <f t="shared" si="278"/>
        <v/>
      </c>
      <c r="Z294" s="21" t="str">
        <f t="shared" si="279"/>
        <v/>
      </c>
      <c r="AA294" s="118"/>
      <c r="AB294" s="118"/>
      <c r="AC294" s="118"/>
      <c r="AD294" s="118"/>
      <c r="AE294" s="118" t="s">
        <v>51</v>
      </c>
      <c r="AF294" s="118"/>
      <c r="AG294" s="118"/>
      <c r="AH294" s="26" t="s">
        <v>173</v>
      </c>
      <c r="AI294" s="26" t="s">
        <v>112</v>
      </c>
      <c r="AJ294" s="26">
        <v>50750</v>
      </c>
      <c r="AK294" s="26" t="str">
        <f t="shared" si="493"/>
        <v>0</v>
      </c>
      <c r="AL294" s="123" t="str">
        <f t="shared" si="140"/>
        <v>14821/Lot수불//</v>
      </c>
      <c r="AM294" s="26" t="s">
        <v>2979</v>
      </c>
      <c r="AN294" s="26" t="str">
        <f>IF(COUNTIF(AN295:AN303,"="&amp;"Y")&gt;0,"Y",IF(COUNTIF(AN295:AN303,"="&amp;"-")&gt;0,"m",""))</f>
        <v>m</v>
      </c>
      <c r="AO294" s="26" t="str">
        <f t="shared" ref="AO294:AX294" si="536">IF(COUNTIF(AO295:AO303,"="&amp;"Y")&gt;0,"Y",IF(COUNTIF(AO295:AO303,"="&amp;"-")&gt;0,"m",""))</f>
        <v>m</v>
      </c>
      <c r="AP294" s="26" t="str">
        <f t="shared" si="536"/>
        <v>m</v>
      </c>
      <c r="AQ294" s="26" t="str">
        <f t="shared" si="536"/>
        <v>m</v>
      </c>
      <c r="AR294" s="26" t="str">
        <f t="shared" si="536"/>
        <v>m</v>
      </c>
      <c r="AS294" s="26" t="str">
        <f t="shared" si="536"/>
        <v>m</v>
      </c>
      <c r="AT294" s="26" t="str">
        <f t="shared" si="536"/>
        <v>Y</v>
      </c>
      <c r="AU294" s="26" t="str">
        <f t="shared" si="536"/>
        <v>m</v>
      </c>
      <c r="AV294" s="26" t="str">
        <f t="shared" si="536"/>
        <v>m</v>
      </c>
      <c r="AW294" s="26" t="str">
        <f t="shared" si="536"/>
        <v>m</v>
      </c>
      <c r="AX294" s="26" t="str">
        <f t="shared" si="536"/>
        <v>m</v>
      </c>
      <c r="AY294" s="124"/>
      <c r="AZ294" s="138" t="str">
        <f>IF(C294="","","delete from module_mst where pjt_id = '"&amp;C294&amp;"' and menu_id = '"&amp;E294&amp;"';")</f>
        <v>delete from module_mst where pjt_id = '14821' and menu_id = '277000';</v>
      </c>
      <c r="BA294" s="31" t="str">
        <f>IF(C294&lt;&gt;"",CREATE_QUERY($D$1,C$2:AY$2,C294:AY294),"")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'277000', 'Lot수불', 'Lot inventory', '', '', '', '', '1', '0', '', '', '0', '0', '0', '0', '0', '0', '1', '', '', '', '', '', '', '', '', 'N', '', '', '270000', '4', '50750', '0', '14821/Lot수불//', '메뉴', '');</v>
      </c>
    </row>
    <row r="295" spans="1:53">
      <c r="A295" s="1">
        <v>295</v>
      </c>
      <c r="B295" s="164" t="str">
        <f t="shared" si="521"/>
        <v xml:space="preserve">        └ (공통)Lot재고현황</v>
      </c>
      <c r="C295" s="27" t="str">
        <f t="shared" si="481"/>
        <v>14821</v>
      </c>
      <c r="D295" s="121"/>
      <c r="E295" s="27">
        <v>277001</v>
      </c>
      <c r="F295" s="121" t="s">
        <v>190</v>
      </c>
      <c r="G295" s="121" t="s">
        <v>3156</v>
      </c>
      <c r="H295" s="121"/>
      <c r="I295" s="121"/>
      <c r="J295" s="121"/>
      <c r="K295" s="27" t="str">
        <f t="shared" si="518"/>
        <v>1</v>
      </c>
      <c r="L295" s="27" t="str">
        <f t="shared" si="482"/>
        <v>1</v>
      </c>
      <c r="M295" s="27" t="str">
        <f t="shared" si="519"/>
        <v>1</v>
      </c>
      <c r="N295" s="121" t="s">
        <v>316</v>
      </c>
      <c r="O295" s="121" t="s">
        <v>193</v>
      </c>
      <c r="P295" s="27" t="str">
        <f t="shared" si="270"/>
        <v>1</v>
      </c>
      <c r="Q295" s="27" t="str">
        <f t="shared" si="271"/>
        <v>1</v>
      </c>
      <c r="R295" s="27" t="str">
        <f t="shared" si="272"/>
        <v>1</v>
      </c>
      <c r="S295" s="27" t="str">
        <f t="shared" si="273"/>
        <v>1</v>
      </c>
      <c r="T295" s="27" t="str">
        <f t="shared" si="274"/>
        <v>1</v>
      </c>
      <c r="U295" s="27" t="str">
        <f t="shared" si="275"/>
        <v>1</v>
      </c>
      <c r="V295" s="27" t="str">
        <f t="shared" si="276"/>
        <v>1</v>
      </c>
      <c r="W295" s="27"/>
      <c r="X295" s="27" t="str">
        <f t="shared" si="277"/>
        <v>0</v>
      </c>
      <c r="Y295" s="27" t="str">
        <f t="shared" si="278"/>
        <v>0</v>
      </c>
      <c r="Z295" s="27" t="str">
        <f t="shared" si="279"/>
        <v>0</v>
      </c>
      <c r="AA295" s="121"/>
      <c r="AB295" s="121"/>
      <c r="AC295" s="121"/>
      <c r="AD295" s="121"/>
      <c r="AE295" s="121" t="s">
        <v>51</v>
      </c>
      <c r="AF295" s="121"/>
      <c r="AG295" s="121"/>
      <c r="AH295" s="28">
        <v>277000</v>
      </c>
      <c r="AI295" s="28" t="s">
        <v>113</v>
      </c>
      <c r="AJ295" s="28">
        <v>50800</v>
      </c>
      <c r="AK295" s="28" t="str">
        <f t="shared" si="493"/>
        <v>0</v>
      </c>
      <c r="AL295" s="123" t="str">
        <f t="shared" si="140"/>
        <v>14821/Lot재고현황/stock.lot/LotlStockList</v>
      </c>
      <c r="AM295" s="28" t="s">
        <v>2981</v>
      </c>
      <c r="AN295" s="28"/>
      <c r="AO295" s="28"/>
      <c r="AP295" s="28"/>
      <c r="AQ295" s="28"/>
      <c r="AR295" s="28"/>
      <c r="AS295" s="28"/>
      <c r="AT295" s="28" t="s">
        <v>1829</v>
      </c>
      <c r="AU295" s="28"/>
      <c r="AV295" s="28"/>
      <c r="AW295" s="28"/>
      <c r="AX295" s="28"/>
      <c r="AY295" s="124"/>
      <c r="AZ295" s="138" t="str">
        <f>IF(C295="","","delete from module_mst where pjt_id = '"&amp;C295&amp;"' and menu_id = '"&amp;E295&amp;"';")</f>
        <v>delete from module_mst where pjt_id = '14821' and menu_id = '277001';</v>
      </c>
      <c r="BA295" s="31" t="str">
        <f>IF(C295&lt;&gt;"",CREATE_QUERY($D$1,C$2:AY$2,C295:AY295),"")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'277001', 'Lot재고현황', 'Lot Inventory Status', '', '', '', '1', '1', '1', 'stock.lot', 'LotlStockList', '1', '1', '1', '1', '1', '1', '1', '', '0', '0', '0', '', '', '', '', 'N', '', '', '277000', '5', '50800', '0', '14821/Lot재고현황/stock.lot/LotlStockList', '공통', '');</v>
      </c>
    </row>
    <row r="296" spans="1:53">
      <c r="A296" s="1">
        <v>296</v>
      </c>
      <c r="B296" s="164" t="str">
        <f t="shared" si="521"/>
        <v xml:space="preserve">        └ (공통)Lot수불대장</v>
      </c>
      <c r="C296" s="27" t="str">
        <f t="shared" si="481"/>
        <v>14821</v>
      </c>
      <c r="D296" s="121"/>
      <c r="E296" s="27">
        <v>277002</v>
      </c>
      <c r="F296" s="121" t="s">
        <v>191</v>
      </c>
      <c r="G296" s="121" t="s">
        <v>3157</v>
      </c>
      <c r="H296" s="121"/>
      <c r="I296" s="121"/>
      <c r="J296" s="121"/>
      <c r="K296" s="27" t="str">
        <f t="shared" si="518"/>
        <v>1</v>
      </c>
      <c r="L296" s="27" t="str">
        <f t="shared" si="482"/>
        <v>1</v>
      </c>
      <c r="M296" s="27" t="str">
        <f t="shared" si="519"/>
        <v>1</v>
      </c>
      <c r="N296" s="121" t="s">
        <v>316</v>
      </c>
      <c r="O296" s="121" t="s">
        <v>330</v>
      </c>
      <c r="P296" s="27" t="str">
        <f t="shared" si="270"/>
        <v>1</v>
      </c>
      <c r="Q296" s="27" t="str">
        <f t="shared" si="271"/>
        <v>1</v>
      </c>
      <c r="R296" s="27" t="str">
        <f t="shared" si="272"/>
        <v>1</v>
      </c>
      <c r="S296" s="27" t="str">
        <f t="shared" si="273"/>
        <v>1</v>
      </c>
      <c r="T296" s="27" t="str">
        <f t="shared" si="274"/>
        <v>1</v>
      </c>
      <c r="U296" s="27" t="str">
        <f t="shared" si="275"/>
        <v>1</v>
      </c>
      <c r="V296" s="27" t="str">
        <f t="shared" si="276"/>
        <v>1</v>
      </c>
      <c r="W296" s="27"/>
      <c r="X296" s="27" t="str">
        <f t="shared" si="277"/>
        <v>0</v>
      </c>
      <c r="Y296" s="27" t="str">
        <f t="shared" si="278"/>
        <v>0</v>
      </c>
      <c r="Z296" s="27" t="str">
        <f t="shared" si="279"/>
        <v>0</v>
      </c>
      <c r="AA296" s="121"/>
      <c r="AB296" s="121"/>
      <c r="AC296" s="121"/>
      <c r="AD296" s="121"/>
      <c r="AE296" s="121" t="s">
        <v>51</v>
      </c>
      <c r="AF296" s="121"/>
      <c r="AG296" s="121"/>
      <c r="AH296" s="28">
        <v>277000</v>
      </c>
      <c r="AI296" s="28" t="s">
        <v>113</v>
      </c>
      <c r="AJ296" s="28">
        <v>50802</v>
      </c>
      <c r="AK296" s="28" t="str">
        <f t="shared" si="493"/>
        <v>0</v>
      </c>
      <c r="AL296" s="123" t="str">
        <f t="shared" si="140"/>
        <v>14821/Lot수불대장/stock.lot/LotIsttOsttList</v>
      </c>
      <c r="AM296" s="28" t="s">
        <v>2981</v>
      </c>
      <c r="AN296" s="28"/>
      <c r="AO296" s="28"/>
      <c r="AP296" s="28"/>
      <c r="AQ296" s="28"/>
      <c r="AR296" s="28"/>
      <c r="AS296" s="28"/>
      <c r="AT296" s="28" t="s">
        <v>1829</v>
      </c>
      <c r="AU296" s="28"/>
      <c r="AV296" s="28"/>
      <c r="AW296" s="28"/>
      <c r="AX296" s="28"/>
      <c r="AY296" s="124"/>
      <c r="AZ296" s="138" t="str">
        <f>IF(C296="","","delete from module_mst where pjt_id = '"&amp;C296&amp;"' and menu_id = '"&amp;E296&amp;"';")</f>
        <v>delete from module_mst where pjt_id = '14821' and menu_id = '277002';</v>
      </c>
      <c r="BA296" s="31" t="str">
        <f>IF(C296&lt;&gt;"",CREATE_QUERY($D$1,C$2:AY$2,C296:AY296),"")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'277002', 'Lot수불대장', 'Lot inventory ledger', '', '', '', '1', '1', '1', 'stock.lot', 'LotIsttOsttList', '1', '1', '1', '1', '1', '1', '1', '', '0', '0', '0', '', '', '', '', 'N', '', '', '277000', '5', '50802', '0', '14821/Lot수불대장/stock.lot/LotIsttOsttList', '공통', '');</v>
      </c>
    </row>
    <row r="297" spans="1:53">
      <c r="A297" s="1">
        <v>297</v>
      </c>
      <c r="B297" s="164" t="str">
        <f t="shared" si="521"/>
        <v xml:space="preserve">        └ (공통)Lot 조정 등록</v>
      </c>
      <c r="C297" s="27" t="str">
        <f t="shared" si="481"/>
        <v>14821</v>
      </c>
      <c r="D297" s="121"/>
      <c r="E297" s="27">
        <v>277003</v>
      </c>
      <c r="F297" s="121" t="s">
        <v>192</v>
      </c>
      <c r="G297" s="121" t="s">
        <v>3158</v>
      </c>
      <c r="H297" s="121"/>
      <c r="I297" s="121"/>
      <c r="J297" s="121"/>
      <c r="K297" s="27" t="str">
        <f t="shared" si="518"/>
        <v>1</v>
      </c>
      <c r="L297" s="27" t="str">
        <f t="shared" si="482"/>
        <v>1</v>
      </c>
      <c r="M297" s="27" t="str">
        <f t="shared" si="519"/>
        <v>1</v>
      </c>
      <c r="N297" s="121" t="s">
        <v>316</v>
      </c>
      <c r="O297" s="121" t="s">
        <v>194</v>
      </c>
      <c r="P297" s="27" t="str">
        <f t="shared" si="270"/>
        <v>1</v>
      </c>
      <c r="Q297" s="27" t="str">
        <f t="shared" si="271"/>
        <v>1</v>
      </c>
      <c r="R297" s="27" t="str">
        <f t="shared" si="272"/>
        <v>1</v>
      </c>
      <c r="S297" s="27" t="str">
        <f t="shared" si="273"/>
        <v>1</v>
      </c>
      <c r="T297" s="27" t="str">
        <f t="shared" si="274"/>
        <v>1</v>
      </c>
      <c r="U297" s="27" t="str">
        <f t="shared" si="275"/>
        <v>1</v>
      </c>
      <c r="V297" s="27" t="str">
        <f t="shared" si="276"/>
        <v>1</v>
      </c>
      <c r="W297" s="27"/>
      <c r="X297" s="27" t="str">
        <f t="shared" si="277"/>
        <v>0</v>
      </c>
      <c r="Y297" s="27" t="str">
        <f t="shared" si="278"/>
        <v>0</v>
      </c>
      <c r="Z297" s="27" t="str">
        <f t="shared" si="279"/>
        <v>0</v>
      </c>
      <c r="AA297" s="121"/>
      <c r="AB297" s="121"/>
      <c r="AC297" s="121"/>
      <c r="AD297" s="121"/>
      <c r="AE297" s="121" t="s">
        <v>51</v>
      </c>
      <c r="AF297" s="121"/>
      <c r="AG297" s="121"/>
      <c r="AH297" s="28">
        <v>277000</v>
      </c>
      <c r="AI297" s="28" t="s">
        <v>113</v>
      </c>
      <c r="AJ297" s="28">
        <v>50804</v>
      </c>
      <c r="AK297" s="28" t="str">
        <f t="shared" si="493"/>
        <v>0</v>
      </c>
      <c r="AL297" s="123" t="str">
        <f t="shared" si="140"/>
        <v>14821/Lot 조정 등록/stock.lot/LotChange</v>
      </c>
      <c r="AM297" s="28" t="s">
        <v>2981</v>
      </c>
      <c r="AN297" s="28"/>
      <c r="AO297" s="28"/>
      <c r="AP297" s="28"/>
      <c r="AQ297" s="28"/>
      <c r="AR297" s="28"/>
      <c r="AS297" s="28"/>
      <c r="AT297" s="28" t="s">
        <v>1829</v>
      </c>
      <c r="AU297" s="28"/>
      <c r="AV297" s="28"/>
      <c r="AW297" s="28"/>
      <c r="AX297" s="28"/>
      <c r="AY297" s="124"/>
      <c r="AZ297" s="138" t="str">
        <f>IF(C297="","","delete from module_mst where pjt_id = '"&amp;C297&amp;"' and menu_id = '"&amp;E297&amp;"';")</f>
        <v>delete from module_mst where pjt_id = '14821' and menu_id = '277003';</v>
      </c>
      <c r="BA297" s="31" t="str">
        <f>IF(C297&lt;&gt;"",CREATE_QUERY($D$1,C$2:AY$2,C297:AY297),"")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'277003', 'Lot 조정 등록', 'Lot adjustment registration', '', '', '', '1', '1', '1', 'stock.lot', 'LotChange', '1', '1', '1', '1', '1', '1', '1', '', '0', '0', '0', '', '', '', '', 'N', '', '', '277000', '5', '50804', '0', '14821/Lot 조정 등록/stock.lot/LotChange', '공통', '');</v>
      </c>
    </row>
    <row r="298" spans="1:53">
      <c r="A298" s="1">
        <v>298</v>
      </c>
      <c r="B298" s="164" t="str">
        <f t="shared" si="521"/>
        <v xml:space="preserve">        └ (공통)Lot 추적</v>
      </c>
      <c r="C298" s="27" t="str">
        <f t="shared" si="481"/>
        <v>14821</v>
      </c>
      <c r="D298" s="121"/>
      <c r="E298" s="27">
        <v>277004</v>
      </c>
      <c r="F298" s="121" t="s">
        <v>3347</v>
      </c>
      <c r="G298" s="121" t="s">
        <v>900</v>
      </c>
      <c r="H298" s="121"/>
      <c r="I298" s="121"/>
      <c r="J298" s="121"/>
      <c r="K298" s="27" t="str">
        <f t="shared" si="518"/>
        <v>1</v>
      </c>
      <c r="L298" s="27" t="str">
        <f t="shared" si="482"/>
        <v>1</v>
      </c>
      <c r="M298" s="27" t="str">
        <f t="shared" si="519"/>
        <v>1</v>
      </c>
      <c r="N298" s="121" t="s">
        <v>316</v>
      </c>
      <c r="O298" s="121" t="s">
        <v>3348</v>
      </c>
      <c r="P298" s="27" t="str">
        <f t="shared" ref="P298:P300" si="537">IF(O298="","0","1")</f>
        <v>1</v>
      </c>
      <c r="Q298" s="27" t="str">
        <f t="shared" ref="Q298:Q300" si="538">IF(O298="","0","1")</f>
        <v>1</v>
      </c>
      <c r="R298" s="27" t="str">
        <f t="shared" ref="R298:R300" si="539">IF(O298="","0","1")</f>
        <v>1</v>
      </c>
      <c r="S298" s="27" t="str">
        <f t="shared" ref="S298:S300" si="540">IF(O298="","0","1")</f>
        <v>1</v>
      </c>
      <c r="T298" s="27" t="str">
        <f t="shared" ref="T298:T300" si="541">IF(O298="","0","1")</f>
        <v>1</v>
      </c>
      <c r="U298" s="27" t="str">
        <f t="shared" ref="U298:U300" si="542">IF(O298="","0","1")</f>
        <v>1</v>
      </c>
      <c r="V298" s="27" t="str">
        <f t="shared" ref="V298:V300" si="543">IF(O298="","1","1")</f>
        <v>1</v>
      </c>
      <c r="W298" s="27"/>
      <c r="X298" s="27" t="str">
        <f t="shared" ref="X298:X300" si="544">IF(O298="","","0")</f>
        <v>0</v>
      </c>
      <c r="Y298" s="27" t="str">
        <f t="shared" ref="Y298:Y300" si="545">IF(O298="","","0")</f>
        <v>0</v>
      </c>
      <c r="Z298" s="27" t="str">
        <f t="shared" ref="Z298:Z300" si="546">IF(O298="","","0")</f>
        <v>0</v>
      </c>
      <c r="AA298" s="121"/>
      <c r="AB298" s="121"/>
      <c r="AC298" s="121"/>
      <c r="AD298" s="121"/>
      <c r="AE298" s="121" t="s">
        <v>51</v>
      </c>
      <c r="AF298" s="121"/>
      <c r="AG298" s="121"/>
      <c r="AH298" s="28">
        <v>277000</v>
      </c>
      <c r="AI298" s="28" t="s">
        <v>113</v>
      </c>
      <c r="AJ298" s="28">
        <v>50806</v>
      </c>
      <c r="AK298" s="28" t="str">
        <f t="shared" si="493"/>
        <v>0</v>
      </c>
      <c r="AL298" s="123" t="str">
        <f t="shared" ref="AL298:AL300" si="547">IF(C298="","",C298&amp;"/"&amp;F298&amp;"/"&amp;N298&amp;"/"&amp;O298)</f>
        <v>14821/Lot 추적/stock.lot/LotTracking</v>
      </c>
      <c r="AM298" s="28" t="s">
        <v>2984</v>
      </c>
      <c r="AN298" s="28" t="s">
        <v>3245</v>
      </c>
      <c r="AO298" s="28" t="s">
        <v>3245</v>
      </c>
      <c r="AP298" s="28" t="s">
        <v>3245</v>
      </c>
      <c r="AQ298" s="28" t="s">
        <v>3245</v>
      </c>
      <c r="AR298" s="28" t="s">
        <v>3245</v>
      </c>
      <c r="AS298" s="28" t="s">
        <v>3245</v>
      </c>
      <c r="AT298" s="28" t="s">
        <v>3245</v>
      </c>
      <c r="AU298" s="28" t="s">
        <v>3245</v>
      </c>
      <c r="AV298" s="28" t="s">
        <v>3245</v>
      </c>
      <c r="AW298" s="28" t="s">
        <v>3245</v>
      </c>
      <c r="AX298" s="28" t="s">
        <v>3245</v>
      </c>
      <c r="AY298" s="124"/>
      <c r="AZ298" s="138" t="str">
        <f>IF(C298="","","delete from module_mst where pjt_id = '"&amp;C298&amp;"' and menu_id = '"&amp;E298&amp;"';")</f>
        <v>delete from module_mst where pjt_id = '14821' and menu_id = '277004';</v>
      </c>
      <c r="BA298" s="31" t="str">
        <f>IF(C298&lt;&gt;"",CREATE_QUERY($D$1,C$2:AY$2,C298:AY298),"")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'277004', 'Lot 추적', '', '', '', '', '1', '1', '1', 'stock.lot', 'LotTracking', '1', '1', '1', '1', '1', '1', '1', '', '0', '0', '0', '', '', '', '', 'N', '', '', '277000', '5', '50806', '0', '14821/Lot 추적/stock.lot/LotTracking', '공통', '');</v>
      </c>
    </row>
    <row r="299" spans="1:53">
      <c r="A299" s="1">
        <v>299</v>
      </c>
      <c r="B299" s="164" t="str">
        <f t="shared" si="521"/>
        <v/>
      </c>
      <c r="C299" s="27" t="str">
        <f t="shared" si="481"/>
        <v/>
      </c>
      <c r="D299" s="121"/>
      <c r="E299" s="27">
        <v>277005</v>
      </c>
      <c r="F299" s="121"/>
      <c r="G299" s="121" t="s">
        <v>900</v>
      </c>
      <c r="H299" s="121"/>
      <c r="I299" s="121"/>
      <c r="J299" s="121"/>
      <c r="K299" s="27" t="str">
        <f t="shared" si="518"/>
        <v/>
      </c>
      <c r="L299" s="27" t="str">
        <f t="shared" si="482"/>
        <v/>
      </c>
      <c r="M299" s="27" t="str">
        <f t="shared" si="519"/>
        <v>0</v>
      </c>
      <c r="N299" s="121"/>
      <c r="O299" s="121"/>
      <c r="P299" s="27" t="str">
        <f t="shared" si="537"/>
        <v>0</v>
      </c>
      <c r="Q299" s="27" t="str">
        <f t="shared" si="538"/>
        <v>0</v>
      </c>
      <c r="R299" s="27" t="str">
        <f t="shared" si="539"/>
        <v>0</v>
      </c>
      <c r="S299" s="27" t="str">
        <f t="shared" si="540"/>
        <v>0</v>
      </c>
      <c r="T299" s="27" t="str">
        <f t="shared" si="541"/>
        <v>0</v>
      </c>
      <c r="U299" s="27" t="str">
        <f t="shared" si="542"/>
        <v>0</v>
      </c>
      <c r="V299" s="27" t="str">
        <f t="shared" si="543"/>
        <v>1</v>
      </c>
      <c r="W299" s="27"/>
      <c r="X299" s="27" t="str">
        <f t="shared" si="544"/>
        <v/>
      </c>
      <c r="Y299" s="27" t="str">
        <f t="shared" si="545"/>
        <v/>
      </c>
      <c r="Z299" s="27" t="str">
        <f t="shared" si="546"/>
        <v/>
      </c>
      <c r="AA299" s="121"/>
      <c r="AB299" s="121"/>
      <c r="AC299" s="121"/>
      <c r="AD299" s="121"/>
      <c r="AE299" s="121" t="s">
        <v>51</v>
      </c>
      <c r="AF299" s="121"/>
      <c r="AG299" s="121"/>
      <c r="AH299" s="28">
        <v>277000</v>
      </c>
      <c r="AI299" s="28" t="s">
        <v>113</v>
      </c>
      <c r="AJ299" s="28">
        <v>50808</v>
      </c>
      <c r="AK299" s="28" t="str">
        <f t="shared" si="493"/>
        <v/>
      </c>
      <c r="AL299" s="123" t="str">
        <f t="shared" si="547"/>
        <v/>
      </c>
      <c r="AM299" s="28"/>
      <c r="AN299" s="28" t="s">
        <v>3245</v>
      </c>
      <c r="AO299" s="28" t="s">
        <v>3245</v>
      </c>
      <c r="AP299" s="28" t="s">
        <v>3245</v>
      </c>
      <c r="AQ299" s="28" t="s">
        <v>3245</v>
      </c>
      <c r="AR299" s="28" t="s">
        <v>3245</v>
      </c>
      <c r="AS299" s="28" t="s">
        <v>3245</v>
      </c>
      <c r="AT299" s="28" t="s">
        <v>3245</v>
      </c>
      <c r="AU299" s="28" t="s">
        <v>3245</v>
      </c>
      <c r="AV299" s="28" t="s">
        <v>3245</v>
      </c>
      <c r="AW299" s="28" t="s">
        <v>3245</v>
      </c>
      <c r="AX299" s="28" t="s">
        <v>3245</v>
      </c>
      <c r="AY299" s="124"/>
      <c r="AZ299" s="138" t="str">
        <f>IF(C299="","","delete from module_mst where pjt_id = '"&amp;C299&amp;"' and menu_id = '"&amp;E299&amp;"';")</f>
        <v/>
      </c>
      <c r="BA299" s="31" t="str">
        <f>IF(C299&lt;&gt;"",CREATE_QUERY($D$1,C$2:AY$2,C299:AY299),"")</f>
        <v/>
      </c>
    </row>
    <row r="300" spans="1:53">
      <c r="A300" s="1">
        <v>300</v>
      </c>
      <c r="B300" s="164" t="str">
        <f t="shared" si="521"/>
        <v/>
      </c>
      <c r="C300" s="27" t="str">
        <f t="shared" si="481"/>
        <v/>
      </c>
      <c r="D300" s="121"/>
      <c r="E300" s="27">
        <v>277006</v>
      </c>
      <c r="F300" s="121"/>
      <c r="G300" s="121" t="s">
        <v>900</v>
      </c>
      <c r="H300" s="121"/>
      <c r="I300" s="121"/>
      <c r="J300" s="121"/>
      <c r="K300" s="27" t="str">
        <f t="shared" si="518"/>
        <v/>
      </c>
      <c r="L300" s="27" t="str">
        <f t="shared" si="482"/>
        <v/>
      </c>
      <c r="M300" s="27" t="str">
        <f t="shared" si="519"/>
        <v>0</v>
      </c>
      <c r="N300" s="121"/>
      <c r="O300" s="121"/>
      <c r="P300" s="27" t="str">
        <f t="shared" si="537"/>
        <v>0</v>
      </c>
      <c r="Q300" s="27" t="str">
        <f t="shared" si="538"/>
        <v>0</v>
      </c>
      <c r="R300" s="27" t="str">
        <f t="shared" si="539"/>
        <v>0</v>
      </c>
      <c r="S300" s="27" t="str">
        <f t="shared" si="540"/>
        <v>0</v>
      </c>
      <c r="T300" s="27" t="str">
        <f t="shared" si="541"/>
        <v>0</v>
      </c>
      <c r="U300" s="27" t="str">
        <f t="shared" si="542"/>
        <v>0</v>
      </c>
      <c r="V300" s="27" t="str">
        <f t="shared" si="543"/>
        <v>1</v>
      </c>
      <c r="W300" s="27"/>
      <c r="X300" s="27" t="str">
        <f t="shared" si="544"/>
        <v/>
      </c>
      <c r="Y300" s="27" t="str">
        <f t="shared" si="545"/>
        <v/>
      </c>
      <c r="Z300" s="27" t="str">
        <f t="shared" si="546"/>
        <v/>
      </c>
      <c r="AA300" s="121"/>
      <c r="AB300" s="121"/>
      <c r="AC300" s="121"/>
      <c r="AD300" s="121"/>
      <c r="AE300" s="121" t="s">
        <v>51</v>
      </c>
      <c r="AF300" s="121"/>
      <c r="AG300" s="121"/>
      <c r="AH300" s="28">
        <v>277000</v>
      </c>
      <c r="AI300" s="28" t="s">
        <v>113</v>
      </c>
      <c r="AJ300" s="28">
        <v>50810</v>
      </c>
      <c r="AK300" s="28" t="str">
        <f t="shared" si="493"/>
        <v/>
      </c>
      <c r="AL300" s="123" t="str">
        <f t="shared" si="547"/>
        <v/>
      </c>
      <c r="AM300" s="28"/>
      <c r="AN300" s="28" t="s">
        <v>3245</v>
      </c>
      <c r="AO300" s="28" t="s">
        <v>3245</v>
      </c>
      <c r="AP300" s="28" t="s">
        <v>3245</v>
      </c>
      <c r="AQ300" s="28" t="s">
        <v>3245</v>
      </c>
      <c r="AR300" s="28" t="s">
        <v>3245</v>
      </c>
      <c r="AS300" s="28" t="s">
        <v>3245</v>
      </c>
      <c r="AT300" s="28" t="s">
        <v>3245</v>
      </c>
      <c r="AU300" s="28" t="s">
        <v>3245</v>
      </c>
      <c r="AV300" s="28" t="s">
        <v>3245</v>
      </c>
      <c r="AW300" s="28" t="s">
        <v>3245</v>
      </c>
      <c r="AX300" s="28" t="s">
        <v>3245</v>
      </c>
      <c r="AY300" s="124"/>
      <c r="AZ300" s="138" t="str">
        <f>IF(C300="","","delete from module_mst where pjt_id = '"&amp;C300&amp;"' and menu_id = '"&amp;E300&amp;"';")</f>
        <v/>
      </c>
      <c r="BA300" s="31" t="str">
        <f>IF(C300&lt;&gt;"",CREATE_QUERY($D$1,C$2:AY$2,C300:AY300),"")</f>
        <v/>
      </c>
    </row>
    <row r="301" spans="1:53">
      <c r="A301" s="1">
        <v>301</v>
      </c>
      <c r="B301" s="164" t="str">
        <f t="shared" si="521"/>
        <v/>
      </c>
      <c r="C301" s="27" t="str">
        <f t="shared" si="481"/>
        <v/>
      </c>
      <c r="D301" s="121"/>
      <c r="E301" s="27">
        <v>277007</v>
      </c>
      <c r="F301" s="121"/>
      <c r="G301" s="121" t="s">
        <v>900</v>
      </c>
      <c r="H301" s="121"/>
      <c r="I301" s="121"/>
      <c r="J301" s="121"/>
      <c r="K301" s="27" t="str">
        <f t="shared" si="518"/>
        <v/>
      </c>
      <c r="L301" s="27" t="str">
        <f t="shared" si="482"/>
        <v/>
      </c>
      <c r="M301" s="27" t="str">
        <f t="shared" si="519"/>
        <v>0</v>
      </c>
      <c r="N301" s="121"/>
      <c r="O301" s="121"/>
      <c r="P301" s="27" t="str">
        <f t="shared" ref="P301:P303" si="548">IF(O301="","0","1")</f>
        <v>0</v>
      </c>
      <c r="Q301" s="27" t="str">
        <f t="shared" ref="Q301:Q303" si="549">IF(O301="","0","1")</f>
        <v>0</v>
      </c>
      <c r="R301" s="27" t="str">
        <f t="shared" ref="R301:R303" si="550">IF(O301="","0","1")</f>
        <v>0</v>
      </c>
      <c r="S301" s="27" t="str">
        <f t="shared" ref="S301:S303" si="551">IF(O301="","0","1")</f>
        <v>0</v>
      </c>
      <c r="T301" s="27" t="str">
        <f t="shared" ref="T301:T303" si="552">IF(O301="","0","1")</f>
        <v>0</v>
      </c>
      <c r="U301" s="27" t="str">
        <f t="shared" ref="U301:U303" si="553">IF(O301="","0","1")</f>
        <v>0</v>
      </c>
      <c r="V301" s="27" t="str">
        <f t="shared" ref="V301:V303" si="554">IF(O301="","1","1")</f>
        <v>1</v>
      </c>
      <c r="W301" s="27"/>
      <c r="X301" s="27" t="str">
        <f t="shared" ref="X301:X303" si="555">IF(O301="","","0")</f>
        <v/>
      </c>
      <c r="Y301" s="27" t="str">
        <f t="shared" ref="Y301:Y303" si="556">IF(O301="","","0")</f>
        <v/>
      </c>
      <c r="Z301" s="27" t="str">
        <f t="shared" ref="Z301:Z303" si="557">IF(O301="","","0")</f>
        <v/>
      </c>
      <c r="AA301" s="121"/>
      <c r="AB301" s="121"/>
      <c r="AC301" s="121"/>
      <c r="AD301" s="121"/>
      <c r="AE301" s="121" t="s">
        <v>51</v>
      </c>
      <c r="AF301" s="121"/>
      <c r="AG301" s="121"/>
      <c r="AH301" s="28">
        <v>277000</v>
      </c>
      <c r="AI301" s="28" t="s">
        <v>113</v>
      </c>
      <c r="AJ301" s="28">
        <v>50812</v>
      </c>
      <c r="AK301" s="28" t="str">
        <f t="shared" si="493"/>
        <v/>
      </c>
      <c r="AL301" s="123" t="str">
        <f t="shared" ref="AL301:AL303" si="558">IF(C301="","",C301&amp;"/"&amp;F301&amp;"/"&amp;N301&amp;"/"&amp;O301)</f>
        <v/>
      </c>
      <c r="AM301" s="28"/>
      <c r="AN301" s="28" t="s">
        <v>3245</v>
      </c>
      <c r="AO301" s="28" t="s">
        <v>3245</v>
      </c>
      <c r="AP301" s="28" t="s">
        <v>3245</v>
      </c>
      <c r="AQ301" s="28" t="s">
        <v>3245</v>
      </c>
      <c r="AR301" s="28" t="s">
        <v>3245</v>
      </c>
      <c r="AS301" s="28" t="s">
        <v>3245</v>
      </c>
      <c r="AT301" s="28" t="s">
        <v>3245</v>
      </c>
      <c r="AU301" s="28" t="s">
        <v>3245</v>
      </c>
      <c r="AV301" s="28" t="s">
        <v>3245</v>
      </c>
      <c r="AW301" s="28" t="s">
        <v>3245</v>
      </c>
      <c r="AX301" s="28" t="s">
        <v>3245</v>
      </c>
      <c r="AY301" s="124"/>
      <c r="AZ301" s="138" t="str">
        <f>IF(C301="","","delete from module_mst where pjt_id = '"&amp;C301&amp;"' and menu_id = '"&amp;E301&amp;"';")</f>
        <v/>
      </c>
      <c r="BA301" s="31" t="str">
        <f>IF(C301&lt;&gt;"",CREATE_QUERY($D$1,C$2:AY$2,C301:AY301),"")</f>
        <v/>
      </c>
    </row>
    <row r="302" spans="1:53">
      <c r="A302" s="1">
        <v>302</v>
      </c>
      <c r="B302" s="164" t="str">
        <f t="shared" si="521"/>
        <v/>
      </c>
      <c r="C302" s="27" t="str">
        <f t="shared" si="481"/>
        <v/>
      </c>
      <c r="D302" s="121"/>
      <c r="E302" s="27">
        <v>277008</v>
      </c>
      <c r="F302" s="121"/>
      <c r="G302" s="121" t="s">
        <v>900</v>
      </c>
      <c r="H302" s="121"/>
      <c r="I302" s="121"/>
      <c r="J302" s="121"/>
      <c r="K302" s="27" t="str">
        <f t="shared" si="518"/>
        <v/>
      </c>
      <c r="L302" s="27" t="str">
        <f t="shared" si="482"/>
        <v/>
      </c>
      <c r="M302" s="27" t="str">
        <f t="shared" si="519"/>
        <v>0</v>
      </c>
      <c r="N302" s="121"/>
      <c r="O302" s="121"/>
      <c r="P302" s="27" t="str">
        <f t="shared" si="548"/>
        <v>0</v>
      </c>
      <c r="Q302" s="27" t="str">
        <f t="shared" si="549"/>
        <v>0</v>
      </c>
      <c r="R302" s="27" t="str">
        <f t="shared" si="550"/>
        <v>0</v>
      </c>
      <c r="S302" s="27" t="str">
        <f t="shared" si="551"/>
        <v>0</v>
      </c>
      <c r="T302" s="27" t="str">
        <f t="shared" si="552"/>
        <v>0</v>
      </c>
      <c r="U302" s="27" t="str">
        <f t="shared" si="553"/>
        <v>0</v>
      </c>
      <c r="V302" s="27" t="str">
        <f t="shared" si="554"/>
        <v>1</v>
      </c>
      <c r="W302" s="27"/>
      <c r="X302" s="27" t="str">
        <f t="shared" si="555"/>
        <v/>
      </c>
      <c r="Y302" s="27" t="str">
        <f t="shared" si="556"/>
        <v/>
      </c>
      <c r="Z302" s="27" t="str">
        <f t="shared" si="557"/>
        <v/>
      </c>
      <c r="AA302" s="121"/>
      <c r="AB302" s="121"/>
      <c r="AC302" s="121"/>
      <c r="AD302" s="121"/>
      <c r="AE302" s="121" t="s">
        <v>51</v>
      </c>
      <c r="AF302" s="121"/>
      <c r="AG302" s="121"/>
      <c r="AH302" s="28">
        <v>277000</v>
      </c>
      <c r="AI302" s="28" t="s">
        <v>113</v>
      </c>
      <c r="AJ302" s="28">
        <v>50814</v>
      </c>
      <c r="AK302" s="28" t="str">
        <f t="shared" si="493"/>
        <v/>
      </c>
      <c r="AL302" s="123" t="str">
        <f t="shared" si="558"/>
        <v/>
      </c>
      <c r="AM302" s="28"/>
      <c r="AN302" s="28" t="s">
        <v>3245</v>
      </c>
      <c r="AO302" s="28" t="s">
        <v>3245</v>
      </c>
      <c r="AP302" s="28" t="s">
        <v>3245</v>
      </c>
      <c r="AQ302" s="28" t="s">
        <v>3245</v>
      </c>
      <c r="AR302" s="28" t="s">
        <v>3245</v>
      </c>
      <c r="AS302" s="28" t="s">
        <v>3245</v>
      </c>
      <c r="AT302" s="28" t="s">
        <v>3245</v>
      </c>
      <c r="AU302" s="28" t="s">
        <v>3245</v>
      </c>
      <c r="AV302" s="28" t="s">
        <v>3245</v>
      </c>
      <c r="AW302" s="28" t="s">
        <v>3245</v>
      </c>
      <c r="AX302" s="28" t="s">
        <v>3245</v>
      </c>
      <c r="AY302" s="124"/>
      <c r="AZ302" s="138" t="str">
        <f>IF(C302="","","delete from module_mst where pjt_id = '"&amp;C302&amp;"' and menu_id = '"&amp;E302&amp;"';")</f>
        <v/>
      </c>
      <c r="BA302" s="31" t="str">
        <f>IF(C302&lt;&gt;"",CREATE_QUERY($D$1,C$2:AY$2,C302:AY302),"")</f>
        <v/>
      </c>
    </row>
    <row r="303" spans="1:53">
      <c r="A303" s="1">
        <v>303</v>
      </c>
      <c r="B303" s="164" t="str">
        <f t="shared" si="521"/>
        <v/>
      </c>
      <c r="C303" s="27" t="str">
        <f t="shared" si="481"/>
        <v/>
      </c>
      <c r="D303" s="121"/>
      <c r="E303" s="27">
        <v>277009</v>
      </c>
      <c r="F303" s="121"/>
      <c r="G303" s="121" t="s">
        <v>900</v>
      </c>
      <c r="H303" s="121"/>
      <c r="I303" s="121"/>
      <c r="J303" s="121"/>
      <c r="K303" s="27" t="str">
        <f t="shared" si="518"/>
        <v/>
      </c>
      <c r="L303" s="27" t="str">
        <f t="shared" si="482"/>
        <v/>
      </c>
      <c r="M303" s="27" t="str">
        <f t="shared" si="519"/>
        <v>0</v>
      </c>
      <c r="N303" s="121"/>
      <c r="O303" s="121"/>
      <c r="P303" s="27" t="str">
        <f t="shared" si="548"/>
        <v>0</v>
      </c>
      <c r="Q303" s="27" t="str">
        <f t="shared" si="549"/>
        <v>0</v>
      </c>
      <c r="R303" s="27" t="str">
        <f t="shared" si="550"/>
        <v>0</v>
      </c>
      <c r="S303" s="27" t="str">
        <f t="shared" si="551"/>
        <v>0</v>
      </c>
      <c r="T303" s="27" t="str">
        <f t="shared" si="552"/>
        <v>0</v>
      </c>
      <c r="U303" s="27" t="str">
        <f t="shared" si="553"/>
        <v>0</v>
      </c>
      <c r="V303" s="27" t="str">
        <f t="shared" si="554"/>
        <v>1</v>
      </c>
      <c r="W303" s="27"/>
      <c r="X303" s="27" t="str">
        <f t="shared" si="555"/>
        <v/>
      </c>
      <c r="Y303" s="27" t="str">
        <f t="shared" si="556"/>
        <v/>
      </c>
      <c r="Z303" s="27" t="str">
        <f t="shared" si="557"/>
        <v/>
      </c>
      <c r="AA303" s="121"/>
      <c r="AB303" s="121"/>
      <c r="AC303" s="121"/>
      <c r="AD303" s="121"/>
      <c r="AE303" s="121" t="s">
        <v>51</v>
      </c>
      <c r="AF303" s="121"/>
      <c r="AG303" s="121"/>
      <c r="AH303" s="28">
        <v>277000</v>
      </c>
      <c r="AI303" s="28" t="s">
        <v>113</v>
      </c>
      <c r="AJ303" s="28">
        <v>50816</v>
      </c>
      <c r="AK303" s="28" t="str">
        <f t="shared" si="493"/>
        <v/>
      </c>
      <c r="AL303" s="123" t="str">
        <f t="shared" si="558"/>
        <v/>
      </c>
      <c r="AM303" s="28"/>
      <c r="AN303" s="28" t="s">
        <v>3245</v>
      </c>
      <c r="AO303" s="28" t="s">
        <v>3245</v>
      </c>
      <c r="AP303" s="28" t="s">
        <v>3245</v>
      </c>
      <c r="AQ303" s="28" t="s">
        <v>3245</v>
      </c>
      <c r="AR303" s="28" t="s">
        <v>3245</v>
      </c>
      <c r="AS303" s="28" t="s">
        <v>3245</v>
      </c>
      <c r="AT303" s="28" t="s">
        <v>3245</v>
      </c>
      <c r="AU303" s="28" t="s">
        <v>3245</v>
      </c>
      <c r="AV303" s="28" t="s">
        <v>3245</v>
      </c>
      <c r="AW303" s="28" t="s">
        <v>3245</v>
      </c>
      <c r="AX303" s="28" t="s">
        <v>3245</v>
      </c>
      <c r="AY303" s="124"/>
      <c r="AZ303" s="138" t="str">
        <f>IF(C303="","","delete from module_mst where pjt_id = '"&amp;C303&amp;"' and menu_id = '"&amp;E303&amp;"';")</f>
        <v/>
      </c>
      <c r="BA303" s="31" t="str">
        <f>IF(C303&lt;&gt;"",CREATE_QUERY($D$1,C$2:AY$2,C303:AY303),"")</f>
        <v/>
      </c>
    </row>
    <row r="304" spans="1:53">
      <c r="A304" s="1">
        <v>304</v>
      </c>
      <c r="B304" s="164" t="str">
        <f t="shared" si="521"/>
        <v/>
      </c>
      <c r="C304" s="27" t="str">
        <f t="shared" si="481"/>
        <v/>
      </c>
      <c r="D304" s="121"/>
      <c r="E304" s="27"/>
      <c r="F304" s="121"/>
      <c r="G304" s="121" t="s">
        <v>900</v>
      </c>
      <c r="H304" s="121"/>
      <c r="I304" s="121"/>
      <c r="J304" s="121"/>
      <c r="K304" s="27" t="str">
        <f t="shared" si="518"/>
        <v/>
      </c>
      <c r="L304" s="27" t="str">
        <f t="shared" si="482"/>
        <v/>
      </c>
      <c r="M304" s="27" t="str">
        <f t="shared" si="519"/>
        <v>0</v>
      </c>
      <c r="N304" s="121"/>
      <c r="O304" s="121"/>
      <c r="P304" s="27" t="str">
        <f t="shared" si="270"/>
        <v>0</v>
      </c>
      <c r="Q304" s="27" t="str">
        <f t="shared" si="271"/>
        <v>0</v>
      </c>
      <c r="R304" s="27" t="str">
        <f t="shared" si="272"/>
        <v>0</v>
      </c>
      <c r="S304" s="27" t="str">
        <f t="shared" si="273"/>
        <v>0</v>
      </c>
      <c r="T304" s="27" t="str">
        <f t="shared" si="274"/>
        <v>0</v>
      </c>
      <c r="U304" s="27" t="str">
        <f t="shared" si="275"/>
        <v>0</v>
      </c>
      <c r="V304" s="27" t="str">
        <f t="shared" si="276"/>
        <v>1</v>
      </c>
      <c r="W304" s="27"/>
      <c r="X304" s="27" t="str">
        <f t="shared" si="277"/>
        <v/>
      </c>
      <c r="Y304" s="27" t="str">
        <f t="shared" si="278"/>
        <v/>
      </c>
      <c r="Z304" s="27" t="str">
        <f t="shared" si="279"/>
        <v/>
      </c>
      <c r="AA304" s="121"/>
      <c r="AB304" s="121"/>
      <c r="AC304" s="121"/>
      <c r="AD304" s="121"/>
      <c r="AE304" s="121"/>
      <c r="AF304" s="121"/>
      <c r="AG304" s="121"/>
      <c r="AH304" s="27"/>
      <c r="AI304" s="27"/>
      <c r="AJ304" s="27"/>
      <c r="AK304" s="27" t="str">
        <f t="shared" si="493"/>
        <v/>
      </c>
      <c r="AL304" s="123" t="str">
        <f t="shared" si="140"/>
        <v/>
      </c>
      <c r="AM304" s="27"/>
      <c r="AN304" s="27"/>
      <c r="AO304" s="27"/>
      <c r="AP304" s="27"/>
      <c r="AQ304" s="27"/>
      <c r="AR304" s="27"/>
      <c r="AS304" s="27"/>
      <c r="AT304" s="27"/>
      <c r="AU304" s="27"/>
      <c r="AV304" s="27"/>
      <c r="AW304" s="27"/>
      <c r="AX304" s="27"/>
      <c r="AY304" s="124"/>
      <c r="AZ304" s="138" t="str">
        <f>IF(C304="","","delete from module_mst where pjt_id = '"&amp;C304&amp;"' and menu_id = '"&amp;E304&amp;"';")</f>
        <v/>
      </c>
      <c r="BA304" s="31" t="str">
        <f>IF(C304&lt;&gt;"",CREATE_QUERY($D$1,C$2:AY$2,C304:AY304),"")</f>
        <v/>
      </c>
    </row>
    <row r="305" spans="1:53">
      <c r="A305" s="1">
        <v>305</v>
      </c>
      <c r="B305" s="159" t="str">
        <f t="shared" si="521"/>
        <v xml:space="preserve">    └ 재고실사</v>
      </c>
      <c r="C305" s="27" t="str">
        <f t="shared" si="481"/>
        <v>14821</v>
      </c>
      <c r="D305" s="121"/>
      <c r="E305" s="21">
        <v>278000</v>
      </c>
      <c r="F305" s="118" t="s">
        <v>244</v>
      </c>
      <c r="G305" s="118" t="s">
        <v>3159</v>
      </c>
      <c r="H305" s="118"/>
      <c r="I305" s="118"/>
      <c r="J305" s="118"/>
      <c r="K305" s="21" t="str">
        <f t="shared" si="518"/>
        <v/>
      </c>
      <c r="L305" s="21" t="str">
        <f t="shared" si="482"/>
        <v>1</v>
      </c>
      <c r="M305" s="21" t="str">
        <f t="shared" si="519"/>
        <v>0</v>
      </c>
      <c r="N305" s="118"/>
      <c r="O305" s="118"/>
      <c r="P305" s="21" t="str">
        <f t="shared" si="270"/>
        <v>0</v>
      </c>
      <c r="Q305" s="21" t="str">
        <f t="shared" si="271"/>
        <v>0</v>
      </c>
      <c r="R305" s="21" t="str">
        <f t="shared" si="272"/>
        <v>0</v>
      </c>
      <c r="S305" s="21" t="str">
        <f t="shared" si="273"/>
        <v>0</v>
      </c>
      <c r="T305" s="21" t="str">
        <f t="shared" si="274"/>
        <v>0</v>
      </c>
      <c r="U305" s="21" t="str">
        <f t="shared" si="275"/>
        <v>0</v>
      </c>
      <c r="V305" s="21" t="str">
        <f t="shared" si="276"/>
        <v>1</v>
      </c>
      <c r="W305" s="21"/>
      <c r="X305" s="21" t="str">
        <f t="shared" si="277"/>
        <v/>
      </c>
      <c r="Y305" s="21" t="str">
        <f t="shared" si="278"/>
        <v/>
      </c>
      <c r="Z305" s="21" t="str">
        <f t="shared" si="279"/>
        <v/>
      </c>
      <c r="AA305" s="118"/>
      <c r="AB305" s="118"/>
      <c r="AC305" s="118"/>
      <c r="AD305" s="118"/>
      <c r="AE305" s="118" t="s">
        <v>51</v>
      </c>
      <c r="AF305" s="118"/>
      <c r="AG305" s="118"/>
      <c r="AH305" s="26" t="s">
        <v>173</v>
      </c>
      <c r="AI305" s="26" t="s">
        <v>112</v>
      </c>
      <c r="AJ305" s="26">
        <v>51050</v>
      </c>
      <c r="AK305" s="26" t="str">
        <f t="shared" si="493"/>
        <v>0</v>
      </c>
      <c r="AL305" s="123" t="str">
        <f t="shared" si="140"/>
        <v>14821/재고실사//</v>
      </c>
      <c r="AM305" s="26" t="s">
        <v>2979</v>
      </c>
      <c r="AN305" s="26" t="str">
        <f t="shared" ref="AN305:AX305" si="559">IF(COUNTIF(AN306:AN312,"="&amp;"Y")&gt;0,"Y",IF(COUNTIF(AN306:AN312,"="&amp;"-")&gt;0,"m",""))</f>
        <v>m</v>
      </c>
      <c r="AO305" s="26" t="str">
        <f t="shared" si="559"/>
        <v>m</v>
      </c>
      <c r="AP305" s="26" t="str">
        <f t="shared" si="559"/>
        <v>m</v>
      </c>
      <c r="AQ305" s="26" t="str">
        <f t="shared" si="559"/>
        <v>m</v>
      </c>
      <c r="AR305" s="26" t="str">
        <f t="shared" si="559"/>
        <v>m</v>
      </c>
      <c r="AS305" s="26" t="str">
        <f t="shared" si="559"/>
        <v>m</v>
      </c>
      <c r="AT305" s="26" t="str">
        <f t="shared" si="559"/>
        <v>Y</v>
      </c>
      <c r="AU305" s="26" t="str">
        <f t="shared" si="559"/>
        <v>m</v>
      </c>
      <c r="AV305" s="26" t="str">
        <f t="shared" si="559"/>
        <v>m</v>
      </c>
      <c r="AW305" s="26" t="str">
        <f t="shared" si="559"/>
        <v>m</v>
      </c>
      <c r="AX305" s="26" t="str">
        <f t="shared" si="559"/>
        <v>m</v>
      </c>
      <c r="AY305" s="124"/>
      <c r="AZ305" s="138" t="str">
        <f>IF(C305="","","delete from module_mst where pjt_id = '"&amp;C305&amp;"' and menu_id = '"&amp;E305&amp;"';")</f>
        <v>delete from module_mst where pjt_id = '14821' and menu_id = '278000';</v>
      </c>
      <c r="BA305" s="31" t="str">
        <f>IF(C305&lt;&gt;"",CREATE_QUERY($D$1,C$2:AY$2,C305:AY305),"")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'278000', '재고실사', 'Inventory Count', '', '', '', '', '1', '0', '', '', '0', '0', '0', '0', '0', '0', '1', '', '', '', '', '', '', '', '', 'N', '', '', '270000', '4', '51050', '0', '14821/재고실사//', '메뉴', '');</v>
      </c>
    </row>
    <row r="306" spans="1:53">
      <c r="A306" s="1">
        <v>306</v>
      </c>
      <c r="B306" s="164" t="str">
        <f t="shared" si="521"/>
        <v xml:space="preserve">        └ (공통)재고실사관리</v>
      </c>
      <c r="C306" s="27" t="str">
        <f t="shared" si="481"/>
        <v>14821</v>
      </c>
      <c r="D306" s="121"/>
      <c r="E306" s="27">
        <v>278001</v>
      </c>
      <c r="F306" s="121" t="s">
        <v>331</v>
      </c>
      <c r="G306" s="121" t="s">
        <v>3160</v>
      </c>
      <c r="H306" s="121"/>
      <c r="I306" s="121"/>
      <c r="J306" s="121"/>
      <c r="K306" s="27" t="str">
        <f t="shared" si="518"/>
        <v>1</v>
      </c>
      <c r="L306" s="27" t="str">
        <f t="shared" si="482"/>
        <v>1</v>
      </c>
      <c r="M306" s="27" t="str">
        <f t="shared" si="519"/>
        <v>1</v>
      </c>
      <c r="N306" s="121" t="s">
        <v>317</v>
      </c>
      <c r="O306" s="121" t="s">
        <v>287</v>
      </c>
      <c r="P306" s="27" t="str">
        <f t="shared" si="270"/>
        <v>1</v>
      </c>
      <c r="Q306" s="27" t="str">
        <f t="shared" si="271"/>
        <v>1</v>
      </c>
      <c r="R306" s="27" t="str">
        <f t="shared" si="272"/>
        <v>1</v>
      </c>
      <c r="S306" s="27" t="str">
        <f t="shared" si="273"/>
        <v>1</v>
      </c>
      <c r="T306" s="27" t="str">
        <f t="shared" si="274"/>
        <v>1</v>
      </c>
      <c r="U306" s="27" t="str">
        <f t="shared" si="275"/>
        <v>1</v>
      </c>
      <c r="V306" s="27" t="str">
        <f t="shared" si="276"/>
        <v>1</v>
      </c>
      <c r="W306" s="27"/>
      <c r="X306" s="27" t="str">
        <f t="shared" si="277"/>
        <v>0</v>
      </c>
      <c r="Y306" s="27" t="str">
        <f t="shared" si="278"/>
        <v>0</v>
      </c>
      <c r="Z306" s="27" t="str">
        <f t="shared" si="279"/>
        <v>0</v>
      </c>
      <c r="AA306" s="121"/>
      <c r="AB306" s="121"/>
      <c r="AC306" s="121"/>
      <c r="AD306" s="121"/>
      <c r="AE306" s="121" t="s">
        <v>51</v>
      </c>
      <c r="AF306" s="121"/>
      <c r="AG306" s="121"/>
      <c r="AH306" s="28">
        <v>278000</v>
      </c>
      <c r="AI306" s="28" t="s">
        <v>113</v>
      </c>
      <c r="AJ306" s="28">
        <v>51100</v>
      </c>
      <c r="AK306" s="28" t="str">
        <f t="shared" si="493"/>
        <v>0</v>
      </c>
      <c r="AL306" s="123" t="str">
        <f t="shared" si="140"/>
        <v>14821/재고실사관리/stock.ddil/DdilMake</v>
      </c>
      <c r="AM306" s="28" t="s">
        <v>2981</v>
      </c>
      <c r="AN306" s="28"/>
      <c r="AO306" s="28"/>
      <c r="AP306" s="28"/>
      <c r="AQ306" s="28"/>
      <c r="AR306" s="28"/>
      <c r="AS306" s="28"/>
      <c r="AT306" s="28" t="s">
        <v>1829</v>
      </c>
      <c r="AU306" s="28"/>
      <c r="AV306" s="28"/>
      <c r="AW306" s="28"/>
      <c r="AX306" s="28"/>
      <c r="AY306" s="124"/>
      <c r="AZ306" s="138" t="str">
        <f>IF(C306="","","delete from module_mst where pjt_id = '"&amp;C306&amp;"' and menu_id = '"&amp;E306&amp;"';")</f>
        <v>delete from module_mst where pjt_id = '14821' and menu_id = '278001';</v>
      </c>
      <c r="BA306" s="31" t="str">
        <f>IF(C306&lt;&gt;"",CREATE_QUERY($D$1,C$2:AY$2,C306:AY306),"")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'278001', '재고실사관리', 'Inventory Count Management', '', '', '', '1', '1', '1', 'stock.ddil', 'DdilMake', '1', '1', '1', '1', '1', '1', '1', '', '0', '0', '0', '', '', '', '', 'N', '', '', '278000', '5', '51100', '0', '14821/재고실사관리/stock.ddil/DdilMake', '공통', '');</v>
      </c>
    </row>
    <row r="307" spans="1:53">
      <c r="A307" s="1">
        <v>307</v>
      </c>
      <c r="B307" s="164" t="str">
        <f t="shared" si="521"/>
        <v xml:space="preserve">        └ (공통)LOT재고실사관리</v>
      </c>
      <c r="C307" s="27" t="str">
        <f t="shared" si="481"/>
        <v>14821</v>
      </c>
      <c r="D307" s="121"/>
      <c r="E307" s="27">
        <v>278002</v>
      </c>
      <c r="F307" s="121" t="s">
        <v>332</v>
      </c>
      <c r="G307" s="121" t="s">
        <v>3161</v>
      </c>
      <c r="H307" s="121"/>
      <c r="I307" s="121"/>
      <c r="J307" s="121"/>
      <c r="K307" s="27" t="str">
        <f t="shared" si="518"/>
        <v>1</v>
      </c>
      <c r="L307" s="27" t="str">
        <f t="shared" si="482"/>
        <v>1</v>
      </c>
      <c r="M307" s="27" t="str">
        <f t="shared" si="519"/>
        <v>1</v>
      </c>
      <c r="N307" s="121" t="s">
        <v>317</v>
      </c>
      <c r="O307" s="121" t="s">
        <v>288</v>
      </c>
      <c r="P307" s="27" t="str">
        <f t="shared" si="270"/>
        <v>1</v>
      </c>
      <c r="Q307" s="27" t="str">
        <f t="shared" si="271"/>
        <v>1</v>
      </c>
      <c r="R307" s="27" t="str">
        <f t="shared" si="272"/>
        <v>1</v>
      </c>
      <c r="S307" s="27" t="str">
        <f t="shared" si="273"/>
        <v>1</v>
      </c>
      <c r="T307" s="27" t="str">
        <f t="shared" si="274"/>
        <v>1</v>
      </c>
      <c r="U307" s="27" t="str">
        <f t="shared" si="275"/>
        <v>1</v>
      </c>
      <c r="V307" s="27" t="str">
        <f t="shared" si="276"/>
        <v>1</v>
      </c>
      <c r="W307" s="27"/>
      <c r="X307" s="27" t="str">
        <f t="shared" si="277"/>
        <v>0</v>
      </c>
      <c r="Y307" s="27" t="str">
        <f t="shared" si="278"/>
        <v>0</v>
      </c>
      <c r="Z307" s="27" t="str">
        <f t="shared" si="279"/>
        <v>0</v>
      </c>
      <c r="AA307" s="121"/>
      <c r="AB307" s="121"/>
      <c r="AC307" s="121"/>
      <c r="AD307" s="121"/>
      <c r="AE307" s="121" t="s">
        <v>51</v>
      </c>
      <c r="AF307" s="121"/>
      <c r="AG307" s="121"/>
      <c r="AH307" s="28">
        <v>278000</v>
      </c>
      <c r="AI307" s="28" t="s">
        <v>113</v>
      </c>
      <c r="AJ307" s="28">
        <v>51150</v>
      </c>
      <c r="AK307" s="28" t="str">
        <f t="shared" si="493"/>
        <v>0</v>
      </c>
      <c r="AL307" s="123" t="str">
        <f t="shared" si="140"/>
        <v>14821/LOT재고실사관리/stock.ddil/LotDdillEntry</v>
      </c>
      <c r="AM307" s="28" t="s">
        <v>2981</v>
      </c>
      <c r="AN307" s="28"/>
      <c r="AO307" s="28"/>
      <c r="AP307" s="28"/>
      <c r="AQ307" s="28"/>
      <c r="AR307" s="28"/>
      <c r="AS307" s="28"/>
      <c r="AT307" s="28" t="s">
        <v>1829</v>
      </c>
      <c r="AU307" s="28"/>
      <c r="AV307" s="28"/>
      <c r="AW307" s="28"/>
      <c r="AX307" s="28"/>
      <c r="AY307" s="124"/>
      <c r="AZ307" s="138" t="str">
        <f>IF(C307="","","delete from module_mst where pjt_id = '"&amp;C307&amp;"' and menu_id = '"&amp;E307&amp;"';")</f>
        <v>delete from module_mst where pjt_id = '14821' and menu_id = '278002';</v>
      </c>
      <c r="BA307" s="31" t="str">
        <f>IF(C307&lt;&gt;"",CREATE_QUERY($D$1,C$2:AY$2,C307:AY307),"")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'278002', 'LOT재고실사관리', 'LOT inventory count management', '', '', '', '1', '1', '1', 'stock.ddil', 'LotDdillEntry', '1', '1', '1', '1', '1', '1', '1', '', '0', '0', '0', '', '', '', '', 'N', '', '', '278000', '5', '51150', '0', '14821/LOT재고실사관리/stock.ddil/LotDdillEntry', '공통', '');</v>
      </c>
    </row>
    <row r="308" spans="1:53">
      <c r="A308" s="1">
        <v>308</v>
      </c>
      <c r="B308" s="164" t="str">
        <f t="shared" si="521"/>
        <v/>
      </c>
      <c r="C308" s="27" t="str">
        <f t="shared" si="481"/>
        <v/>
      </c>
      <c r="D308" s="121"/>
      <c r="E308" s="27">
        <v>278003</v>
      </c>
      <c r="F308" s="121"/>
      <c r="G308" s="121" t="s">
        <v>900</v>
      </c>
      <c r="H308" s="121"/>
      <c r="I308" s="121"/>
      <c r="J308" s="121"/>
      <c r="K308" s="27" t="str">
        <f t="shared" si="518"/>
        <v/>
      </c>
      <c r="L308" s="27" t="str">
        <f t="shared" si="482"/>
        <v/>
      </c>
      <c r="M308" s="27" t="str">
        <f t="shared" si="519"/>
        <v>0</v>
      </c>
      <c r="N308" s="121"/>
      <c r="O308" s="121"/>
      <c r="P308" s="27" t="str">
        <f t="shared" ref="P308:P310" si="560">IF(O308="","0","1")</f>
        <v>0</v>
      </c>
      <c r="Q308" s="27" t="str">
        <f t="shared" ref="Q308:Q310" si="561">IF(O308="","0","1")</f>
        <v>0</v>
      </c>
      <c r="R308" s="27" t="str">
        <f t="shared" ref="R308:R310" si="562">IF(O308="","0","1")</f>
        <v>0</v>
      </c>
      <c r="S308" s="27" t="str">
        <f t="shared" ref="S308:S310" si="563">IF(O308="","0","1")</f>
        <v>0</v>
      </c>
      <c r="T308" s="27" t="str">
        <f t="shared" ref="T308:T310" si="564">IF(O308="","0","1")</f>
        <v>0</v>
      </c>
      <c r="U308" s="27" t="str">
        <f t="shared" ref="U308:U310" si="565">IF(O308="","0","1")</f>
        <v>0</v>
      </c>
      <c r="V308" s="27" t="str">
        <f t="shared" ref="V308:V310" si="566">IF(O308="","1","1")</f>
        <v>1</v>
      </c>
      <c r="W308" s="27"/>
      <c r="X308" s="27" t="str">
        <f t="shared" ref="X308:X310" si="567">IF(O308="","","0")</f>
        <v/>
      </c>
      <c r="Y308" s="27" t="str">
        <f t="shared" ref="Y308:Y310" si="568">IF(O308="","","0")</f>
        <v/>
      </c>
      <c r="Z308" s="27" t="str">
        <f t="shared" ref="Z308:Z310" si="569">IF(O308="","","0")</f>
        <v/>
      </c>
      <c r="AA308" s="121"/>
      <c r="AB308" s="121"/>
      <c r="AC308" s="121"/>
      <c r="AD308" s="121"/>
      <c r="AE308" s="121" t="s">
        <v>51</v>
      </c>
      <c r="AF308" s="121"/>
      <c r="AG308" s="121"/>
      <c r="AH308" s="28">
        <v>278000</v>
      </c>
      <c r="AI308" s="28" t="s">
        <v>113</v>
      </c>
      <c r="AJ308" s="28">
        <v>51250</v>
      </c>
      <c r="AK308" s="28" t="str">
        <f t="shared" si="493"/>
        <v/>
      </c>
      <c r="AL308" s="123" t="str">
        <f t="shared" ref="AL308:AL310" si="570">IF(C308="","",C308&amp;"/"&amp;F308&amp;"/"&amp;N308&amp;"/"&amp;O308)</f>
        <v/>
      </c>
      <c r="AM308" s="28"/>
      <c r="AN308" s="28" t="s">
        <v>3245</v>
      </c>
      <c r="AO308" s="28" t="s">
        <v>3245</v>
      </c>
      <c r="AP308" s="28" t="s">
        <v>3245</v>
      </c>
      <c r="AQ308" s="28" t="s">
        <v>3245</v>
      </c>
      <c r="AR308" s="28" t="s">
        <v>3245</v>
      </c>
      <c r="AS308" s="28" t="s">
        <v>3245</v>
      </c>
      <c r="AT308" s="28" t="s">
        <v>3245</v>
      </c>
      <c r="AU308" s="28" t="s">
        <v>3245</v>
      </c>
      <c r="AV308" s="28" t="s">
        <v>3245</v>
      </c>
      <c r="AW308" s="28" t="s">
        <v>3245</v>
      </c>
      <c r="AX308" s="28" t="s">
        <v>3245</v>
      </c>
      <c r="AY308" s="124"/>
      <c r="AZ308" s="138" t="str">
        <f>IF(C308="","","delete from module_mst where pjt_id = '"&amp;C308&amp;"' and menu_id = '"&amp;E308&amp;"';")</f>
        <v/>
      </c>
      <c r="BA308" s="31" t="str">
        <f>IF(C308&lt;&gt;"",CREATE_QUERY($D$1,C$2:AY$2,C308:AY308),"")</f>
        <v/>
      </c>
    </row>
    <row r="309" spans="1:53">
      <c r="A309" s="1">
        <v>309</v>
      </c>
      <c r="B309" s="164" t="str">
        <f t="shared" si="521"/>
        <v/>
      </c>
      <c r="C309" s="27" t="str">
        <f t="shared" si="481"/>
        <v/>
      </c>
      <c r="D309" s="121"/>
      <c r="E309" s="27">
        <v>278004</v>
      </c>
      <c r="F309" s="121"/>
      <c r="G309" s="121" t="s">
        <v>900</v>
      </c>
      <c r="H309" s="121"/>
      <c r="I309" s="121"/>
      <c r="J309" s="121"/>
      <c r="K309" s="27" t="str">
        <f t="shared" si="518"/>
        <v/>
      </c>
      <c r="L309" s="27" t="str">
        <f t="shared" si="482"/>
        <v/>
      </c>
      <c r="M309" s="27" t="str">
        <f t="shared" si="519"/>
        <v>0</v>
      </c>
      <c r="N309" s="121"/>
      <c r="O309" s="121"/>
      <c r="P309" s="27" t="str">
        <f t="shared" si="560"/>
        <v>0</v>
      </c>
      <c r="Q309" s="27" t="str">
        <f t="shared" si="561"/>
        <v>0</v>
      </c>
      <c r="R309" s="27" t="str">
        <f t="shared" si="562"/>
        <v>0</v>
      </c>
      <c r="S309" s="27" t="str">
        <f t="shared" si="563"/>
        <v>0</v>
      </c>
      <c r="T309" s="27" t="str">
        <f t="shared" si="564"/>
        <v>0</v>
      </c>
      <c r="U309" s="27" t="str">
        <f t="shared" si="565"/>
        <v>0</v>
      </c>
      <c r="V309" s="27" t="str">
        <f t="shared" si="566"/>
        <v>1</v>
      </c>
      <c r="W309" s="27"/>
      <c r="X309" s="27" t="str">
        <f t="shared" si="567"/>
        <v/>
      </c>
      <c r="Y309" s="27" t="str">
        <f t="shared" si="568"/>
        <v/>
      </c>
      <c r="Z309" s="27" t="str">
        <f t="shared" si="569"/>
        <v/>
      </c>
      <c r="AA309" s="121"/>
      <c r="AB309" s="121"/>
      <c r="AC309" s="121"/>
      <c r="AD309" s="121"/>
      <c r="AE309" s="121" t="s">
        <v>51</v>
      </c>
      <c r="AF309" s="121"/>
      <c r="AG309" s="121"/>
      <c r="AH309" s="28">
        <v>278000</v>
      </c>
      <c r="AI309" s="28" t="s">
        <v>113</v>
      </c>
      <c r="AJ309" s="28">
        <v>51300</v>
      </c>
      <c r="AK309" s="28" t="str">
        <f t="shared" si="493"/>
        <v/>
      </c>
      <c r="AL309" s="123" t="str">
        <f t="shared" si="570"/>
        <v/>
      </c>
      <c r="AM309" s="28"/>
      <c r="AN309" s="28" t="s">
        <v>3245</v>
      </c>
      <c r="AO309" s="28" t="s">
        <v>3245</v>
      </c>
      <c r="AP309" s="28" t="s">
        <v>3245</v>
      </c>
      <c r="AQ309" s="28" t="s">
        <v>3245</v>
      </c>
      <c r="AR309" s="28" t="s">
        <v>3245</v>
      </c>
      <c r="AS309" s="28" t="s">
        <v>3245</v>
      </c>
      <c r="AT309" s="28" t="s">
        <v>3245</v>
      </c>
      <c r="AU309" s="28" t="s">
        <v>3245</v>
      </c>
      <c r="AV309" s="28" t="s">
        <v>3245</v>
      </c>
      <c r="AW309" s="28" t="s">
        <v>3245</v>
      </c>
      <c r="AX309" s="28" t="s">
        <v>3245</v>
      </c>
      <c r="AY309" s="124"/>
      <c r="AZ309" s="138" t="str">
        <f>IF(C309="","","delete from module_mst where pjt_id = '"&amp;C309&amp;"' and menu_id = '"&amp;E309&amp;"';")</f>
        <v/>
      </c>
      <c r="BA309" s="31" t="str">
        <f>IF(C309&lt;&gt;"",CREATE_QUERY($D$1,C$2:AY$2,C309:AY309),"")</f>
        <v/>
      </c>
    </row>
    <row r="310" spans="1:53">
      <c r="A310" s="1">
        <v>310</v>
      </c>
      <c r="B310" s="164" t="str">
        <f t="shared" si="521"/>
        <v/>
      </c>
      <c r="C310" s="27" t="str">
        <f t="shared" si="481"/>
        <v/>
      </c>
      <c r="D310" s="121"/>
      <c r="E310" s="27">
        <v>278005</v>
      </c>
      <c r="F310" s="121"/>
      <c r="G310" s="121" t="s">
        <v>900</v>
      </c>
      <c r="H310" s="121"/>
      <c r="I310" s="121"/>
      <c r="J310" s="121"/>
      <c r="K310" s="27" t="str">
        <f t="shared" si="518"/>
        <v/>
      </c>
      <c r="L310" s="27" t="str">
        <f t="shared" si="482"/>
        <v/>
      </c>
      <c r="M310" s="27" t="str">
        <f t="shared" si="519"/>
        <v>0</v>
      </c>
      <c r="N310" s="121"/>
      <c r="O310" s="121"/>
      <c r="P310" s="27" t="str">
        <f t="shared" si="560"/>
        <v>0</v>
      </c>
      <c r="Q310" s="27" t="str">
        <f t="shared" si="561"/>
        <v>0</v>
      </c>
      <c r="R310" s="27" t="str">
        <f t="shared" si="562"/>
        <v>0</v>
      </c>
      <c r="S310" s="27" t="str">
        <f t="shared" si="563"/>
        <v>0</v>
      </c>
      <c r="T310" s="27" t="str">
        <f t="shared" si="564"/>
        <v>0</v>
      </c>
      <c r="U310" s="27" t="str">
        <f t="shared" si="565"/>
        <v>0</v>
      </c>
      <c r="V310" s="27" t="str">
        <f t="shared" si="566"/>
        <v>1</v>
      </c>
      <c r="W310" s="27"/>
      <c r="X310" s="27" t="str">
        <f t="shared" si="567"/>
        <v/>
      </c>
      <c r="Y310" s="27" t="str">
        <f t="shared" si="568"/>
        <v/>
      </c>
      <c r="Z310" s="27" t="str">
        <f t="shared" si="569"/>
        <v/>
      </c>
      <c r="AA310" s="121"/>
      <c r="AB310" s="121"/>
      <c r="AC310" s="121"/>
      <c r="AD310" s="121"/>
      <c r="AE310" s="121" t="s">
        <v>51</v>
      </c>
      <c r="AF310" s="121"/>
      <c r="AG310" s="121"/>
      <c r="AH310" s="28">
        <v>278000</v>
      </c>
      <c r="AI310" s="28" t="s">
        <v>113</v>
      </c>
      <c r="AJ310" s="28">
        <v>51350</v>
      </c>
      <c r="AK310" s="28" t="str">
        <f t="shared" si="493"/>
        <v/>
      </c>
      <c r="AL310" s="123" t="str">
        <f t="shared" si="570"/>
        <v/>
      </c>
      <c r="AM310" s="28"/>
      <c r="AN310" s="28" t="s">
        <v>3245</v>
      </c>
      <c r="AO310" s="28" t="s">
        <v>3245</v>
      </c>
      <c r="AP310" s="28" t="s">
        <v>3245</v>
      </c>
      <c r="AQ310" s="28" t="s">
        <v>3245</v>
      </c>
      <c r="AR310" s="28" t="s">
        <v>3245</v>
      </c>
      <c r="AS310" s="28" t="s">
        <v>3245</v>
      </c>
      <c r="AT310" s="28" t="s">
        <v>3245</v>
      </c>
      <c r="AU310" s="28" t="s">
        <v>3245</v>
      </c>
      <c r="AV310" s="28" t="s">
        <v>3245</v>
      </c>
      <c r="AW310" s="28" t="s">
        <v>3245</v>
      </c>
      <c r="AX310" s="28" t="s">
        <v>3245</v>
      </c>
      <c r="AY310" s="124"/>
      <c r="AZ310" s="138" t="str">
        <f>IF(C310="","","delete from module_mst where pjt_id = '"&amp;C310&amp;"' and menu_id = '"&amp;E310&amp;"';")</f>
        <v/>
      </c>
      <c r="BA310" s="31" t="str">
        <f>IF(C310&lt;&gt;"",CREATE_QUERY($D$1,C$2:AY$2,C310:AY310),"")</f>
        <v/>
      </c>
    </row>
    <row r="311" spans="1:53">
      <c r="A311" s="1">
        <v>311</v>
      </c>
      <c r="B311" s="164" t="str">
        <f t="shared" si="521"/>
        <v/>
      </c>
      <c r="C311" s="27" t="str">
        <f t="shared" si="481"/>
        <v/>
      </c>
      <c r="D311" s="121"/>
      <c r="E311" s="27">
        <v>278006</v>
      </c>
      <c r="F311" s="121"/>
      <c r="G311" s="121" t="s">
        <v>900</v>
      </c>
      <c r="H311" s="121"/>
      <c r="I311" s="121"/>
      <c r="J311" s="121"/>
      <c r="K311" s="27" t="str">
        <f t="shared" si="518"/>
        <v/>
      </c>
      <c r="L311" s="27" t="str">
        <f t="shared" si="482"/>
        <v/>
      </c>
      <c r="M311" s="27" t="str">
        <f t="shared" si="519"/>
        <v>0</v>
      </c>
      <c r="N311" s="121"/>
      <c r="O311" s="121"/>
      <c r="P311" s="27" t="str">
        <f t="shared" ref="P311:P312" si="571">IF(O311="","0","1")</f>
        <v>0</v>
      </c>
      <c r="Q311" s="27" t="str">
        <f t="shared" ref="Q311:Q312" si="572">IF(O311="","0","1")</f>
        <v>0</v>
      </c>
      <c r="R311" s="27" t="str">
        <f t="shared" ref="R311:R312" si="573">IF(O311="","0","1")</f>
        <v>0</v>
      </c>
      <c r="S311" s="27" t="str">
        <f t="shared" ref="S311:S312" si="574">IF(O311="","0","1")</f>
        <v>0</v>
      </c>
      <c r="T311" s="27" t="str">
        <f t="shared" ref="T311:T312" si="575">IF(O311="","0","1")</f>
        <v>0</v>
      </c>
      <c r="U311" s="27" t="str">
        <f t="shared" ref="U311:U312" si="576">IF(O311="","0","1")</f>
        <v>0</v>
      </c>
      <c r="V311" s="27" t="str">
        <f t="shared" ref="V311:V312" si="577">IF(O311="","1","1")</f>
        <v>1</v>
      </c>
      <c r="W311" s="27"/>
      <c r="X311" s="27" t="str">
        <f t="shared" ref="X311:X312" si="578">IF(O311="","","0")</f>
        <v/>
      </c>
      <c r="Y311" s="27" t="str">
        <f t="shared" ref="Y311:Y312" si="579">IF(O311="","","0")</f>
        <v/>
      </c>
      <c r="Z311" s="27" t="str">
        <f t="shared" ref="Z311:Z312" si="580">IF(O311="","","0")</f>
        <v/>
      </c>
      <c r="AA311" s="121"/>
      <c r="AB311" s="121"/>
      <c r="AC311" s="121"/>
      <c r="AD311" s="121"/>
      <c r="AE311" s="121" t="s">
        <v>51</v>
      </c>
      <c r="AF311" s="121"/>
      <c r="AG311" s="121"/>
      <c r="AH311" s="28">
        <v>278000</v>
      </c>
      <c r="AI311" s="28" t="s">
        <v>113</v>
      </c>
      <c r="AJ311" s="28">
        <v>51400</v>
      </c>
      <c r="AK311" s="28" t="str">
        <f t="shared" si="493"/>
        <v/>
      </c>
      <c r="AL311" s="123" t="str">
        <f t="shared" ref="AL311:AL312" si="581">IF(C311="","",C311&amp;"/"&amp;F311&amp;"/"&amp;N311&amp;"/"&amp;O311)</f>
        <v/>
      </c>
      <c r="AM311" s="28"/>
      <c r="AN311" s="28" t="s">
        <v>3245</v>
      </c>
      <c r="AO311" s="28" t="s">
        <v>3245</v>
      </c>
      <c r="AP311" s="28" t="s">
        <v>3245</v>
      </c>
      <c r="AQ311" s="28" t="s">
        <v>3245</v>
      </c>
      <c r="AR311" s="28" t="s">
        <v>3245</v>
      </c>
      <c r="AS311" s="28" t="s">
        <v>3245</v>
      </c>
      <c r="AT311" s="28" t="s">
        <v>3245</v>
      </c>
      <c r="AU311" s="28" t="s">
        <v>3245</v>
      </c>
      <c r="AV311" s="28" t="s">
        <v>3245</v>
      </c>
      <c r="AW311" s="28" t="s">
        <v>3245</v>
      </c>
      <c r="AX311" s="28" t="s">
        <v>3245</v>
      </c>
      <c r="AY311" s="124"/>
      <c r="AZ311" s="138" t="str">
        <f>IF(C311="","","delete from module_mst where pjt_id = '"&amp;C311&amp;"' and menu_id = '"&amp;E311&amp;"';")</f>
        <v/>
      </c>
      <c r="BA311" s="31" t="str">
        <f>IF(C311&lt;&gt;"",CREATE_QUERY($D$1,C$2:AY$2,C311:AY311),"")</f>
        <v/>
      </c>
    </row>
    <row r="312" spans="1:53">
      <c r="A312" s="1">
        <v>312</v>
      </c>
      <c r="B312" s="164" t="str">
        <f t="shared" si="521"/>
        <v/>
      </c>
      <c r="C312" s="27" t="str">
        <f t="shared" si="481"/>
        <v/>
      </c>
      <c r="D312" s="121"/>
      <c r="E312" s="27">
        <v>278007</v>
      </c>
      <c r="F312" s="121"/>
      <c r="G312" s="121" t="s">
        <v>900</v>
      </c>
      <c r="H312" s="121"/>
      <c r="I312" s="121"/>
      <c r="J312" s="121"/>
      <c r="K312" s="27" t="str">
        <f t="shared" si="518"/>
        <v/>
      </c>
      <c r="L312" s="27" t="str">
        <f t="shared" si="482"/>
        <v/>
      </c>
      <c r="M312" s="27" t="str">
        <f t="shared" si="519"/>
        <v>0</v>
      </c>
      <c r="N312" s="121"/>
      <c r="O312" s="121"/>
      <c r="P312" s="27" t="str">
        <f t="shared" si="571"/>
        <v>0</v>
      </c>
      <c r="Q312" s="27" t="str">
        <f t="shared" si="572"/>
        <v>0</v>
      </c>
      <c r="R312" s="27" t="str">
        <f t="shared" si="573"/>
        <v>0</v>
      </c>
      <c r="S312" s="27" t="str">
        <f t="shared" si="574"/>
        <v>0</v>
      </c>
      <c r="T312" s="27" t="str">
        <f t="shared" si="575"/>
        <v>0</v>
      </c>
      <c r="U312" s="27" t="str">
        <f t="shared" si="576"/>
        <v>0</v>
      </c>
      <c r="V312" s="27" t="str">
        <f t="shared" si="577"/>
        <v>1</v>
      </c>
      <c r="W312" s="27"/>
      <c r="X312" s="27" t="str">
        <f t="shared" si="578"/>
        <v/>
      </c>
      <c r="Y312" s="27" t="str">
        <f t="shared" si="579"/>
        <v/>
      </c>
      <c r="Z312" s="27" t="str">
        <f t="shared" si="580"/>
        <v/>
      </c>
      <c r="AA312" s="121"/>
      <c r="AB312" s="121"/>
      <c r="AC312" s="121"/>
      <c r="AD312" s="121"/>
      <c r="AE312" s="121" t="s">
        <v>51</v>
      </c>
      <c r="AF312" s="121"/>
      <c r="AG312" s="121"/>
      <c r="AH312" s="28">
        <v>278000</v>
      </c>
      <c r="AI312" s="28" t="s">
        <v>113</v>
      </c>
      <c r="AJ312" s="28">
        <v>51450</v>
      </c>
      <c r="AK312" s="28" t="str">
        <f t="shared" si="493"/>
        <v/>
      </c>
      <c r="AL312" s="123" t="str">
        <f t="shared" si="581"/>
        <v/>
      </c>
      <c r="AM312" s="28"/>
      <c r="AN312" s="28" t="s">
        <v>3245</v>
      </c>
      <c r="AO312" s="28" t="s">
        <v>3245</v>
      </c>
      <c r="AP312" s="28" t="s">
        <v>3245</v>
      </c>
      <c r="AQ312" s="28" t="s">
        <v>3245</v>
      </c>
      <c r="AR312" s="28" t="s">
        <v>3245</v>
      </c>
      <c r="AS312" s="28" t="s">
        <v>3245</v>
      </c>
      <c r="AT312" s="28" t="s">
        <v>3245</v>
      </c>
      <c r="AU312" s="28" t="s">
        <v>3245</v>
      </c>
      <c r="AV312" s="28" t="s">
        <v>3245</v>
      </c>
      <c r="AW312" s="28" t="s">
        <v>3245</v>
      </c>
      <c r="AX312" s="28" t="s">
        <v>3245</v>
      </c>
      <c r="AY312" s="124"/>
      <c r="AZ312" s="138" t="str">
        <f>IF(C312="","","delete from module_mst where pjt_id = '"&amp;C312&amp;"' and menu_id = '"&amp;E312&amp;"';")</f>
        <v/>
      </c>
      <c r="BA312" s="31" t="str">
        <f>IF(C312&lt;&gt;"",CREATE_QUERY($D$1,C$2:AY$2,C312:AY312),"")</f>
        <v/>
      </c>
    </row>
    <row r="313" spans="1:53">
      <c r="A313" s="1">
        <v>313</v>
      </c>
      <c r="B313" s="164" t="str">
        <f t="shared" si="521"/>
        <v/>
      </c>
      <c r="C313" s="27" t="str">
        <f t="shared" si="481"/>
        <v/>
      </c>
      <c r="D313" s="121"/>
      <c r="E313" s="27"/>
      <c r="F313" s="121"/>
      <c r="G313" s="121" t="s">
        <v>900</v>
      </c>
      <c r="H313" s="121"/>
      <c r="I313" s="121"/>
      <c r="J313" s="121"/>
      <c r="K313" s="27" t="str">
        <f t="shared" si="518"/>
        <v/>
      </c>
      <c r="L313" s="27" t="str">
        <f t="shared" si="482"/>
        <v/>
      </c>
      <c r="M313" s="27" t="str">
        <f t="shared" si="519"/>
        <v>0</v>
      </c>
      <c r="N313" s="121"/>
      <c r="O313" s="121"/>
      <c r="P313" s="27" t="str">
        <f t="shared" ref="P313:P339" si="582">IF(O313="","0","1")</f>
        <v>0</v>
      </c>
      <c r="Q313" s="27" t="str">
        <f t="shared" ref="Q313:Q339" si="583">IF(O313="","0","1")</f>
        <v>0</v>
      </c>
      <c r="R313" s="27" t="str">
        <f t="shared" ref="R313:R339" si="584">IF(O313="","0","1")</f>
        <v>0</v>
      </c>
      <c r="S313" s="27" t="str">
        <f t="shared" ref="S313:S339" si="585">IF(O313="","0","1")</f>
        <v>0</v>
      </c>
      <c r="T313" s="27" t="str">
        <f t="shared" ref="T313:T339" si="586">IF(O313="","0","1")</f>
        <v>0</v>
      </c>
      <c r="U313" s="27" t="str">
        <f t="shared" ref="U313:U339" si="587">IF(O313="","0","1")</f>
        <v>0</v>
      </c>
      <c r="V313" s="27" t="str">
        <f t="shared" ref="V313:V339" si="588">IF(O313="","1","1")</f>
        <v>1</v>
      </c>
      <c r="W313" s="27"/>
      <c r="X313" s="27" t="str">
        <f t="shared" ref="X313:X339" si="589">IF(O313="","","0")</f>
        <v/>
      </c>
      <c r="Y313" s="27" t="str">
        <f t="shared" ref="Y313:Y339" si="590">IF(O313="","","0")</f>
        <v/>
      </c>
      <c r="Z313" s="27" t="str">
        <f t="shared" ref="Z313:Z339" si="591">IF(O313="","","0")</f>
        <v/>
      </c>
      <c r="AA313" s="121"/>
      <c r="AB313" s="121"/>
      <c r="AC313" s="121"/>
      <c r="AD313" s="121"/>
      <c r="AE313" s="121"/>
      <c r="AF313" s="121"/>
      <c r="AG313" s="121"/>
      <c r="AH313" s="27"/>
      <c r="AI313" s="27"/>
      <c r="AJ313" s="27" t="s">
        <v>900</v>
      </c>
      <c r="AK313" s="27" t="str">
        <f t="shared" si="493"/>
        <v/>
      </c>
      <c r="AL313" s="123" t="str">
        <f t="shared" si="140"/>
        <v/>
      </c>
      <c r="AM313" s="27"/>
      <c r="AN313" s="27"/>
      <c r="AO313" s="27"/>
      <c r="AP313" s="27"/>
      <c r="AQ313" s="27"/>
      <c r="AR313" s="27"/>
      <c r="AS313" s="27"/>
      <c r="AT313" s="27"/>
      <c r="AU313" s="27"/>
      <c r="AV313" s="27"/>
      <c r="AW313" s="27"/>
      <c r="AX313" s="27"/>
      <c r="AY313" s="124"/>
      <c r="AZ313" s="138" t="str">
        <f>IF(C313="","","delete from module_mst where pjt_id = '"&amp;C313&amp;"' and menu_id = '"&amp;E313&amp;"';")</f>
        <v/>
      </c>
      <c r="BA313" s="31" t="str">
        <f>IF(C313&lt;&gt;"",CREATE_QUERY($D$1,C$2:AY$2,C313:AY313),"")</f>
        <v/>
      </c>
    </row>
    <row r="314" spans="1:53">
      <c r="A314" s="1">
        <v>314</v>
      </c>
      <c r="B314" s="159" t="str">
        <f t="shared" si="521"/>
        <v xml:space="preserve">    └ 운송비 관리</v>
      </c>
      <c r="C314" s="27" t="str">
        <f t="shared" si="481"/>
        <v>14821</v>
      </c>
      <c r="D314" s="121"/>
      <c r="E314" s="21">
        <v>279000</v>
      </c>
      <c r="F314" s="118" t="s">
        <v>2972</v>
      </c>
      <c r="G314" s="118" t="s">
        <v>3136</v>
      </c>
      <c r="H314" s="118"/>
      <c r="I314" s="118"/>
      <c r="J314" s="118"/>
      <c r="K314" s="21" t="str">
        <f t="shared" si="518"/>
        <v/>
      </c>
      <c r="L314" s="21" t="str">
        <f t="shared" si="482"/>
        <v>1</v>
      </c>
      <c r="M314" s="21" t="str">
        <f t="shared" si="519"/>
        <v>0</v>
      </c>
      <c r="N314" s="118"/>
      <c r="O314" s="118"/>
      <c r="P314" s="21" t="str">
        <f t="shared" si="582"/>
        <v>0</v>
      </c>
      <c r="Q314" s="21" t="str">
        <f t="shared" si="583"/>
        <v>0</v>
      </c>
      <c r="R314" s="21" t="str">
        <f t="shared" si="584"/>
        <v>0</v>
      </c>
      <c r="S314" s="21" t="str">
        <f t="shared" si="585"/>
        <v>0</v>
      </c>
      <c r="T314" s="21" t="str">
        <f t="shared" si="586"/>
        <v>0</v>
      </c>
      <c r="U314" s="21" t="str">
        <f t="shared" si="587"/>
        <v>0</v>
      </c>
      <c r="V314" s="21" t="str">
        <f t="shared" si="588"/>
        <v>1</v>
      </c>
      <c r="W314" s="21"/>
      <c r="X314" s="21" t="str">
        <f t="shared" si="589"/>
        <v/>
      </c>
      <c r="Y314" s="21" t="str">
        <f t="shared" si="590"/>
        <v/>
      </c>
      <c r="Z314" s="21" t="str">
        <f t="shared" si="591"/>
        <v/>
      </c>
      <c r="AA314" s="118"/>
      <c r="AB314" s="118"/>
      <c r="AC314" s="118"/>
      <c r="AD314" s="118"/>
      <c r="AE314" s="118" t="s">
        <v>51</v>
      </c>
      <c r="AF314" s="118"/>
      <c r="AG314" s="118"/>
      <c r="AH314" s="26" t="s">
        <v>173</v>
      </c>
      <c r="AI314" s="26" t="s">
        <v>112</v>
      </c>
      <c r="AJ314" s="26">
        <v>40050</v>
      </c>
      <c r="AK314" s="26" t="str">
        <f t="shared" si="493"/>
        <v>0</v>
      </c>
      <c r="AL314" s="123" t="str">
        <f t="shared" ref="AL314:AL319" si="592">IF(C314="","",C314&amp;"/"&amp;F314&amp;"/"&amp;N314&amp;"/"&amp;O314)</f>
        <v>14821/운송비 관리//</v>
      </c>
      <c r="AM314" s="26" t="s">
        <v>2979</v>
      </c>
      <c r="AN314" s="26" t="str">
        <f t="shared" ref="AN314:AX314" si="593">IF(COUNTIF(AN315:AN318,"="&amp;"Y")&gt;0,"Y",IF(COUNTIF(AN315:AN318,"="&amp;"-")&gt;0,"m",""))</f>
        <v>m</v>
      </c>
      <c r="AO314" s="26" t="str">
        <f t="shared" si="593"/>
        <v>m</v>
      </c>
      <c r="AP314" s="26" t="str">
        <f t="shared" si="593"/>
        <v>m</v>
      </c>
      <c r="AQ314" s="26" t="str">
        <f t="shared" si="593"/>
        <v>m</v>
      </c>
      <c r="AR314" s="26" t="str">
        <f t="shared" si="593"/>
        <v>m</v>
      </c>
      <c r="AS314" s="26" t="str">
        <f t="shared" si="593"/>
        <v>m</v>
      </c>
      <c r="AT314" s="26" t="str">
        <f t="shared" si="593"/>
        <v>m</v>
      </c>
      <c r="AU314" s="26" t="str">
        <f t="shared" si="593"/>
        <v>m</v>
      </c>
      <c r="AV314" s="26" t="str">
        <f t="shared" si="593"/>
        <v>m</v>
      </c>
      <c r="AW314" s="26" t="str">
        <f t="shared" si="593"/>
        <v>Y</v>
      </c>
      <c r="AX314" s="26" t="str">
        <f t="shared" si="593"/>
        <v>m</v>
      </c>
      <c r="AY314" s="124"/>
      <c r="AZ314" s="138" t="str">
        <f>IF(C314="","","delete from module_mst where pjt_id = '"&amp;C314&amp;"' and menu_id = '"&amp;E314&amp;"';")</f>
        <v>delete from module_mst where pjt_id = '14821' and menu_id = '279000';</v>
      </c>
      <c r="BA314" s="31" t="str">
        <f>IF(C314&lt;&gt;"",CREATE_QUERY($D$1,C$2:AY$2,C314:AY314),"")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'279000', '운송비 관리', 'Receiving and forwarding management', '', '', '', '', '1', '0', '', '', '0', '0', '0', '0', '0', '0', '1', '', '', '', '', '', '', '', '', 'N', '', '', '270000', '4', '40050', '0', '14821/운송비 관리//', '메뉴', '');</v>
      </c>
    </row>
    <row r="315" spans="1:53">
      <c r="A315" s="1">
        <v>315</v>
      </c>
      <c r="B315" s="164" t="str">
        <f t="shared" si="521"/>
        <v xml:space="preserve">        └ (공통)운송비 관리</v>
      </c>
      <c r="C315" s="27" t="str">
        <f t="shared" si="481"/>
        <v>14821</v>
      </c>
      <c r="D315" s="121"/>
      <c r="E315" s="27">
        <v>279001</v>
      </c>
      <c r="F315" s="121" t="s">
        <v>2972</v>
      </c>
      <c r="G315" s="121" t="s">
        <v>3147</v>
      </c>
      <c r="H315" s="121"/>
      <c r="I315" s="121"/>
      <c r="J315" s="121"/>
      <c r="K315" s="27" t="str">
        <f t="shared" si="518"/>
        <v>1</v>
      </c>
      <c r="L315" s="27" t="str">
        <f t="shared" si="482"/>
        <v>1</v>
      </c>
      <c r="M315" s="27" t="str">
        <f t="shared" si="519"/>
        <v>1</v>
      </c>
      <c r="N315" s="121" t="s">
        <v>2973</v>
      </c>
      <c r="O315" s="121" t="s">
        <v>2974</v>
      </c>
      <c r="P315" s="27" t="str">
        <f t="shared" si="582"/>
        <v>1</v>
      </c>
      <c r="Q315" s="27" t="str">
        <f t="shared" si="583"/>
        <v>1</v>
      </c>
      <c r="R315" s="27" t="str">
        <f t="shared" si="584"/>
        <v>1</v>
      </c>
      <c r="S315" s="27" t="str">
        <f t="shared" si="585"/>
        <v>1</v>
      </c>
      <c r="T315" s="27" t="str">
        <f t="shared" si="586"/>
        <v>1</v>
      </c>
      <c r="U315" s="27" t="str">
        <f t="shared" si="587"/>
        <v>1</v>
      </c>
      <c r="V315" s="27" t="str">
        <f t="shared" si="588"/>
        <v>1</v>
      </c>
      <c r="W315" s="27"/>
      <c r="X315" s="27" t="str">
        <f t="shared" si="589"/>
        <v>0</v>
      </c>
      <c r="Y315" s="27" t="str">
        <f t="shared" si="590"/>
        <v>0</v>
      </c>
      <c r="Z315" s="27" t="str">
        <f t="shared" si="591"/>
        <v>0</v>
      </c>
      <c r="AA315" s="121"/>
      <c r="AB315" s="121"/>
      <c r="AC315" s="121"/>
      <c r="AD315" s="121"/>
      <c r="AE315" s="121" t="s">
        <v>51</v>
      </c>
      <c r="AF315" s="121"/>
      <c r="AG315" s="121"/>
      <c r="AH315" s="28">
        <v>275000</v>
      </c>
      <c r="AI315" s="28" t="s">
        <v>113</v>
      </c>
      <c r="AJ315" s="28">
        <v>40013</v>
      </c>
      <c r="AK315" s="28" t="str">
        <f t="shared" si="493"/>
        <v>0</v>
      </c>
      <c r="AL315" s="123" t="str">
        <f t="shared" si="592"/>
        <v>14821/운송비 관리/custom.iypkg.etc/TrsfWork</v>
      </c>
      <c r="AM315" s="28" t="s">
        <v>2984</v>
      </c>
      <c r="AN315" s="28"/>
      <c r="AO315" s="28"/>
      <c r="AP315" s="28"/>
      <c r="AQ315" s="28"/>
      <c r="AR315" s="28"/>
      <c r="AS315" s="28"/>
      <c r="AT315" s="28"/>
      <c r="AU315" s="28"/>
      <c r="AV315" s="28"/>
      <c r="AW315" s="28" t="s">
        <v>1829</v>
      </c>
      <c r="AX315" s="28"/>
      <c r="AY315" s="124"/>
      <c r="AZ315" s="138" t="str">
        <f>IF(C315="","","delete from module_mst where pjt_id = '"&amp;C315&amp;"' and menu_id = '"&amp;E315&amp;"';")</f>
        <v>delete from module_mst where pjt_id = '14821' and menu_id = '279001';</v>
      </c>
      <c r="BA315" s="31" t="str">
        <f>IF(C315&lt;&gt;"",CREATE_QUERY($D$1,C$2:AY$2,C315:AY315),"")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'279001', '운송비 관리', 'Transportation cost management', '', '', '', '1', '1', '1', 'custom.iypkg.etc', 'TrsfWork', '1', '1', '1', '1', '1', '1', '1', '', '0', '0', '0', '', '', '', '', 'N', '', '', '275000', '5', '40013', '0', '14821/운송비 관리/custom.iypkg.etc/TrsfWork', '공통', '');</v>
      </c>
    </row>
    <row r="316" spans="1:53">
      <c r="A316" s="1">
        <v>316</v>
      </c>
      <c r="B316" s="164" t="str">
        <f t="shared" si="521"/>
        <v xml:space="preserve">        └ (공)제품출고 운송비관리</v>
      </c>
      <c r="C316" s="27" t="str">
        <f t="shared" ref="C316:C319" si="594">IF(F316="","","14821")</f>
        <v>14821</v>
      </c>
      <c r="D316" s="121"/>
      <c r="E316" s="27">
        <v>279002</v>
      </c>
      <c r="F316" s="121" t="s">
        <v>3340</v>
      </c>
      <c r="G316" s="121" t="s">
        <v>900</v>
      </c>
      <c r="H316" s="121"/>
      <c r="I316" s="121"/>
      <c r="J316" s="121"/>
      <c r="K316" s="27" t="str">
        <f t="shared" si="518"/>
        <v>1</v>
      </c>
      <c r="L316" s="27" t="str">
        <f t="shared" ref="L316:L319" si="595">IF(F316="","","1")</f>
        <v>1</v>
      </c>
      <c r="M316" s="27" t="str">
        <f t="shared" si="519"/>
        <v>1</v>
      </c>
      <c r="N316" s="121" t="s">
        <v>3304</v>
      </c>
      <c r="O316" s="121" t="s">
        <v>3341</v>
      </c>
      <c r="P316" s="27" t="str">
        <f t="shared" si="582"/>
        <v>1</v>
      </c>
      <c r="Q316" s="27" t="str">
        <f t="shared" si="583"/>
        <v>1</v>
      </c>
      <c r="R316" s="27" t="str">
        <f t="shared" si="584"/>
        <v>1</v>
      </c>
      <c r="S316" s="27" t="str">
        <f t="shared" si="585"/>
        <v>1</v>
      </c>
      <c r="T316" s="27" t="str">
        <f t="shared" si="586"/>
        <v>1</v>
      </c>
      <c r="U316" s="27" t="str">
        <f t="shared" si="587"/>
        <v>1</v>
      </c>
      <c r="V316" s="27" t="str">
        <f t="shared" si="588"/>
        <v>1</v>
      </c>
      <c r="W316" s="27"/>
      <c r="X316" s="27" t="str">
        <f t="shared" si="589"/>
        <v>0</v>
      </c>
      <c r="Y316" s="27" t="str">
        <f t="shared" si="590"/>
        <v>0</v>
      </c>
      <c r="Z316" s="27" t="str">
        <f t="shared" si="591"/>
        <v>0</v>
      </c>
      <c r="AA316" s="121"/>
      <c r="AB316" s="121"/>
      <c r="AC316" s="121"/>
      <c r="AD316" s="121"/>
      <c r="AE316" s="121" t="s">
        <v>51</v>
      </c>
      <c r="AF316" s="121"/>
      <c r="AG316" s="121"/>
      <c r="AH316" s="28">
        <v>275000</v>
      </c>
      <c r="AI316" s="28" t="s">
        <v>113</v>
      </c>
      <c r="AJ316" s="28">
        <v>41000</v>
      </c>
      <c r="AK316" s="28" t="str">
        <f t="shared" ref="AK316:AK319" si="596">IF(B316="","","0")</f>
        <v>0</v>
      </c>
      <c r="AL316" s="123" t="str">
        <f t="shared" si="592"/>
        <v>14821/제품출고 운송비관리/custom.sjflv.stock.isos/OsttTrntMast</v>
      </c>
      <c r="AM316" s="28" t="s">
        <v>3355</v>
      </c>
      <c r="AN316" s="28" t="s">
        <v>3245</v>
      </c>
      <c r="AO316" s="28" t="s">
        <v>3245</v>
      </c>
      <c r="AP316" s="28" t="s">
        <v>3245</v>
      </c>
      <c r="AQ316" s="28" t="s">
        <v>3245</v>
      </c>
      <c r="AR316" s="28" t="s">
        <v>3245</v>
      </c>
      <c r="AS316" s="28" t="s">
        <v>3245</v>
      </c>
      <c r="AT316" s="28" t="s">
        <v>3245</v>
      </c>
      <c r="AU316" s="28" t="s">
        <v>3245</v>
      </c>
      <c r="AV316" s="28" t="s">
        <v>3245</v>
      </c>
      <c r="AW316" s="28" t="s">
        <v>3245</v>
      </c>
      <c r="AX316" s="28" t="s">
        <v>3245</v>
      </c>
      <c r="AY316" s="124"/>
      <c r="AZ316" s="138" t="str">
        <f>IF(C316="","","delete from module_mst where pjt_id = '"&amp;C316&amp;"' and menu_id = '"&amp;E316&amp;"';")</f>
        <v>delete from module_mst where pjt_id = '14821' and menu_id = '279002';</v>
      </c>
      <c r="BA316" s="31" t="str">
        <f>IF(C316&lt;&gt;"",CREATE_QUERY($D$1,C$2:AY$2,C316:AY316),"")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'279002', '제품출고 운송비관리', '', '', '', '', '1', '1', '1', 'custom.sjflv.stock.isos', 'OsttTrntMast', '1', '1', '1', '1', '1', '1', '1', '', '0', '0', '0', '', '', '', '', 'N', '', '', '275000', '5', '41000', '0', '14821/제품출고 운송비관리/custom.sjflv.stock.isos/OsttTrntMast', '공', '');</v>
      </c>
    </row>
    <row r="317" spans="1:53">
      <c r="A317" s="1">
        <v>317</v>
      </c>
      <c r="B317" s="164" t="str">
        <f t="shared" si="521"/>
        <v/>
      </c>
      <c r="C317" s="27" t="str">
        <f t="shared" si="594"/>
        <v/>
      </c>
      <c r="D317" s="121"/>
      <c r="E317" s="27">
        <v>279003</v>
      </c>
      <c r="F317" s="121"/>
      <c r="G317" s="121" t="s">
        <v>900</v>
      </c>
      <c r="H317" s="121"/>
      <c r="I317" s="121"/>
      <c r="J317" s="121"/>
      <c r="K317" s="27" t="str">
        <f t="shared" si="518"/>
        <v/>
      </c>
      <c r="L317" s="27" t="str">
        <f t="shared" si="595"/>
        <v/>
      </c>
      <c r="M317" s="27" t="str">
        <f t="shared" si="519"/>
        <v>0</v>
      </c>
      <c r="N317" s="121"/>
      <c r="O317" s="121"/>
      <c r="P317" s="27" t="str">
        <f t="shared" si="582"/>
        <v>0</v>
      </c>
      <c r="Q317" s="27" t="str">
        <f t="shared" si="583"/>
        <v>0</v>
      </c>
      <c r="R317" s="27" t="str">
        <f t="shared" si="584"/>
        <v>0</v>
      </c>
      <c r="S317" s="27" t="str">
        <f t="shared" si="585"/>
        <v>0</v>
      </c>
      <c r="T317" s="27" t="str">
        <f t="shared" si="586"/>
        <v>0</v>
      </c>
      <c r="U317" s="27" t="str">
        <f t="shared" si="587"/>
        <v>0</v>
      </c>
      <c r="V317" s="27" t="str">
        <f t="shared" si="588"/>
        <v>1</v>
      </c>
      <c r="W317" s="27"/>
      <c r="X317" s="27" t="str">
        <f t="shared" si="589"/>
        <v/>
      </c>
      <c r="Y317" s="27" t="str">
        <f t="shared" si="590"/>
        <v/>
      </c>
      <c r="Z317" s="27" t="str">
        <f t="shared" si="591"/>
        <v/>
      </c>
      <c r="AA317" s="121"/>
      <c r="AB317" s="121"/>
      <c r="AC317" s="121"/>
      <c r="AD317" s="121"/>
      <c r="AE317" s="121" t="s">
        <v>51</v>
      </c>
      <c r="AF317" s="121"/>
      <c r="AG317" s="121"/>
      <c r="AH317" s="28">
        <v>275000</v>
      </c>
      <c r="AI317" s="28" t="s">
        <v>113</v>
      </c>
      <c r="AJ317" s="28">
        <v>41100</v>
      </c>
      <c r="AK317" s="28" t="str">
        <f t="shared" si="596"/>
        <v/>
      </c>
      <c r="AL317" s="123" t="str">
        <f t="shared" si="592"/>
        <v/>
      </c>
      <c r="AM317" s="28"/>
      <c r="AN317" s="28" t="s">
        <v>3245</v>
      </c>
      <c r="AO317" s="28" t="s">
        <v>3245</v>
      </c>
      <c r="AP317" s="28" t="s">
        <v>3245</v>
      </c>
      <c r="AQ317" s="28" t="s">
        <v>3245</v>
      </c>
      <c r="AR317" s="28" t="s">
        <v>3245</v>
      </c>
      <c r="AS317" s="28" t="s">
        <v>3245</v>
      </c>
      <c r="AT317" s="28" t="s">
        <v>3245</v>
      </c>
      <c r="AU317" s="28" t="s">
        <v>3245</v>
      </c>
      <c r="AV317" s="28" t="s">
        <v>3245</v>
      </c>
      <c r="AW317" s="28" t="s">
        <v>3245</v>
      </c>
      <c r="AX317" s="28" t="s">
        <v>3245</v>
      </c>
      <c r="AY317" s="124"/>
      <c r="AZ317" s="138" t="str">
        <f>IF(C317="","","delete from module_mst where pjt_id = '"&amp;C317&amp;"' and menu_id = '"&amp;E317&amp;"';")</f>
        <v/>
      </c>
      <c r="BA317" s="31" t="str">
        <f>IF(C317&lt;&gt;"",CREATE_QUERY($D$1,C$2:AY$2,C317:AY317),"")</f>
        <v/>
      </c>
    </row>
    <row r="318" spans="1:53">
      <c r="A318" s="1">
        <v>318</v>
      </c>
      <c r="B318" s="164" t="str">
        <f t="shared" si="521"/>
        <v/>
      </c>
      <c r="C318" s="27" t="str">
        <f t="shared" si="594"/>
        <v/>
      </c>
      <c r="D318" s="121"/>
      <c r="E318" s="27">
        <v>279004</v>
      </c>
      <c r="F318" s="121"/>
      <c r="G318" s="121" t="s">
        <v>900</v>
      </c>
      <c r="H318" s="121"/>
      <c r="I318" s="121"/>
      <c r="J318" s="121"/>
      <c r="K318" s="27" t="str">
        <f t="shared" ref="K318:K319" si="597">IF(O318="","","1")</f>
        <v/>
      </c>
      <c r="L318" s="27" t="str">
        <f t="shared" si="595"/>
        <v/>
      </c>
      <c r="M318" s="27" t="str">
        <f t="shared" ref="M318:M319" si="598">IF(O318="","0","1")</f>
        <v>0</v>
      </c>
      <c r="N318" s="121"/>
      <c r="O318" s="121"/>
      <c r="P318" s="27" t="str">
        <f t="shared" si="582"/>
        <v>0</v>
      </c>
      <c r="Q318" s="27" t="str">
        <f t="shared" si="583"/>
        <v>0</v>
      </c>
      <c r="R318" s="27" t="str">
        <f t="shared" si="584"/>
        <v>0</v>
      </c>
      <c r="S318" s="27" t="str">
        <f t="shared" si="585"/>
        <v>0</v>
      </c>
      <c r="T318" s="27" t="str">
        <f t="shared" si="586"/>
        <v>0</v>
      </c>
      <c r="U318" s="27" t="str">
        <f t="shared" si="587"/>
        <v>0</v>
      </c>
      <c r="V318" s="27" t="str">
        <f t="shared" si="588"/>
        <v>1</v>
      </c>
      <c r="W318" s="27"/>
      <c r="X318" s="27" t="str">
        <f t="shared" si="589"/>
        <v/>
      </c>
      <c r="Y318" s="27" t="str">
        <f t="shared" si="590"/>
        <v/>
      </c>
      <c r="Z318" s="27" t="str">
        <f t="shared" si="591"/>
        <v/>
      </c>
      <c r="AA318" s="121"/>
      <c r="AB318" s="121"/>
      <c r="AC318" s="121"/>
      <c r="AD318" s="121"/>
      <c r="AE318" s="121" t="s">
        <v>51</v>
      </c>
      <c r="AF318" s="121"/>
      <c r="AG318" s="121"/>
      <c r="AH318" s="28">
        <v>275000</v>
      </c>
      <c r="AI318" s="28" t="s">
        <v>113</v>
      </c>
      <c r="AJ318" s="28">
        <v>41150</v>
      </c>
      <c r="AK318" s="28" t="str">
        <f t="shared" si="596"/>
        <v/>
      </c>
      <c r="AL318" s="123" t="str">
        <f t="shared" si="592"/>
        <v/>
      </c>
      <c r="AM318" s="28"/>
      <c r="AN318" s="28" t="s">
        <v>3245</v>
      </c>
      <c r="AO318" s="28" t="s">
        <v>3245</v>
      </c>
      <c r="AP318" s="28" t="s">
        <v>3245</v>
      </c>
      <c r="AQ318" s="28" t="s">
        <v>3245</v>
      </c>
      <c r="AR318" s="28" t="s">
        <v>3245</v>
      </c>
      <c r="AS318" s="28" t="s">
        <v>3245</v>
      </c>
      <c r="AT318" s="28" t="s">
        <v>3245</v>
      </c>
      <c r="AU318" s="28" t="s">
        <v>3245</v>
      </c>
      <c r="AV318" s="28" t="s">
        <v>3245</v>
      </c>
      <c r="AW318" s="28" t="s">
        <v>3245</v>
      </c>
      <c r="AX318" s="28" t="s">
        <v>3245</v>
      </c>
      <c r="AY318" s="124"/>
      <c r="AZ318" s="138" t="str">
        <f>IF(C318="","","delete from module_mst where pjt_id = '"&amp;C318&amp;"' and menu_id = '"&amp;E318&amp;"';")</f>
        <v/>
      </c>
      <c r="BA318" s="31" t="str">
        <f>IF(C318&lt;&gt;"",CREATE_QUERY($D$1,C$2:AY$2,C318:AY318),"")</f>
        <v/>
      </c>
    </row>
    <row r="319" spans="1:53">
      <c r="A319" s="1">
        <v>319</v>
      </c>
      <c r="B319" s="164" t="str">
        <f t="shared" ref="B319" si="599">IF(F319="","",IF(AI319="1","",IF(AI319="2","└ ",IF(AI319="3","  └ ",IF(AI319="4","    └ ",IF(AI319="5","        └ ",IF(AI319="6","         └ ",IF(AI319="7"="            └ ",""))))))))&amp;IF(AM319="","",IF(AM319="메뉴","","("&amp;AM319&amp;")"))&amp;F319</f>
        <v/>
      </c>
      <c r="C319" s="27" t="str">
        <f t="shared" si="594"/>
        <v/>
      </c>
      <c r="D319" s="121"/>
      <c r="E319" s="27"/>
      <c r="F319" s="121"/>
      <c r="G319" s="121" t="s">
        <v>900</v>
      </c>
      <c r="H319" s="121"/>
      <c r="I319" s="121"/>
      <c r="J319" s="121"/>
      <c r="K319" s="27" t="str">
        <f t="shared" si="597"/>
        <v/>
      </c>
      <c r="L319" s="27" t="str">
        <f t="shared" si="595"/>
        <v/>
      </c>
      <c r="M319" s="27" t="str">
        <f t="shared" si="598"/>
        <v>0</v>
      </c>
      <c r="N319" s="121"/>
      <c r="O319" s="121"/>
      <c r="P319" s="27" t="str">
        <f t="shared" si="582"/>
        <v>0</v>
      </c>
      <c r="Q319" s="27" t="str">
        <f t="shared" si="583"/>
        <v>0</v>
      </c>
      <c r="R319" s="27" t="str">
        <f t="shared" si="584"/>
        <v>0</v>
      </c>
      <c r="S319" s="27" t="str">
        <f t="shared" si="585"/>
        <v>0</v>
      </c>
      <c r="T319" s="27" t="str">
        <f t="shared" si="586"/>
        <v>0</v>
      </c>
      <c r="U319" s="27" t="str">
        <f t="shared" si="587"/>
        <v>0</v>
      </c>
      <c r="V319" s="27" t="str">
        <f t="shared" si="588"/>
        <v>1</v>
      </c>
      <c r="W319" s="27"/>
      <c r="X319" s="27" t="str">
        <f t="shared" si="589"/>
        <v/>
      </c>
      <c r="Y319" s="27" t="str">
        <f t="shared" si="590"/>
        <v/>
      </c>
      <c r="Z319" s="27" t="str">
        <f t="shared" si="591"/>
        <v/>
      </c>
      <c r="AA319" s="121"/>
      <c r="AB319" s="121"/>
      <c r="AC319" s="121"/>
      <c r="AD319" s="121"/>
      <c r="AE319" s="121"/>
      <c r="AF319" s="121"/>
      <c r="AG319" s="121"/>
      <c r="AH319" s="27"/>
      <c r="AI319" s="27"/>
      <c r="AJ319" s="27" t="s">
        <v>900</v>
      </c>
      <c r="AK319" s="27" t="str">
        <f t="shared" si="596"/>
        <v/>
      </c>
      <c r="AL319" s="123" t="str">
        <f t="shared" si="592"/>
        <v/>
      </c>
      <c r="AM319" s="27"/>
      <c r="AN319" s="27"/>
      <c r="AO319" s="27"/>
      <c r="AP319" s="27"/>
      <c r="AQ319" s="27"/>
      <c r="AR319" s="27"/>
      <c r="AS319" s="27"/>
      <c r="AT319" s="27"/>
      <c r="AU319" s="27"/>
      <c r="AV319" s="27"/>
      <c r="AW319" s="27"/>
      <c r="AX319" s="27"/>
      <c r="AY319" s="124"/>
      <c r="AZ319" s="138" t="str">
        <f>IF(C319="","","delete from module_mst where pjt_id = '"&amp;C319&amp;"' and menu_id = '"&amp;E319&amp;"';")</f>
        <v/>
      </c>
      <c r="BA319" s="31" t="str">
        <f>IF(C319&lt;&gt;"",CREATE_QUERY($D$1,C$2:AY$2,C319:AY319),"")</f>
        <v/>
      </c>
    </row>
    <row r="320" spans="1:53">
      <c r="A320" s="1">
        <v>320</v>
      </c>
      <c r="B320" s="165" t="str">
        <f t="shared" si="521"/>
        <v xml:space="preserve">  └ 생산관리</v>
      </c>
      <c r="C320" s="27" t="str">
        <f t="shared" si="481"/>
        <v>14821</v>
      </c>
      <c r="D320" s="121"/>
      <c r="E320" s="25" t="s">
        <v>359</v>
      </c>
      <c r="F320" s="127" t="s">
        <v>196</v>
      </c>
      <c r="G320" s="127" t="s">
        <v>3162</v>
      </c>
      <c r="H320" s="127"/>
      <c r="I320" s="127"/>
      <c r="J320" s="127"/>
      <c r="K320" s="25" t="str">
        <f t="shared" si="518"/>
        <v/>
      </c>
      <c r="L320" s="25" t="str">
        <f t="shared" si="482"/>
        <v>1</v>
      </c>
      <c r="M320" s="25" t="str">
        <f t="shared" si="519"/>
        <v>0</v>
      </c>
      <c r="N320" s="127"/>
      <c r="O320" s="127"/>
      <c r="P320" s="25" t="str">
        <f t="shared" si="582"/>
        <v>0</v>
      </c>
      <c r="Q320" s="25" t="str">
        <f t="shared" si="583"/>
        <v>0</v>
      </c>
      <c r="R320" s="25" t="str">
        <f t="shared" si="584"/>
        <v>0</v>
      </c>
      <c r="S320" s="25" t="str">
        <f t="shared" si="585"/>
        <v>0</v>
      </c>
      <c r="T320" s="25" t="str">
        <f t="shared" si="586"/>
        <v>0</v>
      </c>
      <c r="U320" s="25" t="str">
        <f t="shared" si="587"/>
        <v>0</v>
      </c>
      <c r="V320" s="25" t="str">
        <f t="shared" si="588"/>
        <v>1</v>
      </c>
      <c r="W320" s="25"/>
      <c r="X320" s="25" t="str">
        <f t="shared" si="589"/>
        <v/>
      </c>
      <c r="Y320" s="25" t="str">
        <f t="shared" si="590"/>
        <v/>
      </c>
      <c r="Z320" s="25" t="str">
        <f t="shared" si="591"/>
        <v/>
      </c>
      <c r="AA320" s="127"/>
      <c r="AB320" s="127"/>
      <c r="AC320" s="127"/>
      <c r="AD320" s="127"/>
      <c r="AE320" s="127" t="s">
        <v>51</v>
      </c>
      <c r="AF320" s="127"/>
      <c r="AG320" s="127"/>
      <c r="AH320" s="24" t="s">
        <v>120</v>
      </c>
      <c r="AI320" s="24" t="s">
        <v>111</v>
      </c>
      <c r="AJ320" s="24">
        <v>60000</v>
      </c>
      <c r="AK320" s="24" t="str">
        <f t="shared" si="493"/>
        <v>0</v>
      </c>
      <c r="AL320" s="123" t="str">
        <f t="shared" si="140"/>
        <v>14821/생산관리//</v>
      </c>
      <c r="AM320" s="24" t="s">
        <v>2979</v>
      </c>
      <c r="AN320" s="24" t="str">
        <f t="shared" ref="AN320:AX320" ca="1" si="600">IF(COUNTIF(AN321:AN354,"="&amp;"Y")&gt;0,"Y",IF(COUNTIF(AN321:AN354,"="&amp;"-")&gt;0,"m",""))</f>
        <v>Y</v>
      </c>
      <c r="AO320" s="24" t="str">
        <f t="shared" ca="1" si="600"/>
        <v>Y</v>
      </c>
      <c r="AP320" s="24" t="str">
        <f t="shared" ca="1" si="600"/>
        <v>Y</v>
      </c>
      <c r="AQ320" s="24" t="str">
        <f t="shared" ca="1" si="600"/>
        <v>m</v>
      </c>
      <c r="AR320" s="24" t="str">
        <f t="shared" ca="1" si="600"/>
        <v>Y</v>
      </c>
      <c r="AS320" s="24" t="str">
        <f t="shared" ca="1" si="600"/>
        <v>Y</v>
      </c>
      <c r="AT320" s="24" t="str">
        <f t="shared" ca="1" si="600"/>
        <v>Y</v>
      </c>
      <c r="AU320" s="24" t="str">
        <f t="shared" ca="1" si="600"/>
        <v>m</v>
      </c>
      <c r="AV320" s="24" t="str">
        <f t="shared" ca="1" si="600"/>
        <v>Y</v>
      </c>
      <c r="AW320" s="24" t="str">
        <f t="shared" ca="1" si="600"/>
        <v>Y</v>
      </c>
      <c r="AX320" s="24" t="str">
        <f t="shared" ca="1" si="600"/>
        <v>m</v>
      </c>
      <c r="AY320" s="124"/>
      <c r="AZ320" s="138" t="str">
        <f>IF(C320="","","delete from module_mst where pjt_id = '"&amp;C320&amp;"' and menu_id = '"&amp;E320&amp;"';")</f>
        <v>delete from module_mst where pjt_id = '14821' and menu_id = '280000';</v>
      </c>
      <c r="BA320" s="31" t="e">
        <f ca="1">IF(C320&lt;&gt;"",CREATE_QUERY($D$1,C$2:AY$2,C320:AY320),"")</f>
        <v>#NAME?</v>
      </c>
    </row>
    <row r="321" spans="1:53">
      <c r="A321" s="1">
        <v>321</v>
      </c>
      <c r="B321" s="159" t="str">
        <f t="shared" si="521"/>
        <v xml:space="preserve">    └ 기준정보관리</v>
      </c>
      <c r="C321" s="27" t="str">
        <f t="shared" si="481"/>
        <v>14821</v>
      </c>
      <c r="D321" s="121"/>
      <c r="E321" s="21" t="s">
        <v>360</v>
      </c>
      <c r="F321" s="118" t="s">
        <v>198</v>
      </c>
      <c r="G321" s="118" t="s">
        <v>3075</v>
      </c>
      <c r="H321" s="118"/>
      <c r="I321" s="118"/>
      <c r="J321" s="118"/>
      <c r="K321" s="21" t="str">
        <f t="shared" si="518"/>
        <v/>
      </c>
      <c r="L321" s="21" t="str">
        <f t="shared" si="482"/>
        <v>1</v>
      </c>
      <c r="M321" s="21" t="str">
        <f t="shared" si="519"/>
        <v>0</v>
      </c>
      <c r="N321" s="118"/>
      <c r="O321" s="118"/>
      <c r="P321" s="21" t="str">
        <f t="shared" si="582"/>
        <v>0</v>
      </c>
      <c r="Q321" s="21" t="str">
        <f t="shared" si="583"/>
        <v>0</v>
      </c>
      <c r="R321" s="21" t="str">
        <f t="shared" si="584"/>
        <v>0</v>
      </c>
      <c r="S321" s="21" t="str">
        <f t="shared" si="585"/>
        <v>0</v>
      </c>
      <c r="T321" s="21" t="str">
        <f t="shared" si="586"/>
        <v>0</v>
      </c>
      <c r="U321" s="21" t="str">
        <f t="shared" si="587"/>
        <v>0</v>
      </c>
      <c r="V321" s="21" t="str">
        <f t="shared" si="588"/>
        <v>1</v>
      </c>
      <c r="W321" s="21"/>
      <c r="X321" s="21" t="str">
        <f t="shared" si="589"/>
        <v/>
      </c>
      <c r="Y321" s="21" t="str">
        <f t="shared" si="590"/>
        <v/>
      </c>
      <c r="Z321" s="21" t="str">
        <f t="shared" si="591"/>
        <v/>
      </c>
      <c r="AA321" s="118"/>
      <c r="AB321" s="118"/>
      <c r="AC321" s="118"/>
      <c r="AD321" s="118"/>
      <c r="AE321" s="118" t="s">
        <v>51</v>
      </c>
      <c r="AF321" s="118"/>
      <c r="AG321" s="118"/>
      <c r="AH321" s="26" t="s">
        <v>197</v>
      </c>
      <c r="AI321" s="26" t="s">
        <v>112</v>
      </c>
      <c r="AJ321" s="26">
        <v>60050</v>
      </c>
      <c r="AK321" s="26" t="str">
        <f t="shared" si="493"/>
        <v>0</v>
      </c>
      <c r="AL321" s="123" t="str">
        <f t="shared" si="140"/>
        <v>14821/기준정보관리//</v>
      </c>
      <c r="AM321" s="26" t="s">
        <v>2979</v>
      </c>
      <c r="AN321" s="26" t="str">
        <f t="shared" ref="AN321:AX321" si="601">IF(COUNTIF(AN322:AN333,"="&amp;"Y")&gt;0,"Y",IF(COUNTIF(AN322:AN333,"="&amp;"-")&gt;0,"m",""))</f>
        <v>m</v>
      </c>
      <c r="AO321" s="26" t="str">
        <f t="shared" si="601"/>
        <v>Y</v>
      </c>
      <c r="AP321" s="26" t="str">
        <f t="shared" si="601"/>
        <v>m</v>
      </c>
      <c r="AQ321" s="26" t="str">
        <f t="shared" si="601"/>
        <v>m</v>
      </c>
      <c r="AR321" s="26" t="str">
        <f t="shared" si="601"/>
        <v>m</v>
      </c>
      <c r="AS321" s="26" t="str">
        <f t="shared" si="601"/>
        <v>Y</v>
      </c>
      <c r="AT321" s="26" t="str">
        <f t="shared" si="601"/>
        <v>Y</v>
      </c>
      <c r="AU321" s="26" t="str">
        <f t="shared" si="601"/>
        <v>m</v>
      </c>
      <c r="AV321" s="26" t="str">
        <f t="shared" si="601"/>
        <v>m</v>
      </c>
      <c r="AW321" s="26" t="str">
        <f t="shared" si="601"/>
        <v>Y</v>
      </c>
      <c r="AX321" s="26" t="str">
        <f t="shared" si="601"/>
        <v>m</v>
      </c>
      <c r="AY321" s="124"/>
      <c r="AZ321" s="138" t="str">
        <f>IF(C321="","","delete from module_mst where pjt_id = '"&amp;C321&amp;"' and menu_id = '"&amp;E321&amp;"';")</f>
        <v>delete from module_mst where pjt_id = '14821' and menu_id = '281000';</v>
      </c>
      <c r="BA321" s="31" t="str">
        <f>IF(C321&lt;&gt;"",CREATE_QUERY($D$1,C$2:AY$2,C321:AY321),"")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'281000', '기준정보관리', 'Standard information management', '', '', '', '', '1', '0', '', '', '0', '0', '0', '0', '0', '0', '1', '', '', '', '', '', '', '', '', 'N', '', '', '280000', '4', '60050', '0', '14821/기준정보관리//', '메뉴', '');</v>
      </c>
    </row>
    <row r="322" spans="1:53">
      <c r="A322" s="1">
        <v>322</v>
      </c>
      <c r="B322" s="164" t="str">
        <f t="shared" si="521"/>
        <v xml:space="preserve">        └ (공통)공정코드 관리</v>
      </c>
      <c r="C322" s="27" t="str">
        <f t="shared" si="481"/>
        <v>14821</v>
      </c>
      <c r="D322" s="121"/>
      <c r="E322" s="27">
        <v>281001</v>
      </c>
      <c r="F322" s="121" t="s">
        <v>200</v>
      </c>
      <c r="G322" s="121" t="s">
        <v>3163</v>
      </c>
      <c r="H322" s="121"/>
      <c r="I322" s="121"/>
      <c r="J322" s="121"/>
      <c r="K322" s="27" t="str">
        <f t="shared" si="518"/>
        <v>1</v>
      </c>
      <c r="L322" s="27" t="str">
        <f t="shared" si="482"/>
        <v>1</v>
      </c>
      <c r="M322" s="27" t="str">
        <f t="shared" si="519"/>
        <v>1</v>
      </c>
      <c r="N322" s="121" t="s">
        <v>314</v>
      </c>
      <c r="O322" s="121" t="s">
        <v>204</v>
      </c>
      <c r="P322" s="27" t="str">
        <f t="shared" si="582"/>
        <v>1</v>
      </c>
      <c r="Q322" s="27" t="str">
        <f t="shared" si="583"/>
        <v>1</v>
      </c>
      <c r="R322" s="27" t="str">
        <f t="shared" si="584"/>
        <v>1</v>
      </c>
      <c r="S322" s="27" t="str">
        <f t="shared" si="585"/>
        <v>1</v>
      </c>
      <c r="T322" s="27" t="str">
        <f t="shared" si="586"/>
        <v>1</v>
      </c>
      <c r="U322" s="27" t="str">
        <f t="shared" si="587"/>
        <v>1</v>
      </c>
      <c r="V322" s="27" t="str">
        <f t="shared" si="588"/>
        <v>1</v>
      </c>
      <c r="W322" s="27"/>
      <c r="X322" s="27" t="str">
        <f t="shared" si="589"/>
        <v>0</v>
      </c>
      <c r="Y322" s="27" t="str">
        <f t="shared" si="590"/>
        <v>0</v>
      </c>
      <c r="Z322" s="27" t="str">
        <f t="shared" si="591"/>
        <v>0</v>
      </c>
      <c r="AA322" s="121"/>
      <c r="AB322" s="121"/>
      <c r="AC322" s="121"/>
      <c r="AD322" s="121"/>
      <c r="AE322" s="121" t="s">
        <v>51</v>
      </c>
      <c r="AF322" s="121"/>
      <c r="AG322" s="121"/>
      <c r="AH322" s="28" t="s">
        <v>199</v>
      </c>
      <c r="AI322" s="28" t="s">
        <v>113</v>
      </c>
      <c r="AJ322" s="28">
        <v>60100</v>
      </c>
      <c r="AK322" s="28" t="str">
        <f t="shared" si="493"/>
        <v>0</v>
      </c>
      <c r="AL322" s="123" t="str">
        <f t="shared" si="140"/>
        <v>14821/공정코드 관리/prod.basic/WkctMast</v>
      </c>
      <c r="AM322" s="28" t="s">
        <v>2981</v>
      </c>
      <c r="AN322" s="28"/>
      <c r="AO322" s="28"/>
      <c r="AP322" s="28"/>
      <c r="AQ322" s="28"/>
      <c r="AR322" s="28"/>
      <c r="AS322" s="28" t="s">
        <v>1829</v>
      </c>
      <c r="AT322" s="28" t="s">
        <v>1829</v>
      </c>
      <c r="AU322" s="28"/>
      <c r="AV322" s="28"/>
      <c r="AW322" s="28" t="s">
        <v>1829</v>
      </c>
      <c r="AX322" s="28"/>
      <c r="AY322" s="124"/>
      <c r="AZ322" s="138" t="str">
        <f>IF(C322="","","delete from module_mst where pjt_id = '"&amp;C322&amp;"' and menu_id = '"&amp;E322&amp;"';")</f>
        <v>delete from module_mst where pjt_id = '14821' and menu_id = '281001';</v>
      </c>
      <c r="BA322" s="31" t="str">
        <f>IF(C322&lt;&gt;"",CREATE_QUERY($D$1,C$2:AY$2,C322:AY322),"")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'281001', '공정코드 관리', 'Process code management', '', '', '', '1', '1', '1', 'prod.basic', 'WkctMast', '1', '1', '1', '1', '1', '1', '1', '', '0', '0', '0', '', '', '', '', 'N', '', '', '281000', '5', '60100', '0', '14821/공정코드 관리/prod.basic/WkctMast', '공통', '');</v>
      </c>
    </row>
    <row r="323" spans="1:53">
      <c r="A323" s="1">
        <v>323</v>
      </c>
      <c r="B323" s="164" t="str">
        <f t="shared" si="521"/>
        <v xml:space="preserve">        └ (공통)공정별 설비 관리</v>
      </c>
      <c r="C323" s="27" t="str">
        <f t="shared" si="481"/>
        <v>14821</v>
      </c>
      <c r="D323" s="121"/>
      <c r="E323" s="27">
        <v>281002</v>
      </c>
      <c r="F323" s="121" t="s">
        <v>319</v>
      </c>
      <c r="G323" s="121" t="s">
        <v>3164</v>
      </c>
      <c r="H323" s="121"/>
      <c r="I323" s="121"/>
      <c r="J323" s="121"/>
      <c r="K323" s="27" t="str">
        <f t="shared" si="518"/>
        <v>1</v>
      </c>
      <c r="L323" s="27" t="str">
        <f t="shared" si="482"/>
        <v>1</v>
      </c>
      <c r="M323" s="27" t="str">
        <f t="shared" si="519"/>
        <v>1</v>
      </c>
      <c r="N323" s="121" t="s">
        <v>314</v>
      </c>
      <c r="O323" s="121" t="s">
        <v>320</v>
      </c>
      <c r="P323" s="27" t="str">
        <f t="shared" si="582"/>
        <v>1</v>
      </c>
      <c r="Q323" s="27" t="str">
        <f t="shared" si="583"/>
        <v>1</v>
      </c>
      <c r="R323" s="27" t="str">
        <f t="shared" si="584"/>
        <v>1</v>
      </c>
      <c r="S323" s="27" t="str">
        <f t="shared" si="585"/>
        <v>1</v>
      </c>
      <c r="T323" s="27" t="str">
        <f t="shared" si="586"/>
        <v>1</v>
      </c>
      <c r="U323" s="27" t="str">
        <f t="shared" si="587"/>
        <v>1</v>
      </c>
      <c r="V323" s="27" t="str">
        <f t="shared" si="588"/>
        <v>1</v>
      </c>
      <c r="W323" s="27"/>
      <c r="X323" s="27" t="str">
        <f t="shared" si="589"/>
        <v>0</v>
      </c>
      <c r="Y323" s="27" t="str">
        <f t="shared" si="590"/>
        <v>0</v>
      </c>
      <c r="Z323" s="27" t="str">
        <f t="shared" si="591"/>
        <v>0</v>
      </c>
      <c r="AA323" s="121"/>
      <c r="AB323" s="121"/>
      <c r="AC323" s="121"/>
      <c r="AD323" s="121"/>
      <c r="AE323" s="121" t="s">
        <v>51</v>
      </c>
      <c r="AF323" s="121"/>
      <c r="AG323" s="121"/>
      <c r="AH323" s="28" t="s">
        <v>199</v>
      </c>
      <c r="AI323" s="28" t="s">
        <v>113</v>
      </c>
      <c r="AJ323" s="28">
        <v>60150</v>
      </c>
      <c r="AK323" s="28" t="str">
        <f t="shared" si="493"/>
        <v>0</v>
      </c>
      <c r="AL323" s="123" t="str">
        <f t="shared" si="140"/>
        <v>14821/공정별 설비 관리/prod.basic/WkctCvicMast</v>
      </c>
      <c r="AM323" s="28" t="s">
        <v>2981</v>
      </c>
      <c r="AN323" s="28"/>
      <c r="AO323" s="28"/>
      <c r="AP323" s="28"/>
      <c r="AQ323" s="28"/>
      <c r="AR323" s="28"/>
      <c r="AS323" s="28"/>
      <c r="AT323" s="28" t="s">
        <v>1829</v>
      </c>
      <c r="AU323" s="28"/>
      <c r="AV323" s="28"/>
      <c r="AW323" s="28" t="s">
        <v>1829</v>
      </c>
      <c r="AX323" s="28"/>
      <c r="AY323" s="124"/>
      <c r="AZ323" s="138" t="str">
        <f>IF(C323="","","delete from module_mst where pjt_id = '"&amp;C323&amp;"' and menu_id = '"&amp;E323&amp;"';")</f>
        <v>delete from module_mst where pjt_id = '14821' and menu_id = '281002';</v>
      </c>
      <c r="BA323" s="31" t="str">
        <f>IF(C323&lt;&gt;"",CREATE_QUERY($D$1,C$2:AY$2,C323:AY323),"")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'281002', '공정별 설비 관리', 'Facility management by process', '', '', '', '1', '1', '1', 'prod.basic', 'WkctCvicMast', '1', '1', '1', '1', '1', '1', '1', '', '0', '0', '0', '', '', '', '', 'N', '', '', '281000', '5', '60150', '0', '14821/공정별 설비 관리/prod.basic/WkctCvicMast', '공통', '');</v>
      </c>
    </row>
    <row r="324" spans="1:53">
      <c r="A324" s="1">
        <v>324</v>
      </c>
      <c r="B324" s="164" t="str">
        <f t="shared" si="521"/>
        <v xml:space="preserve">        └ (공통)공정별 작업자 관리</v>
      </c>
      <c r="C324" s="27" t="str">
        <f t="shared" si="481"/>
        <v>14821</v>
      </c>
      <c r="D324" s="121"/>
      <c r="E324" s="27">
        <v>281003</v>
      </c>
      <c r="F324" s="121" t="s">
        <v>321</v>
      </c>
      <c r="G324" s="121" t="s">
        <v>3165</v>
      </c>
      <c r="H324" s="121"/>
      <c r="I324" s="121"/>
      <c r="J324" s="121"/>
      <c r="K324" s="27" t="str">
        <f t="shared" si="518"/>
        <v>1</v>
      </c>
      <c r="L324" s="27" t="str">
        <f t="shared" si="482"/>
        <v>1</v>
      </c>
      <c r="M324" s="27" t="str">
        <f t="shared" si="519"/>
        <v>1</v>
      </c>
      <c r="N324" s="121" t="s">
        <v>314</v>
      </c>
      <c r="O324" s="121" t="s">
        <v>322</v>
      </c>
      <c r="P324" s="27" t="str">
        <f t="shared" si="582"/>
        <v>1</v>
      </c>
      <c r="Q324" s="27" t="str">
        <f t="shared" si="583"/>
        <v>1</v>
      </c>
      <c r="R324" s="27" t="str">
        <f t="shared" si="584"/>
        <v>1</v>
      </c>
      <c r="S324" s="27" t="str">
        <f t="shared" si="585"/>
        <v>1</v>
      </c>
      <c r="T324" s="27" t="str">
        <f t="shared" si="586"/>
        <v>1</v>
      </c>
      <c r="U324" s="27" t="str">
        <f t="shared" si="587"/>
        <v>1</v>
      </c>
      <c r="V324" s="27" t="str">
        <f t="shared" si="588"/>
        <v>1</v>
      </c>
      <c r="W324" s="27"/>
      <c r="X324" s="27" t="str">
        <f t="shared" si="589"/>
        <v>0</v>
      </c>
      <c r="Y324" s="27" t="str">
        <f t="shared" si="590"/>
        <v>0</v>
      </c>
      <c r="Z324" s="27" t="str">
        <f t="shared" si="591"/>
        <v>0</v>
      </c>
      <c r="AA324" s="121"/>
      <c r="AB324" s="121"/>
      <c r="AC324" s="121"/>
      <c r="AD324" s="121"/>
      <c r="AE324" s="121" t="s">
        <v>51</v>
      </c>
      <c r="AF324" s="121"/>
      <c r="AG324" s="121"/>
      <c r="AH324" s="28" t="s">
        <v>199</v>
      </c>
      <c r="AI324" s="28" t="s">
        <v>113</v>
      </c>
      <c r="AJ324" s="28">
        <v>60200</v>
      </c>
      <c r="AK324" s="28" t="str">
        <f t="shared" si="493"/>
        <v>0</v>
      </c>
      <c r="AL324" s="123" t="str">
        <f t="shared" si="140"/>
        <v>14821/공정별 작업자 관리/prod.basic/WkctUserMast</v>
      </c>
      <c r="AM324" s="28" t="s">
        <v>2981</v>
      </c>
      <c r="AN324" s="28"/>
      <c r="AO324" s="28"/>
      <c r="AP324" s="28"/>
      <c r="AQ324" s="28"/>
      <c r="AR324" s="28"/>
      <c r="AS324" s="28"/>
      <c r="AT324" s="28" t="s">
        <v>1829</v>
      </c>
      <c r="AU324" s="28"/>
      <c r="AV324" s="28"/>
      <c r="AW324" s="28" t="s">
        <v>1829</v>
      </c>
      <c r="AX324" s="28"/>
      <c r="AY324" s="124"/>
      <c r="AZ324" s="138" t="str">
        <f>IF(C324="","","delete from module_mst where pjt_id = '"&amp;C324&amp;"' and menu_id = '"&amp;E324&amp;"';")</f>
        <v>delete from module_mst where pjt_id = '14821' and menu_id = '281003';</v>
      </c>
      <c r="BA324" s="31" t="str">
        <f>IF(C324&lt;&gt;"",CREATE_QUERY($D$1,C$2:AY$2,C324:AY324),"")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'281003', '공정별 작업자 관리', 'Worker management by process', '', '', '', '1', '1', '1', 'prod.basic', 'WkctUserMast', '1', '1', '1', '1', '1', '1', '1', '', '0', '0', '0', '', '', '', '', 'N', '', '', '281000', '5', '60200', '0', '14821/공정별 작업자 관리/prod.basic/WkctUserMast', '공통', '');</v>
      </c>
    </row>
    <row r="325" spans="1:53">
      <c r="A325" s="1">
        <v>325</v>
      </c>
      <c r="B325" s="164" t="str">
        <f t="shared" si="521"/>
        <v xml:space="preserve">        └ (공통)생산라인관리</v>
      </c>
      <c r="C325" s="27" t="str">
        <f t="shared" si="481"/>
        <v>14821</v>
      </c>
      <c r="D325" s="121"/>
      <c r="E325" s="27">
        <v>281004</v>
      </c>
      <c r="F325" s="121" t="s">
        <v>201</v>
      </c>
      <c r="G325" s="121" t="s">
        <v>3166</v>
      </c>
      <c r="H325" s="121"/>
      <c r="I325" s="121"/>
      <c r="J325" s="121"/>
      <c r="K325" s="27" t="str">
        <f t="shared" si="518"/>
        <v>1</v>
      </c>
      <c r="L325" s="27" t="str">
        <f t="shared" si="482"/>
        <v>1</v>
      </c>
      <c r="M325" s="27" t="str">
        <f t="shared" si="519"/>
        <v>1</v>
      </c>
      <c r="N325" s="121" t="s">
        <v>314</v>
      </c>
      <c r="O325" s="121" t="s">
        <v>205</v>
      </c>
      <c r="P325" s="27" t="str">
        <f t="shared" si="582"/>
        <v>1</v>
      </c>
      <c r="Q325" s="27" t="str">
        <f t="shared" si="583"/>
        <v>1</v>
      </c>
      <c r="R325" s="27" t="str">
        <f t="shared" si="584"/>
        <v>1</v>
      </c>
      <c r="S325" s="27" t="str">
        <f t="shared" si="585"/>
        <v>1</v>
      </c>
      <c r="T325" s="27" t="str">
        <f t="shared" si="586"/>
        <v>1</v>
      </c>
      <c r="U325" s="27" t="str">
        <f t="shared" si="587"/>
        <v>1</v>
      </c>
      <c r="V325" s="27" t="str">
        <f t="shared" si="588"/>
        <v>1</v>
      </c>
      <c r="W325" s="27"/>
      <c r="X325" s="27" t="str">
        <f t="shared" si="589"/>
        <v>0</v>
      </c>
      <c r="Y325" s="27" t="str">
        <f t="shared" si="590"/>
        <v>0</v>
      </c>
      <c r="Z325" s="27" t="str">
        <f t="shared" si="591"/>
        <v>0</v>
      </c>
      <c r="AA325" s="121"/>
      <c r="AB325" s="121"/>
      <c r="AC325" s="121"/>
      <c r="AD325" s="121"/>
      <c r="AE325" s="121" t="s">
        <v>51</v>
      </c>
      <c r="AF325" s="121"/>
      <c r="AG325" s="121"/>
      <c r="AH325" s="28" t="s">
        <v>199</v>
      </c>
      <c r="AI325" s="28" t="s">
        <v>113</v>
      </c>
      <c r="AJ325" s="28">
        <v>60250</v>
      </c>
      <c r="AK325" s="28" t="str">
        <f t="shared" si="493"/>
        <v>0</v>
      </c>
      <c r="AL325" s="123" t="str">
        <f t="shared" si="140"/>
        <v>14821/생산라인관리/prod.basic/ProdLineMast</v>
      </c>
      <c r="AM325" s="28" t="s">
        <v>2981</v>
      </c>
      <c r="AN325" s="28"/>
      <c r="AO325" s="28"/>
      <c r="AP325" s="28"/>
      <c r="AQ325" s="28"/>
      <c r="AR325" s="28"/>
      <c r="AS325" s="28" t="s">
        <v>1829</v>
      </c>
      <c r="AT325" s="28" t="s">
        <v>1829</v>
      </c>
      <c r="AU325" s="28"/>
      <c r="AV325" s="28"/>
      <c r="AW325" s="28"/>
      <c r="AX325" s="28"/>
      <c r="AY325" s="124"/>
      <c r="AZ325" s="138" t="str">
        <f>IF(C325="","","delete from module_mst where pjt_id = '"&amp;C325&amp;"' and menu_id = '"&amp;E325&amp;"';")</f>
        <v>delete from module_mst where pjt_id = '14821' and menu_id = '281004';</v>
      </c>
      <c r="BA325" s="31" t="str">
        <f>IF(C325&lt;&gt;"",CREATE_QUERY($D$1,C$2:AY$2,C325:AY325),"")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'281004', '생산라인관리', 'Production line management', '', '', '', '1', '1', '1', 'prod.basic', 'ProdLineMast', '1', '1', '1', '1', '1', '1', '1', '', '0', '0', '0', '', '', '', '', 'N', '', '', '281000', '5', '60250', '0', '14821/생산라인관리/prod.basic/ProdLineMast', '공통', '');</v>
      </c>
    </row>
    <row r="326" spans="1:53">
      <c r="A326" s="1">
        <v>326</v>
      </c>
      <c r="B326" s="164" t="str">
        <f t="shared" si="521"/>
        <v xml:space="preserve">        └ (공통)생산라인별 작업순서</v>
      </c>
      <c r="C326" s="27" t="str">
        <f t="shared" si="481"/>
        <v>14821</v>
      </c>
      <c r="D326" s="121"/>
      <c r="E326" s="27">
        <v>281005</v>
      </c>
      <c r="F326" s="121" t="s">
        <v>202</v>
      </c>
      <c r="G326" s="121" t="s">
        <v>3167</v>
      </c>
      <c r="H326" s="121"/>
      <c r="I326" s="121"/>
      <c r="J326" s="121"/>
      <c r="K326" s="27" t="str">
        <f t="shared" si="518"/>
        <v>1</v>
      </c>
      <c r="L326" s="27" t="str">
        <f t="shared" si="482"/>
        <v>1</v>
      </c>
      <c r="M326" s="27" t="str">
        <f t="shared" si="519"/>
        <v>1</v>
      </c>
      <c r="N326" s="121" t="s">
        <v>314</v>
      </c>
      <c r="O326" s="121" t="s">
        <v>206</v>
      </c>
      <c r="P326" s="27" t="str">
        <f t="shared" si="582"/>
        <v>1</v>
      </c>
      <c r="Q326" s="27" t="str">
        <f t="shared" si="583"/>
        <v>1</v>
      </c>
      <c r="R326" s="27" t="str">
        <f t="shared" si="584"/>
        <v>1</v>
      </c>
      <c r="S326" s="27" t="str">
        <f t="shared" si="585"/>
        <v>1</v>
      </c>
      <c r="T326" s="27" t="str">
        <f t="shared" si="586"/>
        <v>1</v>
      </c>
      <c r="U326" s="27" t="str">
        <f t="shared" si="587"/>
        <v>1</v>
      </c>
      <c r="V326" s="27" t="str">
        <f t="shared" si="588"/>
        <v>1</v>
      </c>
      <c r="W326" s="27"/>
      <c r="X326" s="27" t="str">
        <f t="shared" si="589"/>
        <v>0</v>
      </c>
      <c r="Y326" s="27" t="str">
        <f t="shared" si="590"/>
        <v>0</v>
      </c>
      <c r="Z326" s="27" t="str">
        <f t="shared" si="591"/>
        <v>0</v>
      </c>
      <c r="AA326" s="121"/>
      <c r="AB326" s="121"/>
      <c r="AC326" s="121"/>
      <c r="AD326" s="121"/>
      <c r="AE326" s="121" t="s">
        <v>51</v>
      </c>
      <c r="AF326" s="121"/>
      <c r="AG326" s="121"/>
      <c r="AH326" s="28" t="s">
        <v>199</v>
      </c>
      <c r="AI326" s="28" t="s">
        <v>113</v>
      </c>
      <c r="AJ326" s="28">
        <v>60300</v>
      </c>
      <c r="AK326" s="28" t="str">
        <f t="shared" ref="AK326:AK334" si="602">IF(B326="","","0")</f>
        <v>0</v>
      </c>
      <c r="AL326" s="123" t="str">
        <f t="shared" si="140"/>
        <v>14821/생산라인별 작업순서/prod.basic/ProdLineRoute</v>
      </c>
      <c r="AM326" s="28" t="s">
        <v>2981</v>
      </c>
      <c r="AN326" s="28"/>
      <c r="AO326" s="28"/>
      <c r="AP326" s="28"/>
      <c r="AQ326" s="28"/>
      <c r="AR326" s="28"/>
      <c r="AS326" s="28" t="s">
        <v>1829</v>
      </c>
      <c r="AT326" s="28" t="s">
        <v>1829</v>
      </c>
      <c r="AU326" s="28"/>
      <c r="AV326" s="28"/>
      <c r="AW326" s="28"/>
      <c r="AX326" s="28"/>
      <c r="AY326" s="124"/>
      <c r="AZ326" s="138" t="str">
        <f>IF(C326="","","delete from module_mst where pjt_id = '"&amp;C326&amp;"' and menu_id = '"&amp;E326&amp;"';")</f>
        <v>delete from module_mst where pjt_id = '14821' and menu_id = '281005';</v>
      </c>
      <c r="BA326" s="31" t="str">
        <f>IF(C326&lt;&gt;"",CREATE_QUERY($D$1,C$2:AY$2,C326:AY326),"")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'281005', '생산라인별 작업순서', 'Work order by production line', '', '', '', '1', '1', '1', 'prod.basic', 'ProdLineRoute', '1', '1', '1', '1', '1', '1', '1', '', '0', '0', '0', '', '', '', '', 'N', '', '', '281000', '5', '60300', '0', '14821/생산라인별 작업순서/prod.basic/ProdLineRoute', '공통', '');</v>
      </c>
    </row>
    <row r="327" spans="1:53">
      <c r="A327" s="1">
        <v>327</v>
      </c>
      <c r="B327" s="164" t="str">
        <f t="shared" si="521"/>
        <v xml:space="preserve">        └ (선택)BOP 관리</v>
      </c>
      <c r="C327" s="27" t="str">
        <f t="shared" ref="C327:C334" si="603">IF(F327="","","14821")</f>
        <v>14821</v>
      </c>
      <c r="D327" s="121"/>
      <c r="E327" s="27">
        <v>281006</v>
      </c>
      <c r="F327" s="121" t="s">
        <v>2045</v>
      </c>
      <c r="G327" s="121" t="s">
        <v>3168</v>
      </c>
      <c r="H327" s="121"/>
      <c r="I327" s="121"/>
      <c r="J327" s="121"/>
      <c r="K327" s="27" t="str">
        <f t="shared" si="518"/>
        <v>1</v>
      </c>
      <c r="L327" s="27" t="str">
        <f t="shared" ref="L327:L334" si="604">IF(F327="","","1")</f>
        <v>1</v>
      </c>
      <c r="M327" s="27" t="str">
        <f t="shared" si="519"/>
        <v>1</v>
      </c>
      <c r="N327" s="121" t="s">
        <v>314</v>
      </c>
      <c r="O327" s="121" t="s">
        <v>2046</v>
      </c>
      <c r="P327" s="27" t="str">
        <f t="shared" si="582"/>
        <v>1</v>
      </c>
      <c r="Q327" s="27" t="str">
        <f t="shared" si="583"/>
        <v>1</v>
      </c>
      <c r="R327" s="27" t="str">
        <f t="shared" si="584"/>
        <v>1</v>
      </c>
      <c r="S327" s="27" t="str">
        <f t="shared" si="585"/>
        <v>1</v>
      </c>
      <c r="T327" s="27" t="str">
        <f t="shared" si="586"/>
        <v>1</v>
      </c>
      <c r="U327" s="27" t="str">
        <f t="shared" si="587"/>
        <v>1</v>
      </c>
      <c r="V327" s="27" t="str">
        <f t="shared" si="588"/>
        <v>1</v>
      </c>
      <c r="W327" s="27"/>
      <c r="X327" s="27" t="str">
        <f t="shared" si="589"/>
        <v>0</v>
      </c>
      <c r="Y327" s="27" t="str">
        <f t="shared" si="590"/>
        <v>0</v>
      </c>
      <c r="Z327" s="27" t="str">
        <f t="shared" si="591"/>
        <v>0</v>
      </c>
      <c r="AA327" s="121"/>
      <c r="AB327" s="121"/>
      <c r="AC327" s="121"/>
      <c r="AD327" s="121"/>
      <c r="AE327" s="121" t="s">
        <v>51</v>
      </c>
      <c r="AF327" s="121"/>
      <c r="AG327" s="121"/>
      <c r="AH327" s="28" t="s">
        <v>199</v>
      </c>
      <c r="AI327" s="28" t="s">
        <v>113</v>
      </c>
      <c r="AJ327" s="28">
        <v>60350</v>
      </c>
      <c r="AK327" s="28" t="str">
        <f t="shared" si="602"/>
        <v>0</v>
      </c>
      <c r="AL327" s="123" t="str">
        <f t="shared" ref="AL327:AL332" si="605">IF(C327="","",C327&amp;"/"&amp;F327&amp;"/"&amp;N327&amp;"/"&amp;O327)</f>
        <v>14821/BOP 관리/prod.basic/BopWork</v>
      </c>
      <c r="AM327" s="28" t="s">
        <v>3350</v>
      </c>
      <c r="AN327" s="28"/>
      <c r="AO327" s="28" t="s">
        <v>1829</v>
      </c>
      <c r="AP327" s="28"/>
      <c r="AQ327" s="28"/>
      <c r="AR327" s="28"/>
      <c r="AS327" s="28"/>
      <c r="AT327" s="28"/>
      <c r="AU327" s="28"/>
      <c r="AV327" s="28"/>
      <c r="AW327" s="28"/>
      <c r="AX327" s="28"/>
      <c r="AY327" s="124"/>
      <c r="AZ327" s="138" t="str">
        <f>IF(C327="","","delete from module_mst where pjt_id = '"&amp;C327&amp;"' and menu_id = '"&amp;E327&amp;"';")</f>
        <v>delete from module_mst where pjt_id = '14821' and menu_id = '281006';</v>
      </c>
      <c r="BA327" s="31" t="str">
        <f>IF(C327&lt;&gt;"",CREATE_QUERY($D$1,C$2:AY$2,C327:AY327),"")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'281006', 'BOP 관리', 'BOP management', '', '', '', '1', '1', '1', 'prod.basic', 'BopWork', '1', '1', '1', '1', '1', '1', '1', '', '0', '0', '0', '', '', '', '', 'N', '', '', '281000', '5', '60350', '0', '14821/BOP 관리/prod.basic/BopWork', '선택', '');</v>
      </c>
    </row>
    <row r="328" spans="1:53">
      <c r="A328" s="1">
        <v>328</v>
      </c>
      <c r="B328" s="166" t="str">
        <f t="shared" si="521"/>
        <v xml:space="preserve">        └ (선택)표준 BOP 관리</v>
      </c>
      <c r="C328" s="27" t="str">
        <f t="shared" si="603"/>
        <v>14821</v>
      </c>
      <c r="D328" s="154"/>
      <c r="E328" s="155">
        <v>281007</v>
      </c>
      <c r="F328" s="154" t="s">
        <v>3251</v>
      </c>
      <c r="G328" s="154" t="s">
        <v>900</v>
      </c>
      <c r="H328" s="154"/>
      <c r="I328" s="154"/>
      <c r="J328" s="154"/>
      <c r="K328" s="155" t="str">
        <f t="shared" si="518"/>
        <v>1</v>
      </c>
      <c r="L328" s="155" t="str">
        <f t="shared" si="604"/>
        <v>1</v>
      </c>
      <c r="M328" s="155" t="str">
        <f t="shared" si="519"/>
        <v>1</v>
      </c>
      <c r="N328" s="154" t="s">
        <v>314</v>
      </c>
      <c r="O328" s="154" t="s">
        <v>3252</v>
      </c>
      <c r="P328" s="155" t="str">
        <f t="shared" si="582"/>
        <v>1</v>
      </c>
      <c r="Q328" s="155" t="str">
        <f t="shared" si="583"/>
        <v>1</v>
      </c>
      <c r="R328" s="155" t="str">
        <f t="shared" si="584"/>
        <v>1</v>
      </c>
      <c r="S328" s="155" t="str">
        <f t="shared" si="585"/>
        <v>1</v>
      </c>
      <c r="T328" s="155" t="str">
        <f t="shared" si="586"/>
        <v>1</v>
      </c>
      <c r="U328" s="155" t="str">
        <f t="shared" si="587"/>
        <v>1</v>
      </c>
      <c r="V328" s="155" t="str">
        <f t="shared" si="588"/>
        <v>1</v>
      </c>
      <c r="W328" s="155"/>
      <c r="X328" s="155" t="str">
        <f t="shared" si="589"/>
        <v>0</v>
      </c>
      <c r="Y328" s="155" t="str">
        <f t="shared" si="590"/>
        <v>0</v>
      </c>
      <c r="Z328" s="155" t="str">
        <f t="shared" si="591"/>
        <v>0</v>
      </c>
      <c r="AA328" s="154"/>
      <c r="AB328" s="154"/>
      <c r="AC328" s="154"/>
      <c r="AD328" s="154"/>
      <c r="AE328" s="154" t="s">
        <v>51</v>
      </c>
      <c r="AF328" s="154"/>
      <c r="AG328" s="154"/>
      <c r="AH328" s="156" t="s">
        <v>199</v>
      </c>
      <c r="AI328" s="156" t="s">
        <v>113</v>
      </c>
      <c r="AJ328" s="156">
        <v>60251</v>
      </c>
      <c r="AK328" s="156" t="str">
        <f t="shared" si="602"/>
        <v>0</v>
      </c>
      <c r="AL328" s="157" t="str">
        <f t="shared" si="605"/>
        <v>14821/표준 BOP 관리/prod.basic/StndBopWork</v>
      </c>
      <c r="AM328" s="28" t="s">
        <v>3350</v>
      </c>
      <c r="AN328" s="156"/>
      <c r="AO328" s="156" t="s">
        <v>1829</v>
      </c>
      <c r="AP328" s="156"/>
      <c r="AQ328" s="156"/>
      <c r="AR328" s="156"/>
      <c r="AS328" s="156"/>
      <c r="AT328" s="156"/>
      <c r="AU328" s="156"/>
      <c r="AV328" s="156"/>
      <c r="AW328" s="156"/>
      <c r="AX328" s="156"/>
      <c r="AY328" s="158"/>
      <c r="AZ328" s="138" t="str">
        <f>IF(C328="","","delete from module_mst where pjt_id = '"&amp;C328&amp;"' and menu_id = '"&amp;E328&amp;"';")</f>
        <v>delete from module_mst where pjt_id = '14821' and menu_id = '281007';</v>
      </c>
      <c r="BA328" s="31" t="str">
        <f>IF(C328&lt;&gt;"",CREATE_QUERY($D$1,C$2:AY$2,C328:AY328),"")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'281007', '표준 BOP 관리', '', '', '', '', '1', '1', '1', 'prod.basic', 'StndBopWork', '1', '1', '1', '1', '1', '1', '1', '', '0', '0', '0', '', '', '', '', 'N', '', '', '281000', '5', '60251', '0', '14821/표준 BOP 관리/prod.basic/StndBopWork', '선택', '');</v>
      </c>
    </row>
    <row r="329" spans="1:53">
      <c r="A329" s="1">
        <v>329</v>
      </c>
      <c r="B329" s="164" t="str">
        <f t="shared" si="521"/>
        <v/>
      </c>
      <c r="C329" s="27" t="str">
        <f t="shared" si="603"/>
        <v/>
      </c>
      <c r="D329" s="121"/>
      <c r="E329" s="27">
        <v>281008</v>
      </c>
      <c r="F329" s="121"/>
      <c r="G329" s="121" t="s">
        <v>900</v>
      </c>
      <c r="H329" s="121"/>
      <c r="I329" s="121"/>
      <c r="J329" s="121"/>
      <c r="K329" s="27" t="str">
        <f t="shared" si="518"/>
        <v/>
      </c>
      <c r="L329" s="27" t="str">
        <f t="shared" si="604"/>
        <v/>
      </c>
      <c r="M329" s="27" t="str">
        <f t="shared" si="519"/>
        <v>0</v>
      </c>
      <c r="N329" s="121"/>
      <c r="O329" s="121"/>
      <c r="P329" s="27" t="str">
        <f t="shared" si="582"/>
        <v>0</v>
      </c>
      <c r="Q329" s="27" t="str">
        <f t="shared" si="583"/>
        <v>0</v>
      </c>
      <c r="R329" s="27" t="str">
        <f t="shared" si="584"/>
        <v>0</v>
      </c>
      <c r="S329" s="27" t="str">
        <f t="shared" si="585"/>
        <v>0</v>
      </c>
      <c r="T329" s="27" t="str">
        <f t="shared" si="586"/>
        <v>0</v>
      </c>
      <c r="U329" s="27" t="str">
        <f t="shared" si="587"/>
        <v>0</v>
      </c>
      <c r="V329" s="27" t="str">
        <f t="shared" si="588"/>
        <v>1</v>
      </c>
      <c r="W329" s="27"/>
      <c r="X329" s="27" t="str">
        <f t="shared" si="589"/>
        <v/>
      </c>
      <c r="Y329" s="27" t="str">
        <f t="shared" si="590"/>
        <v/>
      </c>
      <c r="Z329" s="27" t="str">
        <f t="shared" si="591"/>
        <v/>
      </c>
      <c r="AA329" s="121"/>
      <c r="AB329" s="121"/>
      <c r="AC329" s="121"/>
      <c r="AD329" s="121"/>
      <c r="AE329" s="121" t="s">
        <v>51</v>
      </c>
      <c r="AF329" s="121"/>
      <c r="AG329" s="121"/>
      <c r="AH329" s="28" t="s">
        <v>199</v>
      </c>
      <c r="AI329" s="28" t="s">
        <v>113</v>
      </c>
      <c r="AJ329" s="28">
        <v>60450</v>
      </c>
      <c r="AK329" s="28" t="str">
        <f t="shared" si="602"/>
        <v/>
      </c>
      <c r="AL329" s="123" t="str">
        <f t="shared" si="605"/>
        <v/>
      </c>
      <c r="AM329" s="28"/>
      <c r="AN329" s="28" t="s">
        <v>3245</v>
      </c>
      <c r="AO329" s="28" t="s">
        <v>3245</v>
      </c>
      <c r="AP329" s="28" t="s">
        <v>3245</v>
      </c>
      <c r="AQ329" s="28" t="s">
        <v>3245</v>
      </c>
      <c r="AR329" s="28" t="s">
        <v>3245</v>
      </c>
      <c r="AS329" s="28" t="s">
        <v>3245</v>
      </c>
      <c r="AT329" s="28" t="s">
        <v>3245</v>
      </c>
      <c r="AU329" s="28" t="s">
        <v>3245</v>
      </c>
      <c r="AV329" s="28" t="s">
        <v>3245</v>
      </c>
      <c r="AW329" s="28" t="s">
        <v>3245</v>
      </c>
      <c r="AX329" s="28" t="s">
        <v>3245</v>
      </c>
      <c r="AY329" s="124"/>
      <c r="AZ329" s="138" t="str">
        <f>IF(C329="","","delete from module_mst where pjt_id = '"&amp;C329&amp;"' and menu_id = '"&amp;E329&amp;"';")</f>
        <v/>
      </c>
      <c r="BA329" s="31" t="str">
        <f>IF(C329&lt;&gt;"",CREATE_QUERY($D$1,C$2:AY$2,C329:AY329),"")</f>
        <v/>
      </c>
    </row>
    <row r="330" spans="1:53">
      <c r="A330" s="1">
        <v>330</v>
      </c>
      <c r="B330" s="164" t="str">
        <f t="shared" si="521"/>
        <v/>
      </c>
      <c r="C330" s="27" t="str">
        <f t="shared" si="603"/>
        <v/>
      </c>
      <c r="D330" s="121"/>
      <c r="E330" s="27">
        <v>281009</v>
      </c>
      <c r="F330" s="121"/>
      <c r="G330" s="121" t="s">
        <v>900</v>
      </c>
      <c r="H330" s="121"/>
      <c r="I330" s="121"/>
      <c r="J330" s="121"/>
      <c r="K330" s="27" t="str">
        <f t="shared" si="518"/>
        <v/>
      </c>
      <c r="L330" s="27" t="str">
        <f t="shared" si="604"/>
        <v/>
      </c>
      <c r="M330" s="27" t="str">
        <f t="shared" si="519"/>
        <v>0</v>
      </c>
      <c r="N330" s="121"/>
      <c r="O330" s="121"/>
      <c r="P330" s="27" t="str">
        <f t="shared" si="582"/>
        <v>0</v>
      </c>
      <c r="Q330" s="27" t="str">
        <f t="shared" si="583"/>
        <v>0</v>
      </c>
      <c r="R330" s="27" t="str">
        <f t="shared" si="584"/>
        <v>0</v>
      </c>
      <c r="S330" s="27" t="str">
        <f t="shared" si="585"/>
        <v>0</v>
      </c>
      <c r="T330" s="27" t="str">
        <f t="shared" si="586"/>
        <v>0</v>
      </c>
      <c r="U330" s="27" t="str">
        <f t="shared" si="587"/>
        <v>0</v>
      </c>
      <c r="V330" s="27" t="str">
        <f t="shared" si="588"/>
        <v>1</v>
      </c>
      <c r="W330" s="27"/>
      <c r="X330" s="27" t="str">
        <f t="shared" si="589"/>
        <v/>
      </c>
      <c r="Y330" s="27" t="str">
        <f t="shared" si="590"/>
        <v/>
      </c>
      <c r="Z330" s="27" t="str">
        <f t="shared" si="591"/>
        <v/>
      </c>
      <c r="AA330" s="121"/>
      <c r="AB330" s="121"/>
      <c r="AC330" s="121"/>
      <c r="AD330" s="121"/>
      <c r="AE330" s="121" t="s">
        <v>51</v>
      </c>
      <c r="AF330" s="121"/>
      <c r="AG330" s="121"/>
      <c r="AH330" s="28" t="s">
        <v>199</v>
      </c>
      <c r="AI330" s="28" t="s">
        <v>113</v>
      </c>
      <c r="AJ330" s="28">
        <v>60500</v>
      </c>
      <c r="AK330" s="28" t="str">
        <f t="shared" si="602"/>
        <v/>
      </c>
      <c r="AL330" s="123" t="str">
        <f t="shared" si="605"/>
        <v/>
      </c>
      <c r="AM330" s="28"/>
      <c r="AN330" s="28" t="s">
        <v>3245</v>
      </c>
      <c r="AO330" s="28" t="s">
        <v>3245</v>
      </c>
      <c r="AP330" s="28" t="s">
        <v>3245</v>
      </c>
      <c r="AQ330" s="28" t="s">
        <v>3245</v>
      </c>
      <c r="AR330" s="28" t="s">
        <v>3245</v>
      </c>
      <c r="AS330" s="28" t="s">
        <v>3245</v>
      </c>
      <c r="AT330" s="28" t="s">
        <v>3245</v>
      </c>
      <c r="AU330" s="28" t="s">
        <v>3245</v>
      </c>
      <c r="AV330" s="28" t="s">
        <v>3245</v>
      </c>
      <c r="AW330" s="28" t="s">
        <v>3245</v>
      </c>
      <c r="AX330" s="28" t="s">
        <v>3245</v>
      </c>
      <c r="AY330" s="124"/>
      <c r="AZ330" s="138" t="str">
        <f>IF(C330="","","delete from module_mst where pjt_id = '"&amp;C330&amp;"' and menu_id = '"&amp;E330&amp;"';")</f>
        <v/>
      </c>
      <c r="BA330" s="31" t="str">
        <f>IF(C330&lt;&gt;"",CREATE_QUERY($D$1,C$2:AY$2,C330:AY330),"")</f>
        <v/>
      </c>
    </row>
    <row r="331" spans="1:53">
      <c r="A331" s="1">
        <v>331</v>
      </c>
      <c r="B331" s="164" t="str">
        <f t="shared" si="521"/>
        <v/>
      </c>
      <c r="C331" s="27" t="str">
        <f t="shared" si="603"/>
        <v/>
      </c>
      <c r="D331" s="121"/>
      <c r="E331" s="27">
        <v>281010</v>
      </c>
      <c r="F331" s="121"/>
      <c r="G331" s="121" t="s">
        <v>900</v>
      </c>
      <c r="H331" s="121"/>
      <c r="I331" s="121"/>
      <c r="J331" s="121"/>
      <c r="K331" s="27" t="str">
        <f t="shared" si="518"/>
        <v/>
      </c>
      <c r="L331" s="27" t="str">
        <f t="shared" si="604"/>
        <v/>
      </c>
      <c r="M331" s="27" t="str">
        <f t="shared" si="519"/>
        <v>0</v>
      </c>
      <c r="N331" s="121"/>
      <c r="O331" s="121"/>
      <c r="P331" s="27" t="str">
        <f t="shared" si="582"/>
        <v>0</v>
      </c>
      <c r="Q331" s="27" t="str">
        <f t="shared" si="583"/>
        <v>0</v>
      </c>
      <c r="R331" s="27" t="str">
        <f t="shared" si="584"/>
        <v>0</v>
      </c>
      <c r="S331" s="27" t="str">
        <f t="shared" si="585"/>
        <v>0</v>
      </c>
      <c r="T331" s="27" t="str">
        <f t="shared" si="586"/>
        <v>0</v>
      </c>
      <c r="U331" s="27" t="str">
        <f t="shared" si="587"/>
        <v>0</v>
      </c>
      <c r="V331" s="27" t="str">
        <f t="shared" si="588"/>
        <v>1</v>
      </c>
      <c r="W331" s="27"/>
      <c r="X331" s="27" t="str">
        <f t="shared" si="589"/>
        <v/>
      </c>
      <c r="Y331" s="27" t="str">
        <f t="shared" si="590"/>
        <v/>
      </c>
      <c r="Z331" s="27" t="str">
        <f t="shared" si="591"/>
        <v/>
      </c>
      <c r="AA331" s="121"/>
      <c r="AB331" s="121"/>
      <c r="AC331" s="121"/>
      <c r="AD331" s="121"/>
      <c r="AE331" s="121" t="s">
        <v>51</v>
      </c>
      <c r="AF331" s="121"/>
      <c r="AG331" s="121"/>
      <c r="AH331" s="28" t="s">
        <v>199</v>
      </c>
      <c r="AI331" s="28" t="s">
        <v>113</v>
      </c>
      <c r="AJ331" s="28">
        <v>60550</v>
      </c>
      <c r="AK331" s="28" t="str">
        <f t="shared" si="602"/>
        <v/>
      </c>
      <c r="AL331" s="123" t="str">
        <f t="shared" si="605"/>
        <v/>
      </c>
      <c r="AM331" s="28"/>
      <c r="AN331" s="28" t="s">
        <v>3245</v>
      </c>
      <c r="AO331" s="28" t="s">
        <v>3245</v>
      </c>
      <c r="AP331" s="28" t="s">
        <v>3245</v>
      </c>
      <c r="AQ331" s="28" t="s">
        <v>3245</v>
      </c>
      <c r="AR331" s="28" t="s">
        <v>3245</v>
      </c>
      <c r="AS331" s="28" t="s">
        <v>3245</v>
      </c>
      <c r="AT331" s="28" t="s">
        <v>3245</v>
      </c>
      <c r="AU331" s="28" t="s">
        <v>3245</v>
      </c>
      <c r="AV331" s="28" t="s">
        <v>3245</v>
      </c>
      <c r="AW331" s="28" t="s">
        <v>3245</v>
      </c>
      <c r="AX331" s="28" t="s">
        <v>3245</v>
      </c>
      <c r="AY331" s="124"/>
      <c r="AZ331" s="138" t="str">
        <f>IF(C331="","","delete from module_mst where pjt_id = '"&amp;C331&amp;"' and menu_id = '"&amp;E331&amp;"';")</f>
        <v/>
      </c>
      <c r="BA331" s="31" t="str">
        <f>IF(C331&lt;&gt;"",CREATE_QUERY($D$1,C$2:AY$2,C331:AY331),"")</f>
        <v/>
      </c>
    </row>
    <row r="332" spans="1:53">
      <c r="A332" s="1">
        <v>332</v>
      </c>
      <c r="B332" s="164" t="str">
        <f t="shared" si="521"/>
        <v/>
      </c>
      <c r="C332" s="27" t="str">
        <f t="shared" si="603"/>
        <v/>
      </c>
      <c r="D332" s="121"/>
      <c r="E332" s="27">
        <v>281011</v>
      </c>
      <c r="F332" s="121"/>
      <c r="G332" s="121" t="s">
        <v>900</v>
      </c>
      <c r="H332" s="121"/>
      <c r="I332" s="121"/>
      <c r="J332" s="121"/>
      <c r="K332" s="27" t="str">
        <f t="shared" si="518"/>
        <v/>
      </c>
      <c r="L332" s="27" t="str">
        <f t="shared" si="604"/>
        <v/>
      </c>
      <c r="M332" s="27" t="str">
        <f t="shared" si="519"/>
        <v>0</v>
      </c>
      <c r="N332" s="121"/>
      <c r="O332" s="121"/>
      <c r="P332" s="27" t="str">
        <f t="shared" si="582"/>
        <v>0</v>
      </c>
      <c r="Q332" s="27" t="str">
        <f t="shared" si="583"/>
        <v>0</v>
      </c>
      <c r="R332" s="27" t="str">
        <f t="shared" si="584"/>
        <v>0</v>
      </c>
      <c r="S332" s="27" t="str">
        <f t="shared" si="585"/>
        <v>0</v>
      </c>
      <c r="T332" s="27" t="str">
        <f t="shared" si="586"/>
        <v>0</v>
      </c>
      <c r="U332" s="27" t="str">
        <f t="shared" si="587"/>
        <v>0</v>
      </c>
      <c r="V332" s="27" t="str">
        <f t="shared" si="588"/>
        <v>1</v>
      </c>
      <c r="W332" s="27"/>
      <c r="X332" s="27" t="str">
        <f t="shared" si="589"/>
        <v/>
      </c>
      <c r="Y332" s="27" t="str">
        <f t="shared" si="590"/>
        <v/>
      </c>
      <c r="Z332" s="27" t="str">
        <f t="shared" si="591"/>
        <v/>
      </c>
      <c r="AA332" s="121"/>
      <c r="AB332" s="121"/>
      <c r="AC332" s="121"/>
      <c r="AD332" s="121"/>
      <c r="AE332" s="121" t="s">
        <v>51</v>
      </c>
      <c r="AF332" s="121"/>
      <c r="AG332" s="121"/>
      <c r="AH332" s="28" t="s">
        <v>199</v>
      </c>
      <c r="AI332" s="28" t="s">
        <v>113</v>
      </c>
      <c r="AJ332" s="28">
        <v>60600</v>
      </c>
      <c r="AK332" s="28" t="str">
        <f t="shared" si="602"/>
        <v/>
      </c>
      <c r="AL332" s="123" t="str">
        <f t="shared" si="605"/>
        <v/>
      </c>
      <c r="AM332" s="28"/>
      <c r="AN332" s="28" t="s">
        <v>3245</v>
      </c>
      <c r="AO332" s="28" t="s">
        <v>3245</v>
      </c>
      <c r="AP332" s="28" t="s">
        <v>3245</v>
      </c>
      <c r="AQ332" s="28" t="s">
        <v>3245</v>
      </c>
      <c r="AR332" s="28" t="s">
        <v>3245</v>
      </c>
      <c r="AS332" s="28" t="s">
        <v>3245</v>
      </c>
      <c r="AT332" s="28" t="s">
        <v>3245</v>
      </c>
      <c r="AU332" s="28" t="s">
        <v>3245</v>
      </c>
      <c r="AV332" s="28" t="s">
        <v>3245</v>
      </c>
      <c r="AW332" s="28" t="s">
        <v>3245</v>
      </c>
      <c r="AX332" s="28" t="s">
        <v>3245</v>
      </c>
      <c r="AY332" s="124"/>
      <c r="AZ332" s="138" t="str">
        <f>IF(C332="","","delete from module_mst where pjt_id = '"&amp;C332&amp;"' and menu_id = '"&amp;E332&amp;"';")</f>
        <v/>
      </c>
      <c r="BA332" s="31" t="str">
        <f>IF(C332&lt;&gt;"",CREATE_QUERY($D$1,C$2:AY$2,C332:AY332),"")</f>
        <v/>
      </c>
    </row>
    <row r="333" spans="1:53">
      <c r="A333" s="1">
        <v>333</v>
      </c>
      <c r="B333" s="164" t="str">
        <f t="shared" si="521"/>
        <v/>
      </c>
      <c r="C333" s="27" t="str">
        <f t="shared" si="603"/>
        <v/>
      </c>
      <c r="D333" s="121"/>
      <c r="E333" s="27">
        <v>281012</v>
      </c>
      <c r="F333" s="121"/>
      <c r="G333" s="121" t="s">
        <v>900</v>
      </c>
      <c r="H333" s="121"/>
      <c r="I333" s="121"/>
      <c r="J333" s="121"/>
      <c r="K333" s="27" t="str">
        <f t="shared" si="518"/>
        <v/>
      </c>
      <c r="L333" s="27" t="str">
        <f t="shared" si="604"/>
        <v/>
      </c>
      <c r="M333" s="27" t="str">
        <f t="shared" si="519"/>
        <v>0</v>
      </c>
      <c r="N333" s="121"/>
      <c r="O333" s="121"/>
      <c r="P333" s="27" t="str">
        <f t="shared" si="582"/>
        <v>0</v>
      </c>
      <c r="Q333" s="27" t="str">
        <f t="shared" si="583"/>
        <v>0</v>
      </c>
      <c r="R333" s="27" t="str">
        <f t="shared" si="584"/>
        <v>0</v>
      </c>
      <c r="S333" s="27" t="str">
        <f t="shared" si="585"/>
        <v>0</v>
      </c>
      <c r="T333" s="27" t="str">
        <f t="shared" si="586"/>
        <v>0</v>
      </c>
      <c r="U333" s="27" t="str">
        <f t="shared" si="587"/>
        <v>0</v>
      </c>
      <c r="V333" s="27" t="str">
        <f t="shared" si="588"/>
        <v>1</v>
      </c>
      <c r="W333" s="27"/>
      <c r="X333" s="27" t="str">
        <f t="shared" si="589"/>
        <v/>
      </c>
      <c r="Y333" s="27" t="str">
        <f t="shared" si="590"/>
        <v/>
      </c>
      <c r="Z333" s="27" t="str">
        <f t="shared" si="591"/>
        <v/>
      </c>
      <c r="AA333" s="121"/>
      <c r="AB333" s="121"/>
      <c r="AC333" s="121"/>
      <c r="AD333" s="121"/>
      <c r="AE333" s="121" t="s">
        <v>51</v>
      </c>
      <c r="AF333" s="121"/>
      <c r="AG333" s="121"/>
      <c r="AH333" s="28" t="s">
        <v>199</v>
      </c>
      <c r="AI333" s="28" t="s">
        <v>113</v>
      </c>
      <c r="AJ333" s="28">
        <v>60650</v>
      </c>
      <c r="AK333" s="28" t="str">
        <f t="shared" si="602"/>
        <v/>
      </c>
      <c r="AL333" s="123" t="str">
        <f t="shared" ref="AL333" si="606">IF(C333="","",C333&amp;"/"&amp;F333&amp;"/"&amp;N333&amp;"/"&amp;O333)</f>
        <v/>
      </c>
      <c r="AM333" s="28"/>
      <c r="AN333" s="28" t="s">
        <v>3245</v>
      </c>
      <c r="AO333" s="28" t="s">
        <v>3245</v>
      </c>
      <c r="AP333" s="28" t="s">
        <v>3245</v>
      </c>
      <c r="AQ333" s="28" t="s">
        <v>3245</v>
      </c>
      <c r="AR333" s="28" t="s">
        <v>3245</v>
      </c>
      <c r="AS333" s="28" t="s">
        <v>3245</v>
      </c>
      <c r="AT333" s="28" t="s">
        <v>3245</v>
      </c>
      <c r="AU333" s="28" t="s">
        <v>3245</v>
      </c>
      <c r="AV333" s="28" t="s">
        <v>3245</v>
      </c>
      <c r="AW333" s="28" t="s">
        <v>3245</v>
      </c>
      <c r="AX333" s="28" t="s">
        <v>3245</v>
      </c>
      <c r="AY333" s="124"/>
      <c r="AZ333" s="138" t="str">
        <f>IF(C333="","","delete from module_mst where pjt_id = '"&amp;C333&amp;"' and menu_id = '"&amp;E333&amp;"';")</f>
        <v/>
      </c>
      <c r="BA333" s="31" t="str">
        <f>IF(C333&lt;&gt;"",CREATE_QUERY($D$1,C$2:AY$2,C333:AY333),"")</f>
        <v/>
      </c>
    </row>
    <row r="334" spans="1:53">
      <c r="A334" s="1">
        <v>334</v>
      </c>
      <c r="B334" s="164" t="str">
        <f t="shared" si="521"/>
        <v/>
      </c>
      <c r="C334" s="27" t="str">
        <f t="shared" si="603"/>
        <v/>
      </c>
      <c r="D334" s="121"/>
      <c r="E334" s="27"/>
      <c r="F334" s="121"/>
      <c r="G334" s="121" t="s">
        <v>900</v>
      </c>
      <c r="H334" s="121"/>
      <c r="I334" s="121"/>
      <c r="J334" s="121"/>
      <c r="K334" s="27" t="str">
        <f t="shared" si="518"/>
        <v/>
      </c>
      <c r="L334" s="27" t="str">
        <f t="shared" si="604"/>
        <v/>
      </c>
      <c r="M334" s="27" t="str">
        <f t="shared" si="519"/>
        <v>0</v>
      </c>
      <c r="N334" s="121"/>
      <c r="O334" s="121"/>
      <c r="P334" s="27" t="str">
        <f t="shared" si="582"/>
        <v>0</v>
      </c>
      <c r="Q334" s="27" t="str">
        <f t="shared" si="583"/>
        <v>0</v>
      </c>
      <c r="R334" s="27" t="str">
        <f t="shared" si="584"/>
        <v>0</v>
      </c>
      <c r="S334" s="27" t="str">
        <f t="shared" si="585"/>
        <v>0</v>
      </c>
      <c r="T334" s="27" t="str">
        <f t="shared" si="586"/>
        <v>0</v>
      </c>
      <c r="U334" s="27" t="str">
        <f t="shared" si="587"/>
        <v>0</v>
      </c>
      <c r="V334" s="27" t="str">
        <f t="shared" si="588"/>
        <v>1</v>
      </c>
      <c r="W334" s="27"/>
      <c r="X334" s="27" t="str">
        <f t="shared" si="589"/>
        <v/>
      </c>
      <c r="Y334" s="27" t="str">
        <f t="shared" si="590"/>
        <v/>
      </c>
      <c r="Z334" s="27" t="str">
        <f t="shared" si="591"/>
        <v/>
      </c>
      <c r="AA334" s="121"/>
      <c r="AB334" s="121"/>
      <c r="AC334" s="121"/>
      <c r="AD334" s="121"/>
      <c r="AE334" s="121"/>
      <c r="AF334" s="121"/>
      <c r="AG334" s="121"/>
      <c r="AH334" s="27"/>
      <c r="AI334" s="27"/>
      <c r="AJ334" s="27" t="s">
        <v>900</v>
      </c>
      <c r="AK334" s="27" t="str">
        <f t="shared" si="602"/>
        <v/>
      </c>
      <c r="AL334" s="123" t="str">
        <f t="shared" si="140"/>
        <v/>
      </c>
      <c r="AM334" s="27"/>
      <c r="AN334" s="27"/>
      <c r="AO334" s="27"/>
      <c r="AP334" s="27"/>
      <c r="AQ334" s="27"/>
      <c r="AR334" s="27"/>
      <c r="AS334" s="27"/>
      <c r="AT334" s="27"/>
      <c r="AU334" s="27"/>
      <c r="AV334" s="27"/>
      <c r="AW334" s="27"/>
      <c r="AX334" s="27"/>
      <c r="AY334" s="124"/>
      <c r="AZ334" s="138" t="str">
        <f>IF(C334="","","delete from module_mst where pjt_id = '"&amp;C334&amp;"' and menu_id = '"&amp;E334&amp;"';")</f>
        <v/>
      </c>
      <c r="BA334" s="31" t="str">
        <f>IF(C334&lt;&gt;"",CREATE_QUERY($D$1,C$2:AY$2,C334:AY334),"")</f>
        <v/>
      </c>
    </row>
    <row r="335" spans="1:53">
      <c r="A335" s="1">
        <v>335</v>
      </c>
      <c r="B335" s="159" t="str">
        <f t="shared" ref="B335:B349" si="607">IF(F335="","",IF(AI335="1","",IF(AI335="2","└ ",IF(AI335="3","  └ ",IF(AI335="4","    └ ",IF(AI335="5","        └ ",IF(AI335="6","         └ ",IF(AI335="7"="            └ ",""))))))))&amp;IF(AM335="","",IF(AM335="메뉴","","("&amp;AM335&amp;")"))&amp;F335</f>
        <v xml:space="preserve">    └ 생산계획</v>
      </c>
      <c r="C335" s="27" t="str">
        <f t="shared" ref="C335:C352" si="608">IF(F335="","","14821")</f>
        <v>14821</v>
      </c>
      <c r="D335" s="121"/>
      <c r="E335" s="21" t="s">
        <v>361</v>
      </c>
      <c r="F335" s="118" t="s">
        <v>207</v>
      </c>
      <c r="G335" s="118" t="s">
        <v>3170</v>
      </c>
      <c r="H335" s="118"/>
      <c r="I335" s="118"/>
      <c r="J335" s="118"/>
      <c r="K335" s="21" t="str">
        <f t="shared" ref="K335:K340" si="609">IF(O335="","","1")</f>
        <v/>
      </c>
      <c r="L335" s="21" t="str">
        <f t="shared" ref="L335:L352" si="610">IF(F335="","","1")</f>
        <v>1</v>
      </c>
      <c r="M335" s="21" t="str">
        <f t="shared" ref="M335:M340" si="611">IF(O335="","0","1")</f>
        <v>0</v>
      </c>
      <c r="N335" s="118"/>
      <c r="O335" s="118"/>
      <c r="P335" s="21" t="str">
        <f t="shared" si="582"/>
        <v>0</v>
      </c>
      <c r="Q335" s="21" t="str">
        <f t="shared" si="583"/>
        <v>0</v>
      </c>
      <c r="R335" s="21" t="str">
        <f t="shared" si="584"/>
        <v>0</v>
      </c>
      <c r="S335" s="21" t="str">
        <f t="shared" si="585"/>
        <v>0</v>
      </c>
      <c r="T335" s="21" t="str">
        <f t="shared" si="586"/>
        <v>0</v>
      </c>
      <c r="U335" s="21" t="str">
        <f t="shared" si="587"/>
        <v>0</v>
      </c>
      <c r="V335" s="21" t="str">
        <f t="shared" si="588"/>
        <v>1</v>
      </c>
      <c r="W335" s="21"/>
      <c r="X335" s="21" t="str">
        <f t="shared" si="589"/>
        <v/>
      </c>
      <c r="Y335" s="21" t="str">
        <f t="shared" si="590"/>
        <v/>
      </c>
      <c r="Z335" s="21" t="str">
        <f t="shared" si="591"/>
        <v/>
      </c>
      <c r="AA335" s="118"/>
      <c r="AB335" s="118"/>
      <c r="AC335" s="118"/>
      <c r="AD335" s="118"/>
      <c r="AE335" s="118" t="s">
        <v>51</v>
      </c>
      <c r="AF335" s="118"/>
      <c r="AG335" s="118"/>
      <c r="AH335" s="26" t="s">
        <v>197</v>
      </c>
      <c r="AI335" s="26" t="s">
        <v>112</v>
      </c>
      <c r="AJ335" s="26">
        <v>68000</v>
      </c>
      <c r="AK335" s="26" t="str">
        <f t="shared" ref="AK335:AK352" si="612">IF(B335="","","0")</f>
        <v>0</v>
      </c>
      <c r="AL335" s="123" t="str">
        <f t="shared" ref="AL335:AL354" si="613">IF(C335="","",C335&amp;"/"&amp;F335&amp;"/"&amp;N335&amp;"/"&amp;O335)</f>
        <v>14821/생산계획//</v>
      </c>
      <c r="AM335" s="26" t="s">
        <v>2979</v>
      </c>
      <c r="AN335" s="26" t="str">
        <f t="shared" ref="AN335:AX335" si="614">IF(COUNTIF(AN337:AN343,"="&amp;"Y")&gt;0,"Y",IF(COUNTIF(AN337:AN343,"="&amp;"-")&gt;0,"m",""))</f>
        <v>m</v>
      </c>
      <c r="AO335" s="26" t="str">
        <f t="shared" si="614"/>
        <v>m</v>
      </c>
      <c r="AP335" s="26" t="str">
        <f t="shared" si="614"/>
        <v>m</v>
      </c>
      <c r="AQ335" s="26" t="str">
        <f t="shared" si="614"/>
        <v>m</v>
      </c>
      <c r="AR335" s="26" t="str">
        <f t="shared" si="614"/>
        <v>m</v>
      </c>
      <c r="AS335" s="26" t="str">
        <f t="shared" si="614"/>
        <v>Y</v>
      </c>
      <c r="AT335" s="26" t="str">
        <f t="shared" si="614"/>
        <v>Y</v>
      </c>
      <c r="AU335" s="26" t="str">
        <f t="shared" si="614"/>
        <v>m</v>
      </c>
      <c r="AV335" s="26" t="str">
        <f t="shared" si="614"/>
        <v>Y</v>
      </c>
      <c r="AW335" s="26" t="str">
        <f t="shared" si="614"/>
        <v>m</v>
      </c>
      <c r="AX335" s="26" t="str">
        <f t="shared" si="614"/>
        <v>m</v>
      </c>
      <c r="AY335" s="124"/>
      <c r="AZ335" s="138" t="str">
        <f>IF(C335="","","delete from module_mst where pjt_id = '"&amp;C335&amp;"' and menu_id = '"&amp;E335&amp;"';")</f>
        <v>delete from module_mst where pjt_id = '14821' and menu_id = '285000';</v>
      </c>
      <c r="BA335" s="31" t="str">
        <f>IF(C335&lt;&gt;"",CREATE_QUERY($D$1,C$2:AY$2,C335:AY335),"")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'285000', '생산계획', 'Production Planning', '', '', '', '', '1', '0', '', '', '0', '0', '0', '0', '0', '0', '1', '', '', '', '', '', '', '', '', 'N', '', '', '280000', '4', '68000', '0', '14821/생산계획//', '메뉴', '');</v>
      </c>
    </row>
    <row r="336" spans="1:53">
      <c r="A336" s="1">
        <v>336</v>
      </c>
      <c r="B336" s="164" t="str">
        <f>IF(F336="","",IF(AI336="1","",IF(AI336="2","└ ",IF(AI336="3","  └ ",IF(AI336="4","    └ ",IF(AI336="5","        └ ",IF(AI336="6","         └ ",IF(AI336="7"="            └ ",""))))))))&amp;IF(AM336="","",IF(AM336="메뉴","","("&amp;AM336&amp;")"))&amp;F336</f>
        <v xml:space="preserve">        └ (공통)재고재공할당</v>
      </c>
      <c r="C336" s="27" t="str">
        <f>IF(F336="","","14821")</f>
        <v>14821</v>
      </c>
      <c r="D336" s="121"/>
      <c r="E336" s="27">
        <v>285001</v>
      </c>
      <c r="F336" s="121" t="s">
        <v>2034</v>
      </c>
      <c r="G336" s="121" t="s">
        <v>3175</v>
      </c>
      <c r="H336" s="121"/>
      <c r="I336" s="121"/>
      <c r="J336" s="121"/>
      <c r="K336" s="27" t="str">
        <f>IF(O336="","","1")</f>
        <v>1</v>
      </c>
      <c r="L336" s="27" t="str">
        <f>IF(F336="","","1")</f>
        <v>1</v>
      </c>
      <c r="M336" s="27" t="str">
        <f>IF(O336="","0","1")</f>
        <v>1</v>
      </c>
      <c r="N336" s="121" t="s">
        <v>328</v>
      </c>
      <c r="O336" s="121" t="s">
        <v>194</v>
      </c>
      <c r="P336" s="27" t="str">
        <f>IF(O336="","0","1")</f>
        <v>1</v>
      </c>
      <c r="Q336" s="27" t="str">
        <f>IF(O336="","0","1")</f>
        <v>1</v>
      </c>
      <c r="R336" s="27" t="str">
        <f>IF(O336="","0","1")</f>
        <v>1</v>
      </c>
      <c r="S336" s="27" t="str">
        <f>IF(O336="","0","1")</f>
        <v>1</v>
      </c>
      <c r="T336" s="27" t="str">
        <f>IF(O336="","0","1")</f>
        <v>1</v>
      </c>
      <c r="U336" s="27" t="str">
        <f>IF(O336="","0","1")</f>
        <v>1</v>
      </c>
      <c r="V336" s="27" t="str">
        <f>IF(O336="","1","1")</f>
        <v>1</v>
      </c>
      <c r="W336" s="27"/>
      <c r="X336" s="27" t="str">
        <f>IF(O336="","","0")</f>
        <v>0</v>
      </c>
      <c r="Y336" s="27" t="str">
        <f>IF(O336="","","0")</f>
        <v>0</v>
      </c>
      <c r="Z336" s="27" t="str">
        <f>IF(O336="","","0")</f>
        <v>0</v>
      </c>
      <c r="AA336" s="121"/>
      <c r="AB336" s="121"/>
      <c r="AC336" s="121"/>
      <c r="AD336" s="121"/>
      <c r="AE336" s="121" t="s">
        <v>51</v>
      </c>
      <c r="AF336" s="121"/>
      <c r="AG336" s="121"/>
      <c r="AH336" s="28" t="s">
        <v>241</v>
      </c>
      <c r="AI336" s="28" t="s">
        <v>113</v>
      </c>
      <c r="AJ336" s="28">
        <v>69050</v>
      </c>
      <c r="AK336" s="28" t="str">
        <f>IF(B336="","","0")</f>
        <v>0</v>
      </c>
      <c r="AL336" s="123" t="str">
        <f>IF(C336="","",C336&amp;"/"&amp;F336&amp;"/"&amp;N336&amp;"/"&amp;O336)</f>
        <v>14821/재고재공할당/prod.order/LotChange</v>
      </c>
      <c r="AM336" s="28" t="s">
        <v>2981</v>
      </c>
      <c r="AN336" s="28"/>
      <c r="AO336" s="28"/>
      <c r="AP336" s="28"/>
      <c r="AQ336" s="28"/>
      <c r="AR336" s="28"/>
      <c r="AS336" s="28"/>
      <c r="AT336" s="28"/>
      <c r="AU336" s="28"/>
      <c r="AV336" s="28"/>
      <c r="AW336" s="28"/>
      <c r="AX336" s="28"/>
      <c r="AY336" s="124"/>
      <c r="AZ336" s="138" t="str">
        <f>IF(C336="","","delete from module_mst where pjt_id = '"&amp;C336&amp;"' and menu_id = '"&amp;E336&amp;"';")</f>
        <v>delete from module_mst where pjt_id = '14821' and menu_id = '285001';</v>
      </c>
      <c r="BA336" s="31" t="str">
        <f>IF(C336&lt;&gt;"",CREATE_QUERY($D$1,C$2:AY$2,C336:AY336),"")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'285001', '재고재공할당', 'Inventory rework allocation', '', '', '', '1', '1', '1', 'prod.order', 'LotChange', '1', '1', '1', '1', '1', '1', '1', '', '0', '0', '0', '', '', '', '', 'N', '', '', '285000', '5', '69050', '0', '14821/재고재공할당/prod.order/LotChange', '공통', '');</v>
      </c>
    </row>
    <row r="337" spans="1:53">
      <c r="A337" s="1">
        <v>337</v>
      </c>
      <c r="B337" s="164" t="str">
        <f t="shared" si="607"/>
        <v xml:space="preserve">        └ (공통)생산계획 관리</v>
      </c>
      <c r="C337" s="27" t="str">
        <f t="shared" si="608"/>
        <v>14821</v>
      </c>
      <c r="D337" s="121"/>
      <c r="E337" s="27">
        <v>285002</v>
      </c>
      <c r="F337" s="121" t="s">
        <v>208</v>
      </c>
      <c r="G337" s="121" t="s">
        <v>3171</v>
      </c>
      <c r="H337" s="121"/>
      <c r="I337" s="121"/>
      <c r="J337" s="121"/>
      <c r="K337" s="27" t="str">
        <f t="shared" si="609"/>
        <v>1</v>
      </c>
      <c r="L337" s="27" t="str">
        <f t="shared" si="610"/>
        <v>1</v>
      </c>
      <c r="M337" s="27" t="str">
        <f t="shared" si="611"/>
        <v>1</v>
      </c>
      <c r="N337" s="121" t="s">
        <v>327</v>
      </c>
      <c r="O337" s="121" t="s">
        <v>1899</v>
      </c>
      <c r="P337" s="27" t="str">
        <f t="shared" si="582"/>
        <v>1</v>
      </c>
      <c r="Q337" s="27" t="str">
        <f t="shared" si="583"/>
        <v>1</v>
      </c>
      <c r="R337" s="27" t="str">
        <f t="shared" si="584"/>
        <v>1</v>
      </c>
      <c r="S337" s="27" t="str">
        <f t="shared" si="585"/>
        <v>1</v>
      </c>
      <c r="T337" s="27" t="str">
        <f t="shared" si="586"/>
        <v>1</v>
      </c>
      <c r="U337" s="27" t="str">
        <f t="shared" si="587"/>
        <v>1</v>
      </c>
      <c r="V337" s="27" t="str">
        <f t="shared" si="588"/>
        <v>1</v>
      </c>
      <c r="W337" s="27"/>
      <c r="X337" s="27" t="str">
        <f t="shared" si="589"/>
        <v>0</v>
      </c>
      <c r="Y337" s="27" t="str">
        <f t="shared" si="590"/>
        <v>0</v>
      </c>
      <c r="Z337" s="27" t="str">
        <f t="shared" si="591"/>
        <v>0</v>
      </c>
      <c r="AA337" s="121"/>
      <c r="AB337" s="121"/>
      <c r="AC337" s="121"/>
      <c r="AD337" s="121"/>
      <c r="AE337" s="121" t="s">
        <v>51</v>
      </c>
      <c r="AF337" s="121"/>
      <c r="AG337" s="121"/>
      <c r="AH337" s="28" t="s">
        <v>241</v>
      </c>
      <c r="AI337" s="28" t="s">
        <v>113</v>
      </c>
      <c r="AJ337" s="28">
        <v>68050</v>
      </c>
      <c r="AK337" s="28" t="str">
        <f t="shared" si="612"/>
        <v>0</v>
      </c>
      <c r="AL337" s="123" t="str">
        <f t="shared" si="613"/>
        <v>14821/생산계획 관리/prod.plan/ProdPlanV2</v>
      </c>
      <c r="AM337" s="28" t="s">
        <v>2981</v>
      </c>
      <c r="AN337" s="28"/>
      <c r="AO337" s="28"/>
      <c r="AP337" s="28"/>
      <c r="AQ337" s="28"/>
      <c r="AR337" s="28"/>
      <c r="AS337" s="28"/>
      <c r="AT337" s="28"/>
      <c r="AU337" s="28"/>
      <c r="AV337" s="28" t="s">
        <v>3250</v>
      </c>
      <c r="AW337" s="28"/>
      <c r="AX337" s="28"/>
      <c r="AY337" s="124"/>
      <c r="AZ337" s="138" t="str">
        <f>IF(C337="","","delete from module_mst where pjt_id = '"&amp;C337&amp;"' and menu_id = '"&amp;E337&amp;"';")</f>
        <v>delete from module_mst where pjt_id = '14821' and menu_id = '285002';</v>
      </c>
      <c r="BA337" s="31" t="str">
        <f>IF(C337&lt;&gt;"",CREATE_QUERY($D$1,C$2:AY$2,C337:AY337),"")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'285002', '생산계획 관리', 'Production planning management', '', '', '', '1', '1', '1', 'prod.plan', 'ProdPlanV2', '1', '1', '1', '1', '1', '1', '1', '', '0', '0', '0', '', '', '', '', 'N', '', '', '285000', '5', '68050', '0', '14821/생산계획 관리/prod.plan/ProdPlanV2', '공통', '');</v>
      </c>
    </row>
    <row r="338" spans="1:53">
      <c r="A338" s="1">
        <v>338</v>
      </c>
      <c r="B338" s="164" t="str">
        <f t="shared" si="607"/>
        <v xml:space="preserve">        └ (공통)예비생산오더관리</v>
      </c>
      <c r="C338" s="27" t="str">
        <f t="shared" si="608"/>
        <v>14821</v>
      </c>
      <c r="D338" s="121"/>
      <c r="E338" s="27">
        <v>285003</v>
      </c>
      <c r="F338" s="121" t="s">
        <v>209</v>
      </c>
      <c r="G338" s="121" t="s">
        <v>3172</v>
      </c>
      <c r="H338" s="121"/>
      <c r="I338" s="121"/>
      <c r="J338" s="121"/>
      <c r="K338" s="27" t="str">
        <f t="shared" si="609"/>
        <v>1</v>
      </c>
      <c r="L338" s="27" t="str">
        <f t="shared" si="610"/>
        <v>1</v>
      </c>
      <c r="M338" s="27" t="str">
        <f t="shared" si="611"/>
        <v>1</v>
      </c>
      <c r="N338" s="121" t="s">
        <v>327</v>
      </c>
      <c r="O338" s="121" t="s">
        <v>213</v>
      </c>
      <c r="P338" s="27" t="str">
        <f t="shared" si="582"/>
        <v>1</v>
      </c>
      <c r="Q338" s="27" t="str">
        <f t="shared" si="583"/>
        <v>1</v>
      </c>
      <c r="R338" s="27" t="str">
        <f t="shared" si="584"/>
        <v>1</v>
      </c>
      <c r="S338" s="27" t="str">
        <f t="shared" si="585"/>
        <v>1</v>
      </c>
      <c r="T338" s="27" t="str">
        <f t="shared" si="586"/>
        <v>1</v>
      </c>
      <c r="U338" s="27" t="str">
        <f t="shared" si="587"/>
        <v>1</v>
      </c>
      <c r="V338" s="27" t="str">
        <f t="shared" si="588"/>
        <v>1</v>
      </c>
      <c r="W338" s="27"/>
      <c r="X338" s="27" t="str">
        <f t="shared" si="589"/>
        <v>0</v>
      </c>
      <c r="Y338" s="27" t="str">
        <f t="shared" si="590"/>
        <v>0</v>
      </c>
      <c r="Z338" s="27" t="str">
        <f t="shared" si="591"/>
        <v>0</v>
      </c>
      <c r="AA338" s="121"/>
      <c r="AB338" s="121"/>
      <c r="AC338" s="121"/>
      <c r="AD338" s="121"/>
      <c r="AE338" s="121" t="s">
        <v>51</v>
      </c>
      <c r="AF338" s="121"/>
      <c r="AG338" s="121"/>
      <c r="AH338" s="28" t="s">
        <v>241</v>
      </c>
      <c r="AI338" s="28" t="s">
        <v>113</v>
      </c>
      <c r="AJ338" s="28">
        <v>68052</v>
      </c>
      <c r="AK338" s="28" t="str">
        <f t="shared" si="612"/>
        <v>0</v>
      </c>
      <c r="AL338" s="123" t="str">
        <f t="shared" si="613"/>
        <v>14821/예비생산오더관리/prod.plan/RsvdOrder</v>
      </c>
      <c r="AM338" s="28" t="s">
        <v>2981</v>
      </c>
      <c r="AN338" s="28"/>
      <c r="AO338" s="28"/>
      <c r="AP338" s="28"/>
      <c r="AQ338" s="28"/>
      <c r="AR338" s="28"/>
      <c r="AS338" s="28" t="s">
        <v>1829</v>
      </c>
      <c r="AT338" s="28" t="s">
        <v>1829</v>
      </c>
      <c r="AU338" s="28"/>
      <c r="AV338" s="28"/>
      <c r="AW338" s="28"/>
      <c r="AX338" s="28"/>
      <c r="AY338" s="124"/>
      <c r="AZ338" s="138" t="str">
        <f>IF(C338="","","delete from module_mst where pjt_id = '"&amp;C338&amp;"' and menu_id = '"&amp;E338&amp;"';")</f>
        <v>delete from module_mst where pjt_id = '14821' and menu_id = '285003';</v>
      </c>
      <c r="BA338" s="31" t="str">
        <f>IF(C338&lt;&gt;"",CREATE_QUERY($D$1,C$2:AY$2,C338:AY338),"")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'285003', '예비생산오더관리', 'Preliminary production order management', '', '', '', '1', '1', '1', 'prod.plan', 'RsvdOrder', '1', '1', '1', '1', '1', '1', '1', '', '0', '0', '0', '', '', '', '', 'N', '', '', '285000', '5', '68052', '0', '14821/예비생산오더관리/prod.plan/RsvdOrder', '공통', '');</v>
      </c>
    </row>
    <row r="339" spans="1:53">
      <c r="A339" s="1">
        <v>339</v>
      </c>
      <c r="B339" s="164" t="str">
        <f t="shared" si="607"/>
        <v xml:space="preserve">        └ (공통)계획대비실적</v>
      </c>
      <c r="C339" s="27" t="str">
        <f t="shared" si="608"/>
        <v>14821</v>
      </c>
      <c r="D339" s="121"/>
      <c r="E339" s="27">
        <v>285004</v>
      </c>
      <c r="F339" s="121" t="s">
        <v>210</v>
      </c>
      <c r="G339" s="121" t="s">
        <v>3173</v>
      </c>
      <c r="H339" s="121"/>
      <c r="I339" s="121"/>
      <c r="J339" s="121"/>
      <c r="K339" s="27" t="str">
        <f t="shared" si="609"/>
        <v>1</v>
      </c>
      <c r="L339" s="27" t="str">
        <f t="shared" si="610"/>
        <v>1</v>
      </c>
      <c r="M339" s="27" t="str">
        <f t="shared" si="611"/>
        <v>1</v>
      </c>
      <c r="N339" s="121" t="s">
        <v>327</v>
      </c>
      <c r="O339" s="121" t="s">
        <v>214</v>
      </c>
      <c r="P339" s="27" t="str">
        <f t="shared" si="582"/>
        <v>1</v>
      </c>
      <c r="Q339" s="27" t="str">
        <f t="shared" si="583"/>
        <v>1</v>
      </c>
      <c r="R339" s="27" t="str">
        <f t="shared" si="584"/>
        <v>1</v>
      </c>
      <c r="S339" s="27" t="str">
        <f t="shared" si="585"/>
        <v>1</v>
      </c>
      <c r="T339" s="27" t="str">
        <f t="shared" si="586"/>
        <v>1</v>
      </c>
      <c r="U339" s="27" t="str">
        <f t="shared" si="587"/>
        <v>1</v>
      </c>
      <c r="V339" s="27" t="str">
        <f t="shared" si="588"/>
        <v>1</v>
      </c>
      <c r="W339" s="27"/>
      <c r="X339" s="27" t="str">
        <f t="shared" si="589"/>
        <v>0</v>
      </c>
      <c r="Y339" s="27" t="str">
        <f t="shared" si="590"/>
        <v>0</v>
      </c>
      <c r="Z339" s="27" t="str">
        <f t="shared" si="591"/>
        <v>0</v>
      </c>
      <c r="AA339" s="121"/>
      <c r="AB339" s="121"/>
      <c r="AC339" s="121"/>
      <c r="AD339" s="121"/>
      <c r="AE339" s="121" t="s">
        <v>51</v>
      </c>
      <c r="AF339" s="121"/>
      <c r="AG339" s="121"/>
      <c r="AH339" s="28" t="s">
        <v>241</v>
      </c>
      <c r="AI339" s="28" t="s">
        <v>113</v>
      </c>
      <c r="AJ339" s="28">
        <v>68054</v>
      </c>
      <c r="AK339" s="28" t="str">
        <f t="shared" si="612"/>
        <v>0</v>
      </c>
      <c r="AL339" s="123" t="str">
        <f t="shared" si="613"/>
        <v>14821/계획대비실적/prod.plan/PlanAnalList</v>
      </c>
      <c r="AM339" s="28" t="s">
        <v>2981</v>
      </c>
      <c r="AN339" s="28"/>
      <c r="AO339" s="28"/>
      <c r="AP339" s="28"/>
      <c r="AQ339" s="28"/>
      <c r="AR339" s="28"/>
      <c r="AS339" s="28"/>
      <c r="AT339" s="28" t="s">
        <v>1829</v>
      </c>
      <c r="AU339" s="28"/>
      <c r="AV339" s="28"/>
      <c r="AW339" s="28"/>
      <c r="AX339" s="28"/>
      <c r="AY339" s="124"/>
      <c r="AZ339" s="138" t="str">
        <f>IF(C339="","","delete from module_mst where pjt_id = '"&amp;C339&amp;"' and menu_id = '"&amp;E339&amp;"';")</f>
        <v>delete from module_mst where pjt_id = '14821' and menu_id = '285004';</v>
      </c>
      <c r="BA339" s="31" t="str">
        <f>IF(C339&lt;&gt;"",CREATE_QUERY($D$1,C$2:AY$2,C339:AY339),"")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'285004', '계획대비실적', 'Performance against plan', '', '', '', '1', '1', '1', 'prod.plan', 'PlanAnalList', '1', '1', '1', '1', '1', '1', '1', '', '0', '0', '0', '', '', '', '', 'N', '', '', '285000', '5', '68054', '0', '14821/계획대비실적/prod.plan/PlanAnalList', '공통', '');</v>
      </c>
    </row>
    <row r="340" spans="1:53">
      <c r="A340" s="1">
        <v>340</v>
      </c>
      <c r="B340" s="164" t="str">
        <f t="shared" si="607"/>
        <v/>
      </c>
      <c r="C340" s="27" t="str">
        <f t="shared" si="608"/>
        <v/>
      </c>
      <c r="D340" s="121"/>
      <c r="E340" s="27">
        <v>285005</v>
      </c>
      <c r="F340" s="121"/>
      <c r="G340" s="121" t="s">
        <v>900</v>
      </c>
      <c r="H340" s="121"/>
      <c r="I340" s="121"/>
      <c r="J340" s="121"/>
      <c r="K340" s="27" t="str">
        <f t="shared" si="609"/>
        <v/>
      </c>
      <c r="L340" s="27" t="str">
        <f t="shared" si="610"/>
        <v/>
      </c>
      <c r="M340" s="27" t="str">
        <f t="shared" si="611"/>
        <v>0</v>
      </c>
      <c r="N340" s="121"/>
      <c r="O340" s="121"/>
      <c r="P340" s="27" t="str">
        <f t="shared" ref="P340:P354" si="615">IF(O340="","0","1")</f>
        <v>0</v>
      </c>
      <c r="Q340" s="27" t="str">
        <f t="shared" ref="Q340:Q354" si="616">IF(O340="","0","1")</f>
        <v>0</v>
      </c>
      <c r="R340" s="27" t="str">
        <f t="shared" ref="R340:R354" si="617">IF(O340="","0","1")</f>
        <v>0</v>
      </c>
      <c r="S340" s="27" t="str">
        <f t="shared" ref="S340:S354" si="618">IF(O340="","0","1")</f>
        <v>0</v>
      </c>
      <c r="T340" s="27" t="str">
        <f t="shared" ref="T340:T354" si="619">IF(O340="","0","1")</f>
        <v>0</v>
      </c>
      <c r="U340" s="27" t="str">
        <f t="shared" ref="U340:U354" si="620">IF(O340="","0","1")</f>
        <v>0</v>
      </c>
      <c r="V340" s="27" t="str">
        <f t="shared" ref="V340:V354" si="621">IF(O340="","1","1")</f>
        <v>1</v>
      </c>
      <c r="W340" s="27"/>
      <c r="X340" s="27" t="str">
        <f t="shared" ref="X340:X354" si="622">IF(O340="","","0")</f>
        <v/>
      </c>
      <c r="Y340" s="27" t="str">
        <f t="shared" ref="Y340:Y354" si="623">IF(O340="","","0")</f>
        <v/>
      </c>
      <c r="Z340" s="27" t="str">
        <f t="shared" ref="Z340:Z354" si="624">IF(O340="","","0")</f>
        <v/>
      </c>
      <c r="AA340" s="121"/>
      <c r="AB340" s="121"/>
      <c r="AC340" s="121"/>
      <c r="AD340" s="121"/>
      <c r="AE340" s="121" t="s">
        <v>51</v>
      </c>
      <c r="AF340" s="121"/>
      <c r="AG340" s="121"/>
      <c r="AH340" s="28" t="s">
        <v>241</v>
      </c>
      <c r="AI340" s="28" t="s">
        <v>113</v>
      </c>
      <c r="AJ340" s="28">
        <v>68076</v>
      </c>
      <c r="AK340" s="28" t="str">
        <f t="shared" si="612"/>
        <v/>
      </c>
      <c r="AL340" s="123" t="str">
        <f t="shared" ref="AL340:AL343" si="625">IF(C340="","",C340&amp;"/"&amp;F340&amp;"/"&amp;N340&amp;"/"&amp;O340)</f>
        <v/>
      </c>
      <c r="AM340" s="28"/>
      <c r="AN340" s="28" t="s">
        <v>3245</v>
      </c>
      <c r="AO340" s="28" t="s">
        <v>3245</v>
      </c>
      <c r="AP340" s="28" t="s">
        <v>3245</v>
      </c>
      <c r="AQ340" s="28" t="s">
        <v>3245</v>
      </c>
      <c r="AR340" s="28" t="s">
        <v>3245</v>
      </c>
      <c r="AS340" s="28" t="s">
        <v>3245</v>
      </c>
      <c r="AT340" s="28" t="s">
        <v>3245</v>
      </c>
      <c r="AU340" s="28" t="s">
        <v>3245</v>
      </c>
      <c r="AV340" s="28" t="s">
        <v>3245</v>
      </c>
      <c r="AW340" s="28" t="s">
        <v>3245</v>
      </c>
      <c r="AX340" s="28" t="s">
        <v>3245</v>
      </c>
      <c r="AY340" s="124"/>
      <c r="AZ340" s="138" t="str">
        <f>IF(C340="","","delete from module_mst where pjt_id = '"&amp;C340&amp;"' and menu_id = '"&amp;E340&amp;"';")</f>
        <v/>
      </c>
      <c r="BA340" s="31" t="str">
        <f>IF(C340&lt;&gt;"",CREATE_QUERY($D$1,C$2:AY$2,C340:AY340),"")</f>
        <v/>
      </c>
    </row>
    <row r="341" spans="1:53">
      <c r="A341" s="1">
        <v>341</v>
      </c>
      <c r="B341" s="164" t="str">
        <f t="shared" si="607"/>
        <v/>
      </c>
      <c r="C341" s="27" t="str">
        <f t="shared" si="608"/>
        <v/>
      </c>
      <c r="D341" s="121"/>
      <c r="E341" s="27">
        <v>285006</v>
      </c>
      <c r="F341" s="121"/>
      <c r="G341" s="121" t="s">
        <v>900</v>
      </c>
      <c r="H341" s="121"/>
      <c r="I341" s="121"/>
      <c r="J341" s="121"/>
      <c r="K341" s="27" t="str">
        <f t="shared" ref="K341:K354" si="626">IF(O341="","","1")</f>
        <v/>
      </c>
      <c r="L341" s="27" t="str">
        <f t="shared" si="610"/>
        <v/>
      </c>
      <c r="M341" s="27" t="str">
        <f t="shared" ref="M341:M354" si="627">IF(O341="","0","1")</f>
        <v>0</v>
      </c>
      <c r="N341" s="121"/>
      <c r="O341" s="121"/>
      <c r="P341" s="27" t="str">
        <f t="shared" si="615"/>
        <v>0</v>
      </c>
      <c r="Q341" s="27" t="str">
        <f t="shared" si="616"/>
        <v>0</v>
      </c>
      <c r="R341" s="27" t="str">
        <f t="shared" si="617"/>
        <v>0</v>
      </c>
      <c r="S341" s="27" t="str">
        <f t="shared" si="618"/>
        <v>0</v>
      </c>
      <c r="T341" s="27" t="str">
        <f t="shared" si="619"/>
        <v>0</v>
      </c>
      <c r="U341" s="27" t="str">
        <f t="shared" si="620"/>
        <v>0</v>
      </c>
      <c r="V341" s="27" t="str">
        <f t="shared" si="621"/>
        <v>1</v>
      </c>
      <c r="W341" s="27"/>
      <c r="X341" s="27" t="str">
        <f t="shared" si="622"/>
        <v/>
      </c>
      <c r="Y341" s="27" t="str">
        <f t="shared" si="623"/>
        <v/>
      </c>
      <c r="Z341" s="27" t="str">
        <f t="shared" si="624"/>
        <v/>
      </c>
      <c r="AA341" s="121"/>
      <c r="AB341" s="121"/>
      <c r="AC341" s="121"/>
      <c r="AD341" s="121"/>
      <c r="AE341" s="121" t="s">
        <v>51</v>
      </c>
      <c r="AF341" s="121"/>
      <c r="AG341" s="121"/>
      <c r="AH341" s="28" t="s">
        <v>241</v>
      </c>
      <c r="AI341" s="28" t="s">
        <v>113</v>
      </c>
      <c r="AJ341" s="28">
        <v>68078</v>
      </c>
      <c r="AK341" s="28" t="str">
        <f t="shared" si="612"/>
        <v/>
      </c>
      <c r="AL341" s="123" t="str">
        <f t="shared" si="625"/>
        <v/>
      </c>
      <c r="AM341" s="28"/>
      <c r="AN341" s="28" t="s">
        <v>3245</v>
      </c>
      <c r="AO341" s="28" t="s">
        <v>3245</v>
      </c>
      <c r="AP341" s="28" t="s">
        <v>3245</v>
      </c>
      <c r="AQ341" s="28" t="s">
        <v>3245</v>
      </c>
      <c r="AR341" s="28" t="s">
        <v>3245</v>
      </c>
      <c r="AS341" s="28" t="s">
        <v>3245</v>
      </c>
      <c r="AT341" s="28" t="s">
        <v>3245</v>
      </c>
      <c r="AU341" s="28" t="s">
        <v>3245</v>
      </c>
      <c r="AV341" s="28" t="s">
        <v>3245</v>
      </c>
      <c r="AW341" s="28" t="s">
        <v>3245</v>
      </c>
      <c r="AX341" s="28" t="s">
        <v>3245</v>
      </c>
      <c r="AY341" s="124"/>
      <c r="AZ341" s="138" t="str">
        <f>IF(C341="","","delete from module_mst where pjt_id = '"&amp;C341&amp;"' and menu_id = '"&amp;E341&amp;"';")</f>
        <v/>
      </c>
      <c r="BA341" s="31" t="str">
        <f>IF(C341&lt;&gt;"",CREATE_QUERY($D$1,C$2:AY$2,C341:AY341),"")</f>
        <v/>
      </c>
    </row>
    <row r="342" spans="1:53">
      <c r="A342" s="1">
        <v>342</v>
      </c>
      <c r="B342" s="164" t="str">
        <f t="shared" si="607"/>
        <v/>
      </c>
      <c r="C342" s="27" t="str">
        <f t="shared" si="608"/>
        <v/>
      </c>
      <c r="D342" s="121"/>
      <c r="E342" s="27">
        <v>285007</v>
      </c>
      <c r="F342" s="121"/>
      <c r="G342" s="121" t="s">
        <v>900</v>
      </c>
      <c r="H342" s="121"/>
      <c r="I342" s="121"/>
      <c r="J342" s="121"/>
      <c r="K342" s="27" t="str">
        <f t="shared" si="626"/>
        <v/>
      </c>
      <c r="L342" s="27" t="str">
        <f t="shared" si="610"/>
        <v/>
      </c>
      <c r="M342" s="27" t="str">
        <f t="shared" si="627"/>
        <v>0</v>
      </c>
      <c r="N342" s="121"/>
      <c r="O342" s="121"/>
      <c r="P342" s="27" t="str">
        <f t="shared" si="615"/>
        <v>0</v>
      </c>
      <c r="Q342" s="27" t="str">
        <f t="shared" si="616"/>
        <v>0</v>
      </c>
      <c r="R342" s="27" t="str">
        <f t="shared" si="617"/>
        <v>0</v>
      </c>
      <c r="S342" s="27" t="str">
        <f t="shared" si="618"/>
        <v>0</v>
      </c>
      <c r="T342" s="27" t="str">
        <f t="shared" si="619"/>
        <v>0</v>
      </c>
      <c r="U342" s="27" t="str">
        <f t="shared" si="620"/>
        <v>0</v>
      </c>
      <c r="V342" s="27" t="str">
        <f t="shared" si="621"/>
        <v>1</v>
      </c>
      <c r="W342" s="27"/>
      <c r="X342" s="27" t="str">
        <f t="shared" si="622"/>
        <v/>
      </c>
      <c r="Y342" s="27" t="str">
        <f t="shared" si="623"/>
        <v/>
      </c>
      <c r="Z342" s="27" t="str">
        <f t="shared" si="624"/>
        <v/>
      </c>
      <c r="AA342" s="121"/>
      <c r="AB342" s="121"/>
      <c r="AC342" s="121"/>
      <c r="AD342" s="121"/>
      <c r="AE342" s="121" t="s">
        <v>51</v>
      </c>
      <c r="AF342" s="121"/>
      <c r="AG342" s="121"/>
      <c r="AH342" s="28" t="s">
        <v>241</v>
      </c>
      <c r="AI342" s="28" t="s">
        <v>113</v>
      </c>
      <c r="AJ342" s="28">
        <v>68080</v>
      </c>
      <c r="AK342" s="28" t="str">
        <f t="shared" si="612"/>
        <v/>
      </c>
      <c r="AL342" s="123" t="str">
        <f t="shared" si="625"/>
        <v/>
      </c>
      <c r="AM342" s="28"/>
      <c r="AN342" s="28" t="s">
        <v>3245</v>
      </c>
      <c r="AO342" s="28" t="s">
        <v>3245</v>
      </c>
      <c r="AP342" s="28" t="s">
        <v>3245</v>
      </c>
      <c r="AQ342" s="28" t="s">
        <v>3245</v>
      </c>
      <c r="AR342" s="28" t="s">
        <v>3245</v>
      </c>
      <c r="AS342" s="28" t="s">
        <v>3245</v>
      </c>
      <c r="AT342" s="28" t="s">
        <v>3245</v>
      </c>
      <c r="AU342" s="28" t="s">
        <v>3245</v>
      </c>
      <c r="AV342" s="28" t="s">
        <v>3245</v>
      </c>
      <c r="AW342" s="28" t="s">
        <v>3245</v>
      </c>
      <c r="AX342" s="28" t="s">
        <v>3245</v>
      </c>
      <c r="AY342" s="124"/>
      <c r="AZ342" s="138" t="str">
        <f>IF(C342="","","delete from module_mst where pjt_id = '"&amp;C342&amp;"' and menu_id = '"&amp;E342&amp;"';")</f>
        <v/>
      </c>
      <c r="BA342" s="31" t="str">
        <f>IF(C342&lt;&gt;"",CREATE_QUERY($D$1,C$2:AY$2,C342:AY342),"")</f>
        <v/>
      </c>
    </row>
    <row r="343" spans="1:53">
      <c r="A343" s="1">
        <v>343</v>
      </c>
      <c r="B343" s="164" t="str">
        <f t="shared" si="607"/>
        <v/>
      </c>
      <c r="C343" s="27" t="str">
        <f t="shared" si="608"/>
        <v/>
      </c>
      <c r="D343" s="121"/>
      <c r="E343" s="27">
        <v>285008</v>
      </c>
      <c r="F343" s="121"/>
      <c r="G343" s="121" t="s">
        <v>900</v>
      </c>
      <c r="H343" s="121"/>
      <c r="I343" s="121"/>
      <c r="J343" s="121"/>
      <c r="K343" s="27" t="str">
        <f t="shared" si="626"/>
        <v/>
      </c>
      <c r="L343" s="27" t="str">
        <f t="shared" si="610"/>
        <v/>
      </c>
      <c r="M343" s="27" t="str">
        <f t="shared" si="627"/>
        <v>0</v>
      </c>
      <c r="N343" s="121"/>
      <c r="O343" s="121"/>
      <c r="P343" s="27" t="str">
        <f t="shared" si="615"/>
        <v>0</v>
      </c>
      <c r="Q343" s="27" t="str">
        <f t="shared" si="616"/>
        <v>0</v>
      </c>
      <c r="R343" s="27" t="str">
        <f t="shared" si="617"/>
        <v>0</v>
      </c>
      <c r="S343" s="27" t="str">
        <f t="shared" si="618"/>
        <v>0</v>
      </c>
      <c r="T343" s="27" t="str">
        <f t="shared" si="619"/>
        <v>0</v>
      </c>
      <c r="U343" s="27" t="str">
        <f t="shared" si="620"/>
        <v>0</v>
      </c>
      <c r="V343" s="27" t="str">
        <f t="shared" si="621"/>
        <v>1</v>
      </c>
      <c r="W343" s="27"/>
      <c r="X343" s="27" t="str">
        <f t="shared" si="622"/>
        <v/>
      </c>
      <c r="Y343" s="27" t="str">
        <f t="shared" si="623"/>
        <v/>
      </c>
      <c r="Z343" s="27" t="str">
        <f t="shared" si="624"/>
        <v/>
      </c>
      <c r="AA343" s="121"/>
      <c r="AB343" s="121"/>
      <c r="AC343" s="121"/>
      <c r="AD343" s="121"/>
      <c r="AE343" s="121" t="s">
        <v>51</v>
      </c>
      <c r="AF343" s="121"/>
      <c r="AG343" s="121"/>
      <c r="AH343" s="28" t="s">
        <v>241</v>
      </c>
      <c r="AI343" s="28" t="s">
        <v>113</v>
      </c>
      <c r="AJ343" s="28">
        <v>68082</v>
      </c>
      <c r="AK343" s="28" t="str">
        <f t="shared" si="612"/>
        <v/>
      </c>
      <c r="AL343" s="123" t="str">
        <f t="shared" si="625"/>
        <v/>
      </c>
      <c r="AM343" s="28"/>
      <c r="AN343" s="28" t="s">
        <v>3245</v>
      </c>
      <c r="AO343" s="28" t="s">
        <v>3245</v>
      </c>
      <c r="AP343" s="28" t="s">
        <v>3245</v>
      </c>
      <c r="AQ343" s="28" t="s">
        <v>3245</v>
      </c>
      <c r="AR343" s="28" t="s">
        <v>3245</v>
      </c>
      <c r="AS343" s="28" t="s">
        <v>3245</v>
      </c>
      <c r="AT343" s="28" t="s">
        <v>3245</v>
      </c>
      <c r="AU343" s="28" t="s">
        <v>3245</v>
      </c>
      <c r="AV343" s="28" t="s">
        <v>3245</v>
      </c>
      <c r="AW343" s="28" t="s">
        <v>3245</v>
      </c>
      <c r="AX343" s="28" t="s">
        <v>3245</v>
      </c>
      <c r="AY343" s="124"/>
      <c r="AZ343" s="138" t="str">
        <f>IF(C343="","","delete from module_mst where pjt_id = '"&amp;C343&amp;"' and menu_id = '"&amp;E343&amp;"';")</f>
        <v/>
      </c>
      <c r="BA343" s="31" t="str">
        <f>IF(C343&lt;&gt;"",CREATE_QUERY($D$1,C$2:AY$2,C343:AY343),"")</f>
        <v/>
      </c>
    </row>
    <row r="344" spans="1:53">
      <c r="A344" s="1">
        <v>344</v>
      </c>
      <c r="B344" s="164" t="str">
        <f t="shared" si="607"/>
        <v/>
      </c>
      <c r="C344" s="27" t="str">
        <f t="shared" si="608"/>
        <v/>
      </c>
      <c r="D344" s="121"/>
      <c r="E344" s="27"/>
      <c r="F344" s="121"/>
      <c r="G344" s="121" t="s">
        <v>900</v>
      </c>
      <c r="H344" s="121"/>
      <c r="I344" s="121"/>
      <c r="J344" s="121"/>
      <c r="K344" s="27" t="str">
        <f t="shared" si="626"/>
        <v/>
      </c>
      <c r="L344" s="27" t="str">
        <f t="shared" si="610"/>
        <v/>
      </c>
      <c r="M344" s="27" t="str">
        <f t="shared" si="627"/>
        <v>0</v>
      </c>
      <c r="N344" s="121"/>
      <c r="O344" s="121"/>
      <c r="P344" s="27" t="str">
        <f t="shared" si="615"/>
        <v>0</v>
      </c>
      <c r="Q344" s="27" t="str">
        <f t="shared" si="616"/>
        <v>0</v>
      </c>
      <c r="R344" s="27" t="str">
        <f t="shared" si="617"/>
        <v>0</v>
      </c>
      <c r="S344" s="27" t="str">
        <f t="shared" si="618"/>
        <v>0</v>
      </c>
      <c r="T344" s="27" t="str">
        <f t="shared" si="619"/>
        <v>0</v>
      </c>
      <c r="U344" s="27" t="str">
        <f t="shared" si="620"/>
        <v>0</v>
      </c>
      <c r="V344" s="27" t="str">
        <f t="shared" si="621"/>
        <v>1</v>
      </c>
      <c r="W344" s="27"/>
      <c r="X344" s="27" t="str">
        <f t="shared" si="622"/>
        <v/>
      </c>
      <c r="Y344" s="27" t="str">
        <f t="shared" si="623"/>
        <v/>
      </c>
      <c r="Z344" s="27" t="str">
        <f t="shared" si="624"/>
        <v/>
      </c>
      <c r="AA344" s="121"/>
      <c r="AB344" s="121"/>
      <c r="AC344" s="121"/>
      <c r="AD344" s="121"/>
      <c r="AE344" s="121"/>
      <c r="AF344" s="121"/>
      <c r="AG344" s="121"/>
      <c r="AH344" s="27"/>
      <c r="AI344" s="27"/>
      <c r="AJ344" s="27" t="s">
        <v>900</v>
      </c>
      <c r="AK344" s="27" t="str">
        <f t="shared" si="612"/>
        <v/>
      </c>
      <c r="AL344" s="123" t="str">
        <f t="shared" si="613"/>
        <v/>
      </c>
      <c r="AM344" s="27"/>
      <c r="AN344" s="27"/>
      <c r="AO344" s="27"/>
      <c r="AP344" s="27"/>
      <c r="AQ344" s="27"/>
      <c r="AR344" s="27"/>
      <c r="AS344" s="27"/>
      <c r="AT344" s="27"/>
      <c r="AU344" s="27"/>
      <c r="AV344" s="27"/>
      <c r="AW344" s="27"/>
      <c r="AX344" s="27"/>
      <c r="AY344" s="124"/>
      <c r="AZ344" s="138" t="str">
        <f>IF(C344="","","delete from module_mst where pjt_id = '"&amp;C344&amp;"' and menu_id = '"&amp;E344&amp;"';")</f>
        <v/>
      </c>
      <c r="BA344" s="31" t="str">
        <f>IF(C344&lt;&gt;"",CREATE_QUERY($D$1,C$2:AY$2,C344:AY344),"")</f>
        <v/>
      </c>
    </row>
    <row r="345" spans="1:53">
      <c r="A345" s="1">
        <v>345</v>
      </c>
      <c r="B345" s="159" t="str">
        <f t="shared" si="607"/>
        <v xml:space="preserve">    └ 생산지시 관리</v>
      </c>
      <c r="C345" s="27" t="str">
        <f t="shared" si="608"/>
        <v>14821</v>
      </c>
      <c r="D345" s="121"/>
      <c r="E345" s="21" t="s">
        <v>362</v>
      </c>
      <c r="F345" s="118" t="s">
        <v>3358</v>
      </c>
      <c r="G345" s="118" t="s">
        <v>3174</v>
      </c>
      <c r="H345" s="118"/>
      <c r="I345" s="118"/>
      <c r="J345" s="118"/>
      <c r="K345" s="21" t="str">
        <f t="shared" si="626"/>
        <v/>
      </c>
      <c r="L345" s="21" t="str">
        <f t="shared" si="610"/>
        <v>1</v>
      </c>
      <c r="M345" s="21" t="str">
        <f t="shared" si="627"/>
        <v>0</v>
      </c>
      <c r="N345" s="118"/>
      <c r="O345" s="118"/>
      <c r="P345" s="21" t="str">
        <f t="shared" si="615"/>
        <v>0</v>
      </c>
      <c r="Q345" s="21" t="str">
        <f t="shared" si="616"/>
        <v>0</v>
      </c>
      <c r="R345" s="21" t="str">
        <f t="shared" si="617"/>
        <v>0</v>
      </c>
      <c r="S345" s="21" t="str">
        <f t="shared" si="618"/>
        <v>0</v>
      </c>
      <c r="T345" s="21" t="str">
        <f t="shared" si="619"/>
        <v>0</v>
      </c>
      <c r="U345" s="21" t="str">
        <f t="shared" si="620"/>
        <v>0</v>
      </c>
      <c r="V345" s="21" t="str">
        <f t="shared" si="621"/>
        <v>1</v>
      </c>
      <c r="W345" s="21"/>
      <c r="X345" s="21" t="str">
        <f t="shared" si="622"/>
        <v/>
      </c>
      <c r="Y345" s="21" t="str">
        <f t="shared" si="623"/>
        <v/>
      </c>
      <c r="Z345" s="21" t="str">
        <f t="shared" si="624"/>
        <v/>
      </c>
      <c r="AA345" s="118"/>
      <c r="AB345" s="118"/>
      <c r="AC345" s="118"/>
      <c r="AD345" s="118"/>
      <c r="AE345" s="118" t="s">
        <v>51</v>
      </c>
      <c r="AF345" s="118"/>
      <c r="AG345" s="118"/>
      <c r="AH345" s="26" t="s">
        <v>197</v>
      </c>
      <c r="AI345" s="26" t="s">
        <v>112</v>
      </c>
      <c r="AJ345" s="26">
        <v>69000</v>
      </c>
      <c r="AK345" s="26" t="str">
        <f t="shared" si="612"/>
        <v>0</v>
      </c>
      <c r="AL345" s="123" t="str">
        <f t="shared" si="613"/>
        <v>14821/생산지시 관리//</v>
      </c>
      <c r="AM345" s="26" t="s">
        <v>2979</v>
      </c>
      <c r="AN345" s="26" t="str">
        <f t="shared" ref="AN345:AX345" ca="1" si="628">IF(COUNTIF(AN336:AN352,"="&amp;"Y")&gt;0,"Y",IF(COUNTIF(AN336:AN352,"="&amp;"-")&gt;0,"m",""))</f>
        <v>Y</v>
      </c>
      <c r="AO345" s="26" t="str">
        <f t="shared" ca="1" si="628"/>
        <v>Y</v>
      </c>
      <c r="AP345" s="26" t="str">
        <f t="shared" ca="1" si="628"/>
        <v>Y</v>
      </c>
      <c r="AQ345" s="26" t="str">
        <f t="shared" ca="1" si="628"/>
        <v/>
      </c>
      <c r="AR345" s="26" t="str">
        <f t="shared" ca="1" si="628"/>
        <v>Y</v>
      </c>
      <c r="AS345" s="26" t="str">
        <f t="shared" ca="1" si="628"/>
        <v/>
      </c>
      <c r="AT345" s="26" t="str">
        <f t="shared" ca="1" si="628"/>
        <v>Y</v>
      </c>
      <c r="AU345" s="26" t="str">
        <f t="shared" ca="1" si="628"/>
        <v/>
      </c>
      <c r="AV345" s="26" t="str">
        <f t="shared" ca="1" si="628"/>
        <v/>
      </c>
      <c r="AW345" s="26" t="str">
        <f t="shared" ca="1" si="628"/>
        <v>Y</v>
      </c>
      <c r="AX345" s="26" t="str">
        <f t="shared" ca="1" si="628"/>
        <v/>
      </c>
      <c r="AY345" s="124"/>
      <c r="AZ345" s="138" t="str">
        <f>IF(C345="","","delete from module_mst where pjt_id = '"&amp;C345&amp;"' and menu_id = '"&amp;E345&amp;"';")</f>
        <v>delete from module_mst where pjt_id = '14821' and menu_id = '286000';</v>
      </c>
      <c r="BA345" s="31" t="str">
        <f ca="1">IF(C345&lt;&gt;"",CREATE_QUERY($D$1,C$2:AY$2,C345:AY345),"")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'286001', '생산지시서 관리', 'Production order management', '', '', '', '1', '1', '1', 'prod.order', 'ProdOrderV2', '1', '1', '1', '1', '1', '1', '1', '', '0', '0', '0', '', '', '', '', 'N', '', '', '286000', '5', '69100', '0', '14821/생산지시서 관리/prod.order/ProdOrderV2', '공통', '');</v>
      </c>
    </row>
    <row r="346" spans="1:53">
      <c r="A346" s="1">
        <v>346</v>
      </c>
      <c r="B346" s="164" t="str">
        <f t="shared" si="607"/>
        <v xml:space="preserve">        └ (공통)생산지시서 관리</v>
      </c>
      <c r="C346" s="27" t="str">
        <f t="shared" si="608"/>
        <v>14821</v>
      </c>
      <c r="D346" s="121"/>
      <c r="E346" s="27">
        <v>286001</v>
      </c>
      <c r="F346" s="121" t="s">
        <v>2433</v>
      </c>
      <c r="G346" s="121" t="s">
        <v>3186</v>
      </c>
      <c r="H346" s="121"/>
      <c r="I346" s="121"/>
      <c r="J346" s="121"/>
      <c r="K346" s="27" t="str">
        <f t="shared" si="626"/>
        <v>1</v>
      </c>
      <c r="L346" s="27" t="str">
        <f t="shared" si="610"/>
        <v>1</v>
      </c>
      <c r="M346" s="27" t="str">
        <f t="shared" si="627"/>
        <v>1</v>
      </c>
      <c r="N346" s="121" t="s">
        <v>328</v>
      </c>
      <c r="O346" s="121" t="s">
        <v>1898</v>
      </c>
      <c r="P346" s="27" t="str">
        <f t="shared" si="615"/>
        <v>1</v>
      </c>
      <c r="Q346" s="27" t="str">
        <f t="shared" si="616"/>
        <v>1</v>
      </c>
      <c r="R346" s="27" t="str">
        <f t="shared" si="617"/>
        <v>1</v>
      </c>
      <c r="S346" s="27" t="str">
        <f t="shared" si="618"/>
        <v>1</v>
      </c>
      <c r="T346" s="27" t="str">
        <f t="shared" si="619"/>
        <v>1</v>
      </c>
      <c r="U346" s="27" t="str">
        <f t="shared" si="620"/>
        <v>1</v>
      </c>
      <c r="V346" s="27" t="str">
        <f t="shared" si="621"/>
        <v>1</v>
      </c>
      <c r="W346" s="27"/>
      <c r="X346" s="27" t="str">
        <f t="shared" si="622"/>
        <v>0</v>
      </c>
      <c r="Y346" s="27" t="str">
        <f t="shared" si="623"/>
        <v>0</v>
      </c>
      <c r="Z346" s="27" t="str">
        <f t="shared" si="624"/>
        <v>0</v>
      </c>
      <c r="AA346" s="121"/>
      <c r="AB346" s="121"/>
      <c r="AC346" s="121"/>
      <c r="AD346" s="121"/>
      <c r="AE346" s="121" t="s">
        <v>51</v>
      </c>
      <c r="AF346" s="121"/>
      <c r="AG346" s="121"/>
      <c r="AH346" s="28" t="s">
        <v>242</v>
      </c>
      <c r="AI346" s="28" t="s">
        <v>113</v>
      </c>
      <c r="AJ346" s="28">
        <v>69100</v>
      </c>
      <c r="AK346" s="28" t="str">
        <f t="shared" si="612"/>
        <v>0</v>
      </c>
      <c r="AL346" s="123" t="str">
        <f t="shared" ref="AL346:AL349" si="629">IF(C346="","",C346&amp;"/"&amp;F346&amp;"/"&amp;N346&amp;"/"&amp;O346)</f>
        <v>14821/생산지시서 관리/prod.order/ProdOrderV2</v>
      </c>
      <c r="AM346" s="28" t="s">
        <v>2981</v>
      </c>
      <c r="AN346" s="28"/>
      <c r="AO346" s="28"/>
      <c r="AP346" s="28"/>
      <c r="AQ346" s="28"/>
      <c r="AR346" s="28"/>
      <c r="AS346" s="28"/>
      <c r="AT346" s="28" t="s">
        <v>1829</v>
      </c>
      <c r="AU346" s="28"/>
      <c r="AV346" s="28"/>
      <c r="AW346" s="28"/>
      <c r="AX346" s="28"/>
      <c r="AY346" s="124"/>
      <c r="AZ346" s="138" t="str">
        <f>IF(C346="","","delete from module_mst where pjt_id = '"&amp;C346&amp;"' and menu_id = '"&amp;E346&amp;"';")</f>
        <v>delete from module_mst where pjt_id = '14821' and menu_id = '286001';</v>
      </c>
      <c r="BA346" s="31" t="str">
        <f>IF(C346&lt;&gt;"",CREATE_QUERY($D$1,C$2:AY$2,C346:AY346),"")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'286001', '생산지시서 관리', 'Production order management', '', '', '', '1', '1', '1', 'prod.order', 'ProdOrderV2', '1', '1', '1', '1', '1', '1', '1', '', '0', '0', '0', '', '', '', '', 'N', '', '', '286000', '5', '69100', '0', '14821/생산지시서 관리/prod.order/ProdOrderV2', '공통', '');</v>
      </c>
    </row>
    <row r="347" spans="1:53">
      <c r="A347" s="1">
        <v>347</v>
      </c>
      <c r="B347" s="164" t="str">
        <f>IF(F347="","",IF(AI347="1","",IF(AI347="2","└ ",IF(AI347="3","  └ ",IF(AI347="4","    └ ",IF(AI347="5","        └ ",IF(AI347="6","         └ ",IF(AI347="7"="            └ ",""))))))))&amp;IF(AM347="","",IF(AM347="메뉴","","("&amp;AM347&amp;")"))&amp;F347</f>
        <v xml:space="preserve">        └ (선택)생산지시등록</v>
      </c>
      <c r="C347" s="27" t="str">
        <f t="shared" si="608"/>
        <v>14821</v>
      </c>
      <c r="D347" s="121"/>
      <c r="E347" s="27">
        <v>286002</v>
      </c>
      <c r="F347" s="121" t="s">
        <v>216</v>
      </c>
      <c r="G347" s="121" t="s">
        <v>3176</v>
      </c>
      <c r="H347" s="121"/>
      <c r="I347" s="121"/>
      <c r="J347" s="121"/>
      <c r="K347" s="27" t="str">
        <f t="shared" si="626"/>
        <v>1</v>
      </c>
      <c r="L347" s="27" t="str">
        <f t="shared" si="610"/>
        <v>1</v>
      </c>
      <c r="M347" s="27" t="str">
        <f t="shared" si="627"/>
        <v>1</v>
      </c>
      <c r="N347" s="121" t="s">
        <v>328</v>
      </c>
      <c r="O347" s="121" t="s">
        <v>251</v>
      </c>
      <c r="P347" s="27" t="str">
        <f>IF(O347="","0","1")</f>
        <v>1</v>
      </c>
      <c r="Q347" s="27" t="str">
        <f>IF(O347="","0","1")</f>
        <v>1</v>
      </c>
      <c r="R347" s="27" t="str">
        <f>IF(O347="","0","1")</f>
        <v>1</v>
      </c>
      <c r="S347" s="27" t="str">
        <f>IF(O347="","0","1")</f>
        <v>1</v>
      </c>
      <c r="T347" s="27" t="str">
        <f>IF(O347="","0","1")</f>
        <v>1</v>
      </c>
      <c r="U347" s="27" t="str">
        <f>IF(O347="","0","1")</f>
        <v>1</v>
      </c>
      <c r="V347" s="27" t="str">
        <f>IF(O347="","1","1")</f>
        <v>1</v>
      </c>
      <c r="W347" s="27"/>
      <c r="X347" s="27" t="str">
        <f>IF(O347="","","0")</f>
        <v>0</v>
      </c>
      <c r="Y347" s="27" t="str">
        <f>IF(O347="","","0")</f>
        <v>0</v>
      </c>
      <c r="Z347" s="27" t="str">
        <f>IF(O347="","","0")</f>
        <v>0</v>
      </c>
      <c r="AA347" s="121"/>
      <c r="AB347" s="121"/>
      <c r="AC347" s="121"/>
      <c r="AD347" s="121"/>
      <c r="AE347" s="121" t="s">
        <v>51</v>
      </c>
      <c r="AF347" s="121"/>
      <c r="AG347" s="121"/>
      <c r="AH347" s="28" t="s">
        <v>242</v>
      </c>
      <c r="AI347" s="28" t="s">
        <v>113</v>
      </c>
      <c r="AJ347" s="28">
        <v>69600</v>
      </c>
      <c r="AK347" s="28" t="str">
        <f t="shared" si="612"/>
        <v>0</v>
      </c>
      <c r="AL347" s="123" t="str">
        <f>IF(C347="","",C347&amp;"/"&amp;F347&amp;"/"&amp;N347&amp;"/"&amp;O347)</f>
        <v>14821/생산지시등록/prod.order/ProdOrder</v>
      </c>
      <c r="AM347" s="28" t="s">
        <v>3350</v>
      </c>
      <c r="AN347" s="28" t="s">
        <v>1829</v>
      </c>
      <c r="AO347" s="28"/>
      <c r="AP347" s="28"/>
      <c r="AQ347" s="28"/>
      <c r="AR347" s="28"/>
      <c r="AS347" s="28"/>
      <c r="AT347" s="28"/>
      <c r="AU347" s="28"/>
      <c r="AV347" s="28"/>
      <c r="AW347" s="28"/>
      <c r="AX347" s="28"/>
      <c r="AY347" s="124"/>
      <c r="AZ347" s="138" t="str">
        <f>IF(C347="","","delete from module_mst where pjt_id = '"&amp;C347&amp;"' and menu_id = '"&amp;E347&amp;"';")</f>
        <v>delete from module_mst where pjt_id = '14821' and menu_id = '286002';</v>
      </c>
      <c r="BA347" s="31" t="str">
        <f>IF(C347&lt;&gt;"",CREATE_QUERY($D$1,C$2:AY$2,C347:AY347),"")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'286002', '생산지시등록', 'Production order registration', '', '', '', '1', '1', '1', 'prod.order', 'ProdOrder', '1', '1', '1', '1', '1', '1', '1', '', '0', '0', '0', '', '', '', '', 'N', '', '', '286000', '5', '69600', '0', '14821/생산지시등록/prod.order/ProdOrder', '선택', '');</v>
      </c>
    </row>
    <row r="348" spans="1:53">
      <c r="A348" s="1">
        <v>348</v>
      </c>
      <c r="B348" s="164" t="str">
        <f>IF(F348="","",IF(AI348="1","",IF(AI348="2","└ ",IF(AI348="3","  └ ",IF(AI348="4","    └ ",IF(AI348="5","        └ ",IF(AI348="6","         └ ",IF(AI348="7"="            └ ",""))))))))&amp;IF(AM348="","",IF(AM348="메뉴","","("&amp;AM348&amp;")"))&amp;F348</f>
        <v xml:space="preserve">        └ (선택)생산지시등록</v>
      </c>
      <c r="C348" s="27" t="str">
        <f t="shared" si="608"/>
        <v>14821</v>
      </c>
      <c r="D348" s="121"/>
      <c r="E348" s="27">
        <v>286003</v>
      </c>
      <c r="F348" s="121" t="s">
        <v>216</v>
      </c>
      <c r="G348" s="121" t="s">
        <v>3229</v>
      </c>
      <c r="H348" s="121"/>
      <c r="I348" s="121"/>
      <c r="J348" s="121"/>
      <c r="K348" s="27" t="str">
        <f t="shared" si="626"/>
        <v>1</v>
      </c>
      <c r="L348" s="27" t="str">
        <f t="shared" si="610"/>
        <v>1</v>
      </c>
      <c r="M348" s="27" t="str">
        <f t="shared" si="627"/>
        <v>1</v>
      </c>
      <c r="N348" s="121" t="s">
        <v>3025</v>
      </c>
      <c r="O348" s="121" t="s">
        <v>3026</v>
      </c>
      <c r="P348" s="27" t="str">
        <f>IF(O348="","0","1")</f>
        <v>1</v>
      </c>
      <c r="Q348" s="27" t="str">
        <f>IF(O348="","0","1")</f>
        <v>1</v>
      </c>
      <c r="R348" s="27" t="str">
        <f>IF(O348="","0","1")</f>
        <v>1</v>
      </c>
      <c r="S348" s="27" t="str">
        <f>IF(O348="","0","1")</f>
        <v>1</v>
      </c>
      <c r="T348" s="27" t="str">
        <f>IF(O348="","0","1")</f>
        <v>1</v>
      </c>
      <c r="U348" s="27" t="str">
        <f>IF(O348="","0","1")</f>
        <v>1</v>
      </c>
      <c r="V348" s="27" t="str">
        <f>IF(O348="","1","1")</f>
        <v>1</v>
      </c>
      <c r="W348" s="27"/>
      <c r="X348" s="27" t="str">
        <f>IF(O348="","","0")</f>
        <v>0</v>
      </c>
      <c r="Y348" s="27" t="str">
        <f>IF(O348="","","0")</f>
        <v>0</v>
      </c>
      <c r="Z348" s="27" t="str">
        <f>IF(O348="","","0")</f>
        <v>0</v>
      </c>
      <c r="AA348" s="121"/>
      <c r="AB348" s="121"/>
      <c r="AC348" s="121"/>
      <c r="AD348" s="121"/>
      <c r="AE348" s="121" t="s">
        <v>51</v>
      </c>
      <c r="AF348" s="121"/>
      <c r="AG348" s="121"/>
      <c r="AH348" s="28" t="s">
        <v>242</v>
      </c>
      <c r="AI348" s="28" t="s">
        <v>113</v>
      </c>
      <c r="AJ348" s="28">
        <v>10</v>
      </c>
      <c r="AK348" s="28" t="str">
        <f t="shared" si="612"/>
        <v>0</v>
      </c>
      <c r="AL348" s="123" t="str">
        <f>IF(C348="","",C348&amp;"/"&amp;F348&amp;"/"&amp;N348&amp;"/"&amp;O348)</f>
        <v>14821/생산지시등록/custom.iypkg.prod/ProdOrdr</v>
      </c>
      <c r="AM348" s="28" t="s">
        <v>3350</v>
      </c>
      <c r="AN348" s="28"/>
      <c r="AO348" s="28"/>
      <c r="AP348" s="28"/>
      <c r="AQ348" s="28"/>
      <c r="AR348" s="28"/>
      <c r="AS348" s="28"/>
      <c r="AT348" s="28"/>
      <c r="AU348" s="28"/>
      <c r="AV348" s="28"/>
      <c r="AW348" s="28" t="s">
        <v>1829</v>
      </c>
      <c r="AX348" s="28"/>
      <c r="AY348" s="124"/>
      <c r="AZ348" s="138" t="str">
        <f>IF(C348="","","delete from module_mst where pjt_id = '"&amp;C348&amp;"' and menu_id = '"&amp;E348&amp;"';")</f>
        <v>delete from module_mst where pjt_id = '14821' and menu_id = '286003';</v>
      </c>
      <c r="BA348" s="31" t="str">
        <f>IF(C348&lt;&gt;"",CREATE_QUERY($D$1,C$2:AY$2,C348:AY348),"")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'286003', '생산지시등록', 'Production order', '', '', '', '1', '1', '1', 'custom.iypkg.prod', 'ProdOrdr', '1', '1', '1', '1', '1', '1', '1', '', '0', '0', '0', '', '', '', '', 'N', '', '', '286000', '5', '10', '0', '14821/생산지시등록/custom.iypkg.prod/ProdOrdr', '선택', '');</v>
      </c>
    </row>
    <row r="349" spans="1:53">
      <c r="A349" s="1">
        <v>349</v>
      </c>
      <c r="B349" s="164" t="str">
        <f t="shared" si="607"/>
        <v xml:space="preserve">        └ (공통)생산지시현황</v>
      </c>
      <c r="C349" s="27" t="str">
        <f t="shared" si="608"/>
        <v>14821</v>
      </c>
      <c r="D349" s="121"/>
      <c r="E349" s="27">
        <v>286004</v>
      </c>
      <c r="F349" s="121" t="s">
        <v>1905</v>
      </c>
      <c r="G349" s="121" t="s">
        <v>3187</v>
      </c>
      <c r="H349" s="121"/>
      <c r="I349" s="121"/>
      <c r="J349" s="121"/>
      <c r="K349" s="27" t="str">
        <f t="shared" si="626"/>
        <v>1</v>
      </c>
      <c r="L349" s="27" t="str">
        <f t="shared" si="610"/>
        <v>1</v>
      </c>
      <c r="M349" s="27" t="str">
        <f t="shared" si="627"/>
        <v>1</v>
      </c>
      <c r="N349" s="121" t="s">
        <v>328</v>
      </c>
      <c r="O349" s="121" t="s">
        <v>1906</v>
      </c>
      <c r="P349" s="27" t="str">
        <f t="shared" si="615"/>
        <v>1</v>
      </c>
      <c r="Q349" s="27" t="str">
        <f t="shared" si="616"/>
        <v>1</v>
      </c>
      <c r="R349" s="27" t="str">
        <f t="shared" si="617"/>
        <v>1</v>
      </c>
      <c r="S349" s="27" t="str">
        <f t="shared" si="618"/>
        <v>1</v>
      </c>
      <c r="T349" s="27" t="str">
        <f t="shared" si="619"/>
        <v>1</v>
      </c>
      <c r="U349" s="27" t="str">
        <f t="shared" si="620"/>
        <v>1</v>
      </c>
      <c r="V349" s="27" t="str">
        <f t="shared" si="621"/>
        <v>1</v>
      </c>
      <c r="W349" s="27"/>
      <c r="X349" s="27" t="str">
        <f t="shared" si="622"/>
        <v>0</v>
      </c>
      <c r="Y349" s="27" t="str">
        <f t="shared" si="623"/>
        <v>0</v>
      </c>
      <c r="Z349" s="27" t="str">
        <f t="shared" si="624"/>
        <v>0</v>
      </c>
      <c r="AA349" s="121"/>
      <c r="AB349" s="121"/>
      <c r="AC349" s="121"/>
      <c r="AD349" s="121"/>
      <c r="AE349" s="121" t="s">
        <v>51</v>
      </c>
      <c r="AF349" s="121"/>
      <c r="AG349" s="121"/>
      <c r="AH349" s="28" t="s">
        <v>242</v>
      </c>
      <c r="AI349" s="28" t="s">
        <v>113</v>
      </c>
      <c r="AJ349" s="28">
        <v>69150</v>
      </c>
      <c r="AK349" s="28" t="str">
        <f t="shared" si="612"/>
        <v>0</v>
      </c>
      <c r="AL349" s="123" t="str">
        <f t="shared" si="629"/>
        <v>14821/생산지시현황/prod.order/ProdOrderList</v>
      </c>
      <c r="AM349" s="28" t="s">
        <v>2981</v>
      </c>
      <c r="AN349" s="28"/>
      <c r="AO349" s="28"/>
      <c r="AP349" s="28"/>
      <c r="AQ349" s="28"/>
      <c r="AR349" s="28"/>
      <c r="AS349" s="28"/>
      <c r="AT349" s="28" t="s">
        <v>1829</v>
      </c>
      <c r="AU349" s="28"/>
      <c r="AV349" s="28"/>
      <c r="AW349" s="28"/>
      <c r="AX349" s="28"/>
      <c r="AY349" s="124"/>
      <c r="AZ349" s="138" t="str">
        <f>IF(C349="","","delete from module_mst where pjt_id = '"&amp;C349&amp;"' and menu_id = '"&amp;E349&amp;"';")</f>
        <v>delete from module_mst where pjt_id = '14821' and menu_id = '286004';</v>
      </c>
      <c r="BA349" s="31" t="str">
        <f>IF(C349&lt;&gt;"",CREATE_QUERY($D$1,C$2:AY$2,C349:AY349),"")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'286004', '생산지시현황', 'Production order status', '', '', '', '1', '1', '1', 'prod.order', 'ProdOrderList', '1', '1', '1', '1', '1', '1', '1', '', '0', '0', '0', '', '', '', '', 'N', '', '', '286000', '5', '69150', '0', '14821/생산지시현황/prod.order/ProdOrderList', '공통', '');</v>
      </c>
    </row>
    <row r="350" spans="1:53">
      <c r="A350" s="1">
        <v>350</v>
      </c>
      <c r="B350" s="164" t="str">
        <f t="shared" ref="B350:B355" si="630">IF(F350="","",IF(AI350="1","",IF(AI350="2","└ ",IF(AI350="3","  └ ",IF(AI350="4","    └ ",IF(AI350="5","        └ ",IF(AI350="6","         └ ",IF(AI350="7"="            └ ",""))))))))&amp;IF(AM350="","",IF(AM350="메뉴","","("&amp;AM350&amp;")"))&amp;F350</f>
        <v xml:space="preserve">        └ (선택)외주작업지시</v>
      </c>
      <c r="C350" s="27" t="str">
        <f t="shared" si="608"/>
        <v>14821</v>
      </c>
      <c r="D350" s="121"/>
      <c r="E350" s="27">
        <v>286005</v>
      </c>
      <c r="F350" s="121" t="s">
        <v>1882</v>
      </c>
      <c r="G350" s="121" t="s">
        <v>3185</v>
      </c>
      <c r="H350" s="121"/>
      <c r="I350" s="121"/>
      <c r="J350" s="121"/>
      <c r="K350" s="27" t="str">
        <f t="shared" si="626"/>
        <v>1</v>
      </c>
      <c r="L350" s="27" t="str">
        <f t="shared" si="610"/>
        <v>1</v>
      </c>
      <c r="M350" s="27" t="str">
        <f t="shared" si="627"/>
        <v>1</v>
      </c>
      <c r="N350" s="121" t="s">
        <v>346</v>
      </c>
      <c r="O350" s="121" t="s">
        <v>2070</v>
      </c>
      <c r="P350" s="27" t="str">
        <f t="shared" si="615"/>
        <v>1</v>
      </c>
      <c r="Q350" s="27" t="str">
        <f t="shared" si="616"/>
        <v>1</v>
      </c>
      <c r="R350" s="27" t="str">
        <f t="shared" si="617"/>
        <v>1</v>
      </c>
      <c r="S350" s="27" t="str">
        <f t="shared" si="618"/>
        <v>1</v>
      </c>
      <c r="T350" s="27" t="str">
        <f t="shared" si="619"/>
        <v>1</v>
      </c>
      <c r="U350" s="27" t="str">
        <f t="shared" si="620"/>
        <v>1</v>
      </c>
      <c r="V350" s="27" t="str">
        <f t="shared" si="621"/>
        <v>1</v>
      </c>
      <c r="W350" s="27"/>
      <c r="X350" s="27" t="str">
        <f t="shared" si="622"/>
        <v>0</v>
      </c>
      <c r="Y350" s="27" t="str">
        <f t="shared" si="623"/>
        <v>0</v>
      </c>
      <c r="Z350" s="27" t="str">
        <f t="shared" si="624"/>
        <v>0</v>
      </c>
      <c r="AA350" s="121"/>
      <c r="AB350" s="121"/>
      <c r="AC350" s="121"/>
      <c r="AD350" s="121"/>
      <c r="AE350" s="121" t="s">
        <v>51</v>
      </c>
      <c r="AF350" s="121"/>
      <c r="AG350" s="121"/>
      <c r="AH350" s="28" t="s">
        <v>242</v>
      </c>
      <c r="AI350" s="28" t="s">
        <v>113</v>
      </c>
      <c r="AJ350" s="28">
        <v>70050</v>
      </c>
      <c r="AK350" s="28" t="str">
        <f t="shared" si="612"/>
        <v>0</v>
      </c>
      <c r="AL350" s="123" t="str">
        <f t="shared" si="613"/>
        <v>14821/외주작업지시/prod.project/PrjtOtodWork</v>
      </c>
      <c r="AM350" s="28" t="s">
        <v>3350</v>
      </c>
      <c r="AN350" s="28"/>
      <c r="AO350" s="28" t="s">
        <v>1829</v>
      </c>
      <c r="AP350" s="28"/>
      <c r="AQ350" s="28"/>
      <c r="AR350" s="28"/>
      <c r="AS350" s="28"/>
      <c r="AT350" s="28"/>
      <c r="AU350" s="28"/>
      <c r="AV350" s="28"/>
      <c r="AW350" s="28"/>
      <c r="AX350" s="28"/>
      <c r="AY350" s="124"/>
      <c r="AZ350" s="138" t="str">
        <f>IF(C350="","","delete from module_mst where pjt_id = '"&amp;C350&amp;"' and menu_id = '"&amp;E350&amp;"';")</f>
        <v>delete from module_mst where pjt_id = '14821' and menu_id = '286005';</v>
      </c>
      <c r="BA350" s="31" t="str">
        <f>IF(C350&lt;&gt;"",CREATE_QUERY($D$1,C$2:AY$2,C350:AY350),"")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'286005', '외주작업지시', 'Outsourcing work order', '', '', '', '1', '1', '1', 'prod.project', 'PrjtOtodWork', '1', '1', '1', '1', '1', '1', '1', '', '0', '0', '0', '', '', '', '', 'N', '', '', '286000', '5', '70050', '0', '14821/외주작업지시/prod.project/PrjtOtodWork', '선택', '');</v>
      </c>
    </row>
    <row r="351" spans="1:53">
      <c r="A351" s="1">
        <v>351</v>
      </c>
      <c r="B351" s="164" t="str">
        <f>IF(F351="","",IF(AI351="1","",IF(AI351="2","└ ",IF(AI351="3","  └ ",IF(AI351="4","    └ ",IF(AI351="5","        └ ",IF(AI351="6","         └ ",IF(AI351="7"="            └ ",""))))))))&amp;IF(AM351="","",IF(AM351="메뉴","","("&amp;AM351&amp;")"))&amp;F351</f>
        <v xml:space="preserve">        └ (공통)외주작업지시</v>
      </c>
      <c r="C351" s="27" t="str">
        <f t="shared" si="608"/>
        <v>14821</v>
      </c>
      <c r="D351" s="121"/>
      <c r="E351" s="27">
        <v>286006</v>
      </c>
      <c r="F351" s="121" t="s">
        <v>1882</v>
      </c>
      <c r="G351" s="121" t="s">
        <v>3185</v>
      </c>
      <c r="H351" s="121"/>
      <c r="I351" s="121"/>
      <c r="J351" s="121"/>
      <c r="K351" s="27" t="str">
        <f t="shared" si="626"/>
        <v>1</v>
      </c>
      <c r="L351" s="27" t="str">
        <f t="shared" si="610"/>
        <v>1</v>
      </c>
      <c r="M351" s="27" t="str">
        <f t="shared" si="627"/>
        <v>1</v>
      </c>
      <c r="N351" s="121" t="s">
        <v>3025</v>
      </c>
      <c r="O351" s="121" t="s">
        <v>3032</v>
      </c>
      <c r="P351" s="27" t="str">
        <f>IF(O351="","0","1")</f>
        <v>1</v>
      </c>
      <c r="Q351" s="27" t="str">
        <f>IF(O351="","0","1")</f>
        <v>1</v>
      </c>
      <c r="R351" s="27" t="str">
        <f>IF(O351="","0","1")</f>
        <v>1</v>
      </c>
      <c r="S351" s="27" t="str">
        <f>IF(O351="","0","1")</f>
        <v>1</v>
      </c>
      <c r="T351" s="27" t="str">
        <f>IF(O351="","0","1")</f>
        <v>1</v>
      </c>
      <c r="U351" s="27" t="str">
        <f>IF(O351="","0","1")</f>
        <v>1</v>
      </c>
      <c r="V351" s="27" t="str">
        <f>IF(O351="","1","1")</f>
        <v>1</v>
      </c>
      <c r="W351" s="27"/>
      <c r="X351" s="27" t="str">
        <f>IF(O351="","","0")</f>
        <v>0</v>
      </c>
      <c r="Y351" s="27" t="str">
        <f>IF(O351="","","0")</f>
        <v>0</v>
      </c>
      <c r="Z351" s="27" t="str">
        <f>IF(O351="","","0")</f>
        <v>0</v>
      </c>
      <c r="AA351" s="121"/>
      <c r="AB351" s="121"/>
      <c r="AC351" s="121"/>
      <c r="AD351" s="121"/>
      <c r="AE351" s="121" t="s">
        <v>51</v>
      </c>
      <c r="AF351" s="121"/>
      <c r="AG351" s="121"/>
      <c r="AH351" s="28" t="s">
        <v>242</v>
      </c>
      <c r="AI351" s="28" t="s">
        <v>113</v>
      </c>
      <c r="AJ351" s="28">
        <v>50</v>
      </c>
      <c r="AK351" s="28" t="str">
        <f t="shared" si="612"/>
        <v>0</v>
      </c>
      <c r="AL351" s="123" t="str">
        <f>IF(C351="","",C351&amp;"/"&amp;F351&amp;"/"&amp;N351&amp;"/"&amp;O351)</f>
        <v>14821/외주작업지시/custom.iypkg.prod/ProdOrdr2</v>
      </c>
      <c r="AM351" s="28" t="s">
        <v>2984</v>
      </c>
      <c r="AN351" s="28"/>
      <c r="AO351" s="28"/>
      <c r="AP351" s="28"/>
      <c r="AQ351" s="28"/>
      <c r="AR351" s="28"/>
      <c r="AS351" s="28"/>
      <c r="AT351" s="28"/>
      <c r="AU351" s="28"/>
      <c r="AV351" s="28"/>
      <c r="AW351" s="28" t="s">
        <v>1829</v>
      </c>
      <c r="AX351" s="28"/>
      <c r="AY351" s="124"/>
      <c r="AZ351" s="138" t="str">
        <f>IF(C351="","","delete from module_mst where pjt_id = '"&amp;C351&amp;"' and menu_id = '"&amp;E351&amp;"';")</f>
        <v>delete from module_mst where pjt_id = '14821' and menu_id = '286006';</v>
      </c>
      <c r="BA351" s="31" t="str">
        <f>IF(C351&lt;&gt;"",CREATE_QUERY($D$1,C$2:AY$2,C351:AY351),"")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'286006', '외주작업지시', 'Outsourcing work order', '', '', '', '1', '1', '1', 'custom.iypkg.prod', 'ProdOrdr2', '1', '1', '1', '1', '1', '1', '1', '', '0', '0', '0', '', '', '', '', 'N', '', '', '286000', '5', '50', '0', '14821/외주작업지시/custom.iypkg.prod/ProdOrdr2', '공통', '');</v>
      </c>
    </row>
    <row r="352" spans="1:53">
      <c r="A352" s="1">
        <v>352</v>
      </c>
      <c r="B352" s="164" t="str">
        <f t="shared" si="630"/>
        <v xml:space="preserve">        └ (선택)작업지시현황</v>
      </c>
      <c r="C352" s="27" t="str">
        <f t="shared" si="608"/>
        <v>14821</v>
      </c>
      <c r="D352" s="121"/>
      <c r="E352" s="27">
        <v>286007</v>
      </c>
      <c r="F352" s="121" t="s">
        <v>2938</v>
      </c>
      <c r="G352" s="121" t="s">
        <v>3189</v>
      </c>
      <c r="H352" s="121"/>
      <c r="I352" s="121"/>
      <c r="J352" s="121"/>
      <c r="K352" s="27" t="str">
        <f t="shared" si="626"/>
        <v>1</v>
      </c>
      <c r="L352" s="27" t="str">
        <f t="shared" si="610"/>
        <v>1</v>
      </c>
      <c r="M352" s="27" t="str">
        <f t="shared" si="627"/>
        <v>1</v>
      </c>
      <c r="N352" s="121" t="s">
        <v>2425</v>
      </c>
      <c r="O352" s="121" t="s">
        <v>2939</v>
      </c>
      <c r="P352" s="27" t="str">
        <f t="shared" si="615"/>
        <v>1</v>
      </c>
      <c r="Q352" s="27" t="str">
        <f t="shared" si="616"/>
        <v>1</v>
      </c>
      <c r="R352" s="27" t="str">
        <f t="shared" si="617"/>
        <v>1</v>
      </c>
      <c r="S352" s="27" t="str">
        <f t="shared" si="618"/>
        <v>1</v>
      </c>
      <c r="T352" s="27" t="str">
        <f t="shared" si="619"/>
        <v>1</v>
      </c>
      <c r="U352" s="27" t="str">
        <f t="shared" si="620"/>
        <v>1</v>
      </c>
      <c r="V352" s="27" t="str">
        <f t="shared" si="621"/>
        <v>1</v>
      </c>
      <c r="W352" s="27"/>
      <c r="X352" s="27" t="str">
        <f t="shared" si="622"/>
        <v>0</v>
      </c>
      <c r="Y352" s="27" t="str">
        <f t="shared" si="623"/>
        <v>0</v>
      </c>
      <c r="Z352" s="27" t="str">
        <f t="shared" si="624"/>
        <v>0</v>
      </c>
      <c r="AA352" s="121"/>
      <c r="AB352" s="121"/>
      <c r="AC352" s="121"/>
      <c r="AD352" s="121"/>
      <c r="AE352" s="121" t="s">
        <v>51</v>
      </c>
      <c r="AF352" s="121"/>
      <c r="AG352" s="121"/>
      <c r="AH352" s="28" t="s">
        <v>242</v>
      </c>
      <c r="AI352" s="28" t="s">
        <v>113</v>
      </c>
      <c r="AJ352" s="28">
        <v>70500</v>
      </c>
      <c r="AK352" s="28" t="str">
        <f t="shared" si="612"/>
        <v>0</v>
      </c>
      <c r="AL352" s="123" t="str">
        <f t="shared" ref="AL352" si="631">IF(C352="","",C352&amp;"/"&amp;F352&amp;"/"&amp;N352&amp;"/"&amp;O352)</f>
        <v>14821/작업지시현황/custom.inkopack.prod/PdodList</v>
      </c>
      <c r="AM352" s="28" t="s">
        <v>3350</v>
      </c>
      <c r="AN352" s="28"/>
      <c r="AO352" s="28"/>
      <c r="AP352" s="28"/>
      <c r="AQ352" s="28"/>
      <c r="AR352" s="28"/>
      <c r="AS352" s="28"/>
      <c r="AT352" s="28" t="s">
        <v>1829</v>
      </c>
      <c r="AU352" s="28"/>
      <c r="AV352" s="28"/>
      <c r="AW352" s="28"/>
      <c r="AX352" s="28"/>
      <c r="AY352" s="124"/>
      <c r="AZ352" s="138" t="str">
        <f>IF(C352="","","delete from module_mst where pjt_id = '"&amp;C352&amp;"' and menu_id = '"&amp;E352&amp;"';")</f>
        <v>delete from module_mst where pjt_id = '14821' and menu_id = '286007';</v>
      </c>
      <c r="BA352" s="31" t="str">
        <f>IF(C352&lt;&gt;"",CREATE_QUERY($D$1,C$2:AY$2,C352:AY352),"")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'286007', '작업지시현황', 'Work order status', '', '', '', '1', '1', '1', 'custom.inkopack.prod', 'PdodList', '1', '1', '1', '1', '1', '1', '1', '', '0', '0', '0', '', '', '', '', 'N', '', '', '286000', '5', '70500', '0', '14821/작업지시현황/custom.inkopack.prod/PdodList', '선택', '');</v>
      </c>
    </row>
    <row r="353" spans="1:53">
      <c r="A353" s="1">
        <v>353</v>
      </c>
      <c r="B353" s="164"/>
      <c r="C353" s="27"/>
      <c r="D353" s="121"/>
      <c r="E353" s="27"/>
      <c r="F353" s="121"/>
      <c r="G353" s="121"/>
      <c r="H353" s="121"/>
      <c r="I353" s="121"/>
      <c r="J353" s="121"/>
      <c r="K353" s="27"/>
      <c r="L353" s="27"/>
      <c r="M353" s="27"/>
      <c r="N353" s="121"/>
      <c r="O353" s="121"/>
      <c r="P353" s="27"/>
      <c r="Q353" s="27"/>
      <c r="R353" s="27"/>
      <c r="S353" s="27"/>
      <c r="T353" s="27"/>
      <c r="U353" s="27"/>
      <c r="V353" s="27"/>
      <c r="W353" s="27"/>
      <c r="X353" s="27"/>
      <c r="Y353" s="27"/>
      <c r="Z353" s="27"/>
      <c r="AA353" s="121"/>
      <c r="AB353" s="121"/>
      <c r="AC353" s="121"/>
      <c r="AD353" s="121"/>
      <c r="AE353" s="121"/>
      <c r="AF353" s="121"/>
      <c r="AG353" s="121"/>
      <c r="AH353" s="28"/>
      <c r="AI353" s="28"/>
      <c r="AJ353" s="28"/>
      <c r="AK353" s="28"/>
      <c r="AL353" s="123"/>
      <c r="AM353" s="28"/>
      <c r="AN353" s="28"/>
      <c r="AO353" s="28"/>
      <c r="AP353" s="28"/>
      <c r="AQ353" s="28"/>
      <c r="AR353" s="28"/>
      <c r="AS353" s="28"/>
      <c r="AT353" s="28"/>
      <c r="AU353" s="28"/>
      <c r="AV353" s="28"/>
      <c r="AW353" s="28"/>
      <c r="AX353" s="28"/>
      <c r="AY353" s="124"/>
    </row>
    <row r="354" spans="1:53">
      <c r="A354" s="1">
        <v>354</v>
      </c>
      <c r="B354" s="164" t="str">
        <f t="shared" si="630"/>
        <v/>
      </c>
      <c r="C354" s="27" t="str">
        <f t="shared" ref="C354:C373" si="632">IF(F354="","","14821")</f>
        <v/>
      </c>
      <c r="D354" s="121"/>
      <c r="E354" s="27"/>
      <c r="F354" s="121"/>
      <c r="G354" s="121" t="s">
        <v>900</v>
      </c>
      <c r="H354" s="121"/>
      <c r="I354" s="121"/>
      <c r="J354" s="121"/>
      <c r="K354" s="27" t="str">
        <f t="shared" si="626"/>
        <v/>
      </c>
      <c r="L354" s="27" t="str">
        <f t="shared" ref="L354:L373" si="633">IF(F354="","","1")</f>
        <v/>
      </c>
      <c r="M354" s="27" t="str">
        <f t="shared" si="627"/>
        <v>0</v>
      </c>
      <c r="N354" s="121"/>
      <c r="O354" s="121"/>
      <c r="P354" s="27" t="str">
        <f t="shared" si="615"/>
        <v>0</v>
      </c>
      <c r="Q354" s="27" t="str">
        <f t="shared" si="616"/>
        <v>0</v>
      </c>
      <c r="R354" s="27" t="str">
        <f t="shared" si="617"/>
        <v>0</v>
      </c>
      <c r="S354" s="27" t="str">
        <f t="shared" si="618"/>
        <v>0</v>
      </c>
      <c r="T354" s="27" t="str">
        <f t="shared" si="619"/>
        <v>0</v>
      </c>
      <c r="U354" s="27" t="str">
        <f t="shared" si="620"/>
        <v>0</v>
      </c>
      <c r="V354" s="27" t="str">
        <f t="shared" si="621"/>
        <v>1</v>
      </c>
      <c r="W354" s="27"/>
      <c r="X354" s="27" t="str">
        <f t="shared" si="622"/>
        <v/>
      </c>
      <c r="Y354" s="27" t="str">
        <f t="shared" si="623"/>
        <v/>
      </c>
      <c r="Z354" s="27" t="str">
        <f t="shared" si="624"/>
        <v/>
      </c>
      <c r="AA354" s="121"/>
      <c r="AB354" s="121"/>
      <c r="AC354" s="121"/>
      <c r="AD354" s="121"/>
      <c r="AE354" s="121"/>
      <c r="AF354" s="121"/>
      <c r="AG354" s="121"/>
      <c r="AH354" s="27"/>
      <c r="AI354" s="27"/>
      <c r="AJ354" s="27" t="s">
        <v>900</v>
      </c>
      <c r="AK354" s="27" t="str">
        <f t="shared" ref="AK354:AK373" si="634">IF(B354="","","0")</f>
        <v/>
      </c>
      <c r="AL354" s="123" t="str">
        <f t="shared" si="613"/>
        <v/>
      </c>
      <c r="AM354" s="27"/>
      <c r="AN354" s="27"/>
      <c r="AO354" s="27"/>
      <c r="AP354" s="27"/>
      <c r="AQ354" s="27"/>
      <c r="AR354" s="27"/>
      <c r="AS354" s="27"/>
      <c r="AT354" s="27"/>
      <c r="AU354" s="27"/>
      <c r="AV354" s="27"/>
      <c r="AW354" s="27"/>
      <c r="AX354" s="27"/>
      <c r="AY354" s="124"/>
      <c r="AZ354" s="138" t="str">
        <f>IF(C354="","","delete from module_mst where pjt_id = '"&amp;C354&amp;"' and menu_id = '"&amp;E354&amp;"';")</f>
        <v/>
      </c>
      <c r="BA354" s="31" t="str">
        <f>IF(C354&lt;&gt;"",CREATE_QUERY($D$1,C$2:AY$2,C354:AY354),"")</f>
        <v/>
      </c>
    </row>
    <row r="355" spans="1:53">
      <c r="A355" s="1">
        <v>355</v>
      </c>
      <c r="B355" s="159" t="str">
        <f t="shared" si="630"/>
        <v xml:space="preserve">    └ 생산실적 관리</v>
      </c>
      <c r="C355" s="27" t="str">
        <f t="shared" si="632"/>
        <v>14821</v>
      </c>
      <c r="D355" s="121"/>
      <c r="E355" s="21">
        <v>287000</v>
      </c>
      <c r="F355" s="118" t="s">
        <v>218</v>
      </c>
      <c r="G355" s="118" t="s">
        <v>3174</v>
      </c>
      <c r="H355" s="118"/>
      <c r="I355" s="118"/>
      <c r="J355" s="118"/>
      <c r="K355" s="21" t="str">
        <f t="shared" ref="K355:K373" si="635">IF(O355="","","1")</f>
        <v/>
      </c>
      <c r="L355" s="21" t="str">
        <f t="shared" si="633"/>
        <v>1</v>
      </c>
      <c r="M355" s="21" t="str">
        <f t="shared" ref="M355:M373" si="636">IF(O355="","0","1")</f>
        <v>0</v>
      </c>
      <c r="N355" s="118"/>
      <c r="O355" s="118"/>
      <c r="P355" s="21" t="str">
        <f t="shared" ref="P355" si="637">IF(O355="","0","1")</f>
        <v>0</v>
      </c>
      <c r="Q355" s="21" t="str">
        <f t="shared" ref="Q355" si="638">IF(O355="","0","1")</f>
        <v>0</v>
      </c>
      <c r="R355" s="21" t="str">
        <f t="shared" ref="R355" si="639">IF(O355="","0","1")</f>
        <v>0</v>
      </c>
      <c r="S355" s="21" t="str">
        <f t="shared" ref="S355" si="640">IF(O355="","0","1")</f>
        <v>0</v>
      </c>
      <c r="T355" s="21" t="str">
        <f t="shared" ref="T355" si="641">IF(O355="","0","1")</f>
        <v>0</v>
      </c>
      <c r="U355" s="21" t="str">
        <f t="shared" ref="U355" si="642">IF(O355="","0","1")</f>
        <v>0</v>
      </c>
      <c r="V355" s="21" t="str">
        <f t="shared" ref="V355" si="643">IF(O355="","1","1")</f>
        <v>1</v>
      </c>
      <c r="W355" s="21"/>
      <c r="X355" s="21" t="str">
        <f t="shared" ref="X355" si="644">IF(O355="","","0")</f>
        <v/>
      </c>
      <c r="Y355" s="21" t="str">
        <f t="shared" ref="Y355" si="645">IF(O355="","","0")</f>
        <v/>
      </c>
      <c r="Z355" s="21" t="str">
        <f t="shared" ref="Z355" si="646">IF(O355="","","0")</f>
        <v/>
      </c>
      <c r="AA355" s="118"/>
      <c r="AB355" s="118"/>
      <c r="AC355" s="118"/>
      <c r="AD355" s="118"/>
      <c r="AE355" s="118" t="s">
        <v>51</v>
      </c>
      <c r="AF355" s="118"/>
      <c r="AG355" s="118"/>
      <c r="AH355" s="26" t="s">
        <v>197</v>
      </c>
      <c r="AI355" s="26" t="s">
        <v>112</v>
      </c>
      <c r="AJ355" s="26">
        <v>69000</v>
      </c>
      <c r="AK355" s="26" t="str">
        <f t="shared" si="634"/>
        <v>0</v>
      </c>
      <c r="AL355" s="123" t="str">
        <f t="shared" ref="AL355" si="647">IF(C355="","",C355&amp;"/"&amp;F355&amp;"/"&amp;N355&amp;"/"&amp;O355)</f>
        <v>14821/생산실적 관리//</v>
      </c>
      <c r="AM355" s="26" t="s">
        <v>2979</v>
      </c>
      <c r="AN355" s="26" t="str">
        <f t="shared" ref="AN355:AX355" si="648">IF(COUNTIF(AN361:AN373,"="&amp;"Y")&gt;0,"Y",IF(COUNTIF(AN361:AN373,"="&amp;"-")&gt;0,"m",""))</f>
        <v>Y</v>
      </c>
      <c r="AO355" s="26" t="str">
        <f t="shared" si="648"/>
        <v>Y</v>
      </c>
      <c r="AP355" s="26" t="str">
        <f t="shared" si="648"/>
        <v/>
      </c>
      <c r="AQ355" s="26" t="str">
        <f t="shared" si="648"/>
        <v/>
      </c>
      <c r="AR355" s="26" t="str">
        <f t="shared" si="648"/>
        <v>Y</v>
      </c>
      <c r="AS355" s="26" t="str">
        <f t="shared" si="648"/>
        <v/>
      </c>
      <c r="AT355" s="26" t="str">
        <f t="shared" si="648"/>
        <v>Y</v>
      </c>
      <c r="AU355" s="26" t="str">
        <f t="shared" si="648"/>
        <v/>
      </c>
      <c r="AV355" s="26" t="str">
        <f t="shared" si="648"/>
        <v/>
      </c>
      <c r="AW355" s="26" t="str">
        <f t="shared" si="648"/>
        <v>Y</v>
      </c>
      <c r="AX355" s="26" t="str">
        <f t="shared" si="648"/>
        <v/>
      </c>
      <c r="AY355" s="124"/>
      <c r="AZ355" s="138" t="str">
        <f>IF(C355="","","delete from module_mst where pjt_id = '"&amp;C355&amp;"' and menu_id = '"&amp;E355&amp;"';")</f>
        <v>delete from module_mst where pjt_id = '14821' and menu_id = '287000';</v>
      </c>
      <c r="BA355" s="31" t="str">
        <f>IF(C355&lt;&gt;"",CREATE_QUERY($D$1,C$2:AY$2,C355:AY355),"")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'287000', '생산실적 관리', 'Production order performance management', '', '', '', '', '1', '0', '', '', '0', '0', '0', '0', '0', '0', '1', '', '', '', '', '', '', '', '', 'N', '', '', '280000', '4', '69000', '0', '14821/생산실적 관리//', '메뉴', '');</v>
      </c>
    </row>
    <row r="356" spans="1:53">
      <c r="A356" s="1">
        <v>356</v>
      </c>
      <c r="B356" s="164" t="str">
        <f>IF(F356="","",IF(AI356="1","",IF(AI356="2","└ ",IF(AI356="3","  └ ",IF(AI356="4","    └ ",IF(AI356="5","        └ ",IF(AI356="6","         └ ",IF(AI356="7"="            └ ",""))))))))&amp;IF(AM356="","",IF(AM356="메뉴","","("&amp;AM356&amp;")"))&amp;F356</f>
        <v xml:space="preserve">        └ (공통)생산실적 관리</v>
      </c>
      <c r="C356" s="27" t="str">
        <f>IF(F356="","","14821")</f>
        <v>14821</v>
      </c>
      <c r="D356" s="121"/>
      <c r="E356" s="27">
        <v>287001</v>
      </c>
      <c r="F356" s="121" t="s">
        <v>218</v>
      </c>
      <c r="G356" s="121" t="s">
        <v>3178</v>
      </c>
      <c r="H356" s="121"/>
      <c r="I356" s="121"/>
      <c r="J356" s="121"/>
      <c r="K356" s="27" t="str">
        <f>IF(O356="","","1")</f>
        <v>1</v>
      </c>
      <c r="L356" s="27" t="str">
        <f>IF(F356="","","1")</f>
        <v>1</v>
      </c>
      <c r="M356" s="27" t="str">
        <f>IF(O356="","0","1")</f>
        <v>1</v>
      </c>
      <c r="N356" s="121" t="s">
        <v>328</v>
      </c>
      <c r="O356" s="121" t="s">
        <v>276</v>
      </c>
      <c r="P356" s="27" t="str">
        <f>IF(O356="","0","1")</f>
        <v>1</v>
      </c>
      <c r="Q356" s="27" t="str">
        <f>IF(O356="","0","1")</f>
        <v>1</v>
      </c>
      <c r="R356" s="27" t="str">
        <f>IF(O356="","0","1")</f>
        <v>1</v>
      </c>
      <c r="S356" s="27" t="str">
        <f>IF(O356="","0","1")</f>
        <v>1</v>
      </c>
      <c r="T356" s="27" t="str">
        <f>IF(O356="","0","1")</f>
        <v>1</v>
      </c>
      <c r="U356" s="27" t="str">
        <f>IF(O356="","0","1")</f>
        <v>1</v>
      </c>
      <c r="V356" s="27" t="str">
        <f>IF(O356="","1","1")</f>
        <v>1</v>
      </c>
      <c r="W356" s="27"/>
      <c r="X356" s="27" t="str">
        <f>IF(O356="","","0")</f>
        <v>0</v>
      </c>
      <c r="Y356" s="27" t="str">
        <f>IF(O356="","","0")</f>
        <v>0</v>
      </c>
      <c r="Z356" s="27" t="str">
        <f>IF(O356="","","0")</f>
        <v>0</v>
      </c>
      <c r="AA356" s="121"/>
      <c r="AB356" s="121"/>
      <c r="AC356" s="121"/>
      <c r="AD356" s="121"/>
      <c r="AE356" s="121" t="s">
        <v>51</v>
      </c>
      <c r="AF356" s="121"/>
      <c r="AG356" s="121"/>
      <c r="AH356" s="28">
        <v>287000</v>
      </c>
      <c r="AI356" s="28" t="s">
        <v>113</v>
      </c>
      <c r="AJ356" s="28">
        <v>69700</v>
      </c>
      <c r="AK356" s="28" t="str">
        <f>IF(B356="","","0")</f>
        <v>0</v>
      </c>
      <c r="AL356" s="123" t="str">
        <f>IF(C356="","",C356&amp;"/"&amp;F356&amp;"/"&amp;N356&amp;"/"&amp;O356)</f>
        <v>14821/생산실적 관리/prod.order/WorkEntry</v>
      </c>
      <c r="AM356" s="28" t="s">
        <v>2981</v>
      </c>
      <c r="AN356" s="28"/>
      <c r="AO356" s="28"/>
      <c r="AP356" s="28"/>
      <c r="AQ356" s="28"/>
      <c r="AR356" s="28"/>
      <c r="AS356" s="28"/>
      <c r="AT356" s="28"/>
      <c r="AU356" s="28"/>
      <c r="AV356" s="28"/>
      <c r="AW356" s="28"/>
      <c r="AX356" s="28"/>
      <c r="AY356" s="124"/>
      <c r="AZ356" s="138" t="str">
        <f>IF(C356="","","delete from module_mst where pjt_id = '"&amp;C356&amp;"' and menu_id = '"&amp;E356&amp;"';")</f>
        <v>delete from module_mst where pjt_id = '14821' and menu_id = '287001';</v>
      </c>
      <c r="BA356" s="31" t="str">
        <f>IF(C356&lt;&gt;"",CREATE_QUERY($D$1,C$2:AY$2,C356:AY356),"")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'287001', '생산실적 관리', 'Production performance management', '', '', '', '1', '1', '1', 'prod.order', 'WorkEntry', '1', '1', '1', '1', '1', '1', '1', '', '0', '0', '0', '', '', '', '', 'N', '', '', '287000', '5', '69700', '0', '14821/생산실적 관리/prod.order/WorkEntry', '공통', '');</v>
      </c>
    </row>
    <row r="357" spans="1:53">
      <c r="A357" s="1">
        <v>357</v>
      </c>
      <c r="B357" s="164" t="str">
        <f>IF(F357="","",IF(AI357="1","",IF(AI357="2","└ ",IF(AI357="3","  └ ",IF(AI357="4","    └ ",IF(AI357="5","        └ ",IF(AI357="6","         └ ",IF(AI357="7"="            └ ",""))))))))&amp;IF(AM357="","",IF(AM357="메뉴","","("&amp;AM357&amp;")"))&amp;F357</f>
        <v xml:space="preserve">        └ (선택)작업일지보고</v>
      </c>
      <c r="C357" s="27" t="str">
        <f>IF(F357="","","14821")</f>
        <v>14821</v>
      </c>
      <c r="D357" s="121"/>
      <c r="E357" s="27">
        <v>287002</v>
      </c>
      <c r="F357" s="121" t="s">
        <v>2060</v>
      </c>
      <c r="G357" s="121" t="s">
        <v>3183</v>
      </c>
      <c r="H357" s="121"/>
      <c r="I357" s="121"/>
      <c r="J357" s="121"/>
      <c r="K357" s="27" t="str">
        <f>IF(O357="","","1")</f>
        <v>1</v>
      </c>
      <c r="L357" s="27" t="str">
        <f>IF(F357="","","1")</f>
        <v>1</v>
      </c>
      <c r="M357" s="27" t="str">
        <f>IF(O357="","0","1")</f>
        <v>1</v>
      </c>
      <c r="N357" s="121" t="s">
        <v>328</v>
      </c>
      <c r="O357" s="121" t="s">
        <v>2297</v>
      </c>
      <c r="P357" s="27" t="str">
        <f>IF(O357="","0","1")</f>
        <v>1</v>
      </c>
      <c r="Q357" s="27" t="str">
        <f>IF(O357="","0","1")</f>
        <v>1</v>
      </c>
      <c r="R357" s="27" t="str">
        <f>IF(O357="","0","1")</f>
        <v>1</v>
      </c>
      <c r="S357" s="27" t="str">
        <f>IF(O357="","0","1")</f>
        <v>1</v>
      </c>
      <c r="T357" s="27" t="str">
        <f>IF(O357="","0","1")</f>
        <v>1</v>
      </c>
      <c r="U357" s="27" t="str">
        <f>IF(O357="","0","1")</f>
        <v>1</v>
      </c>
      <c r="V357" s="27" t="str">
        <f>IF(O357="","1","1")</f>
        <v>1</v>
      </c>
      <c r="W357" s="27"/>
      <c r="X357" s="27" t="str">
        <f>IF(O357="","","0")</f>
        <v>0</v>
      </c>
      <c r="Y357" s="27" t="str">
        <f>IF(O357="","","0")</f>
        <v>0</v>
      </c>
      <c r="Z357" s="27" t="str">
        <f>IF(O357="","","0")</f>
        <v>0</v>
      </c>
      <c r="AA357" s="121"/>
      <c r="AB357" s="121"/>
      <c r="AC357" s="121"/>
      <c r="AD357" s="121"/>
      <c r="AE357" s="121" t="s">
        <v>51</v>
      </c>
      <c r="AF357" s="121"/>
      <c r="AG357" s="121"/>
      <c r="AH357" s="28">
        <v>287000</v>
      </c>
      <c r="AI357" s="28" t="s">
        <v>113</v>
      </c>
      <c r="AJ357" s="28">
        <v>69254</v>
      </c>
      <c r="AK357" s="28" t="str">
        <f>IF(B357="","","0")</f>
        <v>0</v>
      </c>
      <c r="AL357" s="123" t="str">
        <f>IF(C357="","",C357&amp;"/"&amp;F357&amp;"/"&amp;N357&amp;"/"&amp;O357)</f>
        <v>14821/작업일지보고/prod.order/WorkBookV4</v>
      </c>
      <c r="AM357" s="28" t="s">
        <v>3350</v>
      </c>
      <c r="AN357" s="28" t="s">
        <v>1829</v>
      </c>
      <c r="AO357" s="28"/>
      <c r="AP357" s="28"/>
      <c r="AQ357" s="28"/>
      <c r="AR357" s="28"/>
      <c r="AS357" s="28"/>
      <c r="AT357" s="28"/>
      <c r="AU357" s="28"/>
      <c r="AV357" s="28"/>
      <c r="AW357" s="28"/>
      <c r="AX357" s="28"/>
      <c r="AY357" s="124"/>
      <c r="AZ357" s="138" t="str">
        <f>IF(C357="","","delete from module_mst where pjt_id = '"&amp;C357&amp;"' and menu_id = '"&amp;E357&amp;"';")</f>
        <v>delete from module_mst where pjt_id = '14821' and menu_id = '287002';</v>
      </c>
      <c r="BA357" s="31" t="str">
        <f>IF(C357&lt;&gt;"",CREATE_QUERY($D$1,C$2:AY$2,C357:AY357),"")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'287002', '작업일지보고', 'Report the work log', '', '', '', '1', '1', '1', 'prod.order', 'WorkBookV4', '1', '1', '1', '1', '1', '1', '1', '', '0', '0', '0', '', '', '', '', 'N', '', '', '287000', '5', '69254', '0', '14821/작업일지보고/prod.order/WorkBookV4', '선택', '');</v>
      </c>
    </row>
    <row r="358" spans="1:53">
      <c r="A358" s="1">
        <v>358</v>
      </c>
      <c r="B358" s="164" t="str">
        <f>IF(F358="","",IF(AI358="1","",IF(AI358="2","└ ",IF(AI358="3","  └ ",IF(AI358="4","    └ ",IF(AI358="5","        └ ",IF(AI358="6","         └ ",IF(AI358="7"="            └ ",""))))))))&amp;IF(AM358="","",IF(AM358="메뉴","","("&amp;AM358&amp;")"))&amp;F358</f>
        <v xml:space="preserve">        └ (선택)작업일지보고</v>
      </c>
      <c r="C358" s="27" t="str">
        <f>IF(F358="","","14821")</f>
        <v>14821</v>
      </c>
      <c r="D358" s="121"/>
      <c r="E358" s="27">
        <v>287003</v>
      </c>
      <c r="F358" s="121" t="s">
        <v>2060</v>
      </c>
      <c r="G358" s="121" t="s">
        <v>3183</v>
      </c>
      <c r="H358" s="121"/>
      <c r="I358" s="121"/>
      <c r="J358" s="121"/>
      <c r="K358" s="27" t="str">
        <f>IF(O358="","","1")</f>
        <v>1</v>
      </c>
      <c r="L358" s="27" t="str">
        <f>IF(F358="","","1")</f>
        <v>1</v>
      </c>
      <c r="M358" s="27" t="str">
        <f>IF(O358="","0","1")</f>
        <v>1</v>
      </c>
      <c r="N358" s="121" t="s">
        <v>328</v>
      </c>
      <c r="O358" s="121" t="s">
        <v>2390</v>
      </c>
      <c r="P358" s="27" t="str">
        <f>IF(O358="","0","1")</f>
        <v>1</v>
      </c>
      <c r="Q358" s="27" t="str">
        <f>IF(O358="","0","1")</f>
        <v>1</v>
      </c>
      <c r="R358" s="27" t="str">
        <f>IF(O358="","0","1")</f>
        <v>1</v>
      </c>
      <c r="S358" s="27" t="str">
        <f>IF(O358="","0","1")</f>
        <v>1</v>
      </c>
      <c r="T358" s="27" t="str">
        <f>IF(O358="","0","1")</f>
        <v>1</v>
      </c>
      <c r="U358" s="27" t="str">
        <f>IF(O358="","0","1")</f>
        <v>1</v>
      </c>
      <c r="V358" s="27" t="str">
        <f>IF(O358="","1","1")</f>
        <v>1</v>
      </c>
      <c r="W358" s="27"/>
      <c r="X358" s="27" t="str">
        <f>IF(O358="","","0")</f>
        <v>0</v>
      </c>
      <c r="Y358" s="27" t="str">
        <f>IF(O358="","","0")</f>
        <v>0</v>
      </c>
      <c r="Z358" s="27" t="str">
        <f>IF(O358="","","0")</f>
        <v>0</v>
      </c>
      <c r="AA358" s="121"/>
      <c r="AB358" s="121"/>
      <c r="AC358" s="121"/>
      <c r="AD358" s="121"/>
      <c r="AE358" s="121" t="s">
        <v>51</v>
      </c>
      <c r="AF358" s="121"/>
      <c r="AG358" s="121"/>
      <c r="AH358" s="28">
        <v>287000</v>
      </c>
      <c r="AI358" s="28" t="s">
        <v>113</v>
      </c>
      <c r="AJ358" s="28">
        <v>69256</v>
      </c>
      <c r="AK358" s="28" t="str">
        <f>IF(B358="","","0")</f>
        <v>0</v>
      </c>
      <c r="AL358" s="123" t="str">
        <f>IF(C358="","",C358&amp;"/"&amp;F358&amp;"/"&amp;N358&amp;"/"&amp;O358)</f>
        <v>14821/작업일지보고/prod.order/WorkBookV5</v>
      </c>
      <c r="AM358" s="28" t="s">
        <v>3350</v>
      </c>
      <c r="AN358" s="28"/>
      <c r="AO358" s="28"/>
      <c r="AP358" s="28" t="s">
        <v>1829</v>
      </c>
      <c r="AQ358" s="28"/>
      <c r="AR358" s="28"/>
      <c r="AS358" s="28"/>
      <c r="AT358" s="28"/>
      <c r="AU358" s="28"/>
      <c r="AV358" s="28"/>
      <c r="AW358" s="28"/>
      <c r="AX358" s="28"/>
      <c r="AY358" s="124"/>
      <c r="AZ358" s="138" t="str">
        <f>IF(C358="","","delete from module_mst where pjt_id = '"&amp;C358&amp;"' and menu_id = '"&amp;E358&amp;"';")</f>
        <v>delete from module_mst where pjt_id = '14821' and menu_id = '287003';</v>
      </c>
      <c r="BA358" s="31" t="str">
        <f>IF(C358&lt;&gt;"",CREATE_QUERY($D$1,C$2:AY$2,C358:AY358),"")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'287003', '작업일지보고', 'Report the work log', '', '', '', '1', '1', '1', 'prod.order', 'WorkBookV5', '1', '1', '1', '1', '1', '1', '1', '', '0', '0', '0', '', '', '', '', 'N', '', '', '287000', '5', '69256', '0', '14821/작업일지보고/prod.order/WorkBookV5', '선택', '');</v>
      </c>
    </row>
    <row r="359" spans="1:53">
      <c r="A359" s="1">
        <v>359</v>
      </c>
      <c r="B359" s="164" t="str">
        <f>IF(F359="","",IF(AI359="1","",IF(AI359="2","└ ",IF(AI359="3","  └ ",IF(AI359="4","    └ ",IF(AI359="5","        └ ",IF(AI359="6","         └ ",IF(AI359="7"="            └ ",""))))))))&amp;IF(AM359="","",IF(AM359="메뉴","","("&amp;AM359&amp;")"))&amp;F359</f>
        <v xml:space="preserve">        └ (선택)생산실적 관리</v>
      </c>
      <c r="C359" s="27" t="str">
        <f>IF(F359="","","14821")</f>
        <v>14821</v>
      </c>
      <c r="D359" s="121"/>
      <c r="E359" s="27">
        <v>287004</v>
      </c>
      <c r="F359" s="121" t="s">
        <v>218</v>
      </c>
      <c r="G359" s="121" t="s">
        <v>3178</v>
      </c>
      <c r="H359" s="121"/>
      <c r="I359" s="121"/>
      <c r="J359" s="121"/>
      <c r="K359" s="27" t="str">
        <f>IF(O359="","","1")</f>
        <v>1</v>
      </c>
      <c r="L359" s="27" t="str">
        <f>IF(F359="","","1")</f>
        <v>1</v>
      </c>
      <c r="M359" s="27" t="str">
        <f>IF(O359="","0","1")</f>
        <v>1</v>
      </c>
      <c r="N359" s="121" t="s">
        <v>3025</v>
      </c>
      <c r="O359" s="121" t="s">
        <v>276</v>
      </c>
      <c r="P359" s="27" t="str">
        <f>IF(O359="","0","1")</f>
        <v>1</v>
      </c>
      <c r="Q359" s="27" t="str">
        <f>IF(O359="","0","1")</f>
        <v>1</v>
      </c>
      <c r="R359" s="27" t="str">
        <f>IF(O359="","0","1")</f>
        <v>1</v>
      </c>
      <c r="S359" s="27" t="str">
        <f>IF(O359="","0","1")</f>
        <v>1</v>
      </c>
      <c r="T359" s="27" t="str">
        <f>IF(O359="","0","1")</f>
        <v>1</v>
      </c>
      <c r="U359" s="27" t="str">
        <f>IF(O359="","0","1")</f>
        <v>1</v>
      </c>
      <c r="V359" s="27" t="str">
        <f>IF(O359="","1","1")</f>
        <v>1</v>
      </c>
      <c r="W359" s="27"/>
      <c r="X359" s="27" t="str">
        <f>IF(O359="","","0")</f>
        <v>0</v>
      </c>
      <c r="Y359" s="27" t="str">
        <f>IF(O359="","","0")</f>
        <v>0</v>
      </c>
      <c r="Z359" s="27" t="str">
        <f>IF(O359="","","0")</f>
        <v>0</v>
      </c>
      <c r="AA359" s="121"/>
      <c r="AB359" s="121"/>
      <c r="AC359" s="121"/>
      <c r="AD359" s="121"/>
      <c r="AE359" s="121" t="s">
        <v>51</v>
      </c>
      <c r="AF359" s="121"/>
      <c r="AG359" s="121"/>
      <c r="AH359" s="28">
        <v>287000</v>
      </c>
      <c r="AI359" s="28" t="s">
        <v>113</v>
      </c>
      <c r="AJ359" s="28">
        <v>20</v>
      </c>
      <c r="AK359" s="28" t="str">
        <f>IF(B359="","","0")</f>
        <v>0</v>
      </c>
      <c r="AL359" s="123" t="str">
        <f>IF(C359="","",C359&amp;"/"&amp;F359&amp;"/"&amp;N359&amp;"/"&amp;O359)</f>
        <v>14821/생산실적 관리/custom.iypkg.prod/WorkEntry</v>
      </c>
      <c r="AM359" s="28" t="s">
        <v>3350</v>
      </c>
      <c r="AN359" s="28"/>
      <c r="AO359" s="28"/>
      <c r="AP359" s="28"/>
      <c r="AQ359" s="28"/>
      <c r="AR359" s="28"/>
      <c r="AS359" s="28"/>
      <c r="AT359" s="28"/>
      <c r="AU359" s="28"/>
      <c r="AV359" s="28"/>
      <c r="AW359" s="28" t="s">
        <v>1829</v>
      </c>
      <c r="AX359" s="28"/>
      <c r="AY359" s="124"/>
      <c r="AZ359" s="138" t="str">
        <f>IF(C359="","","delete from module_mst where pjt_id = '"&amp;C359&amp;"' and menu_id = '"&amp;E359&amp;"';")</f>
        <v>delete from module_mst where pjt_id = '14821' and menu_id = '287004';</v>
      </c>
      <c r="BA359" s="31" t="str">
        <f>IF(C359&lt;&gt;"",CREATE_QUERY($D$1,C$2:AY$2,C359:AY359),"")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'287004', '생산실적 관리', 'Production performance management', '', '', '', '1', '1', '1', 'custom.iypkg.prod', 'WorkEntry', '1', '1', '1', '1', '1', '1', '1', '', '0', '0', '0', '', '', '', '', 'N', '', '', '287000', '5', '20', '0', '14821/생산실적 관리/custom.iypkg.prod/WorkEntry', '선택', '');</v>
      </c>
    </row>
    <row r="360" spans="1:53">
      <c r="A360" s="1">
        <v>360</v>
      </c>
      <c r="B360" s="164" t="str">
        <f>IF(F360="","",IF(AI360="1","",IF(AI360="2","└ ",IF(AI360="3","  └ ",IF(AI360="4","    └ ",IF(AI360="5","        └ ",IF(AI360="6","         └ ",IF(AI360="7"="            └ ",""))))))))&amp;IF(AM360="","",IF(AM360="메뉴","","("&amp;AM360&amp;")"))&amp;F360</f>
        <v xml:space="preserve">        └ (선택)생산실적 관리</v>
      </c>
      <c r="C360" s="27" t="str">
        <f>IF(F360="","","14821")</f>
        <v>14821</v>
      </c>
      <c r="D360" s="121"/>
      <c r="E360" s="27">
        <v>287005</v>
      </c>
      <c r="F360" s="121" t="s">
        <v>218</v>
      </c>
      <c r="G360" s="121" t="s">
        <v>3178</v>
      </c>
      <c r="H360" s="121"/>
      <c r="I360" s="121"/>
      <c r="J360" s="121"/>
      <c r="K360" s="27" t="str">
        <f>IF(O360="","","1")</f>
        <v>1</v>
      </c>
      <c r="L360" s="27" t="str">
        <f>IF(F360="","","1")</f>
        <v>1</v>
      </c>
      <c r="M360" s="27" t="str">
        <f>IF(O360="","0","1")</f>
        <v>1</v>
      </c>
      <c r="N360" s="121" t="s">
        <v>328</v>
      </c>
      <c r="O360" s="121" t="s">
        <v>2028</v>
      </c>
      <c r="P360" s="27" t="str">
        <f>IF(O360="","0","1")</f>
        <v>1</v>
      </c>
      <c r="Q360" s="27" t="str">
        <f>IF(O360="","0","1")</f>
        <v>1</v>
      </c>
      <c r="R360" s="27" t="str">
        <f>IF(O360="","0","1")</f>
        <v>1</v>
      </c>
      <c r="S360" s="27" t="str">
        <f>IF(O360="","0","1")</f>
        <v>1</v>
      </c>
      <c r="T360" s="27" t="str">
        <f>IF(O360="","0","1")</f>
        <v>1</v>
      </c>
      <c r="U360" s="27" t="str">
        <f>IF(O360="","0","1")</f>
        <v>1</v>
      </c>
      <c r="V360" s="27" t="str">
        <f>IF(O360="","1","1")</f>
        <v>1</v>
      </c>
      <c r="W360" s="27"/>
      <c r="X360" s="27" t="str">
        <f>IF(O360="","","0")</f>
        <v>0</v>
      </c>
      <c r="Y360" s="27" t="str">
        <f>IF(O360="","","0")</f>
        <v>0</v>
      </c>
      <c r="Z360" s="27" t="str">
        <f>IF(O360="","","0")</f>
        <v>0</v>
      </c>
      <c r="AA360" s="121"/>
      <c r="AB360" s="121"/>
      <c r="AC360" s="121"/>
      <c r="AD360" s="121"/>
      <c r="AE360" s="121" t="s">
        <v>51</v>
      </c>
      <c r="AF360" s="121"/>
      <c r="AG360" s="121"/>
      <c r="AH360" s="28">
        <v>287000</v>
      </c>
      <c r="AI360" s="28" t="s">
        <v>113</v>
      </c>
      <c r="AJ360" s="28">
        <v>69900</v>
      </c>
      <c r="AK360" s="28" t="str">
        <f>IF(B360="","","0")</f>
        <v>0</v>
      </c>
      <c r="AL360" s="123" t="str">
        <f t="shared" ref="AL360" si="649">IF(C360="","",C360&amp;"/"&amp;F360&amp;"/"&amp;N360&amp;"/"&amp;O360)</f>
        <v>14821/생산실적 관리/prod.order/WorkEntryV3</v>
      </c>
      <c r="AM360" s="28" t="s">
        <v>3350</v>
      </c>
      <c r="AN360" s="28"/>
      <c r="AO360" s="28" t="s">
        <v>1829</v>
      </c>
      <c r="AP360" s="28"/>
      <c r="AQ360" s="28"/>
      <c r="AR360" s="28"/>
      <c r="AS360" s="28"/>
      <c r="AT360" s="28"/>
      <c r="AU360" s="28"/>
      <c r="AV360" s="28"/>
      <c r="AW360" s="28"/>
      <c r="AX360" s="28"/>
      <c r="AY360" s="124"/>
      <c r="AZ360" s="138" t="str">
        <f>IF(C360="","","delete from module_mst where pjt_id = '"&amp;C360&amp;"' and menu_id = '"&amp;E360&amp;"';")</f>
        <v>delete from module_mst where pjt_id = '14821' and menu_id = '287005';</v>
      </c>
      <c r="BA360" s="31" t="str">
        <f>IF(C360&lt;&gt;"",CREATE_QUERY($D$1,C$2:AY$2,C360:AY360),"")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'287005', '생산실적 관리', 'Production performance management', '', '', '', '1', '1', '1', 'prod.order', 'WorkEntryV3', '1', '1', '1', '1', '1', '1', '1', '', '0', '0', '0', '', '', '', '', 'N', '', '', '287000', '5', '69900', '0', '14821/생산실적 관리/prod.order/WorkEntryV3', '선택', '');</v>
      </c>
    </row>
    <row r="361" spans="1:53">
      <c r="A361" s="1">
        <v>361</v>
      </c>
      <c r="B361" s="164" t="str">
        <f t="shared" ref="B361:B362" si="650">IF(F361="","",IF(AI361="1","",IF(AI361="2","└ ",IF(AI361="3","  └ ",IF(AI361="4","    └ ",IF(AI361="5","        └ ",IF(AI361="6","         └ ",IF(AI361="7"="            └ ",""))))))))&amp;IF(AM361="","",IF(AM361="메뉴","","("&amp;AM361&amp;")"))&amp;F361</f>
        <v xml:space="preserve">        └ (공통)생산투입현황</v>
      </c>
      <c r="C361" s="27" t="str">
        <f t="shared" si="632"/>
        <v>14821</v>
      </c>
      <c r="D361" s="121"/>
      <c r="E361" s="27">
        <v>287006</v>
      </c>
      <c r="F361" s="121" t="s">
        <v>265</v>
      </c>
      <c r="G361" s="121" t="s">
        <v>3180</v>
      </c>
      <c r="H361" s="121"/>
      <c r="I361" s="121"/>
      <c r="J361" s="121"/>
      <c r="K361" s="27" t="str">
        <f t="shared" si="635"/>
        <v>1</v>
      </c>
      <c r="L361" s="27" t="str">
        <f t="shared" si="633"/>
        <v>1</v>
      </c>
      <c r="M361" s="27" t="str">
        <f t="shared" si="636"/>
        <v>1</v>
      </c>
      <c r="N361" s="121" t="s">
        <v>328</v>
      </c>
      <c r="O361" s="121" t="s">
        <v>393</v>
      </c>
      <c r="P361" s="27" t="str">
        <f t="shared" ref="P361:P362" si="651">IF(O361="","0","1")</f>
        <v>1</v>
      </c>
      <c r="Q361" s="27" t="str">
        <f t="shared" ref="Q361:Q362" si="652">IF(O361="","0","1")</f>
        <v>1</v>
      </c>
      <c r="R361" s="27" t="str">
        <f t="shared" ref="R361:R362" si="653">IF(O361="","0","1")</f>
        <v>1</v>
      </c>
      <c r="S361" s="27" t="str">
        <f t="shared" ref="S361:S362" si="654">IF(O361="","0","1")</f>
        <v>1</v>
      </c>
      <c r="T361" s="27" t="str">
        <f t="shared" ref="T361:T362" si="655">IF(O361="","0","1")</f>
        <v>1</v>
      </c>
      <c r="U361" s="27" t="str">
        <f t="shared" ref="U361:U362" si="656">IF(O361="","0","1")</f>
        <v>1</v>
      </c>
      <c r="V361" s="27" t="str">
        <f t="shared" ref="V361:V362" si="657">IF(O361="","1","1")</f>
        <v>1</v>
      </c>
      <c r="W361" s="27"/>
      <c r="X361" s="27" t="str">
        <f t="shared" ref="X361:X362" si="658">IF(O361="","","0")</f>
        <v>0</v>
      </c>
      <c r="Y361" s="27" t="str">
        <f t="shared" ref="Y361:Y362" si="659">IF(O361="","","0")</f>
        <v>0</v>
      </c>
      <c r="Z361" s="27" t="str">
        <f t="shared" ref="Z361:Z362" si="660">IF(O361="","","0")</f>
        <v>0</v>
      </c>
      <c r="AA361" s="121"/>
      <c r="AB361" s="121"/>
      <c r="AC361" s="121"/>
      <c r="AD361" s="121"/>
      <c r="AE361" s="121" t="s">
        <v>51</v>
      </c>
      <c r="AF361" s="121"/>
      <c r="AG361" s="121"/>
      <c r="AH361" s="28">
        <v>287000</v>
      </c>
      <c r="AI361" s="28" t="s">
        <v>113</v>
      </c>
      <c r="AJ361" s="28">
        <v>69350</v>
      </c>
      <c r="AK361" s="28" t="str">
        <f t="shared" si="634"/>
        <v>0</v>
      </c>
      <c r="AL361" s="123" t="str">
        <f t="shared" ref="AL361:AL362" si="661">IF(C361="","",C361&amp;"/"&amp;F361&amp;"/"&amp;N361&amp;"/"&amp;O361)</f>
        <v>14821/생산투입현황/prod.order/ProdInput</v>
      </c>
      <c r="AM361" s="28" t="s">
        <v>2984</v>
      </c>
      <c r="AN361" s="28"/>
      <c r="AO361" s="28"/>
      <c r="AP361" s="28"/>
      <c r="AQ361" s="28"/>
      <c r="AR361" s="28"/>
      <c r="AS361" s="28"/>
      <c r="AT361" s="28"/>
      <c r="AU361" s="28"/>
      <c r="AV361" s="28"/>
      <c r="AW361" s="28"/>
      <c r="AX361" s="28"/>
      <c r="AY361" s="124"/>
      <c r="AZ361" s="138" t="str">
        <f>IF(C361="","","delete from module_mst where pjt_id = '"&amp;C361&amp;"' and menu_id = '"&amp;E361&amp;"';")</f>
        <v>delete from module_mst where pjt_id = '14821' and menu_id = '287006';</v>
      </c>
      <c r="BA361" s="31" t="str">
        <f>IF(C361&lt;&gt;"",CREATE_QUERY($D$1,C$2:AY$2,C361:AY361),"")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'287006', '생산투입현황', 'Production input status', '', '', '', '1', '1', '1', 'prod.order', 'ProdInput', '1', '1', '1', '1', '1', '1', '1', '', '0', '0', '0', '', '', '', '', 'N', '', '', '287000', '5', '69350', '0', '14821/생산투입현황/prod.order/ProdInput', '공통', '');</v>
      </c>
    </row>
    <row r="362" spans="1:53">
      <c r="A362" s="1">
        <v>362</v>
      </c>
      <c r="B362" s="164" t="str">
        <f t="shared" si="650"/>
        <v xml:space="preserve">        └ (공통)생산불량현황</v>
      </c>
      <c r="C362" s="27" t="str">
        <f t="shared" si="632"/>
        <v>14821</v>
      </c>
      <c r="D362" s="121"/>
      <c r="E362" s="27">
        <v>287007</v>
      </c>
      <c r="F362" s="121" t="s">
        <v>267</v>
      </c>
      <c r="G362" s="121" t="s">
        <v>3181</v>
      </c>
      <c r="H362" s="121"/>
      <c r="I362" s="121"/>
      <c r="J362" s="121"/>
      <c r="K362" s="27" t="str">
        <f t="shared" si="635"/>
        <v>1</v>
      </c>
      <c r="L362" s="27" t="str">
        <f t="shared" si="633"/>
        <v>1</v>
      </c>
      <c r="M362" s="27" t="str">
        <f t="shared" si="636"/>
        <v>1</v>
      </c>
      <c r="N362" s="121" t="s">
        <v>328</v>
      </c>
      <c r="O362" s="121" t="s">
        <v>275</v>
      </c>
      <c r="P362" s="27" t="str">
        <f t="shared" si="651"/>
        <v>1</v>
      </c>
      <c r="Q362" s="27" t="str">
        <f t="shared" si="652"/>
        <v>1</v>
      </c>
      <c r="R362" s="27" t="str">
        <f t="shared" si="653"/>
        <v>1</v>
      </c>
      <c r="S362" s="27" t="str">
        <f t="shared" si="654"/>
        <v>1</v>
      </c>
      <c r="T362" s="27" t="str">
        <f t="shared" si="655"/>
        <v>1</v>
      </c>
      <c r="U362" s="27" t="str">
        <f t="shared" si="656"/>
        <v>1</v>
      </c>
      <c r="V362" s="27" t="str">
        <f t="shared" si="657"/>
        <v>1</v>
      </c>
      <c r="W362" s="27"/>
      <c r="X362" s="27" t="str">
        <f t="shared" si="658"/>
        <v>0</v>
      </c>
      <c r="Y362" s="27" t="str">
        <f t="shared" si="659"/>
        <v>0</v>
      </c>
      <c r="Z362" s="27" t="str">
        <f t="shared" si="660"/>
        <v>0</v>
      </c>
      <c r="AA362" s="121"/>
      <c r="AB362" s="121"/>
      <c r="AC362" s="121"/>
      <c r="AD362" s="121"/>
      <c r="AE362" s="121" t="s">
        <v>51</v>
      </c>
      <c r="AF362" s="121"/>
      <c r="AG362" s="121"/>
      <c r="AH362" s="28">
        <v>287000</v>
      </c>
      <c r="AI362" s="28" t="s">
        <v>113</v>
      </c>
      <c r="AJ362" s="28">
        <v>69450</v>
      </c>
      <c r="AK362" s="28" t="str">
        <f t="shared" si="634"/>
        <v>0</v>
      </c>
      <c r="AL362" s="123" t="str">
        <f t="shared" si="661"/>
        <v>14821/생산불량현황/prod.order/ProdNotList</v>
      </c>
      <c r="AM362" s="28" t="s">
        <v>2981</v>
      </c>
      <c r="AN362" s="28"/>
      <c r="AO362" s="28"/>
      <c r="AP362" s="28"/>
      <c r="AQ362" s="28"/>
      <c r="AR362" s="28"/>
      <c r="AS362" s="28"/>
      <c r="AT362" s="28" t="s">
        <v>1829</v>
      </c>
      <c r="AU362" s="28"/>
      <c r="AV362" s="28"/>
      <c r="AW362" s="28"/>
      <c r="AX362" s="28"/>
      <c r="AY362" s="124"/>
      <c r="AZ362" s="138" t="str">
        <f>IF(C362="","","delete from module_mst where pjt_id = '"&amp;C362&amp;"' and menu_id = '"&amp;E362&amp;"';")</f>
        <v>delete from module_mst where pjt_id = '14821' and menu_id = '287007';</v>
      </c>
      <c r="BA362" s="31" t="str">
        <f>IF(C362&lt;&gt;"",CREATE_QUERY($D$1,C$2:AY$2,C362:AY362),"")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'287007', '생산불량현황', 'Production defect status', '', '', '', '1', '1', '1', 'prod.order', 'ProdNotList', '1', '1', '1', '1', '1', '1', '1', '', '0', '0', '0', '', '', '', '', 'N', '', '', '287000', '5', '69450', '0', '14821/생산불량현황/prod.order/ProdNotList', '공통', '');</v>
      </c>
    </row>
    <row r="363" spans="1:53">
      <c r="A363" s="1">
        <v>363</v>
      </c>
      <c r="B363" s="164" t="str">
        <f t="shared" ref="B363:B373" si="662">IF(F363="","",IF(AI363="1","",IF(AI363="2","└ ",IF(AI363="3","  └ ",IF(AI363="4","    └ ",IF(AI363="5","        └ ",IF(AI363="6","         └ ",IF(AI363="7"="            └ ",""))))))))&amp;IF(AM363="","",IF(AM363="메뉴","","("&amp;AM363&amp;")"))&amp;F363</f>
        <v xml:space="preserve">        └ (선택)외주 현황</v>
      </c>
      <c r="C363" s="27" t="str">
        <f t="shared" si="632"/>
        <v>14821</v>
      </c>
      <c r="D363" s="121"/>
      <c r="E363" s="27">
        <v>287008</v>
      </c>
      <c r="F363" s="121" t="s">
        <v>3036</v>
      </c>
      <c r="G363" s="121" t="s">
        <v>3191</v>
      </c>
      <c r="H363" s="121"/>
      <c r="I363" s="121"/>
      <c r="J363" s="121"/>
      <c r="K363" s="27" t="str">
        <f t="shared" si="635"/>
        <v>1</v>
      </c>
      <c r="L363" s="27" t="str">
        <f t="shared" si="633"/>
        <v>1</v>
      </c>
      <c r="M363" s="27" t="str">
        <f t="shared" si="636"/>
        <v>1</v>
      </c>
      <c r="N363" s="121" t="s">
        <v>3025</v>
      </c>
      <c r="O363" s="121" t="s">
        <v>3037</v>
      </c>
      <c r="P363" s="27" t="str">
        <f t="shared" ref="P363:P373" si="663">IF(O363="","0","1")</f>
        <v>1</v>
      </c>
      <c r="Q363" s="27" t="str">
        <f t="shared" ref="Q363:Q373" si="664">IF(O363="","0","1")</f>
        <v>1</v>
      </c>
      <c r="R363" s="27" t="str">
        <f t="shared" ref="R363:R373" si="665">IF(O363="","0","1")</f>
        <v>1</v>
      </c>
      <c r="S363" s="27" t="str">
        <f t="shared" ref="S363:S373" si="666">IF(O363="","0","1")</f>
        <v>1</v>
      </c>
      <c r="T363" s="27" t="str">
        <f t="shared" ref="T363:T373" si="667">IF(O363="","0","1")</f>
        <v>1</v>
      </c>
      <c r="U363" s="27" t="str">
        <f t="shared" ref="U363:U373" si="668">IF(O363="","0","1")</f>
        <v>1</v>
      </c>
      <c r="V363" s="27" t="str">
        <f t="shared" ref="V363:V373" si="669">IF(O363="","1","1")</f>
        <v>1</v>
      </c>
      <c r="W363" s="27"/>
      <c r="X363" s="27" t="str">
        <f t="shared" ref="X363:X373" si="670">IF(O363="","","0")</f>
        <v>0</v>
      </c>
      <c r="Y363" s="27" t="str">
        <f t="shared" ref="Y363:Y373" si="671">IF(O363="","","0")</f>
        <v>0</v>
      </c>
      <c r="Z363" s="27" t="str">
        <f t="shared" ref="Z363:Z373" si="672">IF(O363="","","0")</f>
        <v>0</v>
      </c>
      <c r="AA363" s="121"/>
      <c r="AB363" s="121"/>
      <c r="AC363" s="121"/>
      <c r="AD363" s="121"/>
      <c r="AE363" s="121" t="s">
        <v>51</v>
      </c>
      <c r="AF363" s="121"/>
      <c r="AG363" s="121"/>
      <c r="AH363" s="28">
        <v>287000</v>
      </c>
      <c r="AI363" s="28" t="s">
        <v>113</v>
      </c>
      <c r="AJ363" s="28">
        <v>80</v>
      </c>
      <c r="AK363" s="28" t="str">
        <f t="shared" si="634"/>
        <v>0</v>
      </c>
      <c r="AL363" s="123" t="str">
        <f t="shared" ref="AL363" si="673">IF(C363="","",C363&amp;"/"&amp;F363&amp;"/"&amp;N363&amp;"/"&amp;O363)</f>
        <v>14821/외주 현황/custom.iypkg.prod/WorkList4</v>
      </c>
      <c r="AM363" s="28" t="s">
        <v>3350</v>
      </c>
      <c r="AN363" s="28"/>
      <c r="AO363" s="28"/>
      <c r="AP363" s="28"/>
      <c r="AQ363" s="28"/>
      <c r="AR363" s="28"/>
      <c r="AS363" s="28"/>
      <c r="AT363" s="28"/>
      <c r="AU363" s="28"/>
      <c r="AV363" s="28"/>
      <c r="AW363" s="28" t="s">
        <v>1829</v>
      </c>
      <c r="AX363" s="28"/>
      <c r="AY363" s="124"/>
      <c r="AZ363" s="138" t="str">
        <f>IF(C363="","","delete from module_mst where pjt_id = '"&amp;C363&amp;"' and menu_id = '"&amp;E363&amp;"';")</f>
        <v>delete from module_mst where pjt_id = '14821' and menu_id = '287008';</v>
      </c>
      <c r="BA363" s="31" t="str">
        <f>IF(C363&lt;&gt;"",CREATE_QUERY($D$1,C$2:AY$2,C363:AY363),"")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'287008', '외주 현황', 'Outsourcing status', '', '', '', '1', '1', '1', 'custom.iypkg.prod', 'WorkList4', '1', '1', '1', '1', '1', '1', '1', '', '0', '0', '0', '', '', '', '', 'N', '', '', '287000', '5', '80', '0', '14821/외주 현황/custom.iypkg.prod/WorkList4', '선택', '');</v>
      </c>
    </row>
    <row r="364" spans="1:53">
      <c r="A364" s="1">
        <v>364</v>
      </c>
      <c r="B364" s="164" t="str">
        <f t="shared" si="662"/>
        <v xml:space="preserve">        └ (공통)생산일보</v>
      </c>
      <c r="C364" s="27" t="str">
        <f t="shared" si="632"/>
        <v>14821</v>
      </c>
      <c r="D364" s="121"/>
      <c r="E364" s="27">
        <v>287009</v>
      </c>
      <c r="F364" s="121" t="s">
        <v>234</v>
      </c>
      <c r="G364" s="121" t="s">
        <v>3179</v>
      </c>
      <c r="H364" s="121"/>
      <c r="I364" s="121"/>
      <c r="J364" s="121"/>
      <c r="K364" s="27" t="str">
        <f t="shared" si="635"/>
        <v>1</v>
      </c>
      <c r="L364" s="27" t="str">
        <f t="shared" si="633"/>
        <v>1</v>
      </c>
      <c r="M364" s="27" t="str">
        <f t="shared" si="636"/>
        <v>1</v>
      </c>
      <c r="N364" s="121" t="s">
        <v>328</v>
      </c>
      <c r="O364" s="121" t="s">
        <v>253</v>
      </c>
      <c r="P364" s="27" t="str">
        <f t="shared" si="663"/>
        <v>1</v>
      </c>
      <c r="Q364" s="27" t="str">
        <f t="shared" si="664"/>
        <v>1</v>
      </c>
      <c r="R364" s="27" t="str">
        <f t="shared" si="665"/>
        <v>1</v>
      </c>
      <c r="S364" s="27" t="str">
        <f t="shared" si="666"/>
        <v>1</v>
      </c>
      <c r="T364" s="27" t="str">
        <f t="shared" si="667"/>
        <v>1</v>
      </c>
      <c r="U364" s="27" t="str">
        <f t="shared" si="668"/>
        <v>1</v>
      </c>
      <c r="V364" s="27" t="str">
        <f t="shared" si="669"/>
        <v>1</v>
      </c>
      <c r="W364" s="27"/>
      <c r="X364" s="27" t="str">
        <f t="shared" si="670"/>
        <v>0</v>
      </c>
      <c r="Y364" s="27" t="str">
        <f t="shared" si="671"/>
        <v>0</v>
      </c>
      <c r="Z364" s="27" t="str">
        <f t="shared" si="672"/>
        <v>0</v>
      </c>
      <c r="AA364" s="121"/>
      <c r="AB364" s="121"/>
      <c r="AC364" s="121"/>
      <c r="AD364" s="121"/>
      <c r="AE364" s="121" t="s">
        <v>51</v>
      </c>
      <c r="AF364" s="121"/>
      <c r="AG364" s="121"/>
      <c r="AH364" s="28">
        <v>287000</v>
      </c>
      <c r="AI364" s="28" t="s">
        <v>113</v>
      </c>
      <c r="AJ364" s="28">
        <v>69300</v>
      </c>
      <c r="AK364" s="28" t="str">
        <f t="shared" si="634"/>
        <v>0</v>
      </c>
      <c r="AL364" s="123" t="str">
        <f>IF(C364="","",C364&amp;"/"&amp;F364&amp;"/"&amp;N364&amp;"/"&amp;O364)</f>
        <v>14821/생산일보/prod.order/WorkBook</v>
      </c>
      <c r="AM364" s="28" t="s">
        <v>2981</v>
      </c>
      <c r="AN364" s="28"/>
      <c r="AO364" s="28"/>
      <c r="AP364" s="28"/>
      <c r="AQ364" s="28"/>
      <c r="AR364" s="28"/>
      <c r="AS364" s="28"/>
      <c r="AT364" s="28" t="s">
        <v>1829</v>
      </c>
      <c r="AU364" s="28"/>
      <c r="AV364" s="28"/>
      <c r="AW364" s="28"/>
      <c r="AX364" s="28"/>
      <c r="AY364" s="124"/>
      <c r="AZ364" s="138" t="str">
        <f>IF(C364="","","delete from module_mst where pjt_id = '"&amp;C364&amp;"' and menu_id = '"&amp;E364&amp;"';")</f>
        <v>delete from module_mst where pjt_id = '14821' and menu_id = '287009';</v>
      </c>
      <c r="BA364" s="31" t="str">
        <f>IF(C364&lt;&gt;"",CREATE_QUERY($D$1,C$2:AY$2,C364:AY364),"")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'287009', '생산일보', 'Production Daily', '', '', '', '1', '1', '1', 'prod.order', 'WorkBook', '1', '1', '1', '1', '1', '1', '1', '', '0', '0', '0', '', '', '', '', 'N', '', '', '287000', '5', '69300', '0', '14821/생산일보/prod.order/WorkBook', '공통', '');</v>
      </c>
    </row>
    <row r="365" spans="1:53">
      <c r="A365" s="1">
        <v>365</v>
      </c>
      <c r="B365" s="164" t="str">
        <f t="shared" si="662"/>
        <v xml:space="preserve">        └ (선택)생산일보</v>
      </c>
      <c r="C365" s="27" t="str">
        <f t="shared" si="632"/>
        <v>14821</v>
      </c>
      <c r="D365" s="121"/>
      <c r="E365" s="27">
        <v>287010</v>
      </c>
      <c r="F365" s="121" t="s">
        <v>234</v>
      </c>
      <c r="G365" s="121" t="s">
        <v>3179</v>
      </c>
      <c r="H365" s="121"/>
      <c r="I365" s="121"/>
      <c r="J365" s="121"/>
      <c r="K365" s="27" t="str">
        <f t="shared" si="635"/>
        <v>1</v>
      </c>
      <c r="L365" s="27" t="str">
        <f t="shared" si="633"/>
        <v>1</v>
      </c>
      <c r="M365" s="27" t="str">
        <f t="shared" si="636"/>
        <v>1</v>
      </c>
      <c r="N365" s="121" t="s">
        <v>328</v>
      </c>
      <c r="O365" s="121" t="s">
        <v>2036</v>
      </c>
      <c r="P365" s="27" t="str">
        <f t="shared" si="663"/>
        <v>1</v>
      </c>
      <c r="Q365" s="27" t="str">
        <f t="shared" si="664"/>
        <v>1</v>
      </c>
      <c r="R365" s="27" t="str">
        <f t="shared" si="665"/>
        <v>1</v>
      </c>
      <c r="S365" s="27" t="str">
        <f t="shared" si="666"/>
        <v>1</v>
      </c>
      <c r="T365" s="27" t="str">
        <f t="shared" si="667"/>
        <v>1</v>
      </c>
      <c r="U365" s="27" t="str">
        <f t="shared" si="668"/>
        <v>1</v>
      </c>
      <c r="V365" s="27" t="str">
        <f t="shared" si="669"/>
        <v>1</v>
      </c>
      <c r="W365" s="27"/>
      <c r="X365" s="27" t="str">
        <f t="shared" si="670"/>
        <v>0</v>
      </c>
      <c r="Y365" s="27" t="str">
        <f t="shared" si="671"/>
        <v>0</v>
      </c>
      <c r="Z365" s="27" t="str">
        <f t="shared" si="672"/>
        <v>0</v>
      </c>
      <c r="AA365" s="121"/>
      <c r="AB365" s="121"/>
      <c r="AC365" s="121"/>
      <c r="AD365" s="121"/>
      <c r="AE365" s="121" t="s">
        <v>51</v>
      </c>
      <c r="AF365" s="121"/>
      <c r="AG365" s="121"/>
      <c r="AH365" s="28">
        <v>287000</v>
      </c>
      <c r="AI365" s="28" t="s">
        <v>113</v>
      </c>
      <c r="AJ365" s="28">
        <v>69750</v>
      </c>
      <c r="AK365" s="28" t="str">
        <f t="shared" si="634"/>
        <v>0</v>
      </c>
      <c r="AL365" s="123" t="str">
        <f t="shared" ref="AL365:AL373" si="674">IF(C365="","",C365&amp;"/"&amp;F365&amp;"/"&amp;N365&amp;"/"&amp;O365)</f>
        <v>14821/생산일보/prod.order/WorkBookV2</v>
      </c>
      <c r="AM365" s="28" t="s">
        <v>3350</v>
      </c>
      <c r="AN365" s="28" t="s">
        <v>1829</v>
      </c>
      <c r="AO365" s="28"/>
      <c r="AP365" s="28"/>
      <c r="AQ365" s="28"/>
      <c r="AR365" s="28"/>
      <c r="AS365" s="28"/>
      <c r="AT365" s="28"/>
      <c r="AU365" s="28"/>
      <c r="AV365" s="28"/>
      <c r="AW365" s="28"/>
      <c r="AX365" s="28"/>
      <c r="AY365" s="124"/>
      <c r="AZ365" s="138" t="str">
        <f>IF(C365="","","delete from module_mst where pjt_id = '"&amp;C365&amp;"' and menu_id = '"&amp;E365&amp;"';")</f>
        <v>delete from module_mst where pjt_id = '14821' and menu_id = '287010';</v>
      </c>
      <c r="BA365" s="31" t="str">
        <f>IF(C365&lt;&gt;"",CREATE_QUERY($D$1,C$2:AY$2,C365:AY365),"")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'287010', '생산일보', 'Production Daily', '', '', '', '1', '1', '1', 'prod.order', 'WorkBookV2', '1', '1', '1', '1', '1', '1', '1', '', '0', '0', '0', '', '', '', '', 'N', '', '', '287000', '5', '69750', '0', '14821/생산일보/prod.order/WorkBookV2', '선택', '');</v>
      </c>
    </row>
    <row r="366" spans="1:53">
      <c r="A366" s="1">
        <v>366</v>
      </c>
      <c r="B366" s="164" t="str">
        <f t="shared" si="662"/>
        <v xml:space="preserve">        └ (선택)생산일보</v>
      </c>
      <c r="C366" s="27" t="str">
        <f t="shared" si="632"/>
        <v>14821</v>
      </c>
      <c r="D366" s="121"/>
      <c r="E366" s="27">
        <v>287011</v>
      </c>
      <c r="F366" s="121" t="s">
        <v>234</v>
      </c>
      <c r="G366" s="121" t="s">
        <v>3179</v>
      </c>
      <c r="H366" s="121"/>
      <c r="I366" s="121"/>
      <c r="J366" s="121"/>
      <c r="K366" s="27" t="str">
        <f t="shared" si="635"/>
        <v>1</v>
      </c>
      <c r="L366" s="27" t="str">
        <f t="shared" si="633"/>
        <v>1</v>
      </c>
      <c r="M366" s="27" t="str">
        <f t="shared" si="636"/>
        <v>1</v>
      </c>
      <c r="N366" s="121" t="s">
        <v>3025</v>
      </c>
      <c r="O366" s="121" t="s">
        <v>3049</v>
      </c>
      <c r="P366" s="27" t="str">
        <f t="shared" si="663"/>
        <v>1</v>
      </c>
      <c r="Q366" s="27" t="str">
        <f t="shared" si="664"/>
        <v>1</v>
      </c>
      <c r="R366" s="27" t="str">
        <f t="shared" si="665"/>
        <v>1</v>
      </c>
      <c r="S366" s="27" t="str">
        <f t="shared" si="666"/>
        <v>1</v>
      </c>
      <c r="T366" s="27" t="str">
        <f t="shared" si="667"/>
        <v>1</v>
      </c>
      <c r="U366" s="27" t="str">
        <f t="shared" si="668"/>
        <v>1</v>
      </c>
      <c r="V366" s="27" t="str">
        <f t="shared" si="669"/>
        <v>1</v>
      </c>
      <c r="W366" s="27"/>
      <c r="X366" s="27" t="str">
        <f t="shared" si="670"/>
        <v>0</v>
      </c>
      <c r="Y366" s="27" t="str">
        <f t="shared" si="671"/>
        <v>0</v>
      </c>
      <c r="Z366" s="27" t="str">
        <f t="shared" si="672"/>
        <v>0</v>
      </c>
      <c r="AA366" s="121"/>
      <c r="AB366" s="121"/>
      <c r="AC366" s="121"/>
      <c r="AD366" s="121"/>
      <c r="AE366" s="121" t="s">
        <v>51</v>
      </c>
      <c r="AF366" s="121"/>
      <c r="AG366" s="121"/>
      <c r="AH366" s="28">
        <v>287000</v>
      </c>
      <c r="AI366" s="28" t="s">
        <v>113</v>
      </c>
      <c r="AJ366" s="28">
        <v>71050</v>
      </c>
      <c r="AK366" s="28" t="str">
        <f t="shared" si="634"/>
        <v>0</v>
      </c>
      <c r="AL366" s="123" t="str">
        <f t="shared" si="674"/>
        <v>14821/생산일보/custom.iypkg.prod/DailyWorkList</v>
      </c>
      <c r="AM366" s="28" t="s">
        <v>3350</v>
      </c>
      <c r="AN366" s="28"/>
      <c r="AO366" s="28"/>
      <c r="AP366" s="28"/>
      <c r="AQ366" s="28"/>
      <c r="AR366" s="28"/>
      <c r="AS366" s="28"/>
      <c r="AT366" s="28"/>
      <c r="AU366" s="28"/>
      <c r="AV366" s="28"/>
      <c r="AW366" s="28" t="s">
        <v>1829</v>
      </c>
      <c r="AX366" s="28"/>
      <c r="AY366" s="124"/>
      <c r="AZ366" s="138" t="str">
        <f>IF(C366="","","delete from module_mst where pjt_id = '"&amp;C366&amp;"' and menu_id = '"&amp;E366&amp;"';")</f>
        <v>delete from module_mst where pjt_id = '14821' and menu_id = '287011';</v>
      </c>
      <c r="BA366" s="31" t="str">
        <f>IF(C366&lt;&gt;"",CREATE_QUERY($D$1,C$2:AY$2,C366:AY366),"")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'287011', '생산일보', 'Production Daily', '', '', '', '1', '1', '1', 'custom.iypkg.prod', 'DailyWorkList', '1', '1', '1', '1', '1', '1', '1', '', '0', '0', '0', '', '', '', '', 'N', '', '', '287000', '5', '71050', '0', '14821/생산일보/custom.iypkg.prod/DailyWorkList', '선택', '');</v>
      </c>
    </row>
    <row r="367" spans="1:53">
      <c r="A367" s="1">
        <v>367</v>
      </c>
      <c r="B367" s="164" t="str">
        <f t="shared" si="662"/>
        <v xml:space="preserve">        └ (선택)생산일보</v>
      </c>
      <c r="C367" s="27" t="str">
        <f t="shared" si="632"/>
        <v>14821</v>
      </c>
      <c r="D367" s="121"/>
      <c r="E367" s="27">
        <v>287012</v>
      </c>
      <c r="F367" s="121" t="s">
        <v>234</v>
      </c>
      <c r="G367" s="121" t="s">
        <v>3179</v>
      </c>
      <c r="H367" s="121"/>
      <c r="I367" s="121"/>
      <c r="J367" s="121"/>
      <c r="K367" s="27" t="str">
        <f t="shared" si="635"/>
        <v>1</v>
      </c>
      <c r="L367" s="27" t="str">
        <f t="shared" si="633"/>
        <v>1</v>
      </c>
      <c r="M367" s="27" t="str">
        <f t="shared" si="636"/>
        <v>1</v>
      </c>
      <c r="N367" s="121" t="s">
        <v>2405</v>
      </c>
      <c r="O367" s="121" t="s">
        <v>253</v>
      </c>
      <c r="P367" s="27" t="str">
        <f t="shared" si="663"/>
        <v>1</v>
      </c>
      <c r="Q367" s="27" t="str">
        <f t="shared" si="664"/>
        <v>1</v>
      </c>
      <c r="R367" s="27" t="str">
        <f t="shared" si="665"/>
        <v>1</v>
      </c>
      <c r="S367" s="27" t="str">
        <f t="shared" si="666"/>
        <v>1</v>
      </c>
      <c r="T367" s="27" t="str">
        <f t="shared" si="667"/>
        <v>1</v>
      </c>
      <c r="U367" s="27" t="str">
        <f t="shared" si="668"/>
        <v>1</v>
      </c>
      <c r="V367" s="27" t="str">
        <f t="shared" si="669"/>
        <v>1</v>
      </c>
      <c r="W367" s="27"/>
      <c r="X367" s="27" t="str">
        <f t="shared" si="670"/>
        <v>0</v>
      </c>
      <c r="Y367" s="27" t="str">
        <f t="shared" si="671"/>
        <v>0</v>
      </c>
      <c r="Z367" s="27" t="str">
        <f t="shared" si="672"/>
        <v>0</v>
      </c>
      <c r="AA367" s="121"/>
      <c r="AB367" s="121"/>
      <c r="AC367" s="121"/>
      <c r="AD367" s="121"/>
      <c r="AE367" s="121" t="s">
        <v>51</v>
      </c>
      <c r="AF367" s="121"/>
      <c r="AG367" s="121"/>
      <c r="AH367" s="28">
        <v>287000</v>
      </c>
      <c r="AI367" s="28" t="s">
        <v>113</v>
      </c>
      <c r="AJ367" s="28">
        <v>69300</v>
      </c>
      <c r="AK367" s="28" t="str">
        <f t="shared" si="634"/>
        <v>0</v>
      </c>
      <c r="AL367" s="123" t="str">
        <f t="shared" si="674"/>
        <v>14821/생산일보/custom.dehansol.prod/WorkBook</v>
      </c>
      <c r="AM367" s="28" t="s">
        <v>3350</v>
      </c>
      <c r="AN367" s="28"/>
      <c r="AO367" s="28"/>
      <c r="AP367" s="28"/>
      <c r="AQ367" s="28"/>
      <c r="AR367" s="28" t="s">
        <v>1829</v>
      </c>
      <c r="AS367" s="28"/>
      <c r="AT367" s="28"/>
      <c r="AU367" s="28"/>
      <c r="AV367" s="28"/>
      <c r="AW367" s="28"/>
      <c r="AX367" s="28"/>
      <c r="AY367" s="124"/>
      <c r="AZ367" s="138" t="str">
        <f>IF(C367="","","delete from module_mst where pjt_id = '"&amp;C367&amp;"' and menu_id = '"&amp;E367&amp;"';")</f>
        <v>delete from module_mst where pjt_id = '14821' and menu_id = '287012';</v>
      </c>
      <c r="BA367" s="31" t="str">
        <f>IF(C367&lt;&gt;"",CREATE_QUERY($D$1,C$2:AY$2,C367:AY367),"")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'287012', '생산일보', 'Production Daily', '', '', '', '1', '1', '1', 'custom.dehansol.prod', 'WorkBook', '1', '1', '1', '1', '1', '1', '1', '', '0', '0', '0', '', '', '', '', 'N', '', '', '287000', '5', '69300', '0', '14821/생산일보/custom.dehansol.prod/WorkBook', '선택', '');</v>
      </c>
    </row>
    <row r="368" spans="1:53">
      <c r="A368" s="1">
        <v>368</v>
      </c>
      <c r="B368" s="164" t="str">
        <f t="shared" si="662"/>
        <v xml:space="preserve">        └ (선택)실시간 현황</v>
      </c>
      <c r="C368" s="27" t="str">
        <f t="shared" si="632"/>
        <v>14821</v>
      </c>
      <c r="D368" s="121"/>
      <c r="E368" s="27">
        <v>287013</v>
      </c>
      <c r="F368" s="121" t="s">
        <v>2430</v>
      </c>
      <c r="G368" s="121" t="s">
        <v>3177</v>
      </c>
      <c r="H368" s="121"/>
      <c r="I368" s="121"/>
      <c r="J368" s="121"/>
      <c r="K368" s="27" t="str">
        <f t="shared" si="635"/>
        <v>1</v>
      </c>
      <c r="L368" s="27" t="str">
        <f t="shared" si="633"/>
        <v>1</v>
      </c>
      <c r="M368" s="27" t="str">
        <f t="shared" si="636"/>
        <v>1</v>
      </c>
      <c r="N368" s="121" t="s">
        <v>328</v>
      </c>
      <c r="O368" s="121" t="s">
        <v>252</v>
      </c>
      <c r="P368" s="27" t="str">
        <f t="shared" si="663"/>
        <v>1</v>
      </c>
      <c r="Q368" s="27" t="str">
        <f t="shared" si="664"/>
        <v>1</v>
      </c>
      <c r="R368" s="27" t="str">
        <f t="shared" si="665"/>
        <v>1</v>
      </c>
      <c r="S368" s="27" t="str">
        <f t="shared" si="666"/>
        <v>1</v>
      </c>
      <c r="T368" s="27" t="str">
        <f t="shared" si="667"/>
        <v>1</v>
      </c>
      <c r="U368" s="27" t="str">
        <f t="shared" si="668"/>
        <v>1</v>
      </c>
      <c r="V368" s="27" t="str">
        <f t="shared" si="669"/>
        <v>1</v>
      </c>
      <c r="W368" s="27"/>
      <c r="X368" s="27" t="str">
        <f t="shared" si="670"/>
        <v>0</v>
      </c>
      <c r="Y368" s="27" t="str">
        <f t="shared" si="671"/>
        <v>0</v>
      </c>
      <c r="Z368" s="27" t="str">
        <f t="shared" si="672"/>
        <v>0</v>
      </c>
      <c r="AA368" s="121"/>
      <c r="AB368" s="121"/>
      <c r="AC368" s="121"/>
      <c r="AD368" s="121"/>
      <c r="AE368" s="121" t="s">
        <v>51</v>
      </c>
      <c r="AF368" s="121"/>
      <c r="AG368" s="121"/>
      <c r="AH368" s="28">
        <v>287000</v>
      </c>
      <c r="AI368" s="28" t="s">
        <v>113</v>
      </c>
      <c r="AJ368" s="28">
        <v>69650</v>
      </c>
      <c r="AK368" s="28" t="str">
        <f t="shared" si="634"/>
        <v>0</v>
      </c>
      <c r="AL368" s="123" t="str">
        <f t="shared" si="674"/>
        <v>14821/실시간 현황/prod.order/ProdMonitering</v>
      </c>
      <c r="AM368" s="28" t="s">
        <v>3350</v>
      </c>
      <c r="AN368" s="28" t="s">
        <v>1829</v>
      </c>
      <c r="AO368" s="28"/>
      <c r="AP368" s="28"/>
      <c r="AQ368" s="28"/>
      <c r="AR368" s="28"/>
      <c r="AS368" s="28"/>
      <c r="AT368" s="28"/>
      <c r="AU368" s="28"/>
      <c r="AV368" s="28"/>
      <c r="AW368" s="28"/>
      <c r="AX368" s="28"/>
      <c r="AY368" s="124"/>
      <c r="AZ368" s="138" t="str">
        <f>IF(C368="","","delete from module_mst where pjt_id = '"&amp;C368&amp;"' and menu_id = '"&amp;E368&amp;"';")</f>
        <v>delete from module_mst where pjt_id = '14821' and menu_id = '287013';</v>
      </c>
      <c r="BA368" s="31" t="str">
        <f>IF(C368&lt;&gt;"",CREATE_QUERY($D$1,C$2:AY$2,C368:AY368),"")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'287013', '실시간 현황', 'Real-time status', '', '', '', '1', '1', '1', 'prod.order', 'ProdMonitering', '1', '1', '1', '1', '1', '1', '1', '', '0', '0', '0', '', '', '', '', 'N', '', '', '287000', '5', '69650', '0', '14821/실시간 현황/prod.order/ProdMonitering', '선택', '');</v>
      </c>
    </row>
    <row r="369" spans="1:53">
      <c r="A369" s="1">
        <v>369</v>
      </c>
      <c r="B369" s="164" t="str">
        <f t="shared" si="662"/>
        <v xml:space="preserve">        └ (공통)실시간 생산현황</v>
      </c>
      <c r="C369" s="27" t="str">
        <f t="shared" si="632"/>
        <v>14821</v>
      </c>
      <c r="D369" s="121"/>
      <c r="E369" s="27">
        <v>287014</v>
      </c>
      <c r="F369" s="121" t="s">
        <v>279</v>
      </c>
      <c r="G369" s="121" t="s">
        <v>3182</v>
      </c>
      <c r="H369" s="121"/>
      <c r="I369" s="121"/>
      <c r="J369" s="121"/>
      <c r="K369" s="27" t="str">
        <f t="shared" si="635"/>
        <v>1</v>
      </c>
      <c r="L369" s="27" t="str">
        <f t="shared" si="633"/>
        <v>1</v>
      </c>
      <c r="M369" s="27" t="str">
        <f t="shared" si="636"/>
        <v>1</v>
      </c>
      <c r="N369" s="121" t="s">
        <v>328</v>
      </c>
      <c r="O369" s="121" t="s">
        <v>280</v>
      </c>
      <c r="P369" s="27" t="str">
        <f t="shared" si="663"/>
        <v>1</v>
      </c>
      <c r="Q369" s="27" t="str">
        <f t="shared" si="664"/>
        <v>1</v>
      </c>
      <c r="R369" s="27" t="str">
        <f t="shared" si="665"/>
        <v>1</v>
      </c>
      <c r="S369" s="27" t="str">
        <f t="shared" si="666"/>
        <v>1</v>
      </c>
      <c r="T369" s="27" t="str">
        <f t="shared" si="667"/>
        <v>1</v>
      </c>
      <c r="U369" s="27" t="str">
        <f t="shared" si="668"/>
        <v>1</v>
      </c>
      <c r="V369" s="27" t="str">
        <f t="shared" si="669"/>
        <v>1</v>
      </c>
      <c r="W369" s="27"/>
      <c r="X369" s="27" t="str">
        <f t="shared" si="670"/>
        <v>0</v>
      </c>
      <c r="Y369" s="27" t="str">
        <f t="shared" si="671"/>
        <v>0</v>
      </c>
      <c r="Z369" s="27" t="str">
        <f t="shared" si="672"/>
        <v>0</v>
      </c>
      <c r="AA369" s="121"/>
      <c r="AB369" s="121"/>
      <c r="AC369" s="121"/>
      <c r="AD369" s="121"/>
      <c r="AE369" s="121" t="s">
        <v>51</v>
      </c>
      <c r="AF369" s="121"/>
      <c r="AG369" s="121"/>
      <c r="AH369" s="28">
        <v>287000</v>
      </c>
      <c r="AI369" s="28" t="s">
        <v>113</v>
      </c>
      <c r="AJ369" s="28">
        <v>69500</v>
      </c>
      <c r="AK369" s="28" t="str">
        <f t="shared" si="634"/>
        <v>0</v>
      </c>
      <c r="AL369" s="123" t="str">
        <f t="shared" si="674"/>
        <v>14821/실시간 생산현황/prod.order/ProdRealTime</v>
      </c>
      <c r="AM369" s="28" t="s">
        <v>2984</v>
      </c>
      <c r="AN369" s="28"/>
      <c r="AO369" s="28"/>
      <c r="AP369" s="28"/>
      <c r="AQ369" s="28"/>
      <c r="AR369" s="28"/>
      <c r="AS369" s="28"/>
      <c r="AT369" s="28" t="s">
        <v>1829</v>
      </c>
      <c r="AU369" s="28"/>
      <c r="AV369" s="28"/>
      <c r="AW369" s="28"/>
      <c r="AX369" s="28"/>
      <c r="AY369" s="124"/>
      <c r="AZ369" s="138" t="str">
        <f>IF(C369="","","delete from module_mst where pjt_id = '"&amp;C369&amp;"' and menu_id = '"&amp;E369&amp;"';")</f>
        <v>delete from module_mst where pjt_id = '14821' and menu_id = '287014';</v>
      </c>
      <c r="BA369" s="31" t="str">
        <f>IF(C369&lt;&gt;"",CREATE_QUERY($D$1,C$2:AY$2,C369:AY369),"")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'287014', '실시간 생산현황', 'Real-time production status', '', '', '', '1', '1', '1', 'prod.order', 'ProdRealTime', '1', '1', '1', '1', '1', '1', '1', '', '0', '0', '0', '', '', '', '', 'N', '', '', '287000', '5', '69500', '0', '14821/실시간 생산현황/prod.order/ProdRealTime', '공통', '');</v>
      </c>
    </row>
    <row r="370" spans="1:53">
      <c r="A370" s="1">
        <v>370</v>
      </c>
      <c r="B370" s="164" t="str">
        <f t="shared" si="662"/>
        <v xml:space="preserve">        └ (선택)품목별 공정진행현황</v>
      </c>
      <c r="C370" s="27" t="str">
        <f t="shared" si="632"/>
        <v>14821</v>
      </c>
      <c r="D370" s="121"/>
      <c r="E370" s="27">
        <v>287015</v>
      </c>
      <c r="F370" s="121" t="s">
        <v>2348</v>
      </c>
      <c r="G370" s="121" t="s">
        <v>3188</v>
      </c>
      <c r="H370" s="121"/>
      <c r="I370" s="121"/>
      <c r="J370" s="121"/>
      <c r="K370" s="27" t="str">
        <f t="shared" si="635"/>
        <v>1</v>
      </c>
      <c r="L370" s="27" t="str">
        <f t="shared" si="633"/>
        <v>1</v>
      </c>
      <c r="M370" s="27" t="str">
        <f t="shared" si="636"/>
        <v>1</v>
      </c>
      <c r="N370" s="121" t="s">
        <v>328</v>
      </c>
      <c r="O370" s="121" t="s">
        <v>2350</v>
      </c>
      <c r="P370" s="27" t="str">
        <f t="shared" si="663"/>
        <v>1</v>
      </c>
      <c r="Q370" s="27" t="str">
        <f t="shared" si="664"/>
        <v>1</v>
      </c>
      <c r="R370" s="27" t="str">
        <f t="shared" si="665"/>
        <v>1</v>
      </c>
      <c r="S370" s="27" t="str">
        <f t="shared" si="666"/>
        <v>1</v>
      </c>
      <c r="T370" s="27" t="str">
        <f t="shared" si="667"/>
        <v>1</v>
      </c>
      <c r="U370" s="27" t="str">
        <f t="shared" si="668"/>
        <v>1</v>
      </c>
      <c r="V370" s="27" t="str">
        <f t="shared" si="669"/>
        <v>1</v>
      </c>
      <c r="W370" s="27"/>
      <c r="X370" s="27" t="str">
        <f t="shared" si="670"/>
        <v>0</v>
      </c>
      <c r="Y370" s="27" t="str">
        <f t="shared" si="671"/>
        <v>0</v>
      </c>
      <c r="Z370" s="27" t="str">
        <f t="shared" si="672"/>
        <v>0</v>
      </c>
      <c r="AA370" s="121"/>
      <c r="AB370" s="121"/>
      <c r="AC370" s="121"/>
      <c r="AD370" s="121"/>
      <c r="AE370" s="121" t="s">
        <v>51</v>
      </c>
      <c r="AF370" s="121"/>
      <c r="AG370" s="121"/>
      <c r="AH370" s="28">
        <v>287000</v>
      </c>
      <c r="AI370" s="28" t="s">
        <v>113</v>
      </c>
      <c r="AJ370" s="28">
        <v>69850</v>
      </c>
      <c r="AK370" s="28" t="str">
        <f t="shared" si="634"/>
        <v>0</v>
      </c>
      <c r="AL370" s="123" t="str">
        <f t="shared" si="674"/>
        <v>14821/품목별 공정진행현황/prod.order/WorkBookList</v>
      </c>
      <c r="AM370" s="28" t="s">
        <v>3350</v>
      </c>
      <c r="AN370" s="28" t="s">
        <v>1829</v>
      </c>
      <c r="AO370" s="28"/>
      <c r="AP370" s="28"/>
      <c r="AQ370" s="28"/>
      <c r="AR370" s="28"/>
      <c r="AS370" s="28"/>
      <c r="AT370" s="28"/>
      <c r="AU370" s="28"/>
      <c r="AV370" s="28"/>
      <c r="AW370" s="28"/>
      <c r="AX370" s="28"/>
      <c r="AY370" s="124"/>
      <c r="AZ370" s="138" t="str">
        <f>IF(C370="","","delete from module_mst where pjt_id = '"&amp;C370&amp;"' and menu_id = '"&amp;E370&amp;"';")</f>
        <v>delete from module_mst where pjt_id = '14821' and menu_id = '287015';</v>
      </c>
      <c r="BA370" s="31" t="str">
        <f>IF(C370&lt;&gt;"",CREATE_QUERY($D$1,C$2:AY$2,C370:AY370),"")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'287015', '품목별 공정진행현황', 'Process progress by item', '', '', '', '1', '1', '1', 'prod.order', 'WorkBookList', '1', '1', '1', '1', '1', '1', '1', '', '0', '0', '0', '', '', '', '', 'N', '', '', '287000', '5', '69850', '0', '14821/품목별 공정진행현황/prod.order/WorkBookList', '선택', '');</v>
      </c>
    </row>
    <row r="371" spans="1:53">
      <c r="A371" s="1">
        <v>371</v>
      </c>
      <c r="B371" s="164" t="str">
        <f t="shared" si="662"/>
        <v xml:space="preserve">        └ (선택)작업현황</v>
      </c>
      <c r="C371" s="27" t="str">
        <f t="shared" si="632"/>
        <v>14821</v>
      </c>
      <c r="D371" s="121"/>
      <c r="E371" s="27">
        <v>287016</v>
      </c>
      <c r="F371" s="121" t="s">
        <v>2061</v>
      </c>
      <c r="G371" s="121" t="s">
        <v>3184</v>
      </c>
      <c r="H371" s="121"/>
      <c r="I371" s="121"/>
      <c r="J371" s="121"/>
      <c r="K371" s="27" t="str">
        <f t="shared" si="635"/>
        <v>1</v>
      </c>
      <c r="L371" s="27" t="str">
        <f t="shared" si="633"/>
        <v>1</v>
      </c>
      <c r="M371" s="27" t="str">
        <f t="shared" si="636"/>
        <v>1</v>
      </c>
      <c r="N371" s="121" t="s">
        <v>346</v>
      </c>
      <c r="O371" s="121" t="s">
        <v>337</v>
      </c>
      <c r="P371" s="27" t="str">
        <f t="shared" si="663"/>
        <v>1</v>
      </c>
      <c r="Q371" s="27" t="str">
        <f t="shared" si="664"/>
        <v>1</v>
      </c>
      <c r="R371" s="27" t="str">
        <f t="shared" si="665"/>
        <v>1</v>
      </c>
      <c r="S371" s="27" t="str">
        <f t="shared" si="666"/>
        <v>1</v>
      </c>
      <c r="T371" s="27" t="str">
        <f t="shared" si="667"/>
        <v>1</v>
      </c>
      <c r="U371" s="27" t="str">
        <f t="shared" si="668"/>
        <v>1</v>
      </c>
      <c r="V371" s="27" t="str">
        <f t="shared" si="669"/>
        <v>1</v>
      </c>
      <c r="W371" s="27"/>
      <c r="X371" s="27" t="str">
        <f t="shared" si="670"/>
        <v>0</v>
      </c>
      <c r="Y371" s="27" t="str">
        <f t="shared" si="671"/>
        <v>0</v>
      </c>
      <c r="Z371" s="27" t="str">
        <f t="shared" si="672"/>
        <v>0</v>
      </c>
      <c r="AA371" s="121"/>
      <c r="AB371" s="121"/>
      <c r="AC371" s="121"/>
      <c r="AD371" s="121"/>
      <c r="AE371" s="121" t="s">
        <v>51</v>
      </c>
      <c r="AF371" s="121"/>
      <c r="AG371" s="121"/>
      <c r="AH371" s="28">
        <v>287000</v>
      </c>
      <c r="AI371" s="28" t="s">
        <v>113</v>
      </c>
      <c r="AJ371" s="28">
        <v>70000</v>
      </c>
      <c r="AK371" s="28" t="str">
        <f t="shared" si="634"/>
        <v>0</v>
      </c>
      <c r="AL371" s="123" t="str">
        <f t="shared" si="674"/>
        <v>14821/작업현황/prod.project/PrjtWorkList</v>
      </c>
      <c r="AM371" s="28" t="s">
        <v>3350</v>
      </c>
      <c r="AN371" s="28"/>
      <c r="AO371" s="28" t="s">
        <v>1829</v>
      </c>
      <c r="AP371" s="28"/>
      <c r="AQ371" s="28"/>
      <c r="AR371" s="28"/>
      <c r="AS371" s="28"/>
      <c r="AT371" s="28"/>
      <c r="AU371" s="28"/>
      <c r="AV371" s="28"/>
      <c r="AW371" s="28"/>
      <c r="AX371" s="28"/>
      <c r="AY371" s="124"/>
      <c r="AZ371" s="138" t="str">
        <f>IF(C371="","","delete from module_mst where pjt_id = '"&amp;C371&amp;"' and menu_id = '"&amp;E371&amp;"';")</f>
        <v>delete from module_mst where pjt_id = '14821' and menu_id = '287016';</v>
      </c>
      <c r="BA371" s="31" t="str">
        <f>IF(C371&lt;&gt;"",CREATE_QUERY($D$1,C$2:AY$2,C371:AY371),"")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'287016', '작업현황', 'Status of work', '', '', '', '1', '1', '1', 'prod.project', 'PrjtWorkList', '1', '1', '1', '1', '1', '1', '1', '', '0', '0', '0', '', '', '', '', 'N', '', '', '287000', '5', '70000', '0', '14821/작업현황/prod.project/PrjtWorkList', '선택', '');</v>
      </c>
    </row>
    <row r="372" spans="1:53">
      <c r="A372" s="1">
        <v>372</v>
      </c>
      <c r="B372" s="164" t="str">
        <f t="shared" si="662"/>
        <v xml:space="preserve">        └ (선택)공정별 생산현황</v>
      </c>
      <c r="C372" s="27" t="str">
        <f t="shared" si="632"/>
        <v>14821</v>
      </c>
      <c r="D372" s="121"/>
      <c r="E372" s="27">
        <v>287017</v>
      </c>
      <c r="F372" s="121" t="s">
        <v>3027</v>
      </c>
      <c r="G372" s="121" t="s">
        <v>3190</v>
      </c>
      <c r="H372" s="121"/>
      <c r="I372" s="121"/>
      <c r="J372" s="121"/>
      <c r="K372" s="27" t="str">
        <f t="shared" si="635"/>
        <v>1</v>
      </c>
      <c r="L372" s="27" t="str">
        <f t="shared" si="633"/>
        <v>1</v>
      </c>
      <c r="M372" s="27" t="str">
        <f t="shared" si="636"/>
        <v>1</v>
      </c>
      <c r="N372" s="121" t="s">
        <v>3025</v>
      </c>
      <c r="O372" s="121" t="s">
        <v>3028</v>
      </c>
      <c r="P372" s="27" t="str">
        <f t="shared" si="663"/>
        <v>1</v>
      </c>
      <c r="Q372" s="27" t="str">
        <f t="shared" si="664"/>
        <v>1</v>
      </c>
      <c r="R372" s="27" t="str">
        <f t="shared" si="665"/>
        <v>1</v>
      </c>
      <c r="S372" s="27" t="str">
        <f t="shared" si="666"/>
        <v>1</v>
      </c>
      <c r="T372" s="27" t="str">
        <f t="shared" si="667"/>
        <v>1</v>
      </c>
      <c r="U372" s="27" t="str">
        <f t="shared" si="668"/>
        <v>1</v>
      </c>
      <c r="V372" s="27" t="str">
        <f t="shared" si="669"/>
        <v>1</v>
      </c>
      <c r="W372" s="27"/>
      <c r="X372" s="27" t="str">
        <f t="shared" si="670"/>
        <v>0</v>
      </c>
      <c r="Y372" s="27" t="str">
        <f t="shared" si="671"/>
        <v>0</v>
      </c>
      <c r="Z372" s="27" t="str">
        <f t="shared" si="672"/>
        <v>0</v>
      </c>
      <c r="AA372" s="121"/>
      <c r="AB372" s="121"/>
      <c r="AC372" s="121"/>
      <c r="AD372" s="121"/>
      <c r="AE372" s="121" t="s">
        <v>51</v>
      </c>
      <c r="AF372" s="121"/>
      <c r="AG372" s="121"/>
      <c r="AH372" s="28">
        <v>287000</v>
      </c>
      <c r="AI372" s="28" t="s">
        <v>113</v>
      </c>
      <c r="AJ372" s="28">
        <v>30</v>
      </c>
      <c r="AK372" s="28" t="str">
        <f t="shared" si="634"/>
        <v>0</v>
      </c>
      <c r="AL372" s="123" t="str">
        <f t="shared" si="674"/>
        <v>14821/공정별 생산현황/custom.iypkg.prod/WorkList1</v>
      </c>
      <c r="AM372" s="28" t="s">
        <v>3350</v>
      </c>
      <c r="AN372" s="28"/>
      <c r="AO372" s="28"/>
      <c r="AP372" s="28"/>
      <c r="AQ372" s="28"/>
      <c r="AR372" s="28"/>
      <c r="AS372" s="28"/>
      <c r="AT372" s="28"/>
      <c r="AU372" s="28"/>
      <c r="AV372" s="28"/>
      <c r="AW372" s="28" t="s">
        <v>1829</v>
      </c>
      <c r="AX372" s="28"/>
      <c r="AY372" s="124"/>
      <c r="AZ372" s="138" t="str">
        <f>IF(C372="","","delete from module_mst where pjt_id = '"&amp;C372&amp;"' and menu_id = '"&amp;E372&amp;"';")</f>
        <v>delete from module_mst where pjt_id = '14821' and menu_id = '287017';</v>
      </c>
      <c r="BA372" s="31" t="str">
        <f>IF(C372&lt;&gt;"",CREATE_QUERY($D$1,C$2:AY$2,C372:AY372),"")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'287017', '공정별 생산현황', 'Production status by process', '', '', '', '1', '1', '1', 'custom.iypkg.prod', 'WorkList1', '1', '1', '1', '1', '1', '1', '1', '', '0', '0', '0', '', '', '', '', 'N', '', '', '287000', '5', '30', '0', '14821/공정별 생산현황/custom.iypkg.prod/WorkList1', '선택', '');</v>
      </c>
    </row>
    <row r="373" spans="1:53">
      <c r="A373" s="1">
        <v>373</v>
      </c>
      <c r="B373" s="164" t="str">
        <f t="shared" si="662"/>
        <v xml:space="preserve">        └ (선택)완제품 생산현황</v>
      </c>
      <c r="C373" s="27" t="str">
        <f t="shared" si="632"/>
        <v>14821</v>
      </c>
      <c r="D373" s="121"/>
      <c r="E373" s="27">
        <v>287018</v>
      </c>
      <c r="F373" s="121" t="s">
        <v>3029</v>
      </c>
      <c r="G373" s="121" t="s">
        <v>3230</v>
      </c>
      <c r="H373" s="121"/>
      <c r="I373" s="121"/>
      <c r="J373" s="121"/>
      <c r="K373" s="27" t="str">
        <f t="shared" si="635"/>
        <v>1</v>
      </c>
      <c r="L373" s="27" t="str">
        <f t="shared" si="633"/>
        <v>1</v>
      </c>
      <c r="M373" s="27" t="str">
        <f t="shared" si="636"/>
        <v>1</v>
      </c>
      <c r="N373" s="121" t="s">
        <v>3025</v>
      </c>
      <c r="O373" s="121" t="s">
        <v>3030</v>
      </c>
      <c r="P373" s="27" t="str">
        <f t="shared" si="663"/>
        <v>1</v>
      </c>
      <c r="Q373" s="27" t="str">
        <f t="shared" si="664"/>
        <v>1</v>
      </c>
      <c r="R373" s="27" t="str">
        <f t="shared" si="665"/>
        <v>1</v>
      </c>
      <c r="S373" s="27" t="str">
        <f t="shared" si="666"/>
        <v>1</v>
      </c>
      <c r="T373" s="27" t="str">
        <f t="shared" si="667"/>
        <v>1</v>
      </c>
      <c r="U373" s="27" t="str">
        <f t="shared" si="668"/>
        <v>1</v>
      </c>
      <c r="V373" s="27" t="str">
        <f t="shared" si="669"/>
        <v>1</v>
      </c>
      <c r="W373" s="27"/>
      <c r="X373" s="27" t="str">
        <f t="shared" si="670"/>
        <v>0</v>
      </c>
      <c r="Y373" s="27" t="str">
        <f t="shared" si="671"/>
        <v>0</v>
      </c>
      <c r="Z373" s="27" t="str">
        <f t="shared" si="672"/>
        <v>0</v>
      </c>
      <c r="AA373" s="121"/>
      <c r="AB373" s="121"/>
      <c r="AC373" s="121"/>
      <c r="AD373" s="121"/>
      <c r="AE373" s="121" t="s">
        <v>51</v>
      </c>
      <c r="AF373" s="121"/>
      <c r="AG373" s="121"/>
      <c r="AH373" s="28">
        <v>287000</v>
      </c>
      <c r="AI373" s="28" t="s">
        <v>113</v>
      </c>
      <c r="AJ373" s="28">
        <v>40</v>
      </c>
      <c r="AK373" s="28" t="str">
        <f t="shared" si="634"/>
        <v>0</v>
      </c>
      <c r="AL373" s="123" t="str">
        <f t="shared" si="674"/>
        <v>14821/완제품 생산현황/custom.iypkg.prod/WorkList2</v>
      </c>
      <c r="AM373" s="28" t="s">
        <v>3350</v>
      </c>
      <c r="AN373" s="28"/>
      <c r="AO373" s="28"/>
      <c r="AP373" s="28"/>
      <c r="AQ373" s="28"/>
      <c r="AR373" s="28"/>
      <c r="AS373" s="28"/>
      <c r="AT373" s="28"/>
      <c r="AU373" s="28"/>
      <c r="AV373" s="28"/>
      <c r="AW373" s="28" t="s">
        <v>1829</v>
      </c>
      <c r="AX373" s="28"/>
      <c r="AY373" s="124"/>
      <c r="AZ373" s="138" t="str">
        <f>IF(C373="","","delete from module_mst where pjt_id = '"&amp;C373&amp;"' and menu_id = '"&amp;E373&amp;"';")</f>
        <v>delete from module_mst where pjt_id = '14821' and menu_id = '287018';</v>
      </c>
      <c r="BA373" s="31" t="str">
        <f>IF(C373&lt;&gt;"",CREATE_QUERY($D$1,C$2:AY$2,C373:AY373),"")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'287018', '완제품 생산현황', 'Finished production status', '', '', '', '1', '1', '1', 'custom.iypkg.prod', 'WorkList2', '1', '1', '1', '1', '1', '1', '1', '', '0', '0', '0', '', '', '', '', 'N', '', '', '287000', '5', '40', '0', '14821/완제품 생산현황/custom.iypkg.prod/WorkList2', '선택', '');</v>
      </c>
    </row>
    <row r="374" spans="1:53">
      <c r="A374" s="1">
        <v>374</v>
      </c>
      <c r="B374" s="164"/>
      <c r="C374" s="27"/>
      <c r="D374" s="121"/>
      <c r="E374" s="27"/>
      <c r="F374" s="121"/>
      <c r="G374" s="121"/>
      <c r="H374" s="121"/>
      <c r="I374" s="121"/>
      <c r="J374" s="121"/>
      <c r="K374" s="27"/>
      <c r="L374" s="27"/>
      <c r="M374" s="27"/>
      <c r="N374" s="121"/>
      <c r="O374" s="121"/>
      <c r="P374" s="27"/>
      <c r="Q374" s="27"/>
      <c r="R374" s="27"/>
      <c r="S374" s="27"/>
      <c r="T374" s="27"/>
      <c r="U374" s="27"/>
      <c r="V374" s="27"/>
      <c r="W374" s="27"/>
      <c r="X374" s="27"/>
      <c r="Y374" s="27"/>
      <c r="Z374" s="27"/>
      <c r="AA374" s="121"/>
      <c r="AB374" s="121"/>
      <c r="AC374" s="121"/>
      <c r="AD374" s="121"/>
      <c r="AE374" s="121"/>
      <c r="AF374" s="121"/>
      <c r="AG374" s="121"/>
      <c r="AH374" s="28"/>
      <c r="AI374" s="28"/>
      <c r="AJ374" s="28"/>
      <c r="AK374" s="28"/>
      <c r="AL374" s="123"/>
      <c r="AM374" s="28"/>
      <c r="AN374" s="28"/>
      <c r="AO374" s="28"/>
      <c r="AP374" s="28"/>
      <c r="AQ374" s="28"/>
      <c r="AR374" s="28"/>
      <c r="AS374" s="28"/>
      <c r="AT374" s="28"/>
      <c r="AU374" s="28"/>
      <c r="AV374" s="28"/>
      <c r="AW374" s="28"/>
      <c r="AX374" s="28"/>
      <c r="AY374" s="124"/>
    </row>
    <row r="375" spans="1:53">
      <c r="A375" s="1">
        <v>375</v>
      </c>
      <c r="B375" s="164" t="str">
        <f t="shared" ref="B375" si="675">IF(F375="","",IF(AI375="1","",IF(AI375="2","└ ",IF(AI375="3","  └ ",IF(AI375="4","    └ ",IF(AI375="5","        └ ",IF(AI375="6","         └ ",IF(AI375="7"="            └ ",""))))))))&amp;IF(AM375="","",IF(AM375="메뉴","","("&amp;AM375&amp;")"))&amp;F375</f>
        <v/>
      </c>
      <c r="C375" s="27" t="str">
        <f t="shared" ref="C375" si="676">IF(F375="","","14821")</f>
        <v/>
      </c>
      <c r="D375" s="121"/>
      <c r="E375" s="27"/>
      <c r="F375" s="121"/>
      <c r="G375" s="121" t="s">
        <v>900</v>
      </c>
      <c r="H375" s="121"/>
      <c r="I375" s="121"/>
      <c r="J375" s="121"/>
      <c r="K375" s="27" t="str">
        <f t="shared" ref="K375" si="677">IF(O375="","","1")</f>
        <v/>
      </c>
      <c r="L375" s="27" t="str">
        <f t="shared" ref="L375" si="678">IF(F375="","","1")</f>
        <v/>
      </c>
      <c r="M375" s="27" t="str">
        <f t="shared" ref="M375" si="679">IF(O375="","0","1")</f>
        <v>0</v>
      </c>
      <c r="N375" s="121"/>
      <c r="O375" s="121"/>
      <c r="P375" s="27" t="str">
        <f t="shared" ref="P375" si="680">IF(O375="","0","1")</f>
        <v>0</v>
      </c>
      <c r="Q375" s="27" t="str">
        <f t="shared" ref="Q375" si="681">IF(O375="","0","1")</f>
        <v>0</v>
      </c>
      <c r="R375" s="27" t="str">
        <f t="shared" ref="R375" si="682">IF(O375="","0","1")</f>
        <v>0</v>
      </c>
      <c r="S375" s="27" t="str">
        <f t="shared" ref="S375" si="683">IF(O375="","0","1")</f>
        <v>0</v>
      </c>
      <c r="T375" s="27" t="str">
        <f t="shared" ref="T375" si="684">IF(O375="","0","1")</f>
        <v>0</v>
      </c>
      <c r="U375" s="27" t="str">
        <f t="shared" ref="U375" si="685">IF(O375="","0","1")</f>
        <v>0</v>
      </c>
      <c r="V375" s="27" t="str">
        <f t="shared" ref="V375" si="686">IF(O375="","1","1")</f>
        <v>1</v>
      </c>
      <c r="W375" s="27"/>
      <c r="X375" s="27" t="str">
        <f t="shared" ref="X375" si="687">IF(O375="","","0")</f>
        <v/>
      </c>
      <c r="Y375" s="27" t="str">
        <f t="shared" ref="Y375" si="688">IF(O375="","","0")</f>
        <v/>
      </c>
      <c r="Z375" s="27" t="str">
        <f t="shared" ref="Z375" si="689">IF(O375="","","0")</f>
        <v/>
      </c>
      <c r="AA375" s="121"/>
      <c r="AB375" s="121"/>
      <c r="AC375" s="121"/>
      <c r="AD375" s="121"/>
      <c r="AE375" s="121"/>
      <c r="AF375" s="121"/>
      <c r="AG375" s="121"/>
      <c r="AH375" s="27"/>
      <c r="AI375" s="27"/>
      <c r="AJ375" s="27" t="s">
        <v>900</v>
      </c>
      <c r="AK375" s="27" t="str">
        <f t="shared" ref="AK375" si="690">IF(B375="","","0")</f>
        <v/>
      </c>
      <c r="AL375" s="123" t="str">
        <f t="shared" ref="AL375" si="691">IF(C375="","",C375&amp;"/"&amp;F375&amp;"/"&amp;N375&amp;"/"&amp;O375)</f>
        <v/>
      </c>
      <c r="AM375" s="27"/>
      <c r="AN375" s="27"/>
      <c r="AO375" s="27"/>
      <c r="AP375" s="27"/>
      <c r="AQ375" s="27"/>
      <c r="AR375" s="27"/>
      <c r="AS375" s="27"/>
      <c r="AT375" s="27"/>
      <c r="AU375" s="27"/>
      <c r="AV375" s="27"/>
      <c r="AW375" s="27"/>
      <c r="AX375" s="27"/>
      <c r="AY375" s="124"/>
      <c r="AZ375" s="138" t="str">
        <f>IF(C375="","","delete from module_mst where pjt_id = '"&amp;C375&amp;"' and menu_id = '"&amp;E375&amp;"';")</f>
        <v/>
      </c>
      <c r="BA375" s="31" t="str">
        <f>IF(C375&lt;&gt;"",CREATE_QUERY($D$1,C$2:AY$2,C375:AY375),"")</f>
        <v/>
      </c>
    </row>
    <row r="376" spans="1:53">
      <c r="A376" s="1">
        <v>376</v>
      </c>
      <c r="B376" s="162" t="str">
        <f t="shared" ref="B376:B403" si="692">IF(F376="","",IF(AI376="1","",IF(AI376="2","└ ",IF(AI376="3","  └ ",IF(AI376="4","    └ ",IF(AI376="5","        └ ",IF(AI376="6","         └ ",IF(AI376="7"="            └ ",""))))))))&amp;IF(AM376="","",IF(AM376="메뉴","","("&amp;AM376&amp;")"))&amp;F376</f>
        <v xml:space="preserve">  └ 공지사항 관리</v>
      </c>
      <c r="C376" s="27" t="str">
        <f t="shared" ref="C376:C420" si="693">IF(F376="","","14821")</f>
        <v>14821</v>
      </c>
      <c r="D376" s="121"/>
      <c r="E376" s="24" t="s">
        <v>1914</v>
      </c>
      <c r="F376" s="127" t="s">
        <v>1915</v>
      </c>
      <c r="G376" s="127" t="s">
        <v>3195</v>
      </c>
      <c r="H376" s="127"/>
      <c r="I376" s="127"/>
      <c r="J376" s="127"/>
      <c r="K376" s="25" t="str">
        <f t="shared" ref="K376:K431" si="694">IF(O376="","","1")</f>
        <v/>
      </c>
      <c r="L376" s="25" t="str">
        <f t="shared" ref="L376:L420" si="695">IF(F376="","","1")</f>
        <v>1</v>
      </c>
      <c r="M376" s="25" t="str">
        <f t="shared" ref="M376:M431" si="696">IF(O376="","0","1")</f>
        <v>0</v>
      </c>
      <c r="N376" s="127"/>
      <c r="O376" s="127"/>
      <c r="P376" s="25" t="str">
        <f t="shared" ref="P376:P396" si="697">IF(O376="","0","1")</f>
        <v>0</v>
      </c>
      <c r="Q376" s="25" t="str">
        <f t="shared" ref="Q376:Q396" si="698">IF(O376="","0","1")</f>
        <v>0</v>
      </c>
      <c r="R376" s="25" t="str">
        <f t="shared" ref="R376:R396" si="699">IF(O376="","0","1")</f>
        <v>0</v>
      </c>
      <c r="S376" s="25" t="str">
        <f t="shared" ref="S376:S396" si="700">IF(O376="","0","1")</f>
        <v>0</v>
      </c>
      <c r="T376" s="25" t="str">
        <f t="shared" ref="T376:T396" si="701">IF(O376="","0","1")</f>
        <v>0</v>
      </c>
      <c r="U376" s="25" t="str">
        <f t="shared" ref="U376:U396" si="702">IF(O376="","0","1")</f>
        <v>0</v>
      </c>
      <c r="V376" s="25" t="str">
        <f t="shared" ref="V376:V396" si="703">IF(O376="","1","1")</f>
        <v>1</v>
      </c>
      <c r="W376" s="25"/>
      <c r="X376" s="25" t="str">
        <f t="shared" ref="X376:X396" si="704">IF(O376="","","0")</f>
        <v/>
      </c>
      <c r="Y376" s="25" t="str">
        <f t="shared" ref="Y376:Y396" si="705">IF(O376="","","0")</f>
        <v/>
      </c>
      <c r="Z376" s="25" t="str">
        <f t="shared" ref="Z376:Z396" si="706">IF(O376="","","0")</f>
        <v/>
      </c>
      <c r="AA376" s="127"/>
      <c r="AB376" s="127"/>
      <c r="AC376" s="127"/>
      <c r="AD376" s="127"/>
      <c r="AE376" s="127" t="s">
        <v>51</v>
      </c>
      <c r="AF376" s="127"/>
      <c r="AG376" s="127"/>
      <c r="AH376" s="24" t="s">
        <v>120</v>
      </c>
      <c r="AI376" s="24" t="s">
        <v>111</v>
      </c>
      <c r="AJ376" s="24">
        <v>90000</v>
      </c>
      <c r="AK376" s="24" t="str">
        <f t="shared" ref="AK376:AK419" si="707">IF(B376="","","0")</f>
        <v>0</v>
      </c>
      <c r="AL376" s="123" t="str">
        <f t="shared" ref="AL376:AL431" si="708">IF(C376="","",C376&amp;"/"&amp;F376&amp;"/"&amp;N376&amp;"/"&amp;O376)</f>
        <v>14821/공지사항 관리//</v>
      </c>
      <c r="AM376" s="24" t="s">
        <v>2979</v>
      </c>
      <c r="AN376" s="24" t="str">
        <f>IF(COUNTIF(AN377:AN379,"="&amp;"Y")&gt;0,"Y",IF(COUNTIF(AN377:AN379,"="&amp;"-")&gt;0,"m",""))</f>
        <v>Y</v>
      </c>
      <c r="AO376" s="24" t="str">
        <f t="shared" ref="AO376:AX376" si="709">IF(COUNTIF(AO377:AO379,"="&amp;"Y")&gt;0,"Y",IF(COUNTIF(AO377:AO379,"="&amp;"-")&gt;0,"m",""))</f>
        <v>Y</v>
      </c>
      <c r="AP376" s="24" t="str">
        <f t="shared" si="709"/>
        <v>Y</v>
      </c>
      <c r="AQ376" s="24" t="str">
        <f t="shared" si="709"/>
        <v>Y</v>
      </c>
      <c r="AR376" s="24" t="str">
        <f t="shared" si="709"/>
        <v>Y</v>
      </c>
      <c r="AS376" s="24" t="str">
        <f t="shared" si="709"/>
        <v/>
      </c>
      <c r="AT376" s="24" t="str">
        <f t="shared" si="709"/>
        <v>Y</v>
      </c>
      <c r="AU376" s="24" t="str">
        <f t="shared" si="709"/>
        <v>Y</v>
      </c>
      <c r="AV376" s="24" t="str">
        <f t="shared" si="709"/>
        <v>Y</v>
      </c>
      <c r="AW376" s="24" t="str">
        <f t="shared" si="709"/>
        <v>Y</v>
      </c>
      <c r="AX376" s="24" t="str">
        <f t="shared" si="709"/>
        <v>Y</v>
      </c>
      <c r="AY376" s="124"/>
      <c r="AZ376" s="138" t="str">
        <f>IF(C376="","","delete from module_mst where pjt_id = '"&amp;C376&amp;"' and menu_id = '"&amp;E376&amp;"';")</f>
        <v>delete from module_mst where pjt_id = '14821' and menu_id = '910000';</v>
      </c>
      <c r="BA376" s="31" t="str">
        <f>IF(C376&lt;&gt;"",CREATE_QUERY($D$1,C$2:AY$2,C376:AY376),"")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'910000', '공지사항 관리', 'Management of announcements', '', '', '', '', '1', '0', '', '', '0', '0', '0', '0', '0', '0', '1', '', '', '', '', '', '', '', '', 'N', '', '', '200000', '3', '90000', '0', '14821/공지사항 관리//', '메뉴', '');</v>
      </c>
    </row>
    <row r="377" spans="1:53">
      <c r="A377" s="1">
        <v>377</v>
      </c>
      <c r="B377" s="159" t="str">
        <f t="shared" si="692"/>
        <v xml:space="preserve">    └ (공통)공지사항 등록</v>
      </c>
      <c r="C377" s="27" t="str">
        <f t="shared" si="693"/>
        <v>14821</v>
      </c>
      <c r="D377" s="121"/>
      <c r="E377" s="21">
        <v>910001</v>
      </c>
      <c r="F377" s="118" t="s">
        <v>1916</v>
      </c>
      <c r="G377" s="118" t="s">
        <v>3196</v>
      </c>
      <c r="H377" s="118"/>
      <c r="I377" s="118"/>
      <c r="J377" s="118"/>
      <c r="K377" s="21" t="str">
        <f t="shared" si="694"/>
        <v>1</v>
      </c>
      <c r="L377" s="21" t="str">
        <f t="shared" si="695"/>
        <v>1</v>
      </c>
      <c r="M377" s="21" t="str">
        <f t="shared" si="696"/>
        <v>1</v>
      </c>
      <c r="N377" s="118" t="s">
        <v>1918</v>
      </c>
      <c r="O377" s="118" t="s">
        <v>1919</v>
      </c>
      <c r="P377" s="21" t="str">
        <f t="shared" si="697"/>
        <v>1</v>
      </c>
      <c r="Q377" s="21" t="str">
        <f t="shared" si="698"/>
        <v>1</v>
      </c>
      <c r="R377" s="21" t="str">
        <f t="shared" si="699"/>
        <v>1</v>
      </c>
      <c r="S377" s="21" t="str">
        <f t="shared" si="700"/>
        <v>1</v>
      </c>
      <c r="T377" s="21" t="str">
        <f t="shared" si="701"/>
        <v>1</v>
      </c>
      <c r="U377" s="21" t="str">
        <f t="shared" si="702"/>
        <v>1</v>
      </c>
      <c r="V377" s="21" t="str">
        <f t="shared" si="703"/>
        <v>1</v>
      </c>
      <c r="W377" s="21"/>
      <c r="X377" s="21" t="str">
        <f t="shared" si="704"/>
        <v>0</v>
      </c>
      <c r="Y377" s="21" t="str">
        <f t="shared" si="705"/>
        <v>0</v>
      </c>
      <c r="Z377" s="21" t="str">
        <f t="shared" si="706"/>
        <v>0</v>
      </c>
      <c r="AA377" s="118"/>
      <c r="AB377" s="118"/>
      <c r="AC377" s="118"/>
      <c r="AD377" s="118"/>
      <c r="AE377" s="118" t="s">
        <v>51</v>
      </c>
      <c r="AF377" s="118"/>
      <c r="AG377" s="118"/>
      <c r="AH377" s="21">
        <v>910000</v>
      </c>
      <c r="AI377" s="26" t="s">
        <v>112</v>
      </c>
      <c r="AJ377" s="26">
        <v>90050</v>
      </c>
      <c r="AK377" s="26" t="str">
        <f t="shared" si="707"/>
        <v>0</v>
      </c>
      <c r="AL377" s="123" t="str">
        <f t="shared" si="708"/>
        <v>14821/공지사항 등록/notice/NoticeWork</v>
      </c>
      <c r="AM377" s="26" t="s">
        <v>2981</v>
      </c>
      <c r="AN377" s="26" t="s">
        <v>1829</v>
      </c>
      <c r="AO377" s="26" t="s">
        <v>1829</v>
      </c>
      <c r="AP377" s="26" t="s">
        <v>1829</v>
      </c>
      <c r="AQ377" s="26" t="s">
        <v>1829</v>
      </c>
      <c r="AR377" s="26" t="s">
        <v>1829</v>
      </c>
      <c r="AS377" s="26"/>
      <c r="AT377" s="26" t="s">
        <v>1829</v>
      </c>
      <c r="AU377" s="26" t="s">
        <v>1829</v>
      </c>
      <c r="AV377" s="26" t="s">
        <v>1829</v>
      </c>
      <c r="AW377" s="26" t="s">
        <v>1829</v>
      </c>
      <c r="AX377" s="26" t="s">
        <v>1829</v>
      </c>
      <c r="AY377" s="124"/>
      <c r="AZ377" s="138" t="str">
        <f>IF(C377="","","delete from module_mst where pjt_id = '"&amp;C377&amp;"' and menu_id = '"&amp;E377&amp;"';")</f>
        <v>delete from module_mst where pjt_id = '14821' and menu_id = '910001';</v>
      </c>
      <c r="BA377" s="31" t="str">
        <f>IF(C377&lt;&gt;"",CREATE_QUERY($D$1,C$2:AY$2,C377:AY377),"")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'910001', '공지사항 등록', 'Register announcement', '', '', '', '1', '1', '1', 'notice', 'NoticeWork', '1', '1', '1', '1', '1', '1', '1', '', '0', '0', '0', '', '', '', '', 'N', '', '', '910000', '4', '90050', '0', '14821/공지사항 등록/notice/NoticeWork', '공통', '');</v>
      </c>
    </row>
    <row r="378" spans="1:53">
      <c r="A378" s="1">
        <v>378</v>
      </c>
      <c r="B378" s="159" t="str">
        <f t="shared" si="692"/>
        <v xml:space="preserve">    └ (공통)공지사항 확인</v>
      </c>
      <c r="C378" s="27" t="str">
        <f t="shared" si="693"/>
        <v>14821</v>
      </c>
      <c r="D378" s="121"/>
      <c r="E378" s="21">
        <v>910002</v>
      </c>
      <c r="F378" s="118" t="s">
        <v>1917</v>
      </c>
      <c r="G378" s="118" t="s">
        <v>3197</v>
      </c>
      <c r="H378" s="118"/>
      <c r="I378" s="118"/>
      <c r="J378" s="118"/>
      <c r="K378" s="21" t="str">
        <f t="shared" si="694"/>
        <v>1</v>
      </c>
      <c r="L378" s="21" t="str">
        <f t="shared" si="695"/>
        <v>1</v>
      </c>
      <c r="M378" s="21" t="str">
        <f t="shared" si="696"/>
        <v>1</v>
      </c>
      <c r="N378" s="118" t="s">
        <v>1918</v>
      </c>
      <c r="O378" s="118" t="s">
        <v>1920</v>
      </c>
      <c r="P378" s="21" t="str">
        <f t="shared" si="697"/>
        <v>1</v>
      </c>
      <c r="Q378" s="21" t="str">
        <f t="shared" si="698"/>
        <v>1</v>
      </c>
      <c r="R378" s="21" t="str">
        <f t="shared" si="699"/>
        <v>1</v>
      </c>
      <c r="S378" s="21" t="str">
        <f t="shared" si="700"/>
        <v>1</v>
      </c>
      <c r="T378" s="21" t="str">
        <f t="shared" si="701"/>
        <v>1</v>
      </c>
      <c r="U378" s="21" t="str">
        <f t="shared" si="702"/>
        <v>1</v>
      </c>
      <c r="V378" s="21" t="str">
        <f t="shared" si="703"/>
        <v>1</v>
      </c>
      <c r="W378" s="21"/>
      <c r="X378" s="21" t="str">
        <f t="shared" si="704"/>
        <v>0</v>
      </c>
      <c r="Y378" s="21" t="str">
        <f t="shared" si="705"/>
        <v>0</v>
      </c>
      <c r="Z378" s="21" t="str">
        <f t="shared" si="706"/>
        <v>0</v>
      </c>
      <c r="AA378" s="118"/>
      <c r="AB378" s="118"/>
      <c r="AC378" s="118"/>
      <c r="AD378" s="118"/>
      <c r="AE378" s="118"/>
      <c r="AF378" s="118"/>
      <c r="AG378" s="118"/>
      <c r="AH378" s="21">
        <v>910000</v>
      </c>
      <c r="AI378" s="26" t="s">
        <v>112</v>
      </c>
      <c r="AJ378" s="26">
        <v>90100</v>
      </c>
      <c r="AK378" s="26" t="str">
        <f t="shared" si="707"/>
        <v>0</v>
      </c>
      <c r="AL378" s="123" t="str">
        <f t="shared" si="708"/>
        <v>14821/공지사항 확인/notice/NoticeView</v>
      </c>
      <c r="AM378" s="26" t="s">
        <v>2981</v>
      </c>
      <c r="AN378" s="26" t="s">
        <v>1829</v>
      </c>
      <c r="AO378" s="26" t="s">
        <v>1829</v>
      </c>
      <c r="AP378" s="26" t="s">
        <v>1829</v>
      </c>
      <c r="AQ378" s="26" t="s">
        <v>1829</v>
      </c>
      <c r="AR378" s="26" t="s">
        <v>1829</v>
      </c>
      <c r="AS378" s="26"/>
      <c r="AT378" s="26" t="s">
        <v>1829</v>
      </c>
      <c r="AU378" s="26" t="s">
        <v>1829</v>
      </c>
      <c r="AV378" s="26" t="s">
        <v>1829</v>
      </c>
      <c r="AW378" s="26" t="s">
        <v>1829</v>
      </c>
      <c r="AX378" s="26" t="s">
        <v>1829</v>
      </c>
      <c r="AY378" s="124"/>
      <c r="AZ378" s="138" t="str">
        <f>IF(C378="","","delete from module_mst where pjt_id = '"&amp;C378&amp;"' and menu_id = '"&amp;E378&amp;"';")</f>
        <v>delete from module_mst where pjt_id = '14821' and menu_id = '910002';</v>
      </c>
      <c r="BA378" s="31" t="str">
        <f>IF(C378&lt;&gt;"",CREATE_QUERY($D$1,C$2:AY$2,C378:AY378),"")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'910002', '공지사항 확인', 'Check Announcement', '', '', '', '1', '1', '1', 'notice', 'NoticeView', '1', '1', '1', '1', '1', '1', '1', '', '0', '0', '0', '', '', '', '', '', '', '', '910000', '4', '90100', '0', '14821/공지사항 확인/notice/NoticeView', '공통', '');</v>
      </c>
    </row>
    <row r="379" spans="1:53">
      <c r="A379" s="1">
        <v>379</v>
      </c>
      <c r="B379" s="159" t="str">
        <f t="shared" si="692"/>
        <v xml:space="preserve">    └ (공통)업무일지 보고</v>
      </c>
      <c r="C379" s="27" t="str">
        <f t="shared" si="693"/>
        <v>14821</v>
      </c>
      <c r="D379" s="121"/>
      <c r="E379" s="21">
        <v>910003</v>
      </c>
      <c r="F379" s="118" t="s">
        <v>2437</v>
      </c>
      <c r="G379" s="118" t="s">
        <v>3198</v>
      </c>
      <c r="H379" s="118"/>
      <c r="I379" s="118"/>
      <c r="J379" s="118"/>
      <c r="K379" s="21" t="str">
        <f t="shared" si="694"/>
        <v>1</v>
      </c>
      <c r="L379" s="21" t="str">
        <f t="shared" si="695"/>
        <v>1</v>
      </c>
      <c r="M379" s="21" t="str">
        <f t="shared" si="696"/>
        <v>1</v>
      </c>
      <c r="N379" s="118" t="s">
        <v>1918</v>
      </c>
      <c r="O379" s="118" t="s">
        <v>2438</v>
      </c>
      <c r="P379" s="21" t="str">
        <f t="shared" si="697"/>
        <v>1</v>
      </c>
      <c r="Q379" s="21" t="str">
        <f t="shared" ref="Q379" si="710">IF(O379="","0","1")</f>
        <v>1</v>
      </c>
      <c r="R379" s="21" t="str">
        <f t="shared" ref="R379" si="711">IF(O379="","0","1")</f>
        <v>1</v>
      </c>
      <c r="S379" s="21" t="str">
        <f t="shared" ref="S379" si="712">IF(O379="","0","1")</f>
        <v>1</v>
      </c>
      <c r="T379" s="21" t="str">
        <f t="shared" ref="T379" si="713">IF(O379="","0","1")</f>
        <v>1</v>
      </c>
      <c r="U379" s="21" t="str">
        <f t="shared" ref="U379" si="714">IF(O379="","0","1")</f>
        <v>1</v>
      </c>
      <c r="V379" s="21" t="str">
        <f t="shared" ref="V379" si="715">IF(O379="","1","1")</f>
        <v>1</v>
      </c>
      <c r="W379" s="21"/>
      <c r="X379" s="21" t="str">
        <f t="shared" ref="X379" si="716">IF(O379="","","0")</f>
        <v>0</v>
      </c>
      <c r="Y379" s="21" t="str">
        <f t="shared" ref="Y379" si="717">IF(O379="","","0")</f>
        <v>0</v>
      </c>
      <c r="Z379" s="21" t="str">
        <f t="shared" ref="Z379" si="718">IF(O379="","","0")</f>
        <v>0</v>
      </c>
      <c r="AA379" s="118"/>
      <c r="AB379" s="118"/>
      <c r="AC379" s="118"/>
      <c r="AD379" s="118"/>
      <c r="AE379" s="118"/>
      <c r="AF379" s="118"/>
      <c r="AG379" s="118"/>
      <c r="AH379" s="21">
        <v>910000</v>
      </c>
      <c r="AI379" s="26" t="s">
        <v>112</v>
      </c>
      <c r="AJ379" s="26">
        <v>90150</v>
      </c>
      <c r="AK379" s="26" t="str">
        <f t="shared" si="707"/>
        <v>0</v>
      </c>
      <c r="AL379" s="123" t="str">
        <f t="shared" ref="AL379" si="719">IF(C379="","",C379&amp;"/"&amp;F379&amp;"/"&amp;N379&amp;"/"&amp;O379)</f>
        <v>14821/업무일지 보고/notice/DailyReport</v>
      </c>
      <c r="AM379" s="26" t="s">
        <v>2981</v>
      </c>
      <c r="AN379" s="26" t="s">
        <v>1829</v>
      </c>
      <c r="AO379" s="26" t="s">
        <v>1829</v>
      </c>
      <c r="AP379" s="26" t="s">
        <v>1829</v>
      </c>
      <c r="AQ379" s="26" t="s">
        <v>1829</v>
      </c>
      <c r="AR379" s="26" t="s">
        <v>1829</v>
      </c>
      <c r="AS379" s="26"/>
      <c r="AT379" s="26" t="s">
        <v>1829</v>
      </c>
      <c r="AU379" s="26" t="s">
        <v>1829</v>
      </c>
      <c r="AV379" s="26" t="s">
        <v>1829</v>
      </c>
      <c r="AW379" s="26" t="s">
        <v>1829</v>
      </c>
      <c r="AX379" s="26" t="s">
        <v>1829</v>
      </c>
      <c r="AY379" s="124"/>
      <c r="AZ379" s="138" t="str">
        <f>IF(C379="","","delete from module_mst where pjt_id = '"&amp;C379&amp;"' and menu_id = '"&amp;E379&amp;"';")</f>
        <v>delete from module_mst where pjt_id = '14821' and menu_id = '910003';</v>
      </c>
      <c r="BA379" s="31" t="str">
        <f>IF(C379&lt;&gt;"",CREATE_QUERY($D$1,C$2:AY$2,C379:AY379),"")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'910003', '업무일지 보고', 'Report on business log', '', '', '', '1', '1', '1', 'notice', 'DailyReport', '1', '1', '1', '1', '1', '1', '1', '', '0', '0', '0', '', '', '', '', '', '', '', '910000', '4', '90150', '0', '14821/업무일지 보고/notice/DailyReport', '공통', '');</v>
      </c>
    </row>
    <row r="380" spans="1:53">
      <c r="A380" s="1">
        <v>380</v>
      </c>
      <c r="B380" s="164" t="str">
        <f t="shared" si="692"/>
        <v/>
      </c>
      <c r="C380" s="27" t="str">
        <f t="shared" si="693"/>
        <v/>
      </c>
      <c r="D380" s="121"/>
      <c r="E380" s="27"/>
      <c r="F380" s="121"/>
      <c r="G380" s="121" t="s">
        <v>900</v>
      </c>
      <c r="H380" s="121"/>
      <c r="I380" s="121"/>
      <c r="J380" s="121"/>
      <c r="K380" s="27" t="str">
        <f t="shared" si="694"/>
        <v/>
      </c>
      <c r="L380" s="27" t="str">
        <f t="shared" si="695"/>
        <v/>
      </c>
      <c r="M380" s="27" t="str">
        <f t="shared" si="696"/>
        <v>0</v>
      </c>
      <c r="N380" s="121"/>
      <c r="O380" s="121"/>
      <c r="P380" s="27" t="str">
        <f t="shared" si="697"/>
        <v>0</v>
      </c>
      <c r="Q380" s="27" t="str">
        <f t="shared" si="698"/>
        <v>0</v>
      </c>
      <c r="R380" s="27" t="str">
        <f t="shared" si="699"/>
        <v>0</v>
      </c>
      <c r="S380" s="27" t="str">
        <f t="shared" si="700"/>
        <v>0</v>
      </c>
      <c r="T380" s="27" t="str">
        <f t="shared" si="701"/>
        <v>0</v>
      </c>
      <c r="U380" s="27" t="str">
        <f t="shared" si="702"/>
        <v>0</v>
      </c>
      <c r="V380" s="27" t="str">
        <f t="shared" si="703"/>
        <v>1</v>
      </c>
      <c r="W380" s="27"/>
      <c r="X380" s="27" t="str">
        <f t="shared" si="704"/>
        <v/>
      </c>
      <c r="Y380" s="27" t="str">
        <f t="shared" si="705"/>
        <v/>
      </c>
      <c r="Z380" s="27" t="str">
        <f t="shared" si="706"/>
        <v/>
      </c>
      <c r="AA380" s="121"/>
      <c r="AB380" s="121"/>
      <c r="AC380" s="121"/>
      <c r="AD380" s="121"/>
      <c r="AE380" s="121"/>
      <c r="AF380" s="121"/>
      <c r="AG380" s="121"/>
      <c r="AH380" s="27"/>
      <c r="AI380" s="27"/>
      <c r="AJ380" s="27" t="s">
        <v>900</v>
      </c>
      <c r="AK380" s="27" t="str">
        <f t="shared" si="707"/>
        <v/>
      </c>
      <c r="AL380" s="123" t="str">
        <f t="shared" si="708"/>
        <v/>
      </c>
      <c r="AM380" s="27"/>
      <c r="AN380" s="27"/>
      <c r="AO380" s="27"/>
      <c r="AP380" s="27"/>
      <c r="AQ380" s="27"/>
      <c r="AR380" s="27"/>
      <c r="AS380" s="27"/>
      <c r="AT380" s="27"/>
      <c r="AU380" s="27"/>
      <c r="AV380" s="27"/>
      <c r="AW380" s="27"/>
      <c r="AX380" s="27"/>
      <c r="AY380" s="124"/>
      <c r="AZ380" s="138" t="str">
        <f>IF(C380="","","delete from module_mst where pjt_id = '"&amp;C380&amp;"' and menu_id = '"&amp;E380&amp;"';")</f>
        <v/>
      </c>
      <c r="BA380" s="31" t="str">
        <f>IF(C380&lt;&gt;"",CREATE_QUERY($D$1,C$2:AY$2,C380:AY380),"")</f>
        <v/>
      </c>
    </row>
    <row r="381" spans="1:53">
      <c r="A381" s="1">
        <v>381</v>
      </c>
      <c r="B381" s="162" t="str">
        <f t="shared" si="692"/>
        <v xml:space="preserve">  └ 임원정보</v>
      </c>
      <c r="C381" s="27" t="str">
        <f t="shared" si="693"/>
        <v>14821</v>
      </c>
      <c r="D381" s="121"/>
      <c r="E381" s="24" t="s">
        <v>1923</v>
      </c>
      <c r="F381" s="127" t="s">
        <v>369</v>
      </c>
      <c r="G381" s="127" t="s">
        <v>3199</v>
      </c>
      <c r="H381" s="127"/>
      <c r="I381" s="127"/>
      <c r="J381" s="127"/>
      <c r="K381" s="25" t="str">
        <f t="shared" si="694"/>
        <v/>
      </c>
      <c r="L381" s="25" t="str">
        <f t="shared" si="695"/>
        <v>1</v>
      </c>
      <c r="M381" s="25" t="str">
        <f t="shared" si="696"/>
        <v>0</v>
      </c>
      <c r="N381" s="127"/>
      <c r="O381" s="127"/>
      <c r="P381" s="25" t="str">
        <f t="shared" si="697"/>
        <v>0</v>
      </c>
      <c r="Q381" s="25" t="str">
        <f t="shared" si="698"/>
        <v>0</v>
      </c>
      <c r="R381" s="25" t="str">
        <f t="shared" si="699"/>
        <v>0</v>
      </c>
      <c r="S381" s="25" t="str">
        <f t="shared" si="700"/>
        <v>0</v>
      </c>
      <c r="T381" s="25" t="str">
        <f t="shared" si="701"/>
        <v>0</v>
      </c>
      <c r="U381" s="25" t="str">
        <f t="shared" si="702"/>
        <v>0</v>
      </c>
      <c r="V381" s="25" t="str">
        <f t="shared" si="703"/>
        <v>1</v>
      </c>
      <c r="W381" s="25"/>
      <c r="X381" s="25" t="str">
        <f t="shared" si="704"/>
        <v/>
      </c>
      <c r="Y381" s="25" t="str">
        <f t="shared" si="705"/>
        <v/>
      </c>
      <c r="Z381" s="25" t="str">
        <f t="shared" si="706"/>
        <v/>
      </c>
      <c r="AA381" s="127"/>
      <c r="AB381" s="127"/>
      <c r="AC381" s="127"/>
      <c r="AD381" s="127"/>
      <c r="AE381" s="127" t="s">
        <v>51</v>
      </c>
      <c r="AF381" s="127"/>
      <c r="AG381" s="127"/>
      <c r="AH381" s="24" t="s">
        <v>120</v>
      </c>
      <c r="AI381" s="24" t="s">
        <v>111</v>
      </c>
      <c r="AJ381" s="24">
        <v>95000</v>
      </c>
      <c r="AK381" s="24" t="str">
        <f t="shared" si="707"/>
        <v>0</v>
      </c>
      <c r="AL381" s="123" t="str">
        <f t="shared" si="708"/>
        <v>14821/임원정보//</v>
      </c>
      <c r="AM381" s="24" t="s">
        <v>2979</v>
      </c>
      <c r="AN381" s="24" t="str">
        <f t="shared" ref="AN381:AX381" si="720">IF(COUNTIF(AN382:AN415,"="&amp;"Y")&gt;0,"Y",IF(COUNTIF(AN382:AN415,"="&amp;"-")&gt;0,"m",""))</f>
        <v>m</v>
      </c>
      <c r="AO381" s="24" t="str">
        <f t="shared" si="720"/>
        <v>Y</v>
      </c>
      <c r="AP381" s="24" t="str">
        <f t="shared" si="720"/>
        <v>m</v>
      </c>
      <c r="AQ381" s="24" t="str">
        <f t="shared" si="720"/>
        <v>m</v>
      </c>
      <c r="AR381" s="24" t="str">
        <f t="shared" si="720"/>
        <v>m</v>
      </c>
      <c r="AS381" s="24" t="str">
        <f t="shared" si="720"/>
        <v>m</v>
      </c>
      <c r="AT381" s="24" t="str">
        <f t="shared" si="720"/>
        <v>Y</v>
      </c>
      <c r="AU381" s="24" t="str">
        <f t="shared" si="720"/>
        <v>m</v>
      </c>
      <c r="AV381" s="24" t="str">
        <f t="shared" si="720"/>
        <v>m</v>
      </c>
      <c r="AW381" s="24" t="str">
        <f t="shared" si="720"/>
        <v>Y</v>
      </c>
      <c r="AX381" s="24" t="str">
        <f t="shared" si="720"/>
        <v>Y</v>
      </c>
      <c r="AY381" s="124"/>
      <c r="AZ381" s="138" t="str">
        <f>IF(C381="","","delete from module_mst where pjt_id = '"&amp;C381&amp;"' and menu_id = '"&amp;E381&amp;"';")</f>
        <v>delete from module_mst where pjt_id = '14821' and menu_id = '920000';</v>
      </c>
      <c r="BA381" s="31" t="str">
        <f>IF(C381&lt;&gt;"",CREATE_QUERY($D$1,C$2:AY$2,C381:AY381),"")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'920000', '임원정보', 'Executive Information', '', '', '', '', '1', '0', '', '', '0', '0', '0', '0', '0', '0', '1', '', '', '', '', '', '', '', '', 'N', '', '', '200000', '3', '95000', '0', '14821/임원정보//', '메뉴', '');</v>
      </c>
    </row>
    <row r="382" spans="1:53">
      <c r="A382" s="1">
        <v>382</v>
      </c>
      <c r="B382" s="159" t="str">
        <f t="shared" si="692"/>
        <v xml:space="preserve">    └ (프로젝트)AR List</v>
      </c>
      <c r="C382" s="27" t="str">
        <f t="shared" si="693"/>
        <v>14821</v>
      </c>
      <c r="D382" s="121"/>
      <c r="E382" s="21">
        <v>920002</v>
      </c>
      <c r="F382" s="118" t="s">
        <v>371</v>
      </c>
      <c r="G382" s="118" t="s">
        <v>3200</v>
      </c>
      <c r="H382" s="118"/>
      <c r="I382" s="118"/>
      <c r="J382" s="118"/>
      <c r="K382" s="21" t="str">
        <f t="shared" si="694"/>
        <v>1</v>
      </c>
      <c r="L382" s="21" t="str">
        <f t="shared" si="695"/>
        <v>1</v>
      </c>
      <c r="M382" s="21" t="str">
        <f t="shared" si="696"/>
        <v>1</v>
      </c>
      <c r="N382" s="118" t="s">
        <v>374</v>
      </c>
      <c r="O382" s="118" t="s">
        <v>375</v>
      </c>
      <c r="P382" s="21" t="str">
        <f t="shared" si="697"/>
        <v>1</v>
      </c>
      <c r="Q382" s="21" t="str">
        <f t="shared" si="698"/>
        <v>1</v>
      </c>
      <c r="R382" s="21" t="str">
        <f t="shared" si="699"/>
        <v>1</v>
      </c>
      <c r="S382" s="21" t="str">
        <f t="shared" si="700"/>
        <v>1</v>
      </c>
      <c r="T382" s="21" t="str">
        <f t="shared" si="701"/>
        <v>1</v>
      </c>
      <c r="U382" s="21" t="str">
        <f t="shared" si="702"/>
        <v>1</v>
      </c>
      <c r="V382" s="21" t="str">
        <f t="shared" si="703"/>
        <v>1</v>
      </c>
      <c r="W382" s="21"/>
      <c r="X382" s="21" t="str">
        <f t="shared" si="704"/>
        <v>0</v>
      </c>
      <c r="Y382" s="21" t="str">
        <f t="shared" si="705"/>
        <v>0</v>
      </c>
      <c r="Z382" s="21" t="str">
        <f t="shared" si="706"/>
        <v>0</v>
      </c>
      <c r="AA382" s="118"/>
      <c r="AB382" s="118"/>
      <c r="AC382" s="118"/>
      <c r="AD382" s="118"/>
      <c r="AE382" s="118" t="s">
        <v>51</v>
      </c>
      <c r="AF382" s="118"/>
      <c r="AG382" s="118"/>
      <c r="AH382" s="21">
        <v>920000</v>
      </c>
      <c r="AI382" s="26" t="s">
        <v>112</v>
      </c>
      <c r="AJ382" s="26">
        <v>95100</v>
      </c>
      <c r="AK382" s="26" t="str">
        <f t="shared" si="707"/>
        <v>0</v>
      </c>
      <c r="AL382" s="123" t="str">
        <f t="shared" si="708"/>
        <v>14821/AR List/eis.project/ARList</v>
      </c>
      <c r="AM382" s="26" t="s">
        <v>2983</v>
      </c>
      <c r="AN382" s="26"/>
      <c r="AO382" s="26" t="s">
        <v>1829</v>
      </c>
      <c r="AP382" s="26"/>
      <c r="AQ382" s="26"/>
      <c r="AR382" s="26"/>
      <c r="AS382" s="26"/>
      <c r="AT382" s="26"/>
      <c r="AU382" s="26"/>
      <c r="AV382" s="26"/>
      <c r="AW382" s="26"/>
      <c r="AX382" s="26"/>
      <c r="AY382" s="124"/>
      <c r="AZ382" s="138" t="str">
        <f>IF(C382="","","delete from module_mst where pjt_id = '"&amp;C382&amp;"' and menu_id = '"&amp;E382&amp;"';")</f>
        <v>delete from module_mst where pjt_id = '14821' and menu_id = '920002';</v>
      </c>
      <c r="BA382" s="31" t="str">
        <f>IF(C382&lt;&gt;"",CREATE_QUERY($D$1,C$2:AY$2,C382:AY382),"")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'920002', 'AR List', 'AR List', '', '', '', '1', '1', '1', 'eis.project', 'ARList', '1', '1', '1', '1', '1', '1', '1', '', '0', '0', '0', '', '', '', '', 'N', '', '', '920000', '4', '95100', '0', '14821/AR List/eis.project/ARList', '프로젝트', '');</v>
      </c>
    </row>
    <row r="383" spans="1:53">
      <c r="A383" s="1">
        <v>383</v>
      </c>
      <c r="B383" s="159" t="str">
        <f t="shared" si="692"/>
        <v xml:space="preserve">    └ (프로젝트)불량현황</v>
      </c>
      <c r="C383" s="27" t="str">
        <f t="shared" si="693"/>
        <v>14821</v>
      </c>
      <c r="D383" s="121"/>
      <c r="E383" s="21">
        <v>920003</v>
      </c>
      <c r="F383" s="118" t="s">
        <v>372</v>
      </c>
      <c r="G383" s="118" t="s">
        <v>3201</v>
      </c>
      <c r="H383" s="118"/>
      <c r="I383" s="118"/>
      <c r="J383" s="118"/>
      <c r="K383" s="21" t="str">
        <f t="shared" si="694"/>
        <v>1</v>
      </c>
      <c r="L383" s="21" t="str">
        <f t="shared" si="695"/>
        <v>1</v>
      </c>
      <c r="M383" s="21" t="str">
        <f t="shared" si="696"/>
        <v>1</v>
      </c>
      <c r="N383" s="118" t="s">
        <v>374</v>
      </c>
      <c r="O383" s="118" t="s">
        <v>376</v>
      </c>
      <c r="P383" s="21" t="str">
        <f t="shared" si="697"/>
        <v>1</v>
      </c>
      <c r="Q383" s="21" t="str">
        <f t="shared" si="698"/>
        <v>1</v>
      </c>
      <c r="R383" s="21" t="str">
        <f t="shared" si="699"/>
        <v>1</v>
      </c>
      <c r="S383" s="21" t="str">
        <f t="shared" si="700"/>
        <v>1</v>
      </c>
      <c r="T383" s="21" t="str">
        <f t="shared" si="701"/>
        <v>1</v>
      </c>
      <c r="U383" s="21" t="str">
        <f t="shared" si="702"/>
        <v>1</v>
      </c>
      <c r="V383" s="21" t="str">
        <f t="shared" si="703"/>
        <v>1</v>
      </c>
      <c r="W383" s="21"/>
      <c r="X383" s="21" t="str">
        <f t="shared" si="704"/>
        <v>0</v>
      </c>
      <c r="Y383" s="21" t="str">
        <f t="shared" si="705"/>
        <v>0</v>
      </c>
      <c r="Z383" s="21" t="str">
        <f t="shared" si="706"/>
        <v>0</v>
      </c>
      <c r="AA383" s="118"/>
      <c r="AB383" s="118"/>
      <c r="AC383" s="118"/>
      <c r="AD383" s="118"/>
      <c r="AE383" s="118" t="s">
        <v>51</v>
      </c>
      <c r="AF383" s="118"/>
      <c r="AG383" s="118"/>
      <c r="AH383" s="21">
        <v>920000</v>
      </c>
      <c r="AI383" s="26" t="s">
        <v>112</v>
      </c>
      <c r="AJ383" s="26">
        <v>95150</v>
      </c>
      <c r="AK383" s="26" t="str">
        <f t="shared" si="707"/>
        <v>0</v>
      </c>
      <c r="AL383" s="123" t="str">
        <f t="shared" si="708"/>
        <v>14821/불량현황/eis.project/PoorReport</v>
      </c>
      <c r="AM383" s="26" t="s">
        <v>2983</v>
      </c>
      <c r="AN383" s="26"/>
      <c r="AO383" s="26" t="s">
        <v>1829</v>
      </c>
      <c r="AP383" s="26"/>
      <c r="AQ383" s="26"/>
      <c r="AR383" s="26"/>
      <c r="AS383" s="26"/>
      <c r="AT383" s="26"/>
      <c r="AU383" s="26"/>
      <c r="AV383" s="26"/>
      <c r="AW383" s="26"/>
      <c r="AX383" s="26"/>
      <c r="AY383" s="124"/>
      <c r="AZ383" s="138" t="str">
        <f>IF(C383="","","delete from module_mst where pjt_id = '"&amp;C383&amp;"' and menu_id = '"&amp;E383&amp;"';")</f>
        <v>delete from module_mst where pjt_id = '14821' and menu_id = '920003';</v>
      </c>
      <c r="BA383" s="31" t="str">
        <f>IF(C383&lt;&gt;"",CREATE_QUERY($D$1,C$2:AY$2,C383:AY383),"")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'920003', '불량현황', 'Defect status', '', '', '', '1', '1', '1', 'eis.project', 'PoorReport', '1', '1', '1', '1', '1', '1', '1', '', '0', '0', '0', '', '', '', '', 'N', '', '', '920000', '4', '95150', '0', '14821/불량현황/eis.project/PoorReport', '프로젝트', '');</v>
      </c>
    </row>
    <row r="384" spans="1:53">
      <c r="A384" s="1">
        <v>384</v>
      </c>
      <c r="B384" s="159" t="str">
        <f t="shared" si="692"/>
        <v xml:space="preserve">    └ (프로젝트)Load / Capa 현황</v>
      </c>
      <c r="C384" s="27" t="str">
        <f t="shared" si="693"/>
        <v>14821</v>
      </c>
      <c r="D384" s="121"/>
      <c r="E384" s="21">
        <v>920004</v>
      </c>
      <c r="F384" s="118" t="s">
        <v>373</v>
      </c>
      <c r="G384" s="118" t="s">
        <v>3202</v>
      </c>
      <c r="H384" s="118"/>
      <c r="I384" s="118"/>
      <c r="J384" s="118"/>
      <c r="K384" s="21" t="str">
        <f t="shared" si="694"/>
        <v>1</v>
      </c>
      <c r="L384" s="21" t="str">
        <f t="shared" si="695"/>
        <v>1</v>
      </c>
      <c r="M384" s="21" t="str">
        <f t="shared" si="696"/>
        <v>1</v>
      </c>
      <c r="N384" s="118" t="s">
        <v>374</v>
      </c>
      <c r="O384" s="118" t="s">
        <v>377</v>
      </c>
      <c r="P384" s="21" t="str">
        <f t="shared" si="697"/>
        <v>1</v>
      </c>
      <c r="Q384" s="21" t="str">
        <f t="shared" si="698"/>
        <v>1</v>
      </c>
      <c r="R384" s="21" t="str">
        <f t="shared" si="699"/>
        <v>1</v>
      </c>
      <c r="S384" s="21" t="str">
        <f t="shared" si="700"/>
        <v>1</v>
      </c>
      <c r="T384" s="21" t="str">
        <f t="shared" si="701"/>
        <v>1</v>
      </c>
      <c r="U384" s="21" t="str">
        <f t="shared" si="702"/>
        <v>1</v>
      </c>
      <c r="V384" s="21" t="str">
        <f t="shared" si="703"/>
        <v>1</v>
      </c>
      <c r="W384" s="21"/>
      <c r="X384" s="21" t="str">
        <f t="shared" si="704"/>
        <v>0</v>
      </c>
      <c r="Y384" s="21" t="str">
        <f t="shared" si="705"/>
        <v>0</v>
      </c>
      <c r="Z384" s="21" t="str">
        <f t="shared" si="706"/>
        <v>0</v>
      </c>
      <c r="AA384" s="118"/>
      <c r="AB384" s="118"/>
      <c r="AC384" s="118"/>
      <c r="AD384" s="118"/>
      <c r="AE384" s="118" t="s">
        <v>51</v>
      </c>
      <c r="AF384" s="118"/>
      <c r="AG384" s="118"/>
      <c r="AH384" s="21">
        <v>920000</v>
      </c>
      <c r="AI384" s="26" t="s">
        <v>112</v>
      </c>
      <c r="AJ384" s="26">
        <v>95200</v>
      </c>
      <c r="AK384" s="26" t="str">
        <f t="shared" si="707"/>
        <v>0</v>
      </c>
      <c r="AL384" s="123" t="str">
        <f t="shared" si="708"/>
        <v>14821/Load / Capa 현황/eis.project/LoadCapaList</v>
      </c>
      <c r="AM384" s="26" t="s">
        <v>2983</v>
      </c>
      <c r="AN384" s="26"/>
      <c r="AO384" s="26" t="s">
        <v>1829</v>
      </c>
      <c r="AP384" s="26"/>
      <c r="AQ384" s="26"/>
      <c r="AR384" s="26"/>
      <c r="AS384" s="26"/>
      <c r="AT384" s="26"/>
      <c r="AU384" s="26"/>
      <c r="AV384" s="26"/>
      <c r="AW384" s="26"/>
      <c r="AX384" s="26"/>
      <c r="AY384" s="124"/>
      <c r="AZ384" s="138" t="str">
        <f>IF(C384="","","delete from module_mst where pjt_id = '"&amp;C384&amp;"' and menu_id = '"&amp;E384&amp;"';")</f>
        <v>delete from module_mst where pjt_id = '14821' and menu_id = '920004';</v>
      </c>
      <c r="BA384" s="31" t="str">
        <f>IF(C384&lt;&gt;"",CREATE_QUERY($D$1,C$2:AY$2,C384:AY384),"")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'920004', 'Load / Capa 현황', 'Load / Capa status', '', '', '', '1', '1', '1', 'eis.project', 'LoadCapaList', '1', '1', '1', '1', '1', '1', '1', '', '0', '0', '0', '', '', '', '', 'N', '', '', '920000', '4', '95200', '0', '14821/Load / Capa 현황/eis.project/LoadCapaList', '프로젝트', '');</v>
      </c>
    </row>
    <row r="385" spans="1:53">
      <c r="A385" s="1">
        <v>385</v>
      </c>
      <c r="B385" s="159" t="str">
        <f t="shared" si="692"/>
        <v xml:space="preserve">    └ (프로젝트)원가 현황</v>
      </c>
      <c r="C385" s="27" t="str">
        <f t="shared" si="693"/>
        <v>14821</v>
      </c>
      <c r="D385" s="121"/>
      <c r="E385" s="21">
        <v>920005</v>
      </c>
      <c r="F385" s="118" t="s">
        <v>2064</v>
      </c>
      <c r="G385" s="118" t="s">
        <v>3203</v>
      </c>
      <c r="H385" s="118"/>
      <c r="I385" s="118"/>
      <c r="J385" s="118"/>
      <c r="K385" s="21" t="str">
        <f t="shared" si="694"/>
        <v>1</v>
      </c>
      <c r="L385" s="21" t="str">
        <f t="shared" si="695"/>
        <v>1</v>
      </c>
      <c r="M385" s="21" t="str">
        <f t="shared" si="696"/>
        <v>1</v>
      </c>
      <c r="N385" s="118" t="s">
        <v>374</v>
      </c>
      <c r="O385" s="118" t="s">
        <v>2065</v>
      </c>
      <c r="P385" s="21" t="str">
        <f t="shared" si="697"/>
        <v>1</v>
      </c>
      <c r="Q385" s="21" t="str">
        <f t="shared" si="698"/>
        <v>1</v>
      </c>
      <c r="R385" s="21" t="str">
        <f t="shared" si="699"/>
        <v>1</v>
      </c>
      <c r="S385" s="21" t="str">
        <f t="shared" si="700"/>
        <v>1</v>
      </c>
      <c r="T385" s="21" t="str">
        <f t="shared" si="701"/>
        <v>1</v>
      </c>
      <c r="U385" s="21" t="str">
        <f t="shared" si="702"/>
        <v>1</v>
      </c>
      <c r="V385" s="21" t="str">
        <f t="shared" si="703"/>
        <v>1</v>
      </c>
      <c r="W385" s="21"/>
      <c r="X385" s="21" t="str">
        <f t="shared" si="704"/>
        <v>0</v>
      </c>
      <c r="Y385" s="21" t="str">
        <f t="shared" si="705"/>
        <v>0</v>
      </c>
      <c r="Z385" s="21" t="str">
        <f t="shared" si="706"/>
        <v>0</v>
      </c>
      <c r="AA385" s="118"/>
      <c r="AB385" s="118"/>
      <c r="AC385" s="118"/>
      <c r="AD385" s="118"/>
      <c r="AE385" s="118" t="s">
        <v>51</v>
      </c>
      <c r="AF385" s="118"/>
      <c r="AG385" s="118"/>
      <c r="AH385" s="21">
        <v>920000</v>
      </c>
      <c r="AI385" s="26" t="s">
        <v>112</v>
      </c>
      <c r="AJ385" s="26">
        <v>95250</v>
      </c>
      <c r="AK385" s="26" t="str">
        <f t="shared" si="707"/>
        <v>0</v>
      </c>
      <c r="AL385" s="123" t="str">
        <f t="shared" ref="AL385:AL386" si="721">IF(C385="","",C385&amp;"/"&amp;F385&amp;"/"&amp;N385&amp;"/"&amp;O385)</f>
        <v>14821/원가 현황/eis.project/CostReport</v>
      </c>
      <c r="AM385" s="26" t="s">
        <v>2983</v>
      </c>
      <c r="AN385" s="26"/>
      <c r="AO385" s="26" t="s">
        <v>1829</v>
      </c>
      <c r="AP385" s="26"/>
      <c r="AQ385" s="26"/>
      <c r="AR385" s="26"/>
      <c r="AS385" s="26"/>
      <c r="AT385" s="26"/>
      <c r="AU385" s="26"/>
      <c r="AV385" s="26"/>
      <c r="AW385" s="26"/>
      <c r="AX385" s="26"/>
      <c r="AY385" s="124"/>
      <c r="AZ385" s="138" t="str">
        <f>IF(C385="","","delete from module_mst where pjt_id = '"&amp;C385&amp;"' and menu_id = '"&amp;E385&amp;"';")</f>
        <v>delete from module_mst where pjt_id = '14821' and menu_id = '920005';</v>
      </c>
      <c r="BA385" s="31" t="str">
        <f>IF(C385&lt;&gt;"",CREATE_QUERY($D$1,C$2:AY$2,C385:AY385),"")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'920005', '원가 현황', 'Cost status', '', '', '', '1', '1', '1', 'eis.project', 'CostReport', '1', '1', '1', '1', '1', '1', '1', '', '0', '0', '0', '', '', '', '', 'N', '', '', '920000', '4', '95250', '0', '14821/원가 현황/eis.project/CostReport', '프로젝트', '');</v>
      </c>
    </row>
    <row r="386" spans="1:53">
      <c r="A386" s="1">
        <v>386</v>
      </c>
      <c r="B386" s="159" t="str">
        <f t="shared" si="692"/>
        <v xml:space="preserve">    └ (프로젝트)제조리드타임 현황</v>
      </c>
      <c r="C386" s="27" t="str">
        <f t="shared" si="693"/>
        <v>14821</v>
      </c>
      <c r="D386" s="121"/>
      <c r="E386" s="21">
        <v>920006</v>
      </c>
      <c r="F386" s="118" t="s">
        <v>2321</v>
      </c>
      <c r="G386" s="118" t="s">
        <v>3204</v>
      </c>
      <c r="H386" s="118"/>
      <c r="I386" s="118"/>
      <c r="J386" s="118"/>
      <c r="K386" s="21" t="str">
        <f t="shared" si="694"/>
        <v>1</v>
      </c>
      <c r="L386" s="21" t="str">
        <f t="shared" si="695"/>
        <v>1</v>
      </c>
      <c r="M386" s="21" t="str">
        <f t="shared" si="696"/>
        <v>1</v>
      </c>
      <c r="N386" s="118" t="s">
        <v>2322</v>
      </c>
      <c r="O386" s="118" t="s">
        <v>2323</v>
      </c>
      <c r="P386" s="21" t="str">
        <f t="shared" si="697"/>
        <v>1</v>
      </c>
      <c r="Q386" s="21" t="str">
        <f t="shared" si="698"/>
        <v>1</v>
      </c>
      <c r="R386" s="21" t="str">
        <f t="shared" si="699"/>
        <v>1</v>
      </c>
      <c r="S386" s="21" t="str">
        <f t="shared" si="700"/>
        <v>1</v>
      </c>
      <c r="T386" s="21" t="str">
        <f t="shared" si="701"/>
        <v>1</v>
      </c>
      <c r="U386" s="21" t="str">
        <f t="shared" si="702"/>
        <v>1</v>
      </c>
      <c r="V386" s="21" t="str">
        <f t="shared" si="703"/>
        <v>1</v>
      </c>
      <c r="W386" s="21"/>
      <c r="X386" s="21" t="str">
        <f t="shared" si="704"/>
        <v>0</v>
      </c>
      <c r="Y386" s="21" t="str">
        <f t="shared" si="705"/>
        <v>0</v>
      </c>
      <c r="Z386" s="21" t="str">
        <f t="shared" si="706"/>
        <v>0</v>
      </c>
      <c r="AA386" s="118"/>
      <c r="AB386" s="118"/>
      <c r="AC386" s="118"/>
      <c r="AD386" s="118"/>
      <c r="AE386" s="118" t="s">
        <v>51</v>
      </c>
      <c r="AF386" s="118"/>
      <c r="AG386" s="118"/>
      <c r="AH386" s="21">
        <v>920000</v>
      </c>
      <c r="AI386" s="26" t="s">
        <v>112</v>
      </c>
      <c r="AJ386" s="26">
        <v>95300</v>
      </c>
      <c r="AK386" s="26" t="str">
        <f t="shared" si="707"/>
        <v>0</v>
      </c>
      <c r="AL386" s="123" t="str">
        <f t="shared" si="721"/>
        <v>14821/제조리드타임 현황/eis.report/EisReport11</v>
      </c>
      <c r="AM386" s="26" t="s">
        <v>2983</v>
      </c>
      <c r="AN386" s="26"/>
      <c r="AO386" s="26" t="s">
        <v>1829</v>
      </c>
      <c r="AP386" s="26"/>
      <c r="AQ386" s="26"/>
      <c r="AR386" s="26"/>
      <c r="AS386" s="26"/>
      <c r="AT386" s="26"/>
      <c r="AU386" s="26"/>
      <c r="AV386" s="26"/>
      <c r="AW386" s="26"/>
      <c r="AX386" s="26"/>
      <c r="AY386" s="124"/>
      <c r="AZ386" s="138" t="str">
        <f>IF(C386="","","delete from module_mst where pjt_id = '"&amp;C386&amp;"' and menu_id = '"&amp;E386&amp;"';")</f>
        <v>delete from module_mst where pjt_id = '14821' and menu_id = '920006';</v>
      </c>
      <c r="BA386" s="31" t="str">
        <f>IF(C386&lt;&gt;"",CREATE_QUERY($D$1,C$2:AY$2,C386:AY386),"")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'920006', '제조리드타임 현황', 'Manufacturing Lead Time Status', '', '', '', '1', '1', '1', 'eis.report', 'EisReport11', '1', '1', '1', '1', '1', '1', '1', '', '0', '0', '0', '', '', '', '', 'N', '', '', '920000', '4', '95300', '0', '14821/제조리드타임 현황/eis.report/EisReport11', '프로젝트', '');</v>
      </c>
    </row>
    <row r="387" spans="1:53">
      <c r="A387" s="1">
        <v>387</v>
      </c>
      <c r="B387" s="159" t="str">
        <f t="shared" si="692"/>
        <v xml:space="preserve">    └ (공통)납기일대비납품일현황</v>
      </c>
      <c r="C387" s="27" t="str">
        <f t="shared" si="693"/>
        <v>14821</v>
      </c>
      <c r="D387" s="121"/>
      <c r="E387" s="21">
        <v>920007</v>
      </c>
      <c r="F387" s="118" t="s">
        <v>2324</v>
      </c>
      <c r="G387" s="118" t="s">
        <v>3233</v>
      </c>
      <c r="H387" s="118"/>
      <c r="I387" s="118"/>
      <c r="J387" s="118"/>
      <c r="K387" s="21" t="str">
        <f t="shared" si="694"/>
        <v>1</v>
      </c>
      <c r="L387" s="21" t="str">
        <f t="shared" si="695"/>
        <v>1</v>
      </c>
      <c r="M387" s="21" t="str">
        <f t="shared" si="696"/>
        <v>1</v>
      </c>
      <c r="N387" s="118" t="s">
        <v>2322</v>
      </c>
      <c r="O387" s="118" t="s">
        <v>2327</v>
      </c>
      <c r="P387" s="21" t="str">
        <f t="shared" si="697"/>
        <v>1</v>
      </c>
      <c r="Q387" s="21" t="str">
        <f t="shared" si="698"/>
        <v>1</v>
      </c>
      <c r="R387" s="21" t="str">
        <f t="shared" si="699"/>
        <v>1</v>
      </c>
      <c r="S387" s="21" t="str">
        <f t="shared" si="700"/>
        <v>1</v>
      </c>
      <c r="T387" s="21" t="str">
        <f t="shared" si="701"/>
        <v>1</v>
      </c>
      <c r="U387" s="21" t="str">
        <f t="shared" si="702"/>
        <v>1</v>
      </c>
      <c r="V387" s="21" t="str">
        <f t="shared" si="703"/>
        <v>1</v>
      </c>
      <c r="W387" s="21"/>
      <c r="X387" s="21" t="str">
        <f t="shared" si="704"/>
        <v>0</v>
      </c>
      <c r="Y387" s="21" t="str">
        <f t="shared" si="705"/>
        <v>0</v>
      </c>
      <c r="Z387" s="21" t="str">
        <f t="shared" si="706"/>
        <v>0</v>
      </c>
      <c r="AA387" s="118"/>
      <c r="AB387" s="118"/>
      <c r="AC387" s="118"/>
      <c r="AD387" s="118"/>
      <c r="AE387" s="118" t="s">
        <v>51</v>
      </c>
      <c r="AF387" s="118"/>
      <c r="AG387" s="118"/>
      <c r="AH387" s="21">
        <v>920000</v>
      </c>
      <c r="AI387" s="26" t="s">
        <v>112</v>
      </c>
      <c r="AJ387" s="26">
        <v>95350</v>
      </c>
      <c r="AK387" s="26" t="str">
        <f t="shared" si="707"/>
        <v>0</v>
      </c>
      <c r="AL387" s="123" t="str">
        <f t="shared" ref="AL387" si="722">IF(C387="","",C387&amp;"/"&amp;F387&amp;"/"&amp;N387&amp;"/"&amp;O387)</f>
        <v>14821/납기일대비납품일현황/eis.report/EisReport12</v>
      </c>
      <c r="AM387" s="26" t="s">
        <v>2981</v>
      </c>
      <c r="AN387" s="26"/>
      <c r="AO387" s="26"/>
      <c r="AP387" s="26"/>
      <c r="AQ387" s="26"/>
      <c r="AR387" s="26"/>
      <c r="AS387" s="26"/>
      <c r="AT387" s="26"/>
      <c r="AU387" s="26"/>
      <c r="AV387" s="26"/>
      <c r="AW387" s="26"/>
      <c r="AX387" s="26"/>
      <c r="AY387" s="124"/>
      <c r="AZ387" s="138" t="str">
        <f>IF(C387="","","delete from module_mst where pjt_id = '"&amp;C387&amp;"' and menu_id = '"&amp;E387&amp;"';")</f>
        <v>delete from module_mst where pjt_id = '14821' and menu_id = '920007';</v>
      </c>
      <c r="BA387" s="31" t="str">
        <f>IF(C387&lt;&gt;"",CREATE_QUERY($D$1,C$2:AY$2,C387:AY387),"")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'920007', '납기일대비납품일현황', 'Delivery date compared to delivery demand date', '', '', '', '1', '1', '1', 'eis.report', 'EisReport12', '1', '1', '1', '1', '1', '1', '1', '', '0', '0', '0', '', '', '', '', 'N', '', '', '920000', '4', '95350', '0', '14821/납기일대비납품일현황/eis.report/EisReport12', '공통', '');</v>
      </c>
    </row>
    <row r="388" spans="1:53">
      <c r="A388" s="1">
        <v>388</v>
      </c>
      <c r="B388" s="159" t="str">
        <f t="shared" si="692"/>
        <v xml:space="preserve">    └ (공통)불량율 현황</v>
      </c>
      <c r="C388" s="27" t="str">
        <f t="shared" si="693"/>
        <v>14821</v>
      </c>
      <c r="D388" s="121"/>
      <c r="E388" s="21">
        <v>920008</v>
      </c>
      <c r="F388" s="118" t="s">
        <v>2325</v>
      </c>
      <c r="G388" s="118" t="s">
        <v>3205</v>
      </c>
      <c r="H388" s="118"/>
      <c r="I388" s="118"/>
      <c r="J388" s="118"/>
      <c r="K388" s="21" t="str">
        <f t="shared" si="694"/>
        <v>1</v>
      </c>
      <c r="L388" s="21" t="str">
        <f t="shared" si="695"/>
        <v>1</v>
      </c>
      <c r="M388" s="21" t="str">
        <f t="shared" si="696"/>
        <v>1</v>
      </c>
      <c r="N388" s="118" t="s">
        <v>2322</v>
      </c>
      <c r="O388" s="118" t="s">
        <v>2328</v>
      </c>
      <c r="P388" s="21" t="str">
        <f t="shared" si="697"/>
        <v>1</v>
      </c>
      <c r="Q388" s="21" t="str">
        <f t="shared" si="698"/>
        <v>1</v>
      </c>
      <c r="R388" s="21" t="str">
        <f t="shared" si="699"/>
        <v>1</v>
      </c>
      <c r="S388" s="21" t="str">
        <f t="shared" si="700"/>
        <v>1</v>
      </c>
      <c r="T388" s="21" t="str">
        <f t="shared" si="701"/>
        <v>1</v>
      </c>
      <c r="U388" s="21" t="str">
        <f t="shared" si="702"/>
        <v>1</v>
      </c>
      <c r="V388" s="21" t="str">
        <f t="shared" si="703"/>
        <v>1</v>
      </c>
      <c r="W388" s="21"/>
      <c r="X388" s="21" t="str">
        <f t="shared" si="704"/>
        <v>0</v>
      </c>
      <c r="Y388" s="21" t="str">
        <f t="shared" si="705"/>
        <v>0</v>
      </c>
      <c r="Z388" s="21" t="str">
        <f t="shared" si="706"/>
        <v>0</v>
      </c>
      <c r="AA388" s="118"/>
      <c r="AB388" s="118"/>
      <c r="AC388" s="118"/>
      <c r="AD388" s="118"/>
      <c r="AE388" s="118" t="s">
        <v>51</v>
      </c>
      <c r="AF388" s="118"/>
      <c r="AG388" s="118"/>
      <c r="AH388" s="21">
        <v>920000</v>
      </c>
      <c r="AI388" s="26" t="s">
        <v>112</v>
      </c>
      <c r="AJ388" s="26">
        <v>95400</v>
      </c>
      <c r="AK388" s="26" t="str">
        <f t="shared" si="707"/>
        <v>0</v>
      </c>
      <c r="AL388" s="123" t="str">
        <f t="shared" ref="AL388" si="723">IF(C388="","",C388&amp;"/"&amp;F388&amp;"/"&amp;N388&amp;"/"&amp;O388)</f>
        <v>14821/불량율 현황/eis.report/EisReport13</v>
      </c>
      <c r="AM388" s="26" t="s">
        <v>2981</v>
      </c>
      <c r="AN388" s="26"/>
      <c r="AO388" s="26"/>
      <c r="AP388" s="26"/>
      <c r="AQ388" s="26"/>
      <c r="AR388" s="26"/>
      <c r="AS388" s="26"/>
      <c r="AT388" s="26"/>
      <c r="AU388" s="26"/>
      <c r="AV388" s="26"/>
      <c r="AW388" s="26"/>
      <c r="AX388" s="26"/>
      <c r="AY388" s="124"/>
      <c r="AZ388" s="138" t="str">
        <f>IF(C388="","","delete from module_mst where pjt_id = '"&amp;C388&amp;"' and menu_id = '"&amp;E388&amp;"';")</f>
        <v>delete from module_mst where pjt_id = '14821' and menu_id = '920008';</v>
      </c>
      <c r="BA388" s="31" t="str">
        <f>IF(C388&lt;&gt;"",CREATE_QUERY($D$1,C$2:AY$2,C388:AY388),"")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'920008', '불량율 현황', 'Defect rate status', '', '', '', '1', '1', '1', 'eis.report', 'EisReport13', '1', '1', '1', '1', '1', '1', '1', '', '0', '0', '0', '', '', '', '', 'N', '', '', '920000', '4', '95400', '0', '14821/불량율 현황/eis.report/EisReport13', '공통', '');</v>
      </c>
    </row>
    <row r="389" spans="1:53">
      <c r="A389" s="1">
        <v>389</v>
      </c>
      <c r="B389" s="159" t="str">
        <f t="shared" si="692"/>
        <v xml:space="preserve">    └ (공통)투입공수 현황</v>
      </c>
      <c r="C389" s="27" t="str">
        <f t="shared" si="693"/>
        <v>14821</v>
      </c>
      <c r="D389" s="121"/>
      <c r="E389" s="21">
        <v>920009</v>
      </c>
      <c r="F389" s="118" t="s">
        <v>2326</v>
      </c>
      <c r="G389" s="118" t="s">
        <v>3206</v>
      </c>
      <c r="H389" s="118"/>
      <c r="I389" s="118"/>
      <c r="J389" s="118"/>
      <c r="K389" s="21" t="str">
        <f t="shared" si="694"/>
        <v>1</v>
      </c>
      <c r="L389" s="21" t="str">
        <f t="shared" si="695"/>
        <v>1</v>
      </c>
      <c r="M389" s="21" t="str">
        <f t="shared" si="696"/>
        <v>1</v>
      </c>
      <c r="N389" s="118" t="s">
        <v>2322</v>
      </c>
      <c r="O389" s="118" t="s">
        <v>2329</v>
      </c>
      <c r="P389" s="21" t="str">
        <f t="shared" si="697"/>
        <v>1</v>
      </c>
      <c r="Q389" s="21" t="str">
        <f t="shared" si="698"/>
        <v>1</v>
      </c>
      <c r="R389" s="21" t="str">
        <f t="shared" si="699"/>
        <v>1</v>
      </c>
      <c r="S389" s="21" t="str">
        <f t="shared" si="700"/>
        <v>1</v>
      </c>
      <c r="T389" s="21" t="str">
        <f t="shared" si="701"/>
        <v>1</v>
      </c>
      <c r="U389" s="21" t="str">
        <f t="shared" si="702"/>
        <v>1</v>
      </c>
      <c r="V389" s="21" t="str">
        <f t="shared" si="703"/>
        <v>1</v>
      </c>
      <c r="W389" s="21"/>
      <c r="X389" s="21" t="str">
        <f t="shared" si="704"/>
        <v>0</v>
      </c>
      <c r="Y389" s="21" t="str">
        <f t="shared" si="705"/>
        <v>0</v>
      </c>
      <c r="Z389" s="21" t="str">
        <f t="shared" si="706"/>
        <v>0</v>
      </c>
      <c r="AA389" s="118"/>
      <c r="AB389" s="118"/>
      <c r="AC389" s="118"/>
      <c r="AD389" s="118"/>
      <c r="AE389" s="118" t="s">
        <v>51</v>
      </c>
      <c r="AF389" s="118"/>
      <c r="AG389" s="118"/>
      <c r="AH389" s="21">
        <v>920000</v>
      </c>
      <c r="AI389" s="26" t="s">
        <v>112</v>
      </c>
      <c r="AJ389" s="26">
        <v>95450</v>
      </c>
      <c r="AK389" s="26" t="str">
        <f t="shared" si="707"/>
        <v>0</v>
      </c>
      <c r="AL389" s="123" t="str">
        <f t="shared" ref="AL389" si="724">IF(C389="","",C389&amp;"/"&amp;F389&amp;"/"&amp;N389&amp;"/"&amp;O389)</f>
        <v>14821/투입공수 현황/eis.report/EisReport14</v>
      </c>
      <c r="AM389" s="26" t="s">
        <v>2981</v>
      </c>
      <c r="AN389" s="26"/>
      <c r="AO389" s="26"/>
      <c r="AP389" s="26"/>
      <c r="AQ389" s="26"/>
      <c r="AR389" s="26"/>
      <c r="AS389" s="26"/>
      <c r="AT389" s="26"/>
      <c r="AU389" s="26"/>
      <c r="AV389" s="26"/>
      <c r="AW389" s="26"/>
      <c r="AX389" s="26"/>
      <c r="AY389" s="124"/>
      <c r="AZ389" s="138" t="str">
        <f>IF(C389="","","delete from module_mst where pjt_id = '"&amp;C389&amp;"' and menu_id = '"&amp;E389&amp;"';")</f>
        <v>delete from module_mst where pjt_id = '14821' and menu_id = '920009';</v>
      </c>
      <c r="BA389" s="31" t="str">
        <f>IF(C389&lt;&gt;"",CREATE_QUERY($D$1,C$2:AY$2,C389:AY389),"")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'920009', '투입공수 현황', 'Input man-hour status', '', '', '', '1', '1', '1', 'eis.report', 'EisReport14', '1', '1', '1', '1', '1', '1', '1', '', '0', '0', '0', '', '', '', '', 'N', '', '', '920000', '4', '95450', '0', '14821/투입공수 현황/eis.report/EisReport14', '공통', '');</v>
      </c>
    </row>
    <row r="390" spans="1:53">
      <c r="A390" s="1">
        <v>390</v>
      </c>
      <c r="B390" s="159" t="str">
        <f t="shared" si="692"/>
        <v xml:space="preserve">    └ (프로젝트)생산설비 모니터링</v>
      </c>
      <c r="C390" s="27" t="str">
        <f t="shared" si="693"/>
        <v>14821</v>
      </c>
      <c r="D390" s="121"/>
      <c r="E390" s="21">
        <v>920010</v>
      </c>
      <c r="F390" s="118" t="s">
        <v>2357</v>
      </c>
      <c r="G390" s="118" t="s">
        <v>3169</v>
      </c>
      <c r="H390" s="118"/>
      <c r="I390" s="118"/>
      <c r="J390" s="118"/>
      <c r="K390" s="21" t="str">
        <f t="shared" si="694"/>
        <v>1</v>
      </c>
      <c r="L390" s="21" t="str">
        <f t="shared" si="695"/>
        <v>1</v>
      </c>
      <c r="M390" s="21" t="str">
        <f t="shared" si="696"/>
        <v>1</v>
      </c>
      <c r="N390" s="118" t="s">
        <v>292</v>
      </c>
      <c r="O390" s="118" t="s">
        <v>229</v>
      </c>
      <c r="P390" s="21" t="str">
        <f t="shared" si="697"/>
        <v>1</v>
      </c>
      <c r="Q390" s="21" t="str">
        <f t="shared" si="698"/>
        <v>1</v>
      </c>
      <c r="R390" s="21" t="str">
        <f t="shared" si="699"/>
        <v>1</v>
      </c>
      <c r="S390" s="21" t="str">
        <f t="shared" si="700"/>
        <v>1</v>
      </c>
      <c r="T390" s="21" t="str">
        <f t="shared" si="701"/>
        <v>1</v>
      </c>
      <c r="U390" s="21" t="str">
        <f t="shared" si="702"/>
        <v>1</v>
      </c>
      <c r="V390" s="21" t="str">
        <f t="shared" si="703"/>
        <v>1</v>
      </c>
      <c r="W390" s="21"/>
      <c r="X390" s="21" t="str">
        <f t="shared" si="704"/>
        <v>0</v>
      </c>
      <c r="Y390" s="21" t="str">
        <f t="shared" si="705"/>
        <v>0</v>
      </c>
      <c r="Z390" s="21" t="str">
        <f t="shared" si="706"/>
        <v>0</v>
      </c>
      <c r="AA390" s="118"/>
      <c r="AB390" s="118"/>
      <c r="AC390" s="118"/>
      <c r="AD390" s="118"/>
      <c r="AE390" s="118" t="s">
        <v>51</v>
      </c>
      <c r="AF390" s="118"/>
      <c r="AG390" s="118"/>
      <c r="AH390" s="21">
        <v>920000</v>
      </c>
      <c r="AI390" s="26" t="s">
        <v>112</v>
      </c>
      <c r="AJ390" s="26">
        <v>95500</v>
      </c>
      <c r="AK390" s="26" t="str">
        <f t="shared" si="707"/>
        <v>0</v>
      </c>
      <c r="AL390" s="123" t="str">
        <f t="shared" ref="AL390:AL395" si="725">IF(C390="","",C390&amp;"/"&amp;F390&amp;"/"&amp;N390&amp;"/"&amp;O390)</f>
        <v>14821/생산설비 모니터링/prod.cvic/CvicMonitring</v>
      </c>
      <c r="AM390" s="26" t="s">
        <v>2983</v>
      </c>
      <c r="AN390" s="26"/>
      <c r="AO390" s="26" t="s">
        <v>1829</v>
      </c>
      <c r="AP390" s="26"/>
      <c r="AQ390" s="26"/>
      <c r="AR390" s="26"/>
      <c r="AS390" s="26"/>
      <c r="AT390" s="26" t="s">
        <v>1829</v>
      </c>
      <c r="AU390" s="26"/>
      <c r="AV390" s="26"/>
      <c r="AW390" s="26"/>
      <c r="AX390" s="26"/>
      <c r="AY390" s="124"/>
      <c r="AZ390" s="138" t="str">
        <f>IF(C390="","","delete from module_mst where pjt_id = '"&amp;C390&amp;"' and menu_id = '"&amp;E390&amp;"';")</f>
        <v>delete from module_mst where pjt_id = '14821' and menu_id = '920010';</v>
      </c>
      <c r="BA390" s="31" t="str">
        <f>IF(C390&lt;&gt;"",CREATE_QUERY($D$1,C$2:AY$2,C390:AY390),"")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'920010', '생산설비 모니터링', 'Production facility monitoring', '', '', '', '1', '1', '1', 'prod.cvic', 'CvicMonitring', '1', '1', '1', '1', '1', '1', '1', '', '0', '0', '0', '', '', '', '', 'N', '', '', '920000', '4', '95500', '0', '14821/생산설비 모니터링/prod.cvic/CvicMonitring', '프로젝트', '');</v>
      </c>
    </row>
    <row r="391" spans="1:53">
      <c r="A391" s="1">
        <v>391</v>
      </c>
      <c r="B391" s="159" t="str">
        <f t="shared" si="692"/>
        <v xml:space="preserve">    └ (공통)월간 일정 현황</v>
      </c>
      <c r="C391" s="27" t="str">
        <f t="shared" si="693"/>
        <v>14821</v>
      </c>
      <c r="D391" s="121"/>
      <c r="E391" s="21">
        <v>920011</v>
      </c>
      <c r="F391" s="118" t="s">
        <v>2434</v>
      </c>
      <c r="G391" s="118" t="s">
        <v>3207</v>
      </c>
      <c r="H391" s="118"/>
      <c r="I391" s="118"/>
      <c r="J391" s="118"/>
      <c r="K391" s="21" t="str">
        <f t="shared" si="694"/>
        <v>1</v>
      </c>
      <c r="L391" s="21" t="str">
        <f t="shared" si="695"/>
        <v>1</v>
      </c>
      <c r="M391" s="21" t="str">
        <f t="shared" si="696"/>
        <v>1</v>
      </c>
      <c r="N391" s="118" t="s">
        <v>2322</v>
      </c>
      <c r="O391" s="118" t="s">
        <v>2435</v>
      </c>
      <c r="P391" s="21" t="str">
        <f t="shared" si="697"/>
        <v>1</v>
      </c>
      <c r="Q391" s="21" t="str">
        <f t="shared" si="698"/>
        <v>1</v>
      </c>
      <c r="R391" s="21" t="str">
        <f t="shared" si="699"/>
        <v>1</v>
      </c>
      <c r="S391" s="21" t="str">
        <f t="shared" si="700"/>
        <v>1</v>
      </c>
      <c r="T391" s="21" t="str">
        <f t="shared" si="701"/>
        <v>1</v>
      </c>
      <c r="U391" s="21" t="str">
        <f t="shared" si="702"/>
        <v>1</v>
      </c>
      <c r="V391" s="21" t="str">
        <f t="shared" si="703"/>
        <v>1</v>
      </c>
      <c r="W391" s="21"/>
      <c r="X391" s="21" t="str">
        <f t="shared" si="704"/>
        <v>0</v>
      </c>
      <c r="Y391" s="21" t="str">
        <f t="shared" si="705"/>
        <v>0</v>
      </c>
      <c r="Z391" s="21" t="str">
        <f t="shared" si="706"/>
        <v>0</v>
      </c>
      <c r="AA391" s="118"/>
      <c r="AB391" s="118"/>
      <c r="AC391" s="118"/>
      <c r="AD391" s="118"/>
      <c r="AE391" s="118" t="s">
        <v>51</v>
      </c>
      <c r="AF391" s="118"/>
      <c r="AG391" s="118"/>
      <c r="AH391" s="21">
        <v>920000</v>
      </c>
      <c r="AI391" s="26" t="s">
        <v>112</v>
      </c>
      <c r="AJ391" s="26">
        <v>95502</v>
      </c>
      <c r="AK391" s="26" t="str">
        <f t="shared" si="707"/>
        <v>0</v>
      </c>
      <c r="AL391" s="123" t="str">
        <f t="shared" si="725"/>
        <v>14821/월간 일정 현황/eis.report/EisReport15</v>
      </c>
      <c r="AM391" s="26" t="s">
        <v>2981</v>
      </c>
      <c r="AN391" s="26"/>
      <c r="AO391" s="26"/>
      <c r="AP391" s="26"/>
      <c r="AQ391" s="26"/>
      <c r="AR391" s="26"/>
      <c r="AS391" s="26"/>
      <c r="AT391" s="26"/>
      <c r="AU391" s="26"/>
      <c r="AV391" s="26"/>
      <c r="AW391" s="26"/>
      <c r="AX391" s="26"/>
      <c r="AY391" s="124"/>
      <c r="AZ391" s="138" t="str">
        <f>IF(C391="","","delete from module_mst where pjt_id = '"&amp;C391&amp;"' and menu_id = '"&amp;E391&amp;"';")</f>
        <v>delete from module_mst where pjt_id = '14821' and menu_id = '920011';</v>
      </c>
      <c r="BA391" s="31" t="str">
        <f>IF(C391&lt;&gt;"",CREATE_QUERY($D$1,C$2:AY$2,C391:AY391),"")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'920011', '월간 일정 현황', 'Monthly schedule status', '', '', '', '1', '1', '1', 'eis.report', 'EisReport15', '1', '1', '1', '1', '1', '1', '1', '', '0', '0', '0', '', '', '', '', 'N', '', '', '920000', '4', '95502', '0', '14821/월간 일정 현황/eis.report/EisReport15', '공통', '');</v>
      </c>
    </row>
    <row r="392" spans="1:53">
      <c r="A392" s="1">
        <v>392</v>
      </c>
      <c r="B392" s="159" t="str">
        <f t="shared" si="692"/>
        <v xml:space="preserve">    └ (일양)수주별 원가분석</v>
      </c>
      <c r="C392" s="27" t="str">
        <f t="shared" si="693"/>
        <v>14821</v>
      </c>
      <c r="D392" s="121"/>
      <c r="E392" s="21">
        <v>920013</v>
      </c>
      <c r="F392" s="118" t="s">
        <v>2956</v>
      </c>
      <c r="G392" s="118" t="s">
        <v>3208</v>
      </c>
      <c r="H392" s="118"/>
      <c r="I392" s="118"/>
      <c r="J392" s="118"/>
      <c r="K392" s="21" t="str">
        <f t="shared" si="694"/>
        <v>1</v>
      </c>
      <c r="L392" s="21" t="str">
        <f t="shared" si="695"/>
        <v>1</v>
      </c>
      <c r="M392" s="21" t="str">
        <f t="shared" si="696"/>
        <v>1</v>
      </c>
      <c r="N392" s="118" t="s">
        <v>2957</v>
      </c>
      <c r="O392" s="118" t="s">
        <v>2958</v>
      </c>
      <c r="P392" s="21" t="str">
        <f t="shared" si="697"/>
        <v>1</v>
      </c>
      <c r="Q392" s="21" t="str">
        <f t="shared" si="698"/>
        <v>1</v>
      </c>
      <c r="R392" s="21" t="str">
        <f t="shared" si="699"/>
        <v>1</v>
      </c>
      <c r="S392" s="21" t="str">
        <f t="shared" si="700"/>
        <v>1</v>
      </c>
      <c r="T392" s="21" t="str">
        <f t="shared" si="701"/>
        <v>1</v>
      </c>
      <c r="U392" s="21" t="str">
        <f t="shared" si="702"/>
        <v>1</v>
      </c>
      <c r="V392" s="21" t="str">
        <f t="shared" si="703"/>
        <v>1</v>
      </c>
      <c r="W392" s="21"/>
      <c r="X392" s="21" t="str">
        <f t="shared" si="704"/>
        <v>0</v>
      </c>
      <c r="Y392" s="21" t="str">
        <f t="shared" si="705"/>
        <v>0</v>
      </c>
      <c r="Z392" s="21" t="str">
        <f t="shared" si="706"/>
        <v>0</v>
      </c>
      <c r="AA392" s="118"/>
      <c r="AB392" s="118"/>
      <c r="AC392" s="118"/>
      <c r="AD392" s="118"/>
      <c r="AE392" s="118" t="s">
        <v>51</v>
      </c>
      <c r="AF392" s="118"/>
      <c r="AG392" s="118"/>
      <c r="AH392" s="21">
        <v>920000</v>
      </c>
      <c r="AI392" s="26" t="s">
        <v>112</v>
      </c>
      <c r="AJ392" s="26">
        <v>95506</v>
      </c>
      <c r="AK392" s="26" t="str">
        <f t="shared" si="707"/>
        <v>0</v>
      </c>
      <c r="AL392" s="123" t="str">
        <f t="shared" si="725"/>
        <v>14821/수주별 원가분석/custom.iypkg.eis/EisReport1</v>
      </c>
      <c r="AM392" s="26" t="s">
        <v>2982</v>
      </c>
      <c r="AN392" s="26"/>
      <c r="AO392" s="26"/>
      <c r="AP392" s="26"/>
      <c r="AQ392" s="26"/>
      <c r="AR392" s="26"/>
      <c r="AS392" s="26"/>
      <c r="AT392" s="26"/>
      <c r="AU392" s="26"/>
      <c r="AV392" s="26"/>
      <c r="AW392" s="26" t="s">
        <v>1829</v>
      </c>
      <c r="AX392" s="26"/>
      <c r="AY392" s="124"/>
      <c r="AZ392" s="138" t="str">
        <f>IF(C392="","","delete from module_mst where pjt_id = '"&amp;C392&amp;"' and menu_id = '"&amp;E392&amp;"';")</f>
        <v>delete from module_mst where pjt_id = '14821' and menu_id = '920013';</v>
      </c>
      <c r="BA392" s="31" t="str">
        <f>IF(C392&lt;&gt;"",CREATE_QUERY($D$1,C$2:AY$2,C392:AY392),"")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'920013', '수주별 원가분석', 'Cost analysis by order', '', '', '', '1', '1', '1', 'custom.iypkg.eis', 'EisReport1', '1', '1', '1', '1', '1', '1', '1', '', '0', '0', '0', '', '', '', '', 'N', '', '', '920000', '4', '95506', '0', '14821/수주별 원가분석/custom.iypkg.eis/EisReport1', '일양', '');</v>
      </c>
    </row>
    <row r="393" spans="1:53">
      <c r="A393" s="1">
        <v>393</v>
      </c>
      <c r="B393" s="159" t="str">
        <f t="shared" si="692"/>
        <v xml:space="preserve">    └ (공통)실시간 생산 현황</v>
      </c>
      <c r="C393" s="27" t="str">
        <f t="shared" si="693"/>
        <v>14821</v>
      </c>
      <c r="D393" s="121"/>
      <c r="E393" s="21">
        <v>920014</v>
      </c>
      <c r="F393" s="118" t="s">
        <v>3011</v>
      </c>
      <c r="G393" s="118" t="s">
        <v>3182</v>
      </c>
      <c r="H393" s="118"/>
      <c r="I393" s="118"/>
      <c r="J393" s="118"/>
      <c r="K393" s="21" t="str">
        <f t="shared" si="694"/>
        <v>1</v>
      </c>
      <c r="L393" s="21" t="str">
        <f t="shared" si="695"/>
        <v>1</v>
      </c>
      <c r="M393" s="21" t="str">
        <f t="shared" si="696"/>
        <v>1</v>
      </c>
      <c r="N393" s="118" t="s">
        <v>328</v>
      </c>
      <c r="O393" s="118" t="s">
        <v>3012</v>
      </c>
      <c r="P393" s="21" t="str">
        <f t="shared" si="697"/>
        <v>1</v>
      </c>
      <c r="Q393" s="21" t="str">
        <f t="shared" si="698"/>
        <v>1</v>
      </c>
      <c r="R393" s="21" t="str">
        <f t="shared" si="699"/>
        <v>1</v>
      </c>
      <c r="S393" s="21" t="str">
        <f t="shared" si="700"/>
        <v>1</v>
      </c>
      <c r="T393" s="21" t="str">
        <f t="shared" si="701"/>
        <v>1</v>
      </c>
      <c r="U393" s="21" t="str">
        <f t="shared" si="702"/>
        <v>1</v>
      </c>
      <c r="V393" s="21" t="str">
        <f t="shared" si="703"/>
        <v>1</v>
      </c>
      <c r="W393" s="21"/>
      <c r="X393" s="21" t="str">
        <f t="shared" si="704"/>
        <v>0</v>
      </c>
      <c r="Y393" s="21" t="str">
        <f t="shared" si="705"/>
        <v>0</v>
      </c>
      <c r="Z393" s="21" t="str">
        <f t="shared" si="706"/>
        <v>0</v>
      </c>
      <c r="AA393" s="118"/>
      <c r="AB393" s="118"/>
      <c r="AC393" s="118"/>
      <c r="AD393" s="118"/>
      <c r="AE393" s="118" t="s">
        <v>51</v>
      </c>
      <c r="AF393" s="118"/>
      <c r="AG393" s="118"/>
      <c r="AH393" s="21">
        <v>920000</v>
      </c>
      <c r="AI393" s="26" t="s">
        <v>112</v>
      </c>
      <c r="AJ393" s="26">
        <v>95508</v>
      </c>
      <c r="AK393" s="26" t="str">
        <f t="shared" si="707"/>
        <v>0</v>
      </c>
      <c r="AL393" s="123" t="str">
        <f t="shared" si="725"/>
        <v>14821/실시간 생산 현황/prod.order/WorkMonitering</v>
      </c>
      <c r="AM393" s="26" t="s">
        <v>2984</v>
      </c>
      <c r="AN393" s="26"/>
      <c r="AO393" s="26"/>
      <c r="AP393" s="26"/>
      <c r="AQ393" s="26"/>
      <c r="AR393" s="26"/>
      <c r="AS393" s="26"/>
      <c r="AT393" s="26"/>
      <c r="AU393" s="26"/>
      <c r="AV393" s="26"/>
      <c r="AW393" s="26"/>
      <c r="AX393" s="26"/>
      <c r="AY393" s="124"/>
      <c r="AZ393" s="138" t="str">
        <f>IF(C393="","","delete from module_mst where pjt_id = '"&amp;C393&amp;"' and menu_id = '"&amp;E393&amp;"';")</f>
        <v>delete from module_mst where pjt_id = '14821' and menu_id = '920014';</v>
      </c>
      <c r="BA393" s="31" t="str">
        <f>IF(C393&lt;&gt;"",CREATE_QUERY($D$1,C$2:AY$2,C393:AY393),"")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'920014', '실시간 생산 현황', 'Real-time production status', '', '', '', '1', '1', '1', 'prod.order', 'WorkMonitering', '1', '1', '1', '1', '1', '1', '1', '', '0', '0', '0', '', '', '', '', 'N', '', '', '920000', '4', '95508', '0', '14821/실시간 생산 현황/prod.order/WorkMonitering', '공통', '');</v>
      </c>
    </row>
    <row r="394" spans="1:53">
      <c r="A394" s="1">
        <v>394</v>
      </c>
      <c r="B394" s="159" t="str">
        <f t="shared" si="692"/>
        <v/>
      </c>
      <c r="C394" s="27" t="str">
        <f t="shared" si="693"/>
        <v/>
      </c>
      <c r="D394" s="121"/>
      <c r="E394" s="21">
        <v>920015</v>
      </c>
      <c r="F394" s="118"/>
      <c r="G394" s="118" t="s">
        <v>900</v>
      </c>
      <c r="H394" s="118"/>
      <c r="I394" s="118"/>
      <c r="J394" s="118"/>
      <c r="K394" s="21" t="str">
        <f t="shared" si="694"/>
        <v/>
      </c>
      <c r="L394" s="21" t="str">
        <f t="shared" si="695"/>
        <v/>
      </c>
      <c r="M394" s="21" t="str">
        <f t="shared" si="696"/>
        <v>0</v>
      </c>
      <c r="N394" s="118"/>
      <c r="O394" s="118"/>
      <c r="P394" s="21" t="str">
        <f t="shared" si="697"/>
        <v>0</v>
      </c>
      <c r="Q394" s="21" t="str">
        <f t="shared" si="698"/>
        <v>0</v>
      </c>
      <c r="R394" s="21" t="str">
        <f t="shared" si="699"/>
        <v>0</v>
      </c>
      <c r="S394" s="21" t="str">
        <f t="shared" si="700"/>
        <v>0</v>
      </c>
      <c r="T394" s="21" t="str">
        <f t="shared" si="701"/>
        <v>0</v>
      </c>
      <c r="U394" s="21" t="str">
        <f t="shared" si="702"/>
        <v>0</v>
      </c>
      <c r="V394" s="21" t="str">
        <f t="shared" si="703"/>
        <v>1</v>
      </c>
      <c r="W394" s="21"/>
      <c r="X394" s="21" t="str">
        <f t="shared" si="704"/>
        <v/>
      </c>
      <c r="Y394" s="21" t="str">
        <f t="shared" si="705"/>
        <v/>
      </c>
      <c r="Z394" s="21" t="str">
        <f t="shared" si="706"/>
        <v/>
      </c>
      <c r="AA394" s="118"/>
      <c r="AB394" s="118"/>
      <c r="AC394" s="118"/>
      <c r="AD394" s="118"/>
      <c r="AE394" s="118" t="s">
        <v>51</v>
      </c>
      <c r="AF394" s="118"/>
      <c r="AG394" s="118"/>
      <c r="AH394" s="21">
        <v>920000</v>
      </c>
      <c r="AI394" s="26" t="s">
        <v>112</v>
      </c>
      <c r="AJ394" s="26">
        <v>95510</v>
      </c>
      <c r="AK394" s="26" t="str">
        <f t="shared" si="707"/>
        <v/>
      </c>
      <c r="AL394" s="123" t="str">
        <f t="shared" si="725"/>
        <v/>
      </c>
      <c r="AM394" s="26"/>
      <c r="AN394" s="26"/>
      <c r="AO394" s="26"/>
      <c r="AP394" s="26"/>
      <c r="AQ394" s="26"/>
      <c r="AR394" s="26"/>
      <c r="AS394" s="26"/>
      <c r="AT394" s="26"/>
      <c r="AU394" s="26"/>
      <c r="AV394" s="26"/>
      <c r="AW394" s="26"/>
      <c r="AX394" s="26"/>
      <c r="AY394" s="124"/>
      <c r="AZ394" s="138" t="str">
        <f>IF(C394="","","delete from module_mst where pjt_id = '"&amp;C394&amp;"' and menu_id = '"&amp;E394&amp;"';")</f>
        <v/>
      </c>
      <c r="BA394" s="31" t="str">
        <f>IF(C394&lt;&gt;"",CREATE_QUERY($D$1,C$2:AY$2,C394:AY394),"")</f>
        <v/>
      </c>
    </row>
    <row r="395" spans="1:53">
      <c r="A395" s="1">
        <v>395</v>
      </c>
      <c r="B395" s="159" t="str">
        <f t="shared" si="692"/>
        <v xml:space="preserve">    └ (공통)매입 통계 분석</v>
      </c>
      <c r="C395" s="27" t="str">
        <f t="shared" si="693"/>
        <v>14821</v>
      </c>
      <c r="D395" s="121"/>
      <c r="E395" s="21">
        <v>920016</v>
      </c>
      <c r="F395" s="118" t="s">
        <v>3038</v>
      </c>
      <c r="G395" s="118" t="s">
        <v>3209</v>
      </c>
      <c r="H395" s="118"/>
      <c r="I395" s="118"/>
      <c r="J395" s="118"/>
      <c r="K395" s="21" t="str">
        <f t="shared" si="694"/>
        <v>1</v>
      </c>
      <c r="L395" s="21" t="str">
        <f t="shared" si="695"/>
        <v>1</v>
      </c>
      <c r="M395" s="21" t="str">
        <f t="shared" si="696"/>
        <v>1</v>
      </c>
      <c r="N395" s="118" t="s">
        <v>2957</v>
      </c>
      <c r="O395" s="118" t="s">
        <v>2323</v>
      </c>
      <c r="P395" s="21" t="str">
        <f t="shared" si="697"/>
        <v>1</v>
      </c>
      <c r="Q395" s="21" t="str">
        <f t="shared" si="698"/>
        <v>1</v>
      </c>
      <c r="R395" s="21" t="str">
        <f t="shared" si="699"/>
        <v>1</v>
      </c>
      <c r="S395" s="21" t="str">
        <f t="shared" si="700"/>
        <v>1</v>
      </c>
      <c r="T395" s="21" t="str">
        <f t="shared" si="701"/>
        <v>1</v>
      </c>
      <c r="U395" s="21" t="str">
        <f t="shared" si="702"/>
        <v>1</v>
      </c>
      <c r="V395" s="21" t="str">
        <f t="shared" si="703"/>
        <v>1</v>
      </c>
      <c r="W395" s="21"/>
      <c r="X395" s="21" t="str">
        <f t="shared" si="704"/>
        <v>0</v>
      </c>
      <c r="Y395" s="21" t="str">
        <f t="shared" si="705"/>
        <v>0</v>
      </c>
      <c r="Z395" s="21" t="str">
        <f t="shared" si="706"/>
        <v>0</v>
      </c>
      <c r="AA395" s="118"/>
      <c r="AB395" s="118"/>
      <c r="AC395" s="118"/>
      <c r="AD395" s="118"/>
      <c r="AE395" s="118" t="s">
        <v>51</v>
      </c>
      <c r="AF395" s="118"/>
      <c r="AG395" s="118"/>
      <c r="AH395" s="21">
        <v>920000</v>
      </c>
      <c r="AI395" s="26" t="s">
        <v>112</v>
      </c>
      <c r="AJ395" s="26">
        <v>95512</v>
      </c>
      <c r="AK395" s="26" t="str">
        <f t="shared" si="707"/>
        <v>0</v>
      </c>
      <c r="AL395" s="123" t="str">
        <f t="shared" si="725"/>
        <v>14821/매입 통계 분석/custom.iypkg.eis/EisReport11</v>
      </c>
      <c r="AM395" s="26" t="s">
        <v>2984</v>
      </c>
      <c r="AN395" s="26"/>
      <c r="AO395" s="26"/>
      <c r="AP395" s="26"/>
      <c r="AQ395" s="26"/>
      <c r="AR395" s="26"/>
      <c r="AS395" s="26"/>
      <c r="AT395" s="26"/>
      <c r="AU395" s="26"/>
      <c r="AV395" s="26"/>
      <c r="AW395" s="26" t="s">
        <v>1829</v>
      </c>
      <c r="AX395" s="26"/>
      <c r="AY395" s="124"/>
      <c r="AZ395" s="138" t="str">
        <f>IF(C395="","","delete from module_mst where pjt_id = '"&amp;C395&amp;"' and menu_id = '"&amp;E395&amp;"';")</f>
        <v>delete from module_mst where pjt_id = '14821' and menu_id = '920016';</v>
      </c>
      <c r="BA395" s="31" t="str">
        <f>IF(C395&lt;&gt;"",CREATE_QUERY($D$1,C$2:AY$2,C395:AY395),"")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'920016', '매입 통계 분석', 'Purchase statistics analysis', '', '', '', '1', '1', '1', 'custom.iypkg.eis', 'EisReport11', '1', '1', '1', '1', '1', '1', '1', '', '0', '0', '0', '', '', '', '', 'N', '', '', '920000', '4', '95512', '0', '14821/매입 통계 분석/custom.iypkg.eis/EisReport11', '공통', '');</v>
      </c>
    </row>
    <row r="396" spans="1:53">
      <c r="A396" s="1">
        <v>396</v>
      </c>
      <c r="B396" s="159" t="str">
        <f t="shared" si="692"/>
        <v xml:space="preserve">    └ (공통)외주 통계 분석</v>
      </c>
      <c r="C396" s="27" t="str">
        <f t="shared" si="693"/>
        <v>14821</v>
      </c>
      <c r="D396" s="121"/>
      <c r="E396" s="21">
        <v>920017</v>
      </c>
      <c r="F396" s="118" t="s">
        <v>3039</v>
      </c>
      <c r="G396" s="118" t="s">
        <v>3210</v>
      </c>
      <c r="H396" s="118"/>
      <c r="I396" s="118"/>
      <c r="J396" s="118"/>
      <c r="K396" s="21" t="str">
        <f t="shared" si="694"/>
        <v>1</v>
      </c>
      <c r="L396" s="21" t="str">
        <f t="shared" si="695"/>
        <v>1</v>
      </c>
      <c r="M396" s="21" t="str">
        <f t="shared" si="696"/>
        <v>1</v>
      </c>
      <c r="N396" s="118" t="s">
        <v>2957</v>
      </c>
      <c r="O396" s="118" t="s">
        <v>2327</v>
      </c>
      <c r="P396" s="21" t="str">
        <f t="shared" si="697"/>
        <v>1</v>
      </c>
      <c r="Q396" s="21" t="str">
        <f t="shared" si="698"/>
        <v>1</v>
      </c>
      <c r="R396" s="21" t="str">
        <f t="shared" si="699"/>
        <v>1</v>
      </c>
      <c r="S396" s="21" t="str">
        <f t="shared" si="700"/>
        <v>1</v>
      </c>
      <c r="T396" s="21" t="str">
        <f t="shared" si="701"/>
        <v>1</v>
      </c>
      <c r="U396" s="21" t="str">
        <f t="shared" si="702"/>
        <v>1</v>
      </c>
      <c r="V396" s="21" t="str">
        <f t="shared" si="703"/>
        <v>1</v>
      </c>
      <c r="W396" s="21"/>
      <c r="X396" s="21" t="str">
        <f t="shared" si="704"/>
        <v>0</v>
      </c>
      <c r="Y396" s="21" t="str">
        <f t="shared" si="705"/>
        <v>0</v>
      </c>
      <c r="Z396" s="21" t="str">
        <f t="shared" si="706"/>
        <v>0</v>
      </c>
      <c r="AA396" s="118"/>
      <c r="AB396" s="118"/>
      <c r="AC396" s="118"/>
      <c r="AD396" s="118"/>
      <c r="AE396" s="118" t="s">
        <v>51</v>
      </c>
      <c r="AF396" s="118"/>
      <c r="AG396" s="118"/>
      <c r="AH396" s="21">
        <v>920000</v>
      </c>
      <c r="AI396" s="26" t="s">
        <v>112</v>
      </c>
      <c r="AJ396" s="26">
        <v>95514</v>
      </c>
      <c r="AK396" s="26" t="str">
        <f t="shared" si="707"/>
        <v>0</v>
      </c>
      <c r="AL396" s="123" t="str">
        <f t="shared" ref="AL396:AL402" si="726">IF(C396="","",C396&amp;"/"&amp;F396&amp;"/"&amp;N396&amp;"/"&amp;O396)</f>
        <v>14821/외주 통계 분석/custom.iypkg.eis/EisReport12</v>
      </c>
      <c r="AM396" s="26" t="s">
        <v>2984</v>
      </c>
      <c r="AN396" s="26"/>
      <c r="AO396" s="26"/>
      <c r="AP396" s="26"/>
      <c r="AQ396" s="26"/>
      <c r="AR396" s="26"/>
      <c r="AS396" s="26"/>
      <c r="AT396" s="26"/>
      <c r="AU396" s="26"/>
      <c r="AV396" s="26"/>
      <c r="AW396" s="26" t="s">
        <v>1829</v>
      </c>
      <c r="AX396" s="26"/>
      <c r="AY396" s="124"/>
      <c r="AZ396" s="138" t="str">
        <f>IF(C396="","","delete from module_mst where pjt_id = '"&amp;C396&amp;"' and menu_id = '"&amp;E396&amp;"';")</f>
        <v>delete from module_mst where pjt_id = '14821' and menu_id = '920017';</v>
      </c>
      <c r="BA396" s="31" t="str">
        <f>IF(C396&lt;&gt;"",CREATE_QUERY($D$1,C$2:AY$2,C396:AY396),"")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'920017', '외주 통계 분석', 'Outsourcing statistics analysis', '', '', '', '1', '1', '1', 'custom.iypkg.eis', 'EisReport12', '1', '1', '1', '1', '1', '1', '1', '', '0', '0', '0', '', '', '', '', 'N', '', '', '920000', '4', '95514', '0', '14821/외주 통계 분석/custom.iypkg.eis/EisReport12', '공통', '');</v>
      </c>
    </row>
    <row r="397" spans="1:53">
      <c r="A397" s="1">
        <v>397</v>
      </c>
      <c r="B397" s="159" t="str">
        <f t="shared" si="692"/>
        <v xml:space="preserve">    └ (공통)매출 통계 분석</v>
      </c>
      <c r="C397" s="27" t="str">
        <f t="shared" si="693"/>
        <v>14821</v>
      </c>
      <c r="D397" s="121"/>
      <c r="E397" s="21">
        <v>920018</v>
      </c>
      <c r="F397" s="118" t="s">
        <v>3040</v>
      </c>
      <c r="G397" s="118" t="s">
        <v>3211</v>
      </c>
      <c r="H397" s="118"/>
      <c r="I397" s="118"/>
      <c r="J397" s="118"/>
      <c r="K397" s="21" t="str">
        <f t="shared" si="694"/>
        <v>1</v>
      </c>
      <c r="L397" s="21" t="str">
        <f t="shared" si="695"/>
        <v>1</v>
      </c>
      <c r="M397" s="21" t="str">
        <f t="shared" si="696"/>
        <v>1</v>
      </c>
      <c r="N397" s="118" t="s">
        <v>2957</v>
      </c>
      <c r="O397" s="118" t="s">
        <v>2328</v>
      </c>
      <c r="P397" s="21" t="str">
        <f t="shared" ref="P397:P436" si="727">IF(O397="","0","1")</f>
        <v>1</v>
      </c>
      <c r="Q397" s="21" t="str">
        <f t="shared" ref="Q397:Q436" si="728">IF(O397="","0","1")</f>
        <v>1</v>
      </c>
      <c r="R397" s="21" t="str">
        <f t="shared" ref="R397:R436" si="729">IF(O397="","0","1")</f>
        <v>1</v>
      </c>
      <c r="S397" s="21" t="str">
        <f t="shared" ref="S397:S436" si="730">IF(O397="","0","1")</f>
        <v>1</v>
      </c>
      <c r="T397" s="21" t="str">
        <f t="shared" ref="T397:T436" si="731">IF(O397="","0","1")</f>
        <v>1</v>
      </c>
      <c r="U397" s="21" t="str">
        <f t="shared" ref="U397:U436" si="732">IF(O397="","0","1")</f>
        <v>1</v>
      </c>
      <c r="V397" s="21" t="str">
        <f t="shared" ref="V397:V436" si="733">IF(O397="","1","1")</f>
        <v>1</v>
      </c>
      <c r="W397" s="21"/>
      <c r="X397" s="21" t="str">
        <f t="shared" ref="X397:X436" si="734">IF(O397="","","0")</f>
        <v>0</v>
      </c>
      <c r="Y397" s="21" t="str">
        <f t="shared" ref="Y397:Y436" si="735">IF(O397="","","0")</f>
        <v>0</v>
      </c>
      <c r="Z397" s="21" t="str">
        <f t="shared" ref="Z397:Z436" si="736">IF(O397="","","0")</f>
        <v>0</v>
      </c>
      <c r="AA397" s="118"/>
      <c r="AB397" s="118"/>
      <c r="AC397" s="118"/>
      <c r="AD397" s="118"/>
      <c r="AE397" s="118" t="s">
        <v>51</v>
      </c>
      <c r="AF397" s="118"/>
      <c r="AG397" s="118"/>
      <c r="AH397" s="21">
        <v>920000</v>
      </c>
      <c r="AI397" s="26" t="s">
        <v>112</v>
      </c>
      <c r="AJ397" s="26">
        <v>95516</v>
      </c>
      <c r="AK397" s="26" t="str">
        <f t="shared" si="707"/>
        <v>0</v>
      </c>
      <c r="AL397" s="123" t="str">
        <f t="shared" si="726"/>
        <v>14821/매출 통계 분석/custom.iypkg.eis/EisReport13</v>
      </c>
      <c r="AM397" s="26" t="s">
        <v>2984</v>
      </c>
      <c r="AN397" s="26"/>
      <c r="AO397" s="26"/>
      <c r="AP397" s="26"/>
      <c r="AQ397" s="26"/>
      <c r="AR397" s="26"/>
      <c r="AS397" s="26"/>
      <c r="AT397" s="26"/>
      <c r="AU397" s="26"/>
      <c r="AV397" s="26"/>
      <c r="AW397" s="26" t="s">
        <v>1829</v>
      </c>
      <c r="AX397" s="26"/>
      <c r="AY397" s="124"/>
      <c r="AZ397" s="138" t="str">
        <f>IF(C397="","","delete from module_mst where pjt_id = '"&amp;C397&amp;"' and menu_id = '"&amp;E397&amp;"';")</f>
        <v>delete from module_mst where pjt_id = '14821' and menu_id = '920018';</v>
      </c>
      <c r="BA397" s="31" t="str">
        <f>IF(C397&lt;&gt;"",CREATE_QUERY($D$1,C$2:AY$2,C397:AY397),"")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'920018', '매출 통계 분석', 'Sales statistics analysis', '', '', '', '1', '1', '1', 'custom.iypkg.eis', 'EisReport13', '1', '1', '1', '1', '1', '1', '1', '', '0', '0', '0', '', '', '', '', 'N', '', '', '920000', '4', '95516', '0', '14821/매출 통계 분석/custom.iypkg.eis/EisReport13', '공통', '');</v>
      </c>
    </row>
    <row r="398" spans="1:53">
      <c r="A398" s="1">
        <v>398</v>
      </c>
      <c r="B398" s="159" t="str">
        <f t="shared" si="692"/>
        <v xml:space="preserve">    └ (공통)수주 실적 분석</v>
      </c>
      <c r="C398" s="27" t="str">
        <f t="shared" si="693"/>
        <v>14821</v>
      </c>
      <c r="D398" s="121"/>
      <c r="E398" s="21">
        <v>920019</v>
      </c>
      <c r="F398" s="118" t="s">
        <v>3041</v>
      </c>
      <c r="G398" s="118" t="s">
        <v>3212</v>
      </c>
      <c r="H398" s="118"/>
      <c r="I398" s="118"/>
      <c r="J398" s="118"/>
      <c r="K398" s="21" t="str">
        <f t="shared" si="694"/>
        <v>1</v>
      </c>
      <c r="L398" s="21" t="str">
        <f t="shared" si="695"/>
        <v>1</v>
      </c>
      <c r="M398" s="21" t="str">
        <f t="shared" si="696"/>
        <v>1</v>
      </c>
      <c r="N398" s="118" t="s">
        <v>2957</v>
      </c>
      <c r="O398" s="118" t="s">
        <v>2329</v>
      </c>
      <c r="P398" s="21" t="str">
        <f t="shared" si="727"/>
        <v>1</v>
      </c>
      <c r="Q398" s="21" t="str">
        <f t="shared" si="728"/>
        <v>1</v>
      </c>
      <c r="R398" s="21" t="str">
        <f t="shared" si="729"/>
        <v>1</v>
      </c>
      <c r="S398" s="21" t="str">
        <f t="shared" si="730"/>
        <v>1</v>
      </c>
      <c r="T398" s="21" t="str">
        <f t="shared" si="731"/>
        <v>1</v>
      </c>
      <c r="U398" s="21" t="str">
        <f t="shared" si="732"/>
        <v>1</v>
      </c>
      <c r="V398" s="21" t="str">
        <f t="shared" si="733"/>
        <v>1</v>
      </c>
      <c r="W398" s="21"/>
      <c r="X398" s="21" t="str">
        <f t="shared" si="734"/>
        <v>0</v>
      </c>
      <c r="Y398" s="21" t="str">
        <f t="shared" si="735"/>
        <v>0</v>
      </c>
      <c r="Z398" s="21" t="str">
        <f t="shared" si="736"/>
        <v>0</v>
      </c>
      <c r="AA398" s="118"/>
      <c r="AB398" s="118"/>
      <c r="AC398" s="118"/>
      <c r="AD398" s="118"/>
      <c r="AE398" s="118" t="s">
        <v>51</v>
      </c>
      <c r="AF398" s="118"/>
      <c r="AG398" s="118"/>
      <c r="AH398" s="21">
        <v>920000</v>
      </c>
      <c r="AI398" s="26" t="s">
        <v>112</v>
      </c>
      <c r="AJ398" s="26">
        <v>95518</v>
      </c>
      <c r="AK398" s="26" t="str">
        <f t="shared" si="707"/>
        <v>0</v>
      </c>
      <c r="AL398" s="123" t="str">
        <f t="shared" si="726"/>
        <v>14821/수주 실적 분석/custom.iypkg.eis/EisReport14</v>
      </c>
      <c r="AM398" s="26" t="s">
        <v>2984</v>
      </c>
      <c r="AN398" s="26"/>
      <c r="AO398" s="26"/>
      <c r="AP398" s="26"/>
      <c r="AQ398" s="26"/>
      <c r="AR398" s="26"/>
      <c r="AS398" s="26"/>
      <c r="AT398" s="26"/>
      <c r="AU398" s="26"/>
      <c r="AV398" s="26"/>
      <c r="AW398" s="26" t="s">
        <v>1829</v>
      </c>
      <c r="AX398" s="26"/>
      <c r="AY398" s="124"/>
      <c r="AZ398" s="138" t="str">
        <f>IF(C398="","","delete from module_mst where pjt_id = '"&amp;C398&amp;"' and menu_id = '"&amp;E398&amp;"';")</f>
        <v>delete from module_mst where pjt_id = '14821' and menu_id = '920019';</v>
      </c>
      <c r="BA398" s="31" t="str">
        <f>IF(C398&lt;&gt;"",CREATE_QUERY($D$1,C$2:AY$2,C398:AY398),"")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'920019', '수주 실적 분석', 'Order performance analysis', '', '', '', '1', '1', '1', 'custom.iypkg.eis', 'EisReport14', '1', '1', '1', '1', '1', '1', '1', '', '0', '0', '0', '', '', '', '', 'N', '', '', '920000', '4', '95518', '0', '14821/수주 실적 분석/custom.iypkg.eis/EisReport14', '공통', '');</v>
      </c>
    </row>
    <row r="399" spans="1:53">
      <c r="A399" s="1">
        <v>399</v>
      </c>
      <c r="B399" s="159" t="str">
        <f t="shared" si="692"/>
        <v xml:space="preserve">    └ (공통)생산 통계 분석</v>
      </c>
      <c r="C399" s="27" t="str">
        <f t="shared" si="693"/>
        <v>14821</v>
      </c>
      <c r="D399" s="121"/>
      <c r="E399" s="21">
        <v>920020</v>
      </c>
      <c r="F399" s="118" t="s">
        <v>3042</v>
      </c>
      <c r="G399" s="118" t="s">
        <v>3213</v>
      </c>
      <c r="H399" s="118"/>
      <c r="I399" s="118"/>
      <c r="J399" s="118"/>
      <c r="K399" s="21" t="str">
        <f t="shared" si="694"/>
        <v>1</v>
      </c>
      <c r="L399" s="21" t="str">
        <f t="shared" si="695"/>
        <v>1</v>
      </c>
      <c r="M399" s="21" t="str">
        <f t="shared" si="696"/>
        <v>1</v>
      </c>
      <c r="N399" s="118" t="s">
        <v>2957</v>
      </c>
      <c r="O399" s="118" t="s">
        <v>2435</v>
      </c>
      <c r="P399" s="21" t="str">
        <f t="shared" si="727"/>
        <v>1</v>
      </c>
      <c r="Q399" s="21" t="str">
        <f t="shared" si="728"/>
        <v>1</v>
      </c>
      <c r="R399" s="21" t="str">
        <f t="shared" si="729"/>
        <v>1</v>
      </c>
      <c r="S399" s="21" t="str">
        <f t="shared" si="730"/>
        <v>1</v>
      </c>
      <c r="T399" s="21" t="str">
        <f t="shared" si="731"/>
        <v>1</v>
      </c>
      <c r="U399" s="21" t="str">
        <f t="shared" si="732"/>
        <v>1</v>
      </c>
      <c r="V399" s="21" t="str">
        <f t="shared" si="733"/>
        <v>1</v>
      </c>
      <c r="W399" s="21"/>
      <c r="X399" s="21" t="str">
        <f t="shared" si="734"/>
        <v>0</v>
      </c>
      <c r="Y399" s="21" t="str">
        <f t="shared" si="735"/>
        <v>0</v>
      </c>
      <c r="Z399" s="21" t="str">
        <f t="shared" si="736"/>
        <v>0</v>
      </c>
      <c r="AA399" s="118"/>
      <c r="AB399" s="118"/>
      <c r="AC399" s="118"/>
      <c r="AD399" s="118"/>
      <c r="AE399" s="118" t="s">
        <v>51</v>
      </c>
      <c r="AF399" s="118"/>
      <c r="AG399" s="118"/>
      <c r="AH399" s="21">
        <v>920000</v>
      </c>
      <c r="AI399" s="26" t="s">
        <v>112</v>
      </c>
      <c r="AJ399" s="26">
        <v>95520</v>
      </c>
      <c r="AK399" s="26" t="str">
        <f t="shared" si="707"/>
        <v>0</v>
      </c>
      <c r="AL399" s="123" t="str">
        <f t="shared" si="726"/>
        <v>14821/생산 통계 분석/custom.iypkg.eis/EisReport15</v>
      </c>
      <c r="AM399" s="26" t="s">
        <v>2984</v>
      </c>
      <c r="AN399" s="26"/>
      <c r="AO399" s="26"/>
      <c r="AP399" s="26"/>
      <c r="AQ399" s="26"/>
      <c r="AR399" s="26"/>
      <c r="AS399" s="26"/>
      <c r="AT399" s="26"/>
      <c r="AU399" s="26"/>
      <c r="AV399" s="26"/>
      <c r="AW399" s="26" t="s">
        <v>1829</v>
      </c>
      <c r="AX399" s="26"/>
      <c r="AY399" s="124"/>
      <c r="AZ399" s="138" t="str">
        <f>IF(C399="","","delete from module_mst where pjt_id = '"&amp;C399&amp;"' and menu_id = '"&amp;E399&amp;"';")</f>
        <v>delete from module_mst where pjt_id = '14821' and menu_id = '920020';</v>
      </c>
      <c r="BA399" s="31" t="str">
        <f>IF(C399&lt;&gt;"",CREATE_QUERY($D$1,C$2:AY$2,C399:AY399),"")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'920020', '생산 통계 분석', 'Production Statistics Analysis', '', '', '', '1', '1', '1', 'custom.iypkg.eis', 'EisReport15', '1', '1', '1', '1', '1', '1', '1', '', '0', '0', '0', '', '', '', '', 'N', '', '', '920000', '4', '95520', '0', '14821/생산 통계 분석/custom.iypkg.eis/EisReport15', '공통', '');</v>
      </c>
    </row>
    <row r="400" spans="1:53">
      <c r="A400" s="1">
        <v>400</v>
      </c>
      <c r="B400" s="159" t="str">
        <f t="shared" si="692"/>
        <v xml:space="preserve">    └ (공통)원가 분석</v>
      </c>
      <c r="C400" s="27" t="str">
        <f t="shared" si="693"/>
        <v>14821</v>
      </c>
      <c r="D400" s="121"/>
      <c r="E400" s="21">
        <v>920021</v>
      </c>
      <c r="F400" s="118" t="s">
        <v>3043</v>
      </c>
      <c r="G400" s="118" t="s">
        <v>3214</v>
      </c>
      <c r="H400" s="118"/>
      <c r="I400" s="118"/>
      <c r="J400" s="118"/>
      <c r="K400" s="21" t="str">
        <f t="shared" si="694"/>
        <v>1</v>
      </c>
      <c r="L400" s="21" t="str">
        <f t="shared" si="695"/>
        <v>1</v>
      </c>
      <c r="M400" s="21" t="str">
        <f t="shared" si="696"/>
        <v>1</v>
      </c>
      <c r="N400" s="118" t="s">
        <v>2957</v>
      </c>
      <c r="O400" s="118" t="s">
        <v>2444</v>
      </c>
      <c r="P400" s="21" t="str">
        <f t="shared" si="727"/>
        <v>1</v>
      </c>
      <c r="Q400" s="21" t="str">
        <f t="shared" si="728"/>
        <v>1</v>
      </c>
      <c r="R400" s="21" t="str">
        <f t="shared" si="729"/>
        <v>1</v>
      </c>
      <c r="S400" s="21" t="str">
        <f t="shared" si="730"/>
        <v>1</v>
      </c>
      <c r="T400" s="21" t="str">
        <f t="shared" si="731"/>
        <v>1</v>
      </c>
      <c r="U400" s="21" t="str">
        <f t="shared" si="732"/>
        <v>1</v>
      </c>
      <c r="V400" s="21" t="str">
        <f t="shared" si="733"/>
        <v>1</v>
      </c>
      <c r="W400" s="21"/>
      <c r="X400" s="21" t="str">
        <f t="shared" si="734"/>
        <v>0</v>
      </c>
      <c r="Y400" s="21" t="str">
        <f t="shared" si="735"/>
        <v>0</v>
      </c>
      <c r="Z400" s="21" t="str">
        <f t="shared" si="736"/>
        <v>0</v>
      </c>
      <c r="AA400" s="118"/>
      <c r="AB400" s="118"/>
      <c r="AC400" s="118"/>
      <c r="AD400" s="118"/>
      <c r="AE400" s="118" t="s">
        <v>51</v>
      </c>
      <c r="AF400" s="118"/>
      <c r="AG400" s="118"/>
      <c r="AH400" s="21">
        <v>920000</v>
      </c>
      <c r="AI400" s="26" t="s">
        <v>112</v>
      </c>
      <c r="AJ400" s="26">
        <v>95522</v>
      </c>
      <c r="AK400" s="26" t="str">
        <f t="shared" si="707"/>
        <v>0</v>
      </c>
      <c r="AL400" s="123" t="str">
        <f t="shared" si="726"/>
        <v>14821/원가 분석/custom.iypkg.eis/EisReport16</v>
      </c>
      <c r="AM400" s="26" t="s">
        <v>2984</v>
      </c>
      <c r="AN400" s="26"/>
      <c r="AO400" s="26"/>
      <c r="AP400" s="26"/>
      <c r="AQ400" s="26"/>
      <c r="AR400" s="26"/>
      <c r="AS400" s="26"/>
      <c r="AT400" s="26"/>
      <c r="AU400" s="26"/>
      <c r="AV400" s="26"/>
      <c r="AW400" s="26" t="s">
        <v>1829</v>
      </c>
      <c r="AX400" s="26"/>
      <c r="AY400" s="124"/>
      <c r="AZ400" s="138" t="str">
        <f>IF(C400="","","delete from module_mst where pjt_id = '"&amp;C400&amp;"' and menu_id = '"&amp;E400&amp;"';")</f>
        <v>delete from module_mst where pjt_id = '14821' and menu_id = '920021';</v>
      </c>
      <c r="BA400" s="31" t="str">
        <f>IF(C400&lt;&gt;"",CREATE_QUERY($D$1,C$2:AY$2,C400:AY400),"")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'920021', '원가 분석', 'Cost analysis', '', '', '', '1', '1', '1', 'custom.iypkg.eis', 'EisReport16', '1', '1', '1', '1', '1', '1', '1', '', '0', '0', '0', '', '', '', '', 'N', '', '', '920000', '4', '95522', '0', '14821/원가 분석/custom.iypkg.eis/EisReport16', '공통', '');</v>
      </c>
    </row>
    <row r="401" spans="1:53">
      <c r="A401" s="1">
        <v>401</v>
      </c>
      <c r="B401" s="159" t="str">
        <f t="shared" si="692"/>
        <v xml:space="preserve">    └ (공통)손익분기점 분석</v>
      </c>
      <c r="C401" s="27" t="str">
        <f t="shared" si="693"/>
        <v>14821</v>
      </c>
      <c r="D401" s="121"/>
      <c r="E401" s="21">
        <v>920022</v>
      </c>
      <c r="F401" s="118" t="s">
        <v>3044</v>
      </c>
      <c r="G401" s="118" t="s">
        <v>3215</v>
      </c>
      <c r="H401" s="118"/>
      <c r="I401" s="118"/>
      <c r="J401" s="118"/>
      <c r="K401" s="21" t="str">
        <f t="shared" si="694"/>
        <v>1</v>
      </c>
      <c r="L401" s="21" t="str">
        <f t="shared" si="695"/>
        <v>1</v>
      </c>
      <c r="M401" s="21" t="str">
        <f t="shared" si="696"/>
        <v>1</v>
      </c>
      <c r="N401" s="118" t="s">
        <v>2957</v>
      </c>
      <c r="O401" s="118" t="s">
        <v>3045</v>
      </c>
      <c r="P401" s="21" t="str">
        <f t="shared" si="727"/>
        <v>1</v>
      </c>
      <c r="Q401" s="21" t="str">
        <f t="shared" si="728"/>
        <v>1</v>
      </c>
      <c r="R401" s="21" t="str">
        <f t="shared" si="729"/>
        <v>1</v>
      </c>
      <c r="S401" s="21" t="str">
        <f t="shared" si="730"/>
        <v>1</v>
      </c>
      <c r="T401" s="21" t="str">
        <f t="shared" si="731"/>
        <v>1</v>
      </c>
      <c r="U401" s="21" t="str">
        <f t="shared" si="732"/>
        <v>1</v>
      </c>
      <c r="V401" s="21" t="str">
        <f t="shared" si="733"/>
        <v>1</v>
      </c>
      <c r="W401" s="21"/>
      <c r="X401" s="21" t="str">
        <f t="shared" si="734"/>
        <v>0</v>
      </c>
      <c r="Y401" s="21" t="str">
        <f t="shared" si="735"/>
        <v>0</v>
      </c>
      <c r="Z401" s="21" t="str">
        <f t="shared" si="736"/>
        <v>0</v>
      </c>
      <c r="AA401" s="118"/>
      <c r="AB401" s="118"/>
      <c r="AC401" s="118"/>
      <c r="AD401" s="118"/>
      <c r="AE401" s="118" t="s">
        <v>51</v>
      </c>
      <c r="AF401" s="118"/>
      <c r="AG401" s="118"/>
      <c r="AH401" s="21">
        <v>920000</v>
      </c>
      <c r="AI401" s="26" t="s">
        <v>112</v>
      </c>
      <c r="AJ401" s="26">
        <v>95524</v>
      </c>
      <c r="AK401" s="26" t="str">
        <f t="shared" si="707"/>
        <v>0</v>
      </c>
      <c r="AL401" s="123" t="str">
        <f t="shared" si="726"/>
        <v>14821/손익분기점 분석/custom.iypkg.eis/EisReport17</v>
      </c>
      <c r="AM401" s="26" t="s">
        <v>2984</v>
      </c>
      <c r="AN401" s="26"/>
      <c r="AO401" s="26"/>
      <c r="AP401" s="26"/>
      <c r="AQ401" s="26"/>
      <c r="AR401" s="26"/>
      <c r="AS401" s="26"/>
      <c r="AT401" s="26"/>
      <c r="AU401" s="26"/>
      <c r="AV401" s="26"/>
      <c r="AW401" s="26" t="s">
        <v>1829</v>
      </c>
      <c r="AX401" s="26"/>
      <c r="AY401" s="124"/>
      <c r="AZ401" s="138" t="str">
        <f>IF(C401="","","delete from module_mst where pjt_id = '"&amp;C401&amp;"' and menu_id = '"&amp;E401&amp;"';")</f>
        <v>delete from module_mst where pjt_id = '14821' and menu_id = '920022';</v>
      </c>
      <c r="BA401" s="31" t="str">
        <f>IF(C401&lt;&gt;"",CREATE_QUERY($D$1,C$2:AY$2,C401:AY401),"")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'920022', '손익분기점 분석', 'Break-even point analysis', '', '', '', '1', '1', '1', 'custom.iypkg.eis', 'EisReport17', '1', '1', '1', '1', '1', '1', '1', '', '0', '0', '0', '', '', '', '', 'N', '', '', '920000', '4', '95524', '0', '14821/손익분기점 분석/custom.iypkg.eis/EisReport17', '공통', '');</v>
      </c>
    </row>
    <row r="402" spans="1:53">
      <c r="A402" s="1">
        <v>402</v>
      </c>
      <c r="B402" s="159" t="str">
        <f t="shared" si="692"/>
        <v xml:space="preserve">    └ (공통)매출집계 대비 매입내역</v>
      </c>
      <c r="C402" s="27" t="str">
        <f t="shared" si="693"/>
        <v>14821</v>
      </c>
      <c r="D402" s="121"/>
      <c r="E402" s="21">
        <v>920023</v>
      </c>
      <c r="F402" s="118" t="s">
        <v>3046</v>
      </c>
      <c r="G402" s="118" t="s">
        <v>3235</v>
      </c>
      <c r="H402" s="118"/>
      <c r="I402" s="118"/>
      <c r="J402" s="118"/>
      <c r="K402" s="21" t="str">
        <f t="shared" si="694"/>
        <v>1</v>
      </c>
      <c r="L402" s="21" t="str">
        <f t="shared" si="695"/>
        <v>1</v>
      </c>
      <c r="M402" s="21" t="str">
        <f t="shared" si="696"/>
        <v>1</v>
      </c>
      <c r="N402" s="118" t="s">
        <v>2957</v>
      </c>
      <c r="O402" s="118" t="s">
        <v>3047</v>
      </c>
      <c r="P402" s="21" t="str">
        <f t="shared" si="727"/>
        <v>1</v>
      </c>
      <c r="Q402" s="21" t="str">
        <f t="shared" si="728"/>
        <v>1</v>
      </c>
      <c r="R402" s="21" t="str">
        <f t="shared" si="729"/>
        <v>1</v>
      </c>
      <c r="S402" s="21" t="str">
        <f t="shared" si="730"/>
        <v>1</v>
      </c>
      <c r="T402" s="21" t="str">
        <f t="shared" si="731"/>
        <v>1</v>
      </c>
      <c r="U402" s="21" t="str">
        <f t="shared" si="732"/>
        <v>1</v>
      </c>
      <c r="V402" s="21" t="str">
        <f t="shared" si="733"/>
        <v>1</v>
      </c>
      <c r="W402" s="21"/>
      <c r="X402" s="21" t="str">
        <f t="shared" si="734"/>
        <v>0</v>
      </c>
      <c r="Y402" s="21" t="str">
        <f t="shared" si="735"/>
        <v>0</v>
      </c>
      <c r="Z402" s="21" t="str">
        <f t="shared" si="736"/>
        <v>0</v>
      </c>
      <c r="AA402" s="118"/>
      <c r="AB402" s="118"/>
      <c r="AC402" s="118"/>
      <c r="AD402" s="118"/>
      <c r="AE402" s="118" t="s">
        <v>51</v>
      </c>
      <c r="AF402" s="118"/>
      <c r="AG402" s="118"/>
      <c r="AH402" s="21">
        <v>920000</v>
      </c>
      <c r="AI402" s="26" t="s">
        <v>112</v>
      </c>
      <c r="AJ402" s="26">
        <v>95526</v>
      </c>
      <c r="AK402" s="26" t="str">
        <f t="shared" si="707"/>
        <v>0</v>
      </c>
      <c r="AL402" s="123" t="str">
        <f t="shared" si="726"/>
        <v>14821/매출집계 대비 매입내역/custom.iypkg.eis/EisReport18</v>
      </c>
      <c r="AM402" s="26" t="s">
        <v>2984</v>
      </c>
      <c r="AN402" s="26"/>
      <c r="AO402" s="26"/>
      <c r="AP402" s="26"/>
      <c r="AQ402" s="26"/>
      <c r="AR402" s="26"/>
      <c r="AS402" s="26"/>
      <c r="AT402" s="26"/>
      <c r="AU402" s="26"/>
      <c r="AV402" s="26"/>
      <c r="AW402" s="26" t="s">
        <v>1829</v>
      </c>
      <c r="AX402" s="26"/>
      <c r="AY402" s="124"/>
      <c r="AZ402" s="138" t="str">
        <f>IF(C402="","","delete from module_mst where pjt_id = '"&amp;C402&amp;"' and menu_id = '"&amp;E402&amp;"';")</f>
        <v>delete from module_mst where pjt_id = '14821' and menu_id = '920023';</v>
      </c>
      <c r="BA402" s="31" t="str">
        <f>IF(C402&lt;&gt;"",CREATE_QUERY($D$1,C$2:AY$2,C402:AY402),"")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'920023', '매출집계 대비 매입내역', 'Purchase details in comparison to sales', '', '', '', '1', '1', '1', 'custom.iypkg.eis', 'EisReport18', '1', '1', '1', '1', '1', '1', '1', '', '0', '0', '0', '', '', '', '', 'N', '', '', '920000', '4', '95526', '0', '14821/매출집계 대비 매입내역/custom.iypkg.eis/EisReport18', '공통', '');</v>
      </c>
    </row>
    <row r="403" spans="1:53">
      <c r="A403" s="1">
        <v>403</v>
      </c>
      <c r="B403" s="159" t="str">
        <f t="shared" si="692"/>
        <v xml:space="preserve">    └ (공통)생산설비 모니터링</v>
      </c>
      <c r="C403" s="27" t="str">
        <f t="shared" si="693"/>
        <v>14821</v>
      </c>
      <c r="D403" s="121"/>
      <c r="E403" s="21">
        <v>920024</v>
      </c>
      <c r="F403" s="118" t="s">
        <v>2357</v>
      </c>
      <c r="G403" s="118" t="s">
        <v>900</v>
      </c>
      <c r="H403" s="118"/>
      <c r="I403" s="118"/>
      <c r="J403" s="118"/>
      <c r="K403" s="21" t="str">
        <f t="shared" si="694"/>
        <v>1</v>
      </c>
      <c r="L403" s="21" t="str">
        <f t="shared" si="695"/>
        <v>1</v>
      </c>
      <c r="M403" s="21" t="str">
        <f t="shared" si="696"/>
        <v>1</v>
      </c>
      <c r="N403" s="118" t="s">
        <v>2957</v>
      </c>
      <c r="O403" s="118" t="s">
        <v>229</v>
      </c>
      <c r="P403" s="21" t="str">
        <f t="shared" si="727"/>
        <v>1</v>
      </c>
      <c r="Q403" s="21" t="str">
        <f t="shared" si="728"/>
        <v>1</v>
      </c>
      <c r="R403" s="21" t="str">
        <f t="shared" si="729"/>
        <v>1</v>
      </c>
      <c r="S403" s="21" t="str">
        <f t="shared" si="730"/>
        <v>1</v>
      </c>
      <c r="T403" s="21" t="str">
        <f t="shared" si="731"/>
        <v>1</v>
      </c>
      <c r="U403" s="21" t="str">
        <f t="shared" si="732"/>
        <v>1</v>
      </c>
      <c r="V403" s="21" t="str">
        <f t="shared" si="733"/>
        <v>1</v>
      </c>
      <c r="W403" s="21"/>
      <c r="X403" s="21" t="str">
        <f t="shared" si="734"/>
        <v>0</v>
      </c>
      <c r="Y403" s="21" t="str">
        <f t="shared" si="735"/>
        <v>0</v>
      </c>
      <c r="Z403" s="21" t="str">
        <f t="shared" si="736"/>
        <v>0</v>
      </c>
      <c r="AA403" s="118"/>
      <c r="AB403" s="118"/>
      <c r="AC403" s="118"/>
      <c r="AD403" s="118"/>
      <c r="AE403" s="118" t="s">
        <v>51</v>
      </c>
      <c r="AF403" s="118"/>
      <c r="AG403" s="118"/>
      <c r="AH403" s="21">
        <v>920000</v>
      </c>
      <c r="AI403" s="26" t="s">
        <v>112</v>
      </c>
      <c r="AJ403" s="26">
        <v>95528</v>
      </c>
      <c r="AK403" s="26" t="str">
        <f t="shared" si="707"/>
        <v>0</v>
      </c>
      <c r="AL403" s="123" t="str">
        <f t="shared" ref="AL403:AL414" si="737">IF(C403="","",C403&amp;"/"&amp;F403&amp;"/"&amp;N403&amp;"/"&amp;O403)</f>
        <v>14821/생산설비 모니터링/custom.iypkg.eis/CvicMonitring</v>
      </c>
      <c r="AM403" s="26" t="s">
        <v>2984</v>
      </c>
      <c r="AN403" s="26"/>
      <c r="AO403" s="26"/>
      <c r="AP403" s="26"/>
      <c r="AQ403" s="26"/>
      <c r="AR403" s="26"/>
      <c r="AS403" s="26"/>
      <c r="AT403" s="26"/>
      <c r="AU403" s="26"/>
      <c r="AV403" s="26"/>
      <c r="AW403" s="26" t="s">
        <v>1829</v>
      </c>
      <c r="AX403" s="26"/>
      <c r="AY403" s="124"/>
      <c r="AZ403" s="138" t="str">
        <f>IF(C403="","","delete from module_mst where pjt_id = '"&amp;C403&amp;"' and menu_id = '"&amp;E403&amp;"';")</f>
        <v>delete from module_mst where pjt_id = '14821' and menu_id = '920024';</v>
      </c>
      <c r="BA403" s="31" t="str">
        <f>IF(C403&lt;&gt;"",CREATE_QUERY($D$1,C$2:AY$2,C403:AY403),"")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'920024', '생산설비 모니터링', '', '', '', '', '1', '1', '1', 'custom.iypkg.eis', 'CvicMonitring', '1', '1', '1', '1', '1', '1', '1', '', '0', '0', '0', '', '', '', '', 'N', '', '', '920000', '4', '95528', '0', '14821/생산설비 모니터링/custom.iypkg.eis/CvicMonitring', '공통', '');</v>
      </c>
    </row>
    <row r="404" spans="1:53">
      <c r="A404" s="1">
        <v>404</v>
      </c>
      <c r="B404" s="159" t="str">
        <f t="shared" ref="B404:B437" si="738">IF(F404="","",IF(AI404="1","",IF(AI404="2","└ ",IF(AI404="3","  └ ",IF(AI404="4","    └ ",IF(AI404="5","        └ ",IF(AI404="6","         └ ",IF(AI404="7"="            └ ",""))))))))&amp;IF(AM404="","",IF(AM404="메뉴","","("&amp;AM404&amp;")"))&amp;F404</f>
        <v xml:space="preserve">    └ (공통)생산설비 가동현황</v>
      </c>
      <c r="C404" s="27" t="str">
        <f t="shared" si="693"/>
        <v>14821</v>
      </c>
      <c r="D404" s="121"/>
      <c r="E404" s="21">
        <v>920025</v>
      </c>
      <c r="F404" s="118" t="s">
        <v>3260</v>
      </c>
      <c r="G404" s="118" t="s">
        <v>900</v>
      </c>
      <c r="H404" s="118"/>
      <c r="I404" s="118"/>
      <c r="J404" s="118"/>
      <c r="K404" s="21" t="str">
        <f t="shared" si="694"/>
        <v>1</v>
      </c>
      <c r="L404" s="21" t="str">
        <f t="shared" si="695"/>
        <v>1</v>
      </c>
      <c r="M404" s="21" t="str">
        <f t="shared" si="696"/>
        <v>1</v>
      </c>
      <c r="N404" s="118" t="s">
        <v>3253</v>
      </c>
      <c r="O404" s="118" t="s">
        <v>3261</v>
      </c>
      <c r="P404" s="21" t="str">
        <f t="shared" si="727"/>
        <v>1</v>
      </c>
      <c r="Q404" s="21" t="str">
        <f t="shared" si="728"/>
        <v>1</v>
      </c>
      <c r="R404" s="21" t="str">
        <f t="shared" si="729"/>
        <v>1</v>
      </c>
      <c r="S404" s="21" t="str">
        <f t="shared" si="730"/>
        <v>1</v>
      </c>
      <c r="T404" s="21" t="str">
        <f t="shared" si="731"/>
        <v>1</v>
      </c>
      <c r="U404" s="21" t="str">
        <f t="shared" si="732"/>
        <v>1</v>
      </c>
      <c r="V404" s="21" t="str">
        <f t="shared" si="733"/>
        <v>1</v>
      </c>
      <c r="W404" s="21"/>
      <c r="X404" s="21" t="str">
        <f t="shared" si="734"/>
        <v>0</v>
      </c>
      <c r="Y404" s="21" t="str">
        <f t="shared" si="735"/>
        <v>0</v>
      </c>
      <c r="Z404" s="21" t="str">
        <f t="shared" si="736"/>
        <v>0</v>
      </c>
      <c r="AA404" s="118"/>
      <c r="AB404" s="118"/>
      <c r="AC404" s="118"/>
      <c r="AD404" s="118"/>
      <c r="AE404" s="118" t="s">
        <v>51</v>
      </c>
      <c r="AF404" s="118"/>
      <c r="AG404" s="118"/>
      <c r="AH404" s="21">
        <v>920000</v>
      </c>
      <c r="AI404" s="26" t="s">
        <v>112</v>
      </c>
      <c r="AJ404" s="26">
        <v>95530</v>
      </c>
      <c r="AK404" s="26" t="str">
        <f t="shared" si="707"/>
        <v>0</v>
      </c>
      <c r="AL404" s="123" t="str">
        <f t="shared" si="737"/>
        <v>14821/생산설비 가동현황/custom.hjsys.prod/WorkListCvic</v>
      </c>
      <c r="AM404" s="26" t="s">
        <v>2984</v>
      </c>
      <c r="AN404" s="26"/>
      <c r="AO404" s="26"/>
      <c r="AP404" s="26"/>
      <c r="AQ404" s="26"/>
      <c r="AR404" s="26"/>
      <c r="AS404" s="26"/>
      <c r="AT404" s="26"/>
      <c r="AU404" s="26"/>
      <c r="AV404" s="26"/>
      <c r="AW404" s="26"/>
      <c r="AX404" s="26" t="s">
        <v>1829</v>
      </c>
      <c r="AY404" s="124"/>
      <c r="AZ404" s="138" t="str">
        <f>IF(C404="","","delete from module_mst where pjt_id = '"&amp;C404&amp;"' and menu_id = '"&amp;E404&amp;"';")</f>
        <v>delete from module_mst where pjt_id = '14821' and menu_id = '920025';</v>
      </c>
      <c r="BA404" s="31" t="str">
        <f>IF(C404&lt;&gt;"",CREATE_QUERY($D$1,C$2:AY$2,C404:AY404),"")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'920025', '생산설비 가동현황', '', '', '', '', '1', '1', '1', 'custom.hjsys.prod', 'WorkListCvic', '1', '1', '1', '1', '1', '1', '1', '', '0', '0', '0', '', '', '', '', 'N', '', '', '920000', '4', '95530', '0', '14821/생산설비 가동현황/custom.hjsys.prod/WorkListCvic', '공통', '');</v>
      </c>
    </row>
    <row r="405" spans="1:53">
      <c r="A405" s="1">
        <v>405</v>
      </c>
      <c r="B405" s="159" t="str">
        <f t="shared" si="738"/>
        <v xml:space="preserve">    └ (공통)대시보드</v>
      </c>
      <c r="C405" s="27" t="str">
        <f t="shared" si="693"/>
        <v>14821</v>
      </c>
      <c r="D405" s="121"/>
      <c r="E405" s="21">
        <v>920026</v>
      </c>
      <c r="F405" s="118" t="s">
        <v>3284</v>
      </c>
      <c r="G405" s="118" t="s">
        <v>900</v>
      </c>
      <c r="H405" s="118"/>
      <c r="I405" s="118"/>
      <c r="J405" s="118"/>
      <c r="K405" s="21" t="str">
        <f t="shared" si="694"/>
        <v>1</v>
      </c>
      <c r="L405" s="21" t="str">
        <f t="shared" si="695"/>
        <v>1</v>
      </c>
      <c r="M405" s="21" t="str">
        <f t="shared" si="696"/>
        <v>1</v>
      </c>
      <c r="N405" s="118" t="s">
        <v>3285</v>
      </c>
      <c r="O405" s="118" t="s">
        <v>3286</v>
      </c>
      <c r="P405" s="21" t="str">
        <f t="shared" si="727"/>
        <v>1</v>
      </c>
      <c r="Q405" s="21" t="str">
        <f t="shared" si="728"/>
        <v>1</v>
      </c>
      <c r="R405" s="21" t="str">
        <f t="shared" si="729"/>
        <v>1</v>
      </c>
      <c r="S405" s="21" t="str">
        <f t="shared" si="730"/>
        <v>1</v>
      </c>
      <c r="T405" s="21" t="str">
        <f t="shared" si="731"/>
        <v>1</v>
      </c>
      <c r="U405" s="21" t="str">
        <f t="shared" si="732"/>
        <v>1</v>
      </c>
      <c r="V405" s="21" t="str">
        <f t="shared" si="733"/>
        <v>1</v>
      </c>
      <c r="W405" s="21"/>
      <c r="X405" s="21" t="str">
        <f t="shared" si="734"/>
        <v>0</v>
      </c>
      <c r="Y405" s="21" t="str">
        <f t="shared" si="735"/>
        <v>0</v>
      </c>
      <c r="Z405" s="21" t="str">
        <f t="shared" si="736"/>
        <v>0</v>
      </c>
      <c r="AA405" s="118"/>
      <c r="AB405" s="118"/>
      <c r="AC405" s="118"/>
      <c r="AD405" s="118"/>
      <c r="AE405" s="118" t="s">
        <v>51</v>
      </c>
      <c r="AF405" s="118"/>
      <c r="AG405" s="118"/>
      <c r="AH405" s="21">
        <v>920000</v>
      </c>
      <c r="AI405" s="26" t="s">
        <v>112</v>
      </c>
      <c r="AJ405" s="26">
        <v>95532</v>
      </c>
      <c r="AK405" s="26" t="str">
        <f t="shared" si="707"/>
        <v>0</v>
      </c>
      <c r="AL405" s="123" t="str">
        <f t="shared" si="737"/>
        <v>14821/대시보드/custom.sjflv.eis/SjdashBoard</v>
      </c>
      <c r="AM405" s="26" t="s">
        <v>2984</v>
      </c>
      <c r="AN405" s="26" t="s">
        <v>3245</v>
      </c>
      <c r="AO405" s="26" t="s">
        <v>3245</v>
      </c>
      <c r="AP405" s="26" t="s">
        <v>3245</v>
      </c>
      <c r="AQ405" s="26" t="s">
        <v>3245</v>
      </c>
      <c r="AR405" s="26" t="s">
        <v>3245</v>
      </c>
      <c r="AS405" s="26" t="s">
        <v>3245</v>
      </c>
      <c r="AT405" s="26" t="s">
        <v>3245</v>
      </c>
      <c r="AU405" s="26" t="s">
        <v>3245</v>
      </c>
      <c r="AV405" s="26" t="s">
        <v>3245</v>
      </c>
      <c r="AW405" s="26" t="s">
        <v>3245</v>
      </c>
      <c r="AX405" s="26" t="s">
        <v>3245</v>
      </c>
      <c r="AY405" s="124"/>
      <c r="AZ405" s="138" t="str">
        <f>IF(C405="","","delete from module_mst where pjt_id = '"&amp;C405&amp;"' and menu_id = '"&amp;E405&amp;"';")</f>
        <v>delete from module_mst where pjt_id = '14821' and menu_id = '920026';</v>
      </c>
      <c r="BA405" s="31" t="str">
        <f>IF(C405&lt;&gt;"",CREATE_QUERY($D$1,C$2:AY$2,C405:AY405),"")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'920026', '대시보드', '', '', '', '', '1', '1', '1', 'custom.sjflv.eis', 'SjdashBoard', '1', '1', '1', '1', '1', '1', '1', '', '0', '0', '0', '', '', '', '', 'N', '', '', '920000', '4', '95532', '0', '14821/대시보드/custom.sjflv.eis/SjdashBoard', '공통', '');</v>
      </c>
    </row>
    <row r="406" spans="1:53">
      <c r="A406" s="1">
        <v>406</v>
      </c>
      <c r="B406" s="159" t="str">
        <f t="shared" si="738"/>
        <v xml:space="preserve">    └ (공통)설비가동현황</v>
      </c>
      <c r="C406" s="27" t="str">
        <f t="shared" si="693"/>
        <v>14821</v>
      </c>
      <c r="D406" s="121"/>
      <c r="E406" s="21">
        <v>920027</v>
      </c>
      <c r="F406" s="118" t="s">
        <v>3289</v>
      </c>
      <c r="G406" s="118" t="s">
        <v>900</v>
      </c>
      <c r="H406" s="118"/>
      <c r="I406" s="118"/>
      <c r="J406" s="118"/>
      <c r="K406" s="21" t="str">
        <f t="shared" si="694"/>
        <v>1</v>
      </c>
      <c r="L406" s="21" t="str">
        <f t="shared" si="695"/>
        <v>1</v>
      </c>
      <c r="M406" s="21" t="str">
        <f t="shared" si="696"/>
        <v>1</v>
      </c>
      <c r="N406" s="118" t="s">
        <v>3287</v>
      </c>
      <c r="O406" s="118" t="s">
        <v>3288</v>
      </c>
      <c r="P406" s="21" t="str">
        <f t="shared" si="727"/>
        <v>1</v>
      </c>
      <c r="Q406" s="21" t="str">
        <f t="shared" si="728"/>
        <v>1</v>
      </c>
      <c r="R406" s="21" t="str">
        <f t="shared" si="729"/>
        <v>1</v>
      </c>
      <c r="S406" s="21" t="str">
        <f t="shared" si="730"/>
        <v>1</v>
      </c>
      <c r="T406" s="21" t="str">
        <f t="shared" si="731"/>
        <v>1</v>
      </c>
      <c r="U406" s="21" t="str">
        <f t="shared" si="732"/>
        <v>1</v>
      </c>
      <c r="V406" s="21" t="str">
        <f t="shared" si="733"/>
        <v>1</v>
      </c>
      <c r="W406" s="21"/>
      <c r="X406" s="21" t="str">
        <f t="shared" si="734"/>
        <v>0</v>
      </c>
      <c r="Y406" s="21" t="str">
        <f t="shared" si="735"/>
        <v>0</v>
      </c>
      <c r="Z406" s="21" t="str">
        <f t="shared" si="736"/>
        <v>0</v>
      </c>
      <c r="AA406" s="118"/>
      <c r="AB406" s="118"/>
      <c r="AC406" s="118"/>
      <c r="AD406" s="118"/>
      <c r="AE406" s="118" t="s">
        <v>51</v>
      </c>
      <c r="AF406" s="118"/>
      <c r="AG406" s="118"/>
      <c r="AH406" s="21">
        <v>920000</v>
      </c>
      <c r="AI406" s="26" t="s">
        <v>112</v>
      </c>
      <c r="AJ406" s="26">
        <v>95534</v>
      </c>
      <c r="AK406" s="26" t="str">
        <f t="shared" si="707"/>
        <v>0</v>
      </c>
      <c r="AL406" s="123" t="str">
        <f t="shared" si="737"/>
        <v>14821/설비가동현황/custom.iypkg.eis/EisReport</v>
      </c>
      <c r="AM406" s="26" t="s">
        <v>2984</v>
      </c>
      <c r="AN406" s="26" t="s">
        <v>3245</v>
      </c>
      <c r="AO406" s="26" t="s">
        <v>3245</v>
      </c>
      <c r="AP406" s="26" t="s">
        <v>3245</v>
      </c>
      <c r="AQ406" s="26" t="s">
        <v>3245</v>
      </c>
      <c r="AR406" s="26" t="s">
        <v>3245</v>
      </c>
      <c r="AS406" s="26" t="s">
        <v>3245</v>
      </c>
      <c r="AT406" s="26" t="s">
        <v>3245</v>
      </c>
      <c r="AU406" s="26" t="s">
        <v>3245</v>
      </c>
      <c r="AV406" s="26" t="s">
        <v>3245</v>
      </c>
      <c r="AW406" s="26" t="s">
        <v>3245</v>
      </c>
      <c r="AX406" s="26" t="s">
        <v>3245</v>
      </c>
      <c r="AY406" s="124"/>
      <c r="AZ406" s="138" t="str">
        <f>IF(C406="","","delete from module_mst where pjt_id = '"&amp;C406&amp;"' and menu_id = '"&amp;E406&amp;"';")</f>
        <v>delete from module_mst where pjt_id = '14821' and menu_id = '920027';</v>
      </c>
      <c r="BA406" s="31" t="str">
        <f>IF(C406&lt;&gt;"",CREATE_QUERY($D$1,C$2:AY$2,C406:AY406),"")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'920027', '설비가동현황', '', '', '', '', '1', '1', '1', 'custom.iypkg.eis', 'EisReport', '1', '1', '1', '1', '1', '1', '1', '', '0', '0', '0', '', '', '', '', 'N', '', '', '920000', '4', '95534', '0', '14821/설비가동현황/custom.iypkg.eis/EisReport', '공통', '');</v>
      </c>
    </row>
    <row r="407" spans="1:53">
      <c r="A407" s="1">
        <v>407</v>
      </c>
      <c r="B407" s="159" t="str">
        <f t="shared" si="738"/>
        <v xml:space="preserve">    └ (공통)완료현황</v>
      </c>
      <c r="C407" s="27" t="str">
        <f t="shared" si="693"/>
        <v>14821</v>
      </c>
      <c r="D407" s="121"/>
      <c r="E407" s="21">
        <v>920028</v>
      </c>
      <c r="F407" s="118" t="s">
        <v>3302</v>
      </c>
      <c r="G407" s="118" t="s">
        <v>900</v>
      </c>
      <c r="H407" s="118"/>
      <c r="I407" s="118"/>
      <c r="J407" s="118"/>
      <c r="K407" s="21" t="str">
        <f t="shared" si="694"/>
        <v>1</v>
      </c>
      <c r="L407" s="21" t="str">
        <f t="shared" si="695"/>
        <v>1</v>
      </c>
      <c r="M407" s="21" t="str">
        <f t="shared" si="696"/>
        <v>1</v>
      </c>
      <c r="N407" s="118" t="s">
        <v>3303</v>
      </c>
      <c r="O407" s="118" t="s">
        <v>390</v>
      </c>
      <c r="P407" s="21" t="str">
        <f t="shared" si="727"/>
        <v>1</v>
      </c>
      <c r="Q407" s="21" t="str">
        <f t="shared" si="728"/>
        <v>1</v>
      </c>
      <c r="R407" s="21" t="str">
        <f t="shared" si="729"/>
        <v>1</v>
      </c>
      <c r="S407" s="21" t="str">
        <f t="shared" si="730"/>
        <v>1</v>
      </c>
      <c r="T407" s="21" t="str">
        <f t="shared" si="731"/>
        <v>1</v>
      </c>
      <c r="U407" s="21" t="str">
        <f t="shared" si="732"/>
        <v>1</v>
      </c>
      <c r="V407" s="21" t="str">
        <f t="shared" si="733"/>
        <v>1</v>
      </c>
      <c r="W407" s="21"/>
      <c r="X407" s="21" t="str">
        <f t="shared" si="734"/>
        <v>0</v>
      </c>
      <c r="Y407" s="21" t="str">
        <f t="shared" si="735"/>
        <v>0</v>
      </c>
      <c r="Z407" s="21" t="str">
        <f t="shared" si="736"/>
        <v>0</v>
      </c>
      <c r="AA407" s="118"/>
      <c r="AB407" s="118"/>
      <c r="AC407" s="118"/>
      <c r="AD407" s="118"/>
      <c r="AE407" s="118" t="s">
        <v>51</v>
      </c>
      <c r="AF407" s="118"/>
      <c r="AG407" s="118"/>
      <c r="AH407" s="21">
        <v>920000</v>
      </c>
      <c r="AI407" s="26" t="s">
        <v>112</v>
      </c>
      <c r="AJ407" s="26">
        <v>95536</v>
      </c>
      <c r="AK407" s="26" t="str">
        <f t="shared" si="707"/>
        <v>0</v>
      </c>
      <c r="AL407" s="123" t="str">
        <f t="shared" si="737"/>
        <v>14821/완료현황/custom.hjsys.eis/EisReport</v>
      </c>
      <c r="AM407" s="26" t="s">
        <v>2984</v>
      </c>
      <c r="AN407" s="26" t="s">
        <v>3245</v>
      </c>
      <c r="AO407" s="26" t="s">
        <v>3245</v>
      </c>
      <c r="AP407" s="26" t="s">
        <v>3245</v>
      </c>
      <c r="AQ407" s="26" t="s">
        <v>3245</v>
      </c>
      <c r="AR407" s="26" t="s">
        <v>3245</v>
      </c>
      <c r="AS407" s="26" t="s">
        <v>3245</v>
      </c>
      <c r="AT407" s="26" t="s">
        <v>3245</v>
      </c>
      <c r="AU407" s="26" t="s">
        <v>3245</v>
      </c>
      <c r="AV407" s="26" t="s">
        <v>3245</v>
      </c>
      <c r="AW407" s="26" t="s">
        <v>3245</v>
      </c>
      <c r="AX407" s="26" t="s">
        <v>3245</v>
      </c>
      <c r="AY407" s="124"/>
      <c r="AZ407" s="138" t="str">
        <f>IF(C407="","","delete from module_mst where pjt_id = '"&amp;C407&amp;"' and menu_id = '"&amp;E407&amp;"';")</f>
        <v>delete from module_mst where pjt_id = '14821' and menu_id = '920028';</v>
      </c>
      <c r="BA407" s="31" t="str">
        <f>IF(C407&lt;&gt;"",CREATE_QUERY($D$1,C$2:AY$2,C407:AY407),"")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'920028', '완료현황', '', '', '', '', '1', '1', '1', 'custom.hjsys.eis', 'EisReport', '1', '1', '1', '1', '1', '1', '1', '', '0', '0', '0', '', '', '', '', 'N', '', '', '920000', '4', '95536', '0', '14821/완료현황/custom.hjsys.eis/EisReport', '공통', '');</v>
      </c>
    </row>
    <row r="408" spans="1:53">
      <c r="A408" s="1">
        <v>408</v>
      </c>
      <c r="B408" s="159" t="str">
        <f t="shared" si="738"/>
        <v xml:space="preserve">    └ (공통)납기준수율 분석</v>
      </c>
      <c r="C408" s="27" t="str">
        <f t="shared" si="693"/>
        <v>14821</v>
      </c>
      <c r="D408" s="121"/>
      <c r="E408" s="21">
        <v>920029</v>
      </c>
      <c r="F408" s="118" t="s">
        <v>3314</v>
      </c>
      <c r="G408" s="118" t="s">
        <v>900</v>
      </c>
      <c r="H408" s="118"/>
      <c r="I408" s="118"/>
      <c r="J408" s="118"/>
      <c r="K408" s="21" t="str">
        <f t="shared" si="694"/>
        <v>1</v>
      </c>
      <c r="L408" s="21" t="str">
        <f t="shared" si="695"/>
        <v>1</v>
      </c>
      <c r="M408" s="21" t="str">
        <f t="shared" si="696"/>
        <v>1</v>
      </c>
      <c r="N408" s="118" t="s">
        <v>3315</v>
      </c>
      <c r="O408" s="118" t="s">
        <v>3316</v>
      </c>
      <c r="P408" s="21" t="str">
        <f t="shared" si="727"/>
        <v>1</v>
      </c>
      <c r="Q408" s="21" t="str">
        <f t="shared" si="728"/>
        <v>1</v>
      </c>
      <c r="R408" s="21" t="str">
        <f t="shared" si="729"/>
        <v>1</v>
      </c>
      <c r="S408" s="21" t="str">
        <f t="shared" si="730"/>
        <v>1</v>
      </c>
      <c r="T408" s="21" t="str">
        <f t="shared" si="731"/>
        <v>1</v>
      </c>
      <c r="U408" s="21" t="str">
        <f t="shared" si="732"/>
        <v>1</v>
      </c>
      <c r="V408" s="21" t="str">
        <f t="shared" si="733"/>
        <v>1</v>
      </c>
      <c r="W408" s="21"/>
      <c r="X408" s="21" t="str">
        <f t="shared" si="734"/>
        <v>0</v>
      </c>
      <c r="Y408" s="21" t="str">
        <f t="shared" si="735"/>
        <v>0</v>
      </c>
      <c r="Z408" s="21" t="str">
        <f t="shared" si="736"/>
        <v>0</v>
      </c>
      <c r="AA408" s="118"/>
      <c r="AB408" s="118"/>
      <c r="AC408" s="118"/>
      <c r="AD408" s="118"/>
      <c r="AE408" s="118" t="s">
        <v>51</v>
      </c>
      <c r="AF408" s="118"/>
      <c r="AG408" s="118"/>
      <c r="AH408" s="21">
        <v>920000</v>
      </c>
      <c r="AI408" s="26" t="s">
        <v>112</v>
      </c>
      <c r="AJ408" s="26">
        <v>95538</v>
      </c>
      <c r="AK408" s="26" t="str">
        <f t="shared" si="707"/>
        <v>0</v>
      </c>
      <c r="AL408" s="123" t="str">
        <f t="shared" si="737"/>
        <v>14821/납기준수율 분석/custom.workshop.eis/EisReport1</v>
      </c>
      <c r="AM408" s="26" t="s">
        <v>2984</v>
      </c>
      <c r="AN408" s="26" t="s">
        <v>3245</v>
      </c>
      <c r="AO408" s="26" t="s">
        <v>3245</v>
      </c>
      <c r="AP408" s="26" t="s">
        <v>3245</v>
      </c>
      <c r="AQ408" s="26" t="s">
        <v>3245</v>
      </c>
      <c r="AR408" s="26" t="s">
        <v>3245</v>
      </c>
      <c r="AS408" s="26" t="s">
        <v>3245</v>
      </c>
      <c r="AT408" s="26" t="s">
        <v>3245</v>
      </c>
      <c r="AU408" s="26" t="s">
        <v>3245</v>
      </c>
      <c r="AV408" s="26" t="s">
        <v>3245</v>
      </c>
      <c r="AW408" s="26" t="s">
        <v>3245</v>
      </c>
      <c r="AX408" s="26" t="s">
        <v>3245</v>
      </c>
      <c r="AY408" s="124"/>
      <c r="AZ408" s="138" t="str">
        <f>IF(C408="","","delete from module_mst where pjt_id = '"&amp;C408&amp;"' and menu_id = '"&amp;E408&amp;"';")</f>
        <v>delete from module_mst where pjt_id = '14821' and menu_id = '920029';</v>
      </c>
      <c r="BA408" s="31" t="str">
        <f>IF(C408&lt;&gt;"",CREATE_QUERY($D$1,C$2:AY$2,C408:AY408),"")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'920029', '납기준수율 분석', '', '', '', '', '1', '1', '1', 'custom.workshop.eis', 'EisReport1', '1', '1', '1', '1', '1', '1', '1', '', '0', '0', '0', '', '', '', '', 'N', '', '', '920000', '4', '95538', '0', '14821/납기준수율 분석/custom.workshop.eis/EisReport1', '공통', '');</v>
      </c>
    </row>
    <row r="409" spans="1:53">
      <c r="A409" s="1">
        <v>409</v>
      </c>
      <c r="B409" s="159" t="str">
        <f t="shared" si="738"/>
        <v/>
      </c>
      <c r="C409" s="27" t="str">
        <f t="shared" si="693"/>
        <v/>
      </c>
      <c r="D409" s="121"/>
      <c r="E409" s="21">
        <v>920030</v>
      </c>
      <c r="F409" s="118"/>
      <c r="G409" s="118" t="s">
        <v>900</v>
      </c>
      <c r="H409" s="118"/>
      <c r="I409" s="118"/>
      <c r="J409" s="118"/>
      <c r="K409" s="21" t="str">
        <f t="shared" si="694"/>
        <v/>
      </c>
      <c r="L409" s="21" t="str">
        <f t="shared" si="695"/>
        <v/>
      </c>
      <c r="M409" s="21" t="str">
        <f t="shared" si="696"/>
        <v>0</v>
      </c>
      <c r="N409" s="118"/>
      <c r="O409" s="118"/>
      <c r="P409" s="21" t="str">
        <f t="shared" ref="P409:P415" si="739">IF(O409="","0","1")</f>
        <v>0</v>
      </c>
      <c r="Q409" s="21" t="str">
        <f t="shared" ref="Q409:Q415" si="740">IF(O409="","0","1")</f>
        <v>0</v>
      </c>
      <c r="R409" s="21" t="str">
        <f t="shared" ref="R409:R415" si="741">IF(O409="","0","1")</f>
        <v>0</v>
      </c>
      <c r="S409" s="21" t="str">
        <f t="shared" ref="S409:S415" si="742">IF(O409="","0","1")</f>
        <v>0</v>
      </c>
      <c r="T409" s="21" t="str">
        <f t="shared" ref="T409:T415" si="743">IF(O409="","0","1")</f>
        <v>0</v>
      </c>
      <c r="U409" s="21" t="str">
        <f t="shared" ref="U409:U415" si="744">IF(O409="","0","1")</f>
        <v>0</v>
      </c>
      <c r="V409" s="21" t="str">
        <f t="shared" ref="V409:V415" si="745">IF(O409="","1","1")</f>
        <v>1</v>
      </c>
      <c r="W409" s="21"/>
      <c r="X409" s="21" t="str">
        <f t="shared" ref="X409:X415" si="746">IF(O409="","","0")</f>
        <v/>
      </c>
      <c r="Y409" s="21" t="str">
        <f t="shared" ref="Y409:Y415" si="747">IF(O409="","","0")</f>
        <v/>
      </c>
      <c r="Z409" s="21" t="str">
        <f t="shared" ref="Z409:Z415" si="748">IF(O409="","","0")</f>
        <v/>
      </c>
      <c r="AA409" s="118"/>
      <c r="AB409" s="118"/>
      <c r="AC409" s="118"/>
      <c r="AD409" s="118"/>
      <c r="AE409" s="118" t="s">
        <v>51</v>
      </c>
      <c r="AF409" s="118"/>
      <c r="AG409" s="118"/>
      <c r="AH409" s="21">
        <v>920000</v>
      </c>
      <c r="AI409" s="26" t="s">
        <v>112</v>
      </c>
      <c r="AJ409" s="26">
        <v>95540</v>
      </c>
      <c r="AK409" s="26" t="str">
        <f t="shared" si="707"/>
        <v/>
      </c>
      <c r="AL409" s="123" t="str">
        <f t="shared" si="737"/>
        <v/>
      </c>
      <c r="AM409" s="26"/>
      <c r="AN409" s="26" t="s">
        <v>3245</v>
      </c>
      <c r="AO409" s="26" t="s">
        <v>3245</v>
      </c>
      <c r="AP409" s="26" t="s">
        <v>3245</v>
      </c>
      <c r="AQ409" s="26" t="s">
        <v>3245</v>
      </c>
      <c r="AR409" s="26" t="s">
        <v>3245</v>
      </c>
      <c r="AS409" s="26" t="s">
        <v>3245</v>
      </c>
      <c r="AT409" s="26" t="s">
        <v>3245</v>
      </c>
      <c r="AU409" s="26" t="s">
        <v>3245</v>
      </c>
      <c r="AV409" s="26" t="s">
        <v>3245</v>
      </c>
      <c r="AW409" s="26" t="s">
        <v>3245</v>
      </c>
      <c r="AX409" s="26" t="s">
        <v>3245</v>
      </c>
      <c r="AY409" s="124"/>
      <c r="AZ409" s="138" t="str">
        <f>IF(C409="","","delete from module_mst where pjt_id = '"&amp;C409&amp;"' and menu_id = '"&amp;E409&amp;"';")</f>
        <v/>
      </c>
      <c r="BA409" s="31" t="str">
        <f>IF(C409&lt;&gt;"",CREATE_QUERY($D$1,C$2:AY$2,C409:AY409),"")</f>
        <v/>
      </c>
    </row>
    <row r="410" spans="1:53">
      <c r="A410" s="1">
        <v>410</v>
      </c>
      <c r="B410" s="159" t="str">
        <f t="shared" si="738"/>
        <v/>
      </c>
      <c r="C410" s="27" t="str">
        <f t="shared" si="693"/>
        <v/>
      </c>
      <c r="D410" s="121"/>
      <c r="E410" s="21">
        <v>920031</v>
      </c>
      <c r="F410" s="118"/>
      <c r="G410" s="118" t="s">
        <v>900</v>
      </c>
      <c r="H410" s="118"/>
      <c r="I410" s="118"/>
      <c r="J410" s="118"/>
      <c r="K410" s="21" t="str">
        <f t="shared" si="694"/>
        <v/>
      </c>
      <c r="L410" s="21" t="str">
        <f t="shared" si="695"/>
        <v/>
      </c>
      <c r="M410" s="21" t="str">
        <f t="shared" si="696"/>
        <v>0</v>
      </c>
      <c r="N410" s="118"/>
      <c r="O410" s="118"/>
      <c r="P410" s="21" t="str">
        <f t="shared" si="739"/>
        <v>0</v>
      </c>
      <c r="Q410" s="21" t="str">
        <f t="shared" si="740"/>
        <v>0</v>
      </c>
      <c r="R410" s="21" t="str">
        <f t="shared" si="741"/>
        <v>0</v>
      </c>
      <c r="S410" s="21" t="str">
        <f t="shared" si="742"/>
        <v>0</v>
      </c>
      <c r="T410" s="21" t="str">
        <f t="shared" si="743"/>
        <v>0</v>
      </c>
      <c r="U410" s="21" t="str">
        <f t="shared" si="744"/>
        <v>0</v>
      </c>
      <c r="V410" s="21" t="str">
        <f t="shared" si="745"/>
        <v>1</v>
      </c>
      <c r="W410" s="21"/>
      <c r="X410" s="21" t="str">
        <f t="shared" si="746"/>
        <v/>
      </c>
      <c r="Y410" s="21" t="str">
        <f t="shared" si="747"/>
        <v/>
      </c>
      <c r="Z410" s="21" t="str">
        <f t="shared" si="748"/>
        <v/>
      </c>
      <c r="AA410" s="118"/>
      <c r="AB410" s="118"/>
      <c r="AC410" s="118"/>
      <c r="AD410" s="118"/>
      <c r="AE410" s="118" t="s">
        <v>51</v>
      </c>
      <c r="AF410" s="118"/>
      <c r="AG410" s="118"/>
      <c r="AH410" s="21">
        <v>920000</v>
      </c>
      <c r="AI410" s="26" t="s">
        <v>112</v>
      </c>
      <c r="AJ410" s="26">
        <v>95542</v>
      </c>
      <c r="AK410" s="26" t="str">
        <f t="shared" si="707"/>
        <v/>
      </c>
      <c r="AL410" s="123" t="str">
        <f t="shared" si="737"/>
        <v/>
      </c>
      <c r="AM410" s="26"/>
      <c r="AN410" s="26" t="s">
        <v>3245</v>
      </c>
      <c r="AO410" s="26" t="s">
        <v>3245</v>
      </c>
      <c r="AP410" s="26" t="s">
        <v>3245</v>
      </c>
      <c r="AQ410" s="26" t="s">
        <v>3245</v>
      </c>
      <c r="AR410" s="26" t="s">
        <v>3245</v>
      </c>
      <c r="AS410" s="26" t="s">
        <v>3245</v>
      </c>
      <c r="AT410" s="26" t="s">
        <v>3245</v>
      </c>
      <c r="AU410" s="26" t="s">
        <v>3245</v>
      </c>
      <c r="AV410" s="26" t="s">
        <v>3245</v>
      </c>
      <c r="AW410" s="26" t="s">
        <v>3245</v>
      </c>
      <c r="AX410" s="26" t="s">
        <v>3245</v>
      </c>
      <c r="AY410" s="124"/>
      <c r="AZ410" s="138" t="str">
        <f>IF(C410="","","delete from module_mst where pjt_id = '"&amp;C410&amp;"' and menu_id = '"&amp;E410&amp;"';")</f>
        <v/>
      </c>
      <c r="BA410" s="31" t="str">
        <f>IF(C410&lt;&gt;"",CREATE_QUERY($D$1,C$2:AY$2,C410:AY410),"")</f>
        <v/>
      </c>
    </row>
    <row r="411" spans="1:53">
      <c r="A411" s="1">
        <v>411</v>
      </c>
      <c r="B411" s="159" t="str">
        <f t="shared" si="738"/>
        <v/>
      </c>
      <c r="C411" s="27" t="str">
        <f t="shared" si="693"/>
        <v/>
      </c>
      <c r="D411" s="121"/>
      <c r="E411" s="21">
        <v>920032</v>
      </c>
      <c r="F411" s="118"/>
      <c r="G411" s="118" t="s">
        <v>900</v>
      </c>
      <c r="H411" s="118"/>
      <c r="I411" s="118"/>
      <c r="J411" s="118"/>
      <c r="K411" s="21" t="str">
        <f t="shared" si="694"/>
        <v/>
      </c>
      <c r="L411" s="21" t="str">
        <f t="shared" si="695"/>
        <v/>
      </c>
      <c r="M411" s="21" t="str">
        <f t="shared" si="696"/>
        <v>0</v>
      </c>
      <c r="N411" s="118"/>
      <c r="O411" s="118"/>
      <c r="P411" s="21" t="str">
        <f t="shared" si="739"/>
        <v>0</v>
      </c>
      <c r="Q411" s="21" t="str">
        <f t="shared" si="740"/>
        <v>0</v>
      </c>
      <c r="R411" s="21" t="str">
        <f t="shared" si="741"/>
        <v>0</v>
      </c>
      <c r="S411" s="21" t="str">
        <f t="shared" si="742"/>
        <v>0</v>
      </c>
      <c r="T411" s="21" t="str">
        <f t="shared" si="743"/>
        <v>0</v>
      </c>
      <c r="U411" s="21" t="str">
        <f t="shared" si="744"/>
        <v>0</v>
      </c>
      <c r="V411" s="21" t="str">
        <f t="shared" si="745"/>
        <v>1</v>
      </c>
      <c r="W411" s="21"/>
      <c r="X411" s="21" t="str">
        <f t="shared" si="746"/>
        <v/>
      </c>
      <c r="Y411" s="21" t="str">
        <f t="shared" si="747"/>
        <v/>
      </c>
      <c r="Z411" s="21" t="str">
        <f t="shared" si="748"/>
        <v/>
      </c>
      <c r="AA411" s="118"/>
      <c r="AB411" s="118"/>
      <c r="AC411" s="118"/>
      <c r="AD411" s="118"/>
      <c r="AE411" s="118" t="s">
        <v>51</v>
      </c>
      <c r="AF411" s="118"/>
      <c r="AG411" s="118"/>
      <c r="AH411" s="21">
        <v>920000</v>
      </c>
      <c r="AI411" s="26" t="s">
        <v>112</v>
      </c>
      <c r="AJ411" s="26">
        <v>95544</v>
      </c>
      <c r="AK411" s="26" t="str">
        <f t="shared" si="707"/>
        <v/>
      </c>
      <c r="AL411" s="123" t="str">
        <f t="shared" si="737"/>
        <v/>
      </c>
      <c r="AM411" s="26"/>
      <c r="AN411" s="26" t="s">
        <v>3245</v>
      </c>
      <c r="AO411" s="26" t="s">
        <v>3245</v>
      </c>
      <c r="AP411" s="26" t="s">
        <v>3245</v>
      </c>
      <c r="AQ411" s="26" t="s">
        <v>3245</v>
      </c>
      <c r="AR411" s="26" t="s">
        <v>3245</v>
      </c>
      <c r="AS411" s="26" t="s">
        <v>3245</v>
      </c>
      <c r="AT411" s="26" t="s">
        <v>3245</v>
      </c>
      <c r="AU411" s="26" t="s">
        <v>3245</v>
      </c>
      <c r="AV411" s="26" t="s">
        <v>3245</v>
      </c>
      <c r="AW411" s="26" t="s">
        <v>3245</v>
      </c>
      <c r="AX411" s="26" t="s">
        <v>3245</v>
      </c>
      <c r="AY411" s="124"/>
      <c r="AZ411" s="138" t="str">
        <f>IF(C411="","","delete from module_mst where pjt_id = '"&amp;C411&amp;"' and menu_id = '"&amp;E411&amp;"';")</f>
        <v/>
      </c>
      <c r="BA411" s="31" t="str">
        <f>IF(C411&lt;&gt;"",CREATE_QUERY($D$1,C$2:AY$2,C411:AY411),"")</f>
        <v/>
      </c>
    </row>
    <row r="412" spans="1:53">
      <c r="A412" s="1">
        <v>412</v>
      </c>
      <c r="B412" s="159" t="str">
        <f t="shared" si="738"/>
        <v/>
      </c>
      <c r="C412" s="27" t="str">
        <f t="shared" si="693"/>
        <v/>
      </c>
      <c r="D412" s="121"/>
      <c r="E412" s="21">
        <v>920033</v>
      </c>
      <c r="F412" s="118"/>
      <c r="G412" s="118" t="s">
        <v>900</v>
      </c>
      <c r="H412" s="118"/>
      <c r="I412" s="118"/>
      <c r="J412" s="118"/>
      <c r="K412" s="21" t="str">
        <f t="shared" si="694"/>
        <v/>
      </c>
      <c r="L412" s="21" t="str">
        <f t="shared" si="695"/>
        <v/>
      </c>
      <c r="M412" s="21" t="str">
        <f t="shared" si="696"/>
        <v>0</v>
      </c>
      <c r="N412" s="118"/>
      <c r="O412" s="118"/>
      <c r="P412" s="21" t="str">
        <f t="shared" si="739"/>
        <v>0</v>
      </c>
      <c r="Q412" s="21" t="str">
        <f t="shared" si="740"/>
        <v>0</v>
      </c>
      <c r="R412" s="21" t="str">
        <f t="shared" si="741"/>
        <v>0</v>
      </c>
      <c r="S412" s="21" t="str">
        <f t="shared" si="742"/>
        <v>0</v>
      </c>
      <c r="T412" s="21" t="str">
        <f t="shared" si="743"/>
        <v>0</v>
      </c>
      <c r="U412" s="21" t="str">
        <f t="shared" si="744"/>
        <v>0</v>
      </c>
      <c r="V412" s="21" t="str">
        <f t="shared" si="745"/>
        <v>1</v>
      </c>
      <c r="W412" s="21"/>
      <c r="X412" s="21" t="str">
        <f t="shared" si="746"/>
        <v/>
      </c>
      <c r="Y412" s="21" t="str">
        <f t="shared" si="747"/>
        <v/>
      </c>
      <c r="Z412" s="21" t="str">
        <f t="shared" si="748"/>
        <v/>
      </c>
      <c r="AA412" s="118"/>
      <c r="AB412" s="118"/>
      <c r="AC412" s="118"/>
      <c r="AD412" s="118"/>
      <c r="AE412" s="118" t="s">
        <v>51</v>
      </c>
      <c r="AF412" s="118"/>
      <c r="AG412" s="118"/>
      <c r="AH412" s="21">
        <v>920000</v>
      </c>
      <c r="AI412" s="26" t="s">
        <v>112</v>
      </c>
      <c r="AJ412" s="26">
        <v>95546</v>
      </c>
      <c r="AK412" s="26" t="str">
        <f t="shared" si="707"/>
        <v/>
      </c>
      <c r="AL412" s="123" t="str">
        <f t="shared" si="737"/>
        <v/>
      </c>
      <c r="AM412" s="26"/>
      <c r="AN412" s="26" t="s">
        <v>3245</v>
      </c>
      <c r="AO412" s="26" t="s">
        <v>3245</v>
      </c>
      <c r="AP412" s="26" t="s">
        <v>3245</v>
      </c>
      <c r="AQ412" s="26" t="s">
        <v>3245</v>
      </c>
      <c r="AR412" s="26" t="s">
        <v>3245</v>
      </c>
      <c r="AS412" s="26" t="s">
        <v>3245</v>
      </c>
      <c r="AT412" s="26" t="s">
        <v>3245</v>
      </c>
      <c r="AU412" s="26" t="s">
        <v>3245</v>
      </c>
      <c r="AV412" s="26" t="s">
        <v>3245</v>
      </c>
      <c r="AW412" s="26" t="s">
        <v>3245</v>
      </c>
      <c r="AX412" s="26" t="s">
        <v>3245</v>
      </c>
      <c r="AY412" s="124"/>
      <c r="AZ412" s="138" t="str">
        <f>IF(C412="","","delete from module_mst where pjt_id = '"&amp;C412&amp;"' and menu_id = '"&amp;E412&amp;"';")</f>
        <v/>
      </c>
      <c r="BA412" s="31" t="str">
        <f>IF(C412&lt;&gt;"",CREATE_QUERY($D$1,C$2:AY$2,C412:AY412),"")</f>
        <v/>
      </c>
    </row>
    <row r="413" spans="1:53">
      <c r="A413" s="1">
        <v>413</v>
      </c>
      <c r="B413" s="159" t="str">
        <f t="shared" si="738"/>
        <v/>
      </c>
      <c r="C413" s="27" t="str">
        <f t="shared" si="693"/>
        <v/>
      </c>
      <c r="D413" s="121"/>
      <c r="E413" s="21">
        <v>920034</v>
      </c>
      <c r="F413" s="118"/>
      <c r="G413" s="118" t="s">
        <v>900</v>
      </c>
      <c r="H413" s="118"/>
      <c r="I413" s="118"/>
      <c r="J413" s="118"/>
      <c r="K413" s="21" t="str">
        <f t="shared" si="694"/>
        <v/>
      </c>
      <c r="L413" s="21" t="str">
        <f t="shared" si="695"/>
        <v/>
      </c>
      <c r="M413" s="21" t="str">
        <f t="shared" si="696"/>
        <v>0</v>
      </c>
      <c r="N413" s="118"/>
      <c r="O413" s="118"/>
      <c r="P413" s="21" t="str">
        <f t="shared" si="739"/>
        <v>0</v>
      </c>
      <c r="Q413" s="21" t="str">
        <f t="shared" si="740"/>
        <v>0</v>
      </c>
      <c r="R413" s="21" t="str">
        <f t="shared" si="741"/>
        <v>0</v>
      </c>
      <c r="S413" s="21" t="str">
        <f t="shared" si="742"/>
        <v>0</v>
      </c>
      <c r="T413" s="21" t="str">
        <f t="shared" si="743"/>
        <v>0</v>
      </c>
      <c r="U413" s="21" t="str">
        <f t="shared" si="744"/>
        <v>0</v>
      </c>
      <c r="V413" s="21" t="str">
        <f t="shared" si="745"/>
        <v>1</v>
      </c>
      <c r="W413" s="21"/>
      <c r="X413" s="21" t="str">
        <f t="shared" si="746"/>
        <v/>
      </c>
      <c r="Y413" s="21" t="str">
        <f t="shared" si="747"/>
        <v/>
      </c>
      <c r="Z413" s="21" t="str">
        <f t="shared" si="748"/>
        <v/>
      </c>
      <c r="AA413" s="118"/>
      <c r="AB413" s="118"/>
      <c r="AC413" s="118"/>
      <c r="AD413" s="118"/>
      <c r="AE413" s="118" t="s">
        <v>51</v>
      </c>
      <c r="AF413" s="118"/>
      <c r="AG413" s="118"/>
      <c r="AH413" s="21">
        <v>920000</v>
      </c>
      <c r="AI413" s="26" t="s">
        <v>112</v>
      </c>
      <c r="AJ413" s="26">
        <v>95548</v>
      </c>
      <c r="AK413" s="26" t="str">
        <f t="shared" si="707"/>
        <v/>
      </c>
      <c r="AL413" s="123" t="str">
        <f t="shared" si="737"/>
        <v/>
      </c>
      <c r="AM413" s="26"/>
      <c r="AN413" s="26" t="s">
        <v>3245</v>
      </c>
      <c r="AO413" s="26" t="s">
        <v>3245</v>
      </c>
      <c r="AP413" s="26" t="s">
        <v>3245</v>
      </c>
      <c r="AQ413" s="26" t="s">
        <v>3245</v>
      </c>
      <c r="AR413" s="26" t="s">
        <v>3245</v>
      </c>
      <c r="AS413" s="26" t="s">
        <v>3245</v>
      </c>
      <c r="AT413" s="26" t="s">
        <v>3245</v>
      </c>
      <c r="AU413" s="26" t="s">
        <v>3245</v>
      </c>
      <c r="AV413" s="26" t="s">
        <v>3245</v>
      </c>
      <c r="AW413" s="26" t="s">
        <v>3245</v>
      </c>
      <c r="AX413" s="26" t="s">
        <v>3245</v>
      </c>
      <c r="AY413" s="124"/>
      <c r="AZ413" s="138" t="str">
        <f>IF(C413="","","delete from module_mst where pjt_id = '"&amp;C413&amp;"' and menu_id = '"&amp;E413&amp;"';")</f>
        <v/>
      </c>
      <c r="BA413" s="31" t="str">
        <f>IF(C413&lt;&gt;"",CREATE_QUERY($D$1,C$2:AY$2,C413:AY413),"")</f>
        <v/>
      </c>
    </row>
    <row r="414" spans="1:53">
      <c r="A414" s="1">
        <v>414</v>
      </c>
      <c r="B414" s="159" t="str">
        <f t="shared" si="738"/>
        <v/>
      </c>
      <c r="C414" s="27" t="str">
        <f t="shared" si="693"/>
        <v/>
      </c>
      <c r="D414" s="121"/>
      <c r="E414" s="21">
        <v>920035</v>
      </c>
      <c r="F414" s="118"/>
      <c r="G414" s="118" t="s">
        <v>900</v>
      </c>
      <c r="H414" s="118"/>
      <c r="I414" s="118"/>
      <c r="J414" s="118"/>
      <c r="K414" s="21" t="str">
        <f t="shared" si="694"/>
        <v/>
      </c>
      <c r="L414" s="21" t="str">
        <f t="shared" si="695"/>
        <v/>
      </c>
      <c r="M414" s="21" t="str">
        <f t="shared" si="696"/>
        <v>0</v>
      </c>
      <c r="N414" s="118"/>
      <c r="O414" s="118"/>
      <c r="P414" s="21" t="str">
        <f t="shared" si="739"/>
        <v>0</v>
      </c>
      <c r="Q414" s="21" t="str">
        <f t="shared" si="740"/>
        <v>0</v>
      </c>
      <c r="R414" s="21" t="str">
        <f t="shared" si="741"/>
        <v>0</v>
      </c>
      <c r="S414" s="21" t="str">
        <f t="shared" si="742"/>
        <v>0</v>
      </c>
      <c r="T414" s="21" t="str">
        <f t="shared" si="743"/>
        <v>0</v>
      </c>
      <c r="U414" s="21" t="str">
        <f t="shared" si="744"/>
        <v>0</v>
      </c>
      <c r="V414" s="21" t="str">
        <f t="shared" si="745"/>
        <v>1</v>
      </c>
      <c r="W414" s="21"/>
      <c r="X414" s="21" t="str">
        <f t="shared" si="746"/>
        <v/>
      </c>
      <c r="Y414" s="21" t="str">
        <f t="shared" si="747"/>
        <v/>
      </c>
      <c r="Z414" s="21" t="str">
        <f t="shared" si="748"/>
        <v/>
      </c>
      <c r="AA414" s="118"/>
      <c r="AB414" s="118"/>
      <c r="AC414" s="118"/>
      <c r="AD414" s="118"/>
      <c r="AE414" s="118" t="s">
        <v>51</v>
      </c>
      <c r="AF414" s="118"/>
      <c r="AG414" s="118"/>
      <c r="AH414" s="21">
        <v>920000</v>
      </c>
      <c r="AI414" s="26" t="s">
        <v>112</v>
      </c>
      <c r="AJ414" s="26">
        <v>95550</v>
      </c>
      <c r="AK414" s="26" t="str">
        <f t="shared" si="707"/>
        <v/>
      </c>
      <c r="AL414" s="123" t="str">
        <f t="shared" si="737"/>
        <v/>
      </c>
      <c r="AM414" s="26"/>
      <c r="AN414" s="26" t="s">
        <v>3245</v>
      </c>
      <c r="AO414" s="26" t="s">
        <v>3245</v>
      </c>
      <c r="AP414" s="26" t="s">
        <v>3245</v>
      </c>
      <c r="AQ414" s="26" t="s">
        <v>3245</v>
      </c>
      <c r="AR414" s="26" t="s">
        <v>3245</v>
      </c>
      <c r="AS414" s="26" t="s">
        <v>3245</v>
      </c>
      <c r="AT414" s="26" t="s">
        <v>3245</v>
      </c>
      <c r="AU414" s="26" t="s">
        <v>3245</v>
      </c>
      <c r="AV414" s="26" t="s">
        <v>3245</v>
      </c>
      <c r="AW414" s="26" t="s">
        <v>3245</v>
      </c>
      <c r="AX414" s="26" t="s">
        <v>3245</v>
      </c>
      <c r="AY414" s="124"/>
      <c r="AZ414" s="138" t="str">
        <f>IF(C414="","","delete from module_mst where pjt_id = '"&amp;C414&amp;"' and menu_id = '"&amp;E414&amp;"';")</f>
        <v/>
      </c>
      <c r="BA414" s="31" t="str">
        <f>IF(C414&lt;&gt;"",CREATE_QUERY($D$1,C$2:AY$2,C414:AY414),"")</f>
        <v/>
      </c>
    </row>
    <row r="415" spans="1:53">
      <c r="A415" s="1">
        <v>415</v>
      </c>
      <c r="B415" s="159" t="str">
        <f t="shared" si="738"/>
        <v/>
      </c>
      <c r="C415" s="27" t="str">
        <f t="shared" si="693"/>
        <v/>
      </c>
      <c r="D415" s="121"/>
      <c r="E415" s="21">
        <v>920036</v>
      </c>
      <c r="F415" s="118"/>
      <c r="G415" s="118" t="s">
        <v>900</v>
      </c>
      <c r="H415" s="118"/>
      <c r="I415" s="118"/>
      <c r="J415" s="118"/>
      <c r="K415" s="21" t="str">
        <f t="shared" si="694"/>
        <v/>
      </c>
      <c r="L415" s="21" t="str">
        <f t="shared" si="695"/>
        <v/>
      </c>
      <c r="M415" s="21" t="str">
        <f t="shared" si="696"/>
        <v>0</v>
      </c>
      <c r="N415" s="118"/>
      <c r="O415" s="118"/>
      <c r="P415" s="21" t="str">
        <f t="shared" si="739"/>
        <v>0</v>
      </c>
      <c r="Q415" s="21" t="str">
        <f t="shared" si="740"/>
        <v>0</v>
      </c>
      <c r="R415" s="21" t="str">
        <f t="shared" si="741"/>
        <v>0</v>
      </c>
      <c r="S415" s="21" t="str">
        <f t="shared" si="742"/>
        <v>0</v>
      </c>
      <c r="T415" s="21" t="str">
        <f t="shared" si="743"/>
        <v>0</v>
      </c>
      <c r="U415" s="21" t="str">
        <f t="shared" si="744"/>
        <v>0</v>
      </c>
      <c r="V415" s="21" t="str">
        <f t="shared" si="745"/>
        <v>1</v>
      </c>
      <c r="W415" s="21"/>
      <c r="X415" s="21" t="str">
        <f t="shared" si="746"/>
        <v/>
      </c>
      <c r="Y415" s="21" t="str">
        <f t="shared" si="747"/>
        <v/>
      </c>
      <c r="Z415" s="21" t="str">
        <f t="shared" si="748"/>
        <v/>
      </c>
      <c r="AA415" s="118"/>
      <c r="AB415" s="118"/>
      <c r="AC415" s="118"/>
      <c r="AD415" s="118"/>
      <c r="AE415" s="118" t="s">
        <v>51</v>
      </c>
      <c r="AF415" s="118"/>
      <c r="AG415" s="118"/>
      <c r="AH415" s="21">
        <v>920000</v>
      </c>
      <c r="AI415" s="26" t="s">
        <v>112</v>
      </c>
      <c r="AJ415" s="26">
        <v>95552</v>
      </c>
      <c r="AK415" s="26" t="str">
        <f t="shared" si="707"/>
        <v/>
      </c>
      <c r="AL415" s="123" t="str">
        <f t="shared" ref="AL415" si="749">IF(C415="","",C415&amp;"/"&amp;F415&amp;"/"&amp;N415&amp;"/"&amp;O415)</f>
        <v/>
      </c>
      <c r="AM415" s="26"/>
      <c r="AN415" s="26" t="s">
        <v>3245</v>
      </c>
      <c r="AO415" s="26" t="s">
        <v>3245</v>
      </c>
      <c r="AP415" s="26" t="s">
        <v>3245</v>
      </c>
      <c r="AQ415" s="26" t="s">
        <v>3245</v>
      </c>
      <c r="AR415" s="26" t="s">
        <v>3245</v>
      </c>
      <c r="AS415" s="26" t="s">
        <v>3245</v>
      </c>
      <c r="AT415" s="26" t="s">
        <v>3245</v>
      </c>
      <c r="AU415" s="26" t="s">
        <v>3245</v>
      </c>
      <c r="AV415" s="26" t="s">
        <v>3245</v>
      </c>
      <c r="AW415" s="26" t="s">
        <v>3245</v>
      </c>
      <c r="AX415" s="26" t="s">
        <v>3245</v>
      </c>
      <c r="AY415" s="124"/>
      <c r="AZ415" s="138" t="str">
        <f>IF(C415="","","delete from module_mst where pjt_id = '"&amp;C415&amp;"' and menu_id = '"&amp;E415&amp;"';")</f>
        <v/>
      </c>
      <c r="BA415" s="31" t="str">
        <f>IF(C415&lt;&gt;"",CREATE_QUERY($D$1,C$2:AY$2,C415:AY415),"")</f>
        <v/>
      </c>
    </row>
    <row r="416" spans="1:53">
      <c r="A416" s="1">
        <v>416</v>
      </c>
      <c r="B416" s="164" t="str">
        <f t="shared" si="738"/>
        <v/>
      </c>
      <c r="C416" s="27" t="str">
        <f t="shared" si="693"/>
        <v/>
      </c>
      <c r="D416" s="121"/>
      <c r="E416" s="27"/>
      <c r="F416" s="121"/>
      <c r="G416" s="121" t="s">
        <v>900</v>
      </c>
      <c r="H416" s="121"/>
      <c r="I416" s="121"/>
      <c r="J416" s="121"/>
      <c r="K416" s="27" t="str">
        <f t="shared" si="694"/>
        <v/>
      </c>
      <c r="L416" s="27" t="str">
        <f t="shared" si="695"/>
        <v/>
      </c>
      <c r="M416" s="27" t="str">
        <f t="shared" si="696"/>
        <v>0</v>
      </c>
      <c r="N416" s="121"/>
      <c r="O416" s="121"/>
      <c r="P416" s="27" t="str">
        <f t="shared" si="727"/>
        <v>0</v>
      </c>
      <c r="Q416" s="27" t="str">
        <f t="shared" si="728"/>
        <v>0</v>
      </c>
      <c r="R416" s="27" t="str">
        <f t="shared" si="729"/>
        <v>0</v>
      </c>
      <c r="S416" s="27" t="str">
        <f t="shared" si="730"/>
        <v>0</v>
      </c>
      <c r="T416" s="27" t="str">
        <f t="shared" si="731"/>
        <v>0</v>
      </c>
      <c r="U416" s="27" t="str">
        <f t="shared" si="732"/>
        <v>0</v>
      </c>
      <c r="V416" s="27" t="str">
        <f t="shared" si="733"/>
        <v>1</v>
      </c>
      <c r="W416" s="27"/>
      <c r="X416" s="27" t="str">
        <f t="shared" si="734"/>
        <v/>
      </c>
      <c r="Y416" s="27" t="str">
        <f t="shared" si="735"/>
        <v/>
      </c>
      <c r="Z416" s="27" t="str">
        <f t="shared" si="736"/>
        <v/>
      </c>
      <c r="AA416" s="121"/>
      <c r="AB416" s="121"/>
      <c r="AC416" s="121"/>
      <c r="AD416" s="121"/>
      <c r="AE416" s="121"/>
      <c r="AF416" s="121"/>
      <c r="AG416" s="121"/>
      <c r="AH416" s="27"/>
      <c r="AI416" s="27"/>
      <c r="AJ416" s="27" t="s">
        <v>900</v>
      </c>
      <c r="AK416" s="27" t="str">
        <f t="shared" si="707"/>
        <v/>
      </c>
      <c r="AL416" s="123" t="str">
        <f t="shared" si="708"/>
        <v/>
      </c>
      <c r="AM416" s="27"/>
      <c r="AN416" s="27"/>
      <c r="AO416" s="27"/>
      <c r="AP416" s="27"/>
      <c r="AQ416" s="27"/>
      <c r="AR416" s="27"/>
      <c r="AS416" s="27"/>
      <c r="AT416" s="27"/>
      <c r="AU416" s="27"/>
      <c r="AV416" s="27"/>
      <c r="AW416" s="27"/>
      <c r="AX416" s="27"/>
      <c r="AY416" s="124"/>
      <c r="AZ416" s="138" t="str">
        <f>IF(C416="","","delete from module_mst where pjt_id = '"&amp;C416&amp;"' and menu_id = '"&amp;E416&amp;"';")</f>
        <v/>
      </c>
      <c r="BA416" s="31" t="str">
        <f>IF(C416&lt;&gt;"",CREATE_QUERY($D$1,C$2:AY$2,C416:AY416),"")</f>
        <v/>
      </c>
    </row>
    <row r="417" spans="1:53">
      <c r="A417" s="1">
        <v>417</v>
      </c>
      <c r="B417" s="164" t="str">
        <f t="shared" si="738"/>
        <v/>
      </c>
      <c r="C417" s="27" t="str">
        <f t="shared" si="693"/>
        <v/>
      </c>
      <c r="D417" s="121"/>
      <c r="E417" s="27"/>
      <c r="F417" s="121"/>
      <c r="G417" s="121" t="s">
        <v>900</v>
      </c>
      <c r="H417" s="121"/>
      <c r="I417" s="121"/>
      <c r="J417" s="121"/>
      <c r="K417" s="27" t="str">
        <f t="shared" si="694"/>
        <v/>
      </c>
      <c r="L417" s="27" t="str">
        <f t="shared" si="695"/>
        <v/>
      </c>
      <c r="M417" s="27" t="str">
        <f t="shared" si="696"/>
        <v>0</v>
      </c>
      <c r="N417" s="121"/>
      <c r="O417" s="121"/>
      <c r="P417" s="27" t="str">
        <f t="shared" si="727"/>
        <v>0</v>
      </c>
      <c r="Q417" s="27" t="str">
        <f t="shared" si="728"/>
        <v>0</v>
      </c>
      <c r="R417" s="27" t="str">
        <f t="shared" si="729"/>
        <v>0</v>
      </c>
      <c r="S417" s="27" t="str">
        <f t="shared" si="730"/>
        <v>0</v>
      </c>
      <c r="T417" s="27" t="str">
        <f t="shared" si="731"/>
        <v>0</v>
      </c>
      <c r="U417" s="27" t="str">
        <f t="shared" si="732"/>
        <v>0</v>
      </c>
      <c r="V417" s="27" t="str">
        <f t="shared" si="733"/>
        <v>1</v>
      </c>
      <c r="W417" s="27"/>
      <c r="X417" s="27" t="str">
        <f t="shared" si="734"/>
        <v/>
      </c>
      <c r="Y417" s="27" t="str">
        <f t="shared" si="735"/>
        <v/>
      </c>
      <c r="Z417" s="27" t="str">
        <f t="shared" si="736"/>
        <v/>
      </c>
      <c r="AA417" s="121"/>
      <c r="AB417" s="121"/>
      <c r="AC417" s="121"/>
      <c r="AD417" s="121"/>
      <c r="AE417" s="121"/>
      <c r="AF417" s="121"/>
      <c r="AG417" s="121"/>
      <c r="AH417" s="27"/>
      <c r="AI417" s="27"/>
      <c r="AJ417" s="27" t="s">
        <v>900</v>
      </c>
      <c r="AK417" s="27" t="str">
        <f t="shared" si="707"/>
        <v/>
      </c>
      <c r="AL417" s="123" t="str">
        <f t="shared" si="708"/>
        <v/>
      </c>
      <c r="AM417" s="27"/>
      <c r="AN417" s="27"/>
      <c r="AO417" s="27"/>
      <c r="AP417" s="27"/>
      <c r="AQ417" s="27"/>
      <c r="AR417" s="27"/>
      <c r="AS417" s="27"/>
      <c r="AT417" s="27"/>
      <c r="AU417" s="27"/>
      <c r="AV417" s="27"/>
      <c r="AW417" s="27"/>
      <c r="AX417" s="27"/>
      <c r="AY417" s="124"/>
      <c r="AZ417" s="138" t="str">
        <f>IF(C417="","","delete from module_mst where pjt_id = '"&amp;C417&amp;"' and menu_id = '"&amp;E417&amp;"';")</f>
        <v/>
      </c>
      <c r="BA417" s="31" t="str">
        <f>IF(C417&lt;&gt;"",CREATE_QUERY($D$1,C$2:AY$2,C417:AY417),"")</f>
        <v/>
      </c>
    </row>
    <row r="418" spans="1:53">
      <c r="A418" s="1">
        <v>418</v>
      </c>
      <c r="B418" s="162" t="str">
        <f t="shared" si="738"/>
        <v xml:space="preserve">  └ 표준원가 관리</v>
      </c>
      <c r="C418" s="27" t="str">
        <f t="shared" si="693"/>
        <v>14821</v>
      </c>
      <c r="D418" s="121"/>
      <c r="E418" s="24" t="s">
        <v>2037</v>
      </c>
      <c r="F418" s="127" t="s">
        <v>2038</v>
      </c>
      <c r="G418" s="127" t="s">
        <v>3192</v>
      </c>
      <c r="H418" s="127"/>
      <c r="I418" s="127"/>
      <c r="J418" s="127"/>
      <c r="K418" s="25" t="str">
        <f t="shared" si="694"/>
        <v/>
      </c>
      <c r="L418" s="25" t="str">
        <f t="shared" si="695"/>
        <v>1</v>
      </c>
      <c r="M418" s="25" t="str">
        <f t="shared" si="696"/>
        <v>0</v>
      </c>
      <c r="N418" s="127"/>
      <c r="O418" s="127"/>
      <c r="P418" s="25" t="str">
        <f t="shared" si="727"/>
        <v>0</v>
      </c>
      <c r="Q418" s="25" t="str">
        <f t="shared" si="728"/>
        <v>0</v>
      </c>
      <c r="R418" s="25" t="str">
        <f t="shared" si="729"/>
        <v>0</v>
      </c>
      <c r="S418" s="25" t="str">
        <f t="shared" si="730"/>
        <v>0</v>
      </c>
      <c r="T418" s="25" t="str">
        <f t="shared" si="731"/>
        <v>0</v>
      </c>
      <c r="U418" s="25" t="str">
        <f t="shared" si="732"/>
        <v>0</v>
      </c>
      <c r="V418" s="25" t="str">
        <f t="shared" si="733"/>
        <v>1</v>
      </c>
      <c r="W418" s="25"/>
      <c r="X418" s="25" t="str">
        <f t="shared" si="734"/>
        <v/>
      </c>
      <c r="Y418" s="25" t="str">
        <f t="shared" si="735"/>
        <v/>
      </c>
      <c r="Z418" s="25" t="str">
        <f t="shared" si="736"/>
        <v/>
      </c>
      <c r="AA418" s="127"/>
      <c r="AB418" s="127"/>
      <c r="AC418" s="127"/>
      <c r="AD418" s="127"/>
      <c r="AE418" s="127" t="s">
        <v>51</v>
      </c>
      <c r="AF418" s="127"/>
      <c r="AG418" s="127"/>
      <c r="AH418" s="24" t="s">
        <v>120</v>
      </c>
      <c r="AI418" s="24" t="s">
        <v>111</v>
      </c>
      <c r="AJ418" s="24">
        <v>96000</v>
      </c>
      <c r="AK418" s="24" t="str">
        <f t="shared" si="707"/>
        <v>0</v>
      </c>
      <c r="AL418" s="123" t="str">
        <f t="shared" si="708"/>
        <v>14821/표준원가 관리//</v>
      </c>
      <c r="AM418" s="24" t="s">
        <v>2979</v>
      </c>
      <c r="AN418" s="24" t="str">
        <f t="shared" ref="AN418:AX418" si="750">IF(COUNTIF(AN419:AN430,"="&amp;"Y")&gt;0,"Y",IF(COUNTIF(AN419:AN430,"="&amp;"-")&gt;0,"m",""))</f>
        <v>Y</v>
      </c>
      <c r="AO418" s="24" t="str">
        <f t="shared" si="750"/>
        <v>m</v>
      </c>
      <c r="AP418" s="24" t="str">
        <f t="shared" si="750"/>
        <v>m</v>
      </c>
      <c r="AQ418" s="24" t="str">
        <f t="shared" si="750"/>
        <v>m</v>
      </c>
      <c r="AR418" s="24" t="str">
        <f t="shared" si="750"/>
        <v>m</v>
      </c>
      <c r="AS418" s="24" t="str">
        <f t="shared" si="750"/>
        <v>m</v>
      </c>
      <c r="AT418" s="24" t="str">
        <f t="shared" si="750"/>
        <v>m</v>
      </c>
      <c r="AU418" s="24" t="str">
        <f t="shared" si="750"/>
        <v>m</v>
      </c>
      <c r="AV418" s="24" t="str">
        <f t="shared" si="750"/>
        <v>m</v>
      </c>
      <c r="AW418" s="24" t="str">
        <f t="shared" si="750"/>
        <v>m</v>
      </c>
      <c r="AX418" s="24" t="str">
        <f t="shared" si="750"/>
        <v>m</v>
      </c>
      <c r="AY418" s="124"/>
      <c r="AZ418" s="138" t="str">
        <f>IF(C418="","","delete from module_mst where pjt_id = '"&amp;C418&amp;"' and menu_id = '"&amp;E418&amp;"';")</f>
        <v>delete from module_mst where pjt_id = '14821' and menu_id = '400000';</v>
      </c>
      <c r="BA418" s="31" t="str">
        <f>IF(C418&lt;&gt;"",CREATE_QUERY($D$1,C$2:AY$2,C418:AY418),"")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'400000', '표준원가 관리', 'Standard cost management', '', '', '', '', '1', '0', '', '', '0', '0', '0', '0', '0', '0', '1', '', '', '', '', '', '', '', '', 'N', '', '', '200000', '3', '96000', '0', '14821/표준원가 관리//', '메뉴', '');</v>
      </c>
    </row>
    <row r="419" spans="1:53">
      <c r="A419" s="1">
        <v>419</v>
      </c>
      <c r="B419" s="159" t="str">
        <f t="shared" si="738"/>
        <v xml:space="preserve">    └ (선택)표준원가 등록</v>
      </c>
      <c r="C419" s="27" t="str">
        <f t="shared" si="693"/>
        <v>14821</v>
      </c>
      <c r="D419" s="121"/>
      <c r="E419" s="21">
        <v>400001</v>
      </c>
      <c r="F419" s="118" t="s">
        <v>2393</v>
      </c>
      <c r="G419" s="118" t="s">
        <v>3193</v>
      </c>
      <c r="H419" s="118"/>
      <c r="I419" s="118"/>
      <c r="J419" s="118"/>
      <c r="K419" s="21" t="str">
        <f t="shared" si="694"/>
        <v>1</v>
      </c>
      <c r="L419" s="21" t="str">
        <f t="shared" si="695"/>
        <v>1</v>
      </c>
      <c r="M419" s="21" t="str">
        <f t="shared" si="696"/>
        <v>1</v>
      </c>
      <c r="N419" s="118" t="s">
        <v>2040</v>
      </c>
      <c r="O419" s="118" t="s">
        <v>2041</v>
      </c>
      <c r="P419" s="21" t="str">
        <f t="shared" si="727"/>
        <v>1</v>
      </c>
      <c r="Q419" s="21" t="str">
        <f t="shared" si="728"/>
        <v>1</v>
      </c>
      <c r="R419" s="21" t="str">
        <f t="shared" si="729"/>
        <v>1</v>
      </c>
      <c r="S419" s="21" t="str">
        <f t="shared" si="730"/>
        <v>1</v>
      </c>
      <c r="T419" s="21" t="str">
        <f t="shared" si="731"/>
        <v>1</v>
      </c>
      <c r="U419" s="21" t="str">
        <f t="shared" si="732"/>
        <v>1</v>
      </c>
      <c r="V419" s="21" t="str">
        <f t="shared" si="733"/>
        <v>1</v>
      </c>
      <c r="W419" s="21"/>
      <c r="X419" s="21" t="str">
        <f t="shared" si="734"/>
        <v>0</v>
      </c>
      <c r="Y419" s="21" t="str">
        <f t="shared" si="735"/>
        <v>0</v>
      </c>
      <c r="Z419" s="21" t="str">
        <f t="shared" si="736"/>
        <v>0</v>
      </c>
      <c r="AA419" s="118"/>
      <c r="AB419" s="118"/>
      <c r="AC419" s="118"/>
      <c r="AD419" s="118"/>
      <c r="AE419" s="118" t="s">
        <v>51</v>
      </c>
      <c r="AF419" s="118"/>
      <c r="AG419" s="118"/>
      <c r="AH419" s="26" t="s">
        <v>2037</v>
      </c>
      <c r="AI419" s="26" t="s">
        <v>112</v>
      </c>
      <c r="AJ419" s="26">
        <v>96050</v>
      </c>
      <c r="AK419" s="26" t="str">
        <f t="shared" si="707"/>
        <v>0</v>
      </c>
      <c r="AL419" s="123" t="str">
        <f t="shared" si="708"/>
        <v>14821/표준원가 등록/cost/StndCost</v>
      </c>
      <c r="AM419" s="26" t="s">
        <v>3350</v>
      </c>
      <c r="AN419" s="26" t="s">
        <v>1829</v>
      </c>
      <c r="AO419" s="26"/>
      <c r="AP419" s="26"/>
      <c r="AQ419" s="26"/>
      <c r="AR419" s="26"/>
      <c r="AS419" s="26"/>
      <c r="AT419" s="26"/>
      <c r="AU419" s="26"/>
      <c r="AV419" s="26"/>
      <c r="AW419" s="26"/>
      <c r="AX419" s="26"/>
      <c r="AY419" s="124"/>
      <c r="AZ419" s="138" t="str">
        <f>IF(C419="","","delete from module_mst where pjt_id = '"&amp;C419&amp;"' and menu_id = '"&amp;E419&amp;"';")</f>
        <v>delete from module_mst where pjt_id = '14821' and menu_id = '400001';</v>
      </c>
      <c r="BA419" s="31" t="str">
        <f>IF(C419&lt;&gt;"",CREATE_QUERY($D$1,C$2:AY$2,C419:AY419),"")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'400001', '표준원가 등록', 'Standard cost registration', '', '', '', '1', '1', '1', 'cost', 'StndCost', '1', '1', '1', '1', '1', '1', '1', '', '0', '0', '0', '', '', '', '', 'N', '', '', '400000', '4', '96050', '0', '14821/표준원가 등록/cost/StndCost', '선택', '');</v>
      </c>
    </row>
    <row r="420" spans="1:53">
      <c r="A420" s="1">
        <v>420</v>
      </c>
      <c r="B420" s="159" t="str">
        <f t="shared" si="738"/>
        <v xml:space="preserve">    └ (선택)품목별 원가 조회</v>
      </c>
      <c r="C420" s="27" t="str">
        <f t="shared" si="693"/>
        <v>14821</v>
      </c>
      <c r="D420" s="121"/>
      <c r="E420" s="21">
        <v>400002</v>
      </c>
      <c r="F420" s="118" t="s">
        <v>2039</v>
      </c>
      <c r="G420" s="118" t="s">
        <v>3194</v>
      </c>
      <c r="H420" s="118"/>
      <c r="I420" s="118"/>
      <c r="J420" s="118"/>
      <c r="K420" s="21" t="str">
        <f t="shared" si="694"/>
        <v>1</v>
      </c>
      <c r="L420" s="21" t="str">
        <f t="shared" si="695"/>
        <v>1</v>
      </c>
      <c r="M420" s="21" t="str">
        <f t="shared" si="696"/>
        <v>1</v>
      </c>
      <c r="N420" s="118" t="s">
        <v>2040</v>
      </c>
      <c r="O420" s="118" t="s">
        <v>2042</v>
      </c>
      <c r="P420" s="21" t="str">
        <f t="shared" si="727"/>
        <v>1</v>
      </c>
      <c r="Q420" s="21" t="str">
        <f t="shared" si="728"/>
        <v>1</v>
      </c>
      <c r="R420" s="21" t="str">
        <f t="shared" si="729"/>
        <v>1</v>
      </c>
      <c r="S420" s="21" t="str">
        <f t="shared" si="730"/>
        <v>1</v>
      </c>
      <c r="T420" s="21" t="str">
        <f t="shared" si="731"/>
        <v>1</v>
      </c>
      <c r="U420" s="21" t="str">
        <f t="shared" si="732"/>
        <v>1</v>
      </c>
      <c r="V420" s="21" t="str">
        <f t="shared" si="733"/>
        <v>1</v>
      </c>
      <c r="W420" s="21"/>
      <c r="X420" s="21" t="str">
        <f t="shared" si="734"/>
        <v>0</v>
      </c>
      <c r="Y420" s="21" t="str">
        <f t="shared" si="735"/>
        <v>0</v>
      </c>
      <c r="Z420" s="21" t="str">
        <f t="shared" si="736"/>
        <v>0</v>
      </c>
      <c r="AA420" s="118"/>
      <c r="AB420" s="118"/>
      <c r="AC420" s="118"/>
      <c r="AD420" s="118"/>
      <c r="AE420" s="118"/>
      <c r="AF420" s="118"/>
      <c r="AG420" s="118"/>
      <c r="AH420" s="26" t="s">
        <v>2037</v>
      </c>
      <c r="AI420" s="26" t="s">
        <v>112</v>
      </c>
      <c r="AJ420" s="26">
        <v>96100</v>
      </c>
      <c r="AK420" s="26" t="str">
        <f t="shared" ref="AK420:AK437" si="751">IF(B420="","","0")</f>
        <v>0</v>
      </c>
      <c r="AL420" s="123" t="str">
        <f t="shared" si="708"/>
        <v>14821/품목별 원가 조회/cost/CostList</v>
      </c>
      <c r="AM420" s="26" t="s">
        <v>3350</v>
      </c>
      <c r="AN420" s="26" t="s">
        <v>1829</v>
      </c>
      <c r="AO420" s="26"/>
      <c r="AP420" s="26"/>
      <c r="AQ420" s="26"/>
      <c r="AR420" s="26"/>
      <c r="AS420" s="26"/>
      <c r="AT420" s="26"/>
      <c r="AU420" s="26"/>
      <c r="AV420" s="26"/>
      <c r="AW420" s="26"/>
      <c r="AX420" s="26"/>
      <c r="AY420" s="124"/>
      <c r="AZ420" s="138" t="str">
        <f>IF(C420="","","delete from module_mst where pjt_id = '"&amp;C420&amp;"' and menu_id = '"&amp;E420&amp;"';")</f>
        <v>delete from module_mst where pjt_id = '14821' and menu_id = '400002';</v>
      </c>
      <c r="BA420" s="31" t="str">
        <f>IF(C420&lt;&gt;"",CREATE_QUERY($D$1,C$2:AY$2,C420:AY420),"")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'400002', '품목별 원가 조회', 'Cost check by item', '', '', '', '1', '1', '1', 'cost', 'CostList', '1', '1', '1', '1', '1', '1', '1', '', '0', '0', '0', '', '', '', '', '', '', '', '400000', '4', '96100', '0', '14821/품목별 원가 조회/cost/CostList', '선택', '');</v>
      </c>
    </row>
    <row r="421" spans="1:53">
      <c r="A421" s="1">
        <v>421</v>
      </c>
      <c r="B421" s="159" t="str">
        <f t="shared" si="738"/>
        <v/>
      </c>
      <c r="C421" s="27" t="str">
        <f t="shared" ref="C421:C437" si="752">IF(F421="","","14821")</f>
        <v/>
      </c>
      <c r="D421" s="121"/>
      <c r="E421" s="21">
        <v>400003</v>
      </c>
      <c r="F421" s="118"/>
      <c r="G421" s="118" t="s">
        <v>900</v>
      </c>
      <c r="H421" s="118"/>
      <c r="I421" s="118"/>
      <c r="J421" s="118"/>
      <c r="K421" s="21" t="str">
        <f t="shared" si="694"/>
        <v/>
      </c>
      <c r="L421" s="21" t="str">
        <f t="shared" ref="L421:L437" si="753">IF(F421="","","1")</f>
        <v/>
      </c>
      <c r="M421" s="21" t="str">
        <f t="shared" si="696"/>
        <v>0</v>
      </c>
      <c r="N421" s="118"/>
      <c r="O421" s="118"/>
      <c r="P421" s="21" t="str">
        <f t="shared" si="727"/>
        <v>0</v>
      </c>
      <c r="Q421" s="21" t="str">
        <f t="shared" si="728"/>
        <v>0</v>
      </c>
      <c r="R421" s="21" t="str">
        <f t="shared" si="729"/>
        <v>0</v>
      </c>
      <c r="S421" s="21" t="str">
        <f t="shared" si="730"/>
        <v>0</v>
      </c>
      <c r="T421" s="21" t="str">
        <f t="shared" si="731"/>
        <v>0</v>
      </c>
      <c r="U421" s="21" t="str">
        <f t="shared" si="732"/>
        <v>0</v>
      </c>
      <c r="V421" s="21" t="str">
        <f t="shared" si="733"/>
        <v>1</v>
      </c>
      <c r="W421" s="21"/>
      <c r="X421" s="21" t="str">
        <f t="shared" si="734"/>
        <v/>
      </c>
      <c r="Y421" s="21" t="str">
        <f t="shared" si="735"/>
        <v/>
      </c>
      <c r="Z421" s="21" t="str">
        <f t="shared" si="736"/>
        <v/>
      </c>
      <c r="AA421" s="118"/>
      <c r="AB421" s="118"/>
      <c r="AC421" s="118"/>
      <c r="AD421" s="118"/>
      <c r="AE421" s="118" t="s">
        <v>51</v>
      </c>
      <c r="AF421" s="118"/>
      <c r="AG421" s="118"/>
      <c r="AH421" s="26" t="s">
        <v>2037</v>
      </c>
      <c r="AI421" s="26" t="s">
        <v>112</v>
      </c>
      <c r="AJ421" s="26">
        <v>96150</v>
      </c>
      <c r="AK421" s="26" t="str">
        <f t="shared" si="751"/>
        <v/>
      </c>
      <c r="AL421" s="123" t="str">
        <f t="shared" ref="AL421:AL423" si="754">IF(C421="","",C421&amp;"/"&amp;F421&amp;"/"&amp;N421&amp;"/"&amp;O421)</f>
        <v/>
      </c>
      <c r="AM421" s="26"/>
      <c r="AN421" s="26" t="s">
        <v>3245</v>
      </c>
      <c r="AO421" s="26" t="s">
        <v>3245</v>
      </c>
      <c r="AP421" s="26" t="s">
        <v>3245</v>
      </c>
      <c r="AQ421" s="26" t="s">
        <v>3245</v>
      </c>
      <c r="AR421" s="26" t="s">
        <v>3245</v>
      </c>
      <c r="AS421" s="26" t="s">
        <v>3245</v>
      </c>
      <c r="AT421" s="26" t="s">
        <v>3245</v>
      </c>
      <c r="AU421" s="26" t="s">
        <v>3245</v>
      </c>
      <c r="AV421" s="26" t="s">
        <v>3245</v>
      </c>
      <c r="AW421" s="26" t="s">
        <v>3245</v>
      </c>
      <c r="AX421" s="26" t="s">
        <v>3245</v>
      </c>
      <c r="AY421" s="124"/>
      <c r="AZ421" s="138" t="str">
        <f>IF(C421="","","delete from module_mst where pjt_id = '"&amp;C421&amp;"' and menu_id = '"&amp;E421&amp;"';")</f>
        <v/>
      </c>
      <c r="BA421" s="31" t="str">
        <f>IF(C421&lt;&gt;"",CREATE_QUERY($D$1,C$2:AY$2,C421:AY421),"")</f>
        <v/>
      </c>
    </row>
    <row r="422" spans="1:53">
      <c r="A422" s="1">
        <v>422</v>
      </c>
      <c r="B422" s="159" t="str">
        <f t="shared" si="738"/>
        <v/>
      </c>
      <c r="C422" s="27" t="str">
        <f t="shared" si="752"/>
        <v/>
      </c>
      <c r="D422" s="121"/>
      <c r="E422" s="21">
        <v>400004</v>
      </c>
      <c r="F422" s="118"/>
      <c r="G422" s="118" t="s">
        <v>900</v>
      </c>
      <c r="H422" s="118"/>
      <c r="I422" s="118"/>
      <c r="J422" s="118"/>
      <c r="K422" s="21" t="str">
        <f t="shared" si="694"/>
        <v/>
      </c>
      <c r="L422" s="21" t="str">
        <f t="shared" si="753"/>
        <v/>
      </c>
      <c r="M422" s="21" t="str">
        <f t="shared" si="696"/>
        <v>0</v>
      </c>
      <c r="N422" s="118"/>
      <c r="O422" s="118"/>
      <c r="P422" s="21" t="str">
        <f t="shared" si="727"/>
        <v>0</v>
      </c>
      <c r="Q422" s="21" t="str">
        <f t="shared" si="728"/>
        <v>0</v>
      </c>
      <c r="R422" s="21" t="str">
        <f t="shared" si="729"/>
        <v>0</v>
      </c>
      <c r="S422" s="21" t="str">
        <f t="shared" si="730"/>
        <v>0</v>
      </c>
      <c r="T422" s="21" t="str">
        <f t="shared" si="731"/>
        <v>0</v>
      </c>
      <c r="U422" s="21" t="str">
        <f t="shared" si="732"/>
        <v>0</v>
      </c>
      <c r="V422" s="21" t="str">
        <f t="shared" si="733"/>
        <v>1</v>
      </c>
      <c r="W422" s="21"/>
      <c r="X422" s="21" t="str">
        <f t="shared" si="734"/>
        <v/>
      </c>
      <c r="Y422" s="21" t="str">
        <f t="shared" si="735"/>
        <v/>
      </c>
      <c r="Z422" s="21" t="str">
        <f t="shared" si="736"/>
        <v/>
      </c>
      <c r="AA422" s="118"/>
      <c r="AB422" s="118"/>
      <c r="AC422" s="118"/>
      <c r="AD422" s="118"/>
      <c r="AE422" s="118"/>
      <c r="AF422" s="118"/>
      <c r="AG422" s="118"/>
      <c r="AH422" s="26" t="s">
        <v>2037</v>
      </c>
      <c r="AI422" s="26" t="s">
        <v>112</v>
      </c>
      <c r="AJ422" s="26">
        <v>96200</v>
      </c>
      <c r="AK422" s="26" t="str">
        <f t="shared" si="751"/>
        <v/>
      </c>
      <c r="AL422" s="123" t="str">
        <f t="shared" si="754"/>
        <v/>
      </c>
      <c r="AM422" s="26"/>
      <c r="AN422" s="26" t="s">
        <v>3245</v>
      </c>
      <c r="AO422" s="26" t="s">
        <v>3245</v>
      </c>
      <c r="AP422" s="26" t="s">
        <v>3245</v>
      </c>
      <c r="AQ422" s="26" t="s">
        <v>3245</v>
      </c>
      <c r="AR422" s="26" t="s">
        <v>3245</v>
      </c>
      <c r="AS422" s="26" t="s">
        <v>3245</v>
      </c>
      <c r="AT422" s="26" t="s">
        <v>3245</v>
      </c>
      <c r="AU422" s="26" t="s">
        <v>3245</v>
      </c>
      <c r="AV422" s="26" t="s">
        <v>3245</v>
      </c>
      <c r="AW422" s="26" t="s">
        <v>3245</v>
      </c>
      <c r="AX422" s="26" t="s">
        <v>3245</v>
      </c>
      <c r="AY422" s="124"/>
      <c r="AZ422" s="138" t="str">
        <f>IF(C422="","","delete from module_mst where pjt_id = '"&amp;C422&amp;"' and menu_id = '"&amp;E422&amp;"';")</f>
        <v/>
      </c>
      <c r="BA422" s="31" t="str">
        <f>IF(C422&lt;&gt;"",CREATE_QUERY($D$1,C$2:AY$2,C422:AY422),"")</f>
        <v/>
      </c>
    </row>
    <row r="423" spans="1:53">
      <c r="A423" s="1">
        <v>423</v>
      </c>
      <c r="B423" s="159" t="str">
        <f t="shared" si="738"/>
        <v/>
      </c>
      <c r="C423" s="27" t="str">
        <f t="shared" si="752"/>
        <v/>
      </c>
      <c r="D423" s="121"/>
      <c r="E423" s="21">
        <v>400005</v>
      </c>
      <c r="F423" s="118"/>
      <c r="G423" s="118" t="s">
        <v>900</v>
      </c>
      <c r="H423" s="118"/>
      <c r="I423" s="118"/>
      <c r="J423" s="118"/>
      <c r="K423" s="21" t="str">
        <f t="shared" si="694"/>
        <v/>
      </c>
      <c r="L423" s="21" t="str">
        <f t="shared" si="753"/>
        <v/>
      </c>
      <c r="M423" s="21" t="str">
        <f t="shared" si="696"/>
        <v>0</v>
      </c>
      <c r="N423" s="118"/>
      <c r="O423" s="118"/>
      <c r="P423" s="21" t="str">
        <f t="shared" si="727"/>
        <v>0</v>
      </c>
      <c r="Q423" s="21" t="str">
        <f t="shared" si="728"/>
        <v>0</v>
      </c>
      <c r="R423" s="21" t="str">
        <f t="shared" si="729"/>
        <v>0</v>
      </c>
      <c r="S423" s="21" t="str">
        <f t="shared" si="730"/>
        <v>0</v>
      </c>
      <c r="T423" s="21" t="str">
        <f t="shared" si="731"/>
        <v>0</v>
      </c>
      <c r="U423" s="21" t="str">
        <f t="shared" si="732"/>
        <v>0</v>
      </c>
      <c r="V423" s="21" t="str">
        <f t="shared" si="733"/>
        <v>1</v>
      </c>
      <c r="W423" s="21"/>
      <c r="X423" s="21" t="str">
        <f t="shared" si="734"/>
        <v/>
      </c>
      <c r="Y423" s="21" t="str">
        <f t="shared" si="735"/>
        <v/>
      </c>
      <c r="Z423" s="21" t="str">
        <f t="shared" si="736"/>
        <v/>
      </c>
      <c r="AA423" s="118"/>
      <c r="AB423" s="118"/>
      <c r="AC423" s="118"/>
      <c r="AD423" s="118"/>
      <c r="AE423" s="118" t="s">
        <v>51</v>
      </c>
      <c r="AF423" s="118"/>
      <c r="AG423" s="118"/>
      <c r="AH423" s="26" t="s">
        <v>2037</v>
      </c>
      <c r="AI423" s="26" t="s">
        <v>112</v>
      </c>
      <c r="AJ423" s="26">
        <v>96250</v>
      </c>
      <c r="AK423" s="26" t="str">
        <f t="shared" si="751"/>
        <v/>
      </c>
      <c r="AL423" s="123" t="str">
        <f t="shared" si="754"/>
        <v/>
      </c>
      <c r="AM423" s="26"/>
      <c r="AN423" s="26" t="s">
        <v>3245</v>
      </c>
      <c r="AO423" s="26" t="s">
        <v>3245</v>
      </c>
      <c r="AP423" s="26" t="s">
        <v>3245</v>
      </c>
      <c r="AQ423" s="26" t="s">
        <v>3245</v>
      </c>
      <c r="AR423" s="26" t="s">
        <v>3245</v>
      </c>
      <c r="AS423" s="26" t="s">
        <v>3245</v>
      </c>
      <c r="AT423" s="26" t="s">
        <v>3245</v>
      </c>
      <c r="AU423" s="26" t="s">
        <v>3245</v>
      </c>
      <c r="AV423" s="26" t="s">
        <v>3245</v>
      </c>
      <c r="AW423" s="26" t="s">
        <v>3245</v>
      </c>
      <c r="AX423" s="26" t="s">
        <v>3245</v>
      </c>
      <c r="AY423" s="124"/>
      <c r="AZ423" s="138" t="str">
        <f>IF(C423="","","delete from module_mst where pjt_id = '"&amp;C423&amp;"' and menu_id = '"&amp;E423&amp;"';")</f>
        <v/>
      </c>
      <c r="BA423" s="31" t="str">
        <f>IF(C423&lt;&gt;"",CREATE_QUERY($D$1,C$2:AY$2,C423:AY423),"")</f>
        <v/>
      </c>
    </row>
    <row r="424" spans="1:53">
      <c r="A424" s="1">
        <v>424</v>
      </c>
      <c r="B424" s="159" t="str">
        <f t="shared" si="738"/>
        <v/>
      </c>
      <c r="C424" s="27" t="str">
        <f t="shared" si="752"/>
        <v/>
      </c>
      <c r="D424" s="121"/>
      <c r="E424" s="21">
        <v>400008</v>
      </c>
      <c r="F424" s="118"/>
      <c r="G424" s="118" t="s">
        <v>900</v>
      </c>
      <c r="H424" s="118"/>
      <c r="I424" s="118"/>
      <c r="J424" s="118"/>
      <c r="K424" s="21" t="str">
        <f t="shared" si="694"/>
        <v/>
      </c>
      <c r="L424" s="21" t="str">
        <f t="shared" si="753"/>
        <v/>
      </c>
      <c r="M424" s="21" t="str">
        <f t="shared" si="696"/>
        <v>0</v>
      </c>
      <c r="N424" s="118"/>
      <c r="O424" s="118"/>
      <c r="P424" s="21" t="str">
        <f t="shared" si="727"/>
        <v>0</v>
      </c>
      <c r="Q424" s="21" t="str">
        <f t="shared" si="728"/>
        <v>0</v>
      </c>
      <c r="R424" s="21" t="str">
        <f t="shared" si="729"/>
        <v>0</v>
      </c>
      <c r="S424" s="21" t="str">
        <f t="shared" si="730"/>
        <v>0</v>
      </c>
      <c r="T424" s="21" t="str">
        <f t="shared" si="731"/>
        <v>0</v>
      </c>
      <c r="U424" s="21" t="str">
        <f t="shared" si="732"/>
        <v>0</v>
      </c>
      <c r="V424" s="21" t="str">
        <f t="shared" si="733"/>
        <v>1</v>
      </c>
      <c r="W424" s="21"/>
      <c r="X424" s="21" t="str">
        <f t="shared" si="734"/>
        <v/>
      </c>
      <c r="Y424" s="21" t="str">
        <f t="shared" si="735"/>
        <v/>
      </c>
      <c r="Z424" s="21" t="str">
        <f t="shared" si="736"/>
        <v/>
      </c>
      <c r="AA424" s="118"/>
      <c r="AB424" s="118"/>
      <c r="AC424" s="118"/>
      <c r="AD424" s="118"/>
      <c r="AE424" s="118"/>
      <c r="AF424" s="118"/>
      <c r="AG424" s="118"/>
      <c r="AH424" s="26" t="s">
        <v>2037</v>
      </c>
      <c r="AI424" s="26" t="s">
        <v>112</v>
      </c>
      <c r="AJ424" s="26">
        <v>96400</v>
      </c>
      <c r="AK424" s="26" t="str">
        <f t="shared" si="751"/>
        <v/>
      </c>
      <c r="AL424" s="123" t="str">
        <f t="shared" ref="AL424:AL428" si="755">IF(C424="","",C424&amp;"/"&amp;F424&amp;"/"&amp;N424&amp;"/"&amp;O424)</f>
        <v/>
      </c>
      <c r="AM424" s="26"/>
      <c r="AN424" s="26" t="s">
        <v>3245</v>
      </c>
      <c r="AO424" s="26" t="s">
        <v>3245</v>
      </c>
      <c r="AP424" s="26" t="s">
        <v>3245</v>
      </c>
      <c r="AQ424" s="26" t="s">
        <v>3245</v>
      </c>
      <c r="AR424" s="26" t="s">
        <v>3245</v>
      </c>
      <c r="AS424" s="26" t="s">
        <v>3245</v>
      </c>
      <c r="AT424" s="26" t="s">
        <v>3245</v>
      </c>
      <c r="AU424" s="26" t="s">
        <v>3245</v>
      </c>
      <c r="AV424" s="26" t="s">
        <v>3245</v>
      </c>
      <c r="AW424" s="26" t="s">
        <v>3245</v>
      </c>
      <c r="AX424" s="26" t="s">
        <v>3245</v>
      </c>
      <c r="AY424" s="124"/>
      <c r="AZ424" s="138" t="str">
        <f>IF(C424="","","delete from module_mst where pjt_id = '"&amp;C424&amp;"' and menu_id = '"&amp;E424&amp;"';")</f>
        <v/>
      </c>
      <c r="BA424" s="31" t="str">
        <f>IF(C424&lt;&gt;"",CREATE_QUERY($D$1,C$2:AY$2,C424:AY424),"")</f>
        <v/>
      </c>
    </row>
    <row r="425" spans="1:53">
      <c r="A425" s="1">
        <v>425</v>
      </c>
      <c r="B425" s="159" t="str">
        <f t="shared" si="738"/>
        <v/>
      </c>
      <c r="C425" s="27" t="str">
        <f t="shared" si="752"/>
        <v/>
      </c>
      <c r="D425" s="121"/>
      <c r="E425" s="21">
        <v>400009</v>
      </c>
      <c r="F425" s="118"/>
      <c r="G425" s="118" t="s">
        <v>900</v>
      </c>
      <c r="H425" s="118"/>
      <c r="I425" s="118"/>
      <c r="J425" s="118"/>
      <c r="K425" s="21" t="str">
        <f t="shared" si="694"/>
        <v/>
      </c>
      <c r="L425" s="21" t="str">
        <f t="shared" si="753"/>
        <v/>
      </c>
      <c r="M425" s="21" t="str">
        <f t="shared" si="696"/>
        <v>0</v>
      </c>
      <c r="N425" s="118"/>
      <c r="O425" s="118"/>
      <c r="P425" s="21" t="str">
        <f t="shared" si="727"/>
        <v>0</v>
      </c>
      <c r="Q425" s="21" t="str">
        <f t="shared" si="728"/>
        <v>0</v>
      </c>
      <c r="R425" s="21" t="str">
        <f t="shared" si="729"/>
        <v>0</v>
      </c>
      <c r="S425" s="21" t="str">
        <f t="shared" si="730"/>
        <v>0</v>
      </c>
      <c r="T425" s="21" t="str">
        <f t="shared" si="731"/>
        <v>0</v>
      </c>
      <c r="U425" s="21" t="str">
        <f t="shared" si="732"/>
        <v>0</v>
      </c>
      <c r="V425" s="21" t="str">
        <f t="shared" si="733"/>
        <v>1</v>
      </c>
      <c r="W425" s="21"/>
      <c r="X425" s="21" t="str">
        <f t="shared" si="734"/>
        <v/>
      </c>
      <c r="Y425" s="21" t="str">
        <f t="shared" si="735"/>
        <v/>
      </c>
      <c r="Z425" s="21" t="str">
        <f t="shared" si="736"/>
        <v/>
      </c>
      <c r="AA425" s="118"/>
      <c r="AB425" s="118"/>
      <c r="AC425" s="118"/>
      <c r="AD425" s="118"/>
      <c r="AE425" s="118" t="s">
        <v>51</v>
      </c>
      <c r="AF425" s="118"/>
      <c r="AG425" s="118"/>
      <c r="AH425" s="26" t="s">
        <v>2037</v>
      </c>
      <c r="AI425" s="26" t="s">
        <v>112</v>
      </c>
      <c r="AJ425" s="26">
        <v>96450</v>
      </c>
      <c r="AK425" s="26" t="str">
        <f t="shared" si="751"/>
        <v/>
      </c>
      <c r="AL425" s="123" t="str">
        <f t="shared" si="755"/>
        <v/>
      </c>
      <c r="AM425" s="26"/>
      <c r="AN425" s="26" t="s">
        <v>3245</v>
      </c>
      <c r="AO425" s="26" t="s">
        <v>3245</v>
      </c>
      <c r="AP425" s="26" t="s">
        <v>3245</v>
      </c>
      <c r="AQ425" s="26" t="s">
        <v>3245</v>
      </c>
      <c r="AR425" s="26" t="s">
        <v>3245</v>
      </c>
      <c r="AS425" s="26" t="s">
        <v>3245</v>
      </c>
      <c r="AT425" s="26" t="s">
        <v>3245</v>
      </c>
      <c r="AU425" s="26" t="s">
        <v>3245</v>
      </c>
      <c r="AV425" s="26" t="s">
        <v>3245</v>
      </c>
      <c r="AW425" s="26" t="s">
        <v>3245</v>
      </c>
      <c r="AX425" s="26" t="s">
        <v>3245</v>
      </c>
      <c r="AY425" s="124"/>
      <c r="AZ425" s="138" t="str">
        <f>IF(C425="","","delete from module_mst where pjt_id = '"&amp;C425&amp;"' and menu_id = '"&amp;E425&amp;"';")</f>
        <v/>
      </c>
      <c r="BA425" s="31" t="str">
        <f>IF(C425&lt;&gt;"",CREATE_QUERY($D$1,C$2:AY$2,C425:AY425),"")</f>
        <v/>
      </c>
    </row>
    <row r="426" spans="1:53">
      <c r="A426" s="1">
        <v>426</v>
      </c>
      <c r="B426" s="159" t="str">
        <f t="shared" si="738"/>
        <v/>
      </c>
      <c r="C426" s="27" t="str">
        <f t="shared" si="752"/>
        <v/>
      </c>
      <c r="D426" s="121"/>
      <c r="E426" s="21">
        <v>400010</v>
      </c>
      <c r="F426" s="118"/>
      <c r="G426" s="118" t="s">
        <v>900</v>
      </c>
      <c r="H426" s="118"/>
      <c r="I426" s="118"/>
      <c r="J426" s="118"/>
      <c r="K426" s="21" t="str">
        <f t="shared" si="694"/>
        <v/>
      </c>
      <c r="L426" s="21" t="str">
        <f t="shared" si="753"/>
        <v/>
      </c>
      <c r="M426" s="21" t="str">
        <f t="shared" si="696"/>
        <v>0</v>
      </c>
      <c r="N426" s="118"/>
      <c r="O426" s="118"/>
      <c r="P426" s="21" t="str">
        <f t="shared" si="727"/>
        <v>0</v>
      </c>
      <c r="Q426" s="21" t="str">
        <f t="shared" si="728"/>
        <v>0</v>
      </c>
      <c r="R426" s="21" t="str">
        <f t="shared" si="729"/>
        <v>0</v>
      </c>
      <c r="S426" s="21" t="str">
        <f t="shared" si="730"/>
        <v>0</v>
      </c>
      <c r="T426" s="21" t="str">
        <f t="shared" si="731"/>
        <v>0</v>
      </c>
      <c r="U426" s="21" t="str">
        <f t="shared" si="732"/>
        <v>0</v>
      </c>
      <c r="V426" s="21" t="str">
        <f t="shared" si="733"/>
        <v>1</v>
      </c>
      <c r="W426" s="21"/>
      <c r="X426" s="21" t="str">
        <f t="shared" si="734"/>
        <v/>
      </c>
      <c r="Y426" s="21" t="str">
        <f t="shared" si="735"/>
        <v/>
      </c>
      <c r="Z426" s="21" t="str">
        <f t="shared" si="736"/>
        <v/>
      </c>
      <c r="AA426" s="118"/>
      <c r="AB426" s="118"/>
      <c r="AC426" s="118"/>
      <c r="AD426" s="118"/>
      <c r="AE426" s="118"/>
      <c r="AF426" s="118"/>
      <c r="AG426" s="118"/>
      <c r="AH426" s="26" t="s">
        <v>2037</v>
      </c>
      <c r="AI426" s="26" t="s">
        <v>112</v>
      </c>
      <c r="AJ426" s="26">
        <v>96500</v>
      </c>
      <c r="AK426" s="26" t="str">
        <f t="shared" si="751"/>
        <v/>
      </c>
      <c r="AL426" s="123" t="str">
        <f t="shared" si="755"/>
        <v/>
      </c>
      <c r="AM426" s="26"/>
      <c r="AN426" s="26" t="s">
        <v>3245</v>
      </c>
      <c r="AO426" s="26" t="s">
        <v>3245</v>
      </c>
      <c r="AP426" s="26" t="s">
        <v>3245</v>
      </c>
      <c r="AQ426" s="26" t="s">
        <v>3245</v>
      </c>
      <c r="AR426" s="26" t="s">
        <v>3245</v>
      </c>
      <c r="AS426" s="26" t="s">
        <v>3245</v>
      </c>
      <c r="AT426" s="26" t="s">
        <v>3245</v>
      </c>
      <c r="AU426" s="26" t="s">
        <v>3245</v>
      </c>
      <c r="AV426" s="26" t="s">
        <v>3245</v>
      </c>
      <c r="AW426" s="26" t="s">
        <v>3245</v>
      </c>
      <c r="AX426" s="26" t="s">
        <v>3245</v>
      </c>
      <c r="AY426" s="124"/>
      <c r="AZ426" s="138" t="str">
        <f>IF(C426="","","delete from module_mst where pjt_id = '"&amp;C426&amp;"' and menu_id = '"&amp;E426&amp;"';")</f>
        <v/>
      </c>
      <c r="BA426" s="31" t="str">
        <f>IF(C426&lt;&gt;"",CREATE_QUERY($D$1,C$2:AY$2,C426:AY426),"")</f>
        <v/>
      </c>
    </row>
    <row r="427" spans="1:53">
      <c r="A427" s="1">
        <v>427</v>
      </c>
      <c r="B427" s="159" t="str">
        <f t="shared" si="738"/>
        <v/>
      </c>
      <c r="C427" s="27" t="str">
        <f t="shared" si="752"/>
        <v/>
      </c>
      <c r="D427" s="121"/>
      <c r="E427" s="21">
        <v>400011</v>
      </c>
      <c r="F427" s="118"/>
      <c r="G427" s="118" t="s">
        <v>900</v>
      </c>
      <c r="H427" s="118"/>
      <c r="I427" s="118"/>
      <c r="J427" s="118"/>
      <c r="K427" s="21" t="str">
        <f t="shared" si="694"/>
        <v/>
      </c>
      <c r="L427" s="21" t="str">
        <f t="shared" si="753"/>
        <v/>
      </c>
      <c r="M427" s="21" t="str">
        <f t="shared" si="696"/>
        <v>0</v>
      </c>
      <c r="N427" s="118"/>
      <c r="O427" s="118"/>
      <c r="P427" s="21" t="str">
        <f t="shared" si="727"/>
        <v>0</v>
      </c>
      <c r="Q427" s="21" t="str">
        <f t="shared" si="728"/>
        <v>0</v>
      </c>
      <c r="R427" s="21" t="str">
        <f t="shared" si="729"/>
        <v>0</v>
      </c>
      <c r="S427" s="21" t="str">
        <f t="shared" si="730"/>
        <v>0</v>
      </c>
      <c r="T427" s="21" t="str">
        <f t="shared" si="731"/>
        <v>0</v>
      </c>
      <c r="U427" s="21" t="str">
        <f t="shared" si="732"/>
        <v>0</v>
      </c>
      <c r="V427" s="21" t="str">
        <f t="shared" si="733"/>
        <v>1</v>
      </c>
      <c r="W427" s="21"/>
      <c r="X427" s="21" t="str">
        <f t="shared" si="734"/>
        <v/>
      </c>
      <c r="Y427" s="21" t="str">
        <f t="shared" si="735"/>
        <v/>
      </c>
      <c r="Z427" s="21" t="str">
        <f t="shared" si="736"/>
        <v/>
      </c>
      <c r="AA427" s="118"/>
      <c r="AB427" s="118"/>
      <c r="AC427" s="118"/>
      <c r="AD427" s="118"/>
      <c r="AE427" s="118" t="s">
        <v>51</v>
      </c>
      <c r="AF427" s="118"/>
      <c r="AG427" s="118"/>
      <c r="AH427" s="26" t="s">
        <v>2037</v>
      </c>
      <c r="AI427" s="26" t="s">
        <v>112</v>
      </c>
      <c r="AJ427" s="26">
        <v>96550</v>
      </c>
      <c r="AK427" s="26" t="str">
        <f t="shared" si="751"/>
        <v/>
      </c>
      <c r="AL427" s="123" t="str">
        <f t="shared" si="755"/>
        <v/>
      </c>
      <c r="AM427" s="26"/>
      <c r="AN427" s="26" t="s">
        <v>3245</v>
      </c>
      <c r="AO427" s="26" t="s">
        <v>3245</v>
      </c>
      <c r="AP427" s="26" t="s">
        <v>3245</v>
      </c>
      <c r="AQ427" s="26" t="s">
        <v>3245</v>
      </c>
      <c r="AR427" s="26" t="s">
        <v>3245</v>
      </c>
      <c r="AS427" s="26" t="s">
        <v>3245</v>
      </c>
      <c r="AT427" s="26" t="s">
        <v>3245</v>
      </c>
      <c r="AU427" s="26" t="s">
        <v>3245</v>
      </c>
      <c r="AV427" s="26" t="s">
        <v>3245</v>
      </c>
      <c r="AW427" s="26" t="s">
        <v>3245</v>
      </c>
      <c r="AX427" s="26" t="s">
        <v>3245</v>
      </c>
      <c r="AY427" s="124"/>
      <c r="AZ427" s="138" t="str">
        <f>IF(C427="","","delete from module_mst where pjt_id = '"&amp;C427&amp;"' and menu_id = '"&amp;E427&amp;"';")</f>
        <v/>
      </c>
      <c r="BA427" s="31" t="str">
        <f>IF(C427&lt;&gt;"",CREATE_QUERY($D$1,C$2:AY$2,C427:AY427),"")</f>
        <v/>
      </c>
    </row>
    <row r="428" spans="1:53">
      <c r="A428" s="1">
        <v>428</v>
      </c>
      <c r="B428" s="159" t="str">
        <f t="shared" si="738"/>
        <v/>
      </c>
      <c r="C428" s="27" t="str">
        <f t="shared" si="752"/>
        <v/>
      </c>
      <c r="D428" s="121"/>
      <c r="E428" s="21">
        <v>400012</v>
      </c>
      <c r="F428" s="118"/>
      <c r="G428" s="118" t="s">
        <v>900</v>
      </c>
      <c r="H428" s="118"/>
      <c r="I428" s="118"/>
      <c r="J428" s="118"/>
      <c r="K428" s="21" t="str">
        <f t="shared" si="694"/>
        <v/>
      </c>
      <c r="L428" s="21" t="str">
        <f t="shared" si="753"/>
        <v/>
      </c>
      <c r="M428" s="21" t="str">
        <f t="shared" si="696"/>
        <v>0</v>
      </c>
      <c r="N428" s="118"/>
      <c r="O428" s="118"/>
      <c r="P428" s="21" t="str">
        <f t="shared" si="727"/>
        <v>0</v>
      </c>
      <c r="Q428" s="21" t="str">
        <f t="shared" si="728"/>
        <v>0</v>
      </c>
      <c r="R428" s="21" t="str">
        <f t="shared" si="729"/>
        <v>0</v>
      </c>
      <c r="S428" s="21" t="str">
        <f t="shared" si="730"/>
        <v>0</v>
      </c>
      <c r="T428" s="21" t="str">
        <f t="shared" si="731"/>
        <v>0</v>
      </c>
      <c r="U428" s="21" t="str">
        <f t="shared" si="732"/>
        <v>0</v>
      </c>
      <c r="V428" s="21" t="str">
        <f t="shared" si="733"/>
        <v>1</v>
      </c>
      <c r="W428" s="21"/>
      <c r="X428" s="21" t="str">
        <f t="shared" si="734"/>
        <v/>
      </c>
      <c r="Y428" s="21" t="str">
        <f t="shared" si="735"/>
        <v/>
      </c>
      <c r="Z428" s="21" t="str">
        <f t="shared" si="736"/>
        <v/>
      </c>
      <c r="AA428" s="118"/>
      <c r="AB428" s="118"/>
      <c r="AC428" s="118"/>
      <c r="AD428" s="118"/>
      <c r="AE428" s="118"/>
      <c r="AF428" s="118"/>
      <c r="AG428" s="118"/>
      <c r="AH428" s="26" t="s">
        <v>2037</v>
      </c>
      <c r="AI428" s="26" t="s">
        <v>112</v>
      </c>
      <c r="AJ428" s="26">
        <v>96600</v>
      </c>
      <c r="AK428" s="26" t="str">
        <f t="shared" si="751"/>
        <v/>
      </c>
      <c r="AL428" s="123" t="str">
        <f t="shared" si="755"/>
        <v/>
      </c>
      <c r="AM428" s="26"/>
      <c r="AN428" s="26" t="s">
        <v>3245</v>
      </c>
      <c r="AO428" s="26" t="s">
        <v>3245</v>
      </c>
      <c r="AP428" s="26" t="s">
        <v>3245</v>
      </c>
      <c r="AQ428" s="26" t="s">
        <v>3245</v>
      </c>
      <c r="AR428" s="26" t="s">
        <v>3245</v>
      </c>
      <c r="AS428" s="26" t="s">
        <v>3245</v>
      </c>
      <c r="AT428" s="26" t="s">
        <v>3245</v>
      </c>
      <c r="AU428" s="26" t="s">
        <v>3245</v>
      </c>
      <c r="AV428" s="26" t="s">
        <v>3245</v>
      </c>
      <c r="AW428" s="26" t="s">
        <v>3245</v>
      </c>
      <c r="AX428" s="26" t="s">
        <v>3245</v>
      </c>
      <c r="AY428" s="124"/>
      <c r="AZ428" s="138" t="str">
        <f>IF(C428="","","delete from module_mst where pjt_id = '"&amp;C428&amp;"' and menu_id = '"&amp;E428&amp;"';")</f>
        <v/>
      </c>
      <c r="BA428" s="31" t="str">
        <f>IF(C428&lt;&gt;"",CREATE_QUERY($D$1,C$2:AY$2,C428:AY428),"")</f>
        <v/>
      </c>
    </row>
    <row r="429" spans="1:53">
      <c r="A429" s="1">
        <v>429</v>
      </c>
      <c r="B429" s="159" t="str">
        <f t="shared" si="738"/>
        <v/>
      </c>
      <c r="C429" s="27" t="str">
        <f t="shared" si="752"/>
        <v/>
      </c>
      <c r="D429" s="121"/>
      <c r="E429" s="21">
        <v>400013</v>
      </c>
      <c r="F429" s="118"/>
      <c r="G429" s="118" t="s">
        <v>900</v>
      </c>
      <c r="H429" s="118"/>
      <c r="I429" s="118"/>
      <c r="J429" s="118"/>
      <c r="K429" s="21" t="str">
        <f t="shared" si="694"/>
        <v/>
      </c>
      <c r="L429" s="21" t="str">
        <f t="shared" si="753"/>
        <v/>
      </c>
      <c r="M429" s="21" t="str">
        <f t="shared" si="696"/>
        <v>0</v>
      </c>
      <c r="N429" s="118"/>
      <c r="O429" s="118"/>
      <c r="P429" s="21" t="str">
        <f t="shared" si="727"/>
        <v>0</v>
      </c>
      <c r="Q429" s="21" t="str">
        <f t="shared" si="728"/>
        <v>0</v>
      </c>
      <c r="R429" s="21" t="str">
        <f t="shared" si="729"/>
        <v>0</v>
      </c>
      <c r="S429" s="21" t="str">
        <f t="shared" si="730"/>
        <v>0</v>
      </c>
      <c r="T429" s="21" t="str">
        <f t="shared" si="731"/>
        <v>0</v>
      </c>
      <c r="U429" s="21" t="str">
        <f t="shared" si="732"/>
        <v>0</v>
      </c>
      <c r="V429" s="21" t="str">
        <f t="shared" si="733"/>
        <v>1</v>
      </c>
      <c r="W429" s="21"/>
      <c r="X429" s="21" t="str">
        <f t="shared" si="734"/>
        <v/>
      </c>
      <c r="Y429" s="21" t="str">
        <f t="shared" si="735"/>
        <v/>
      </c>
      <c r="Z429" s="21" t="str">
        <f t="shared" si="736"/>
        <v/>
      </c>
      <c r="AA429" s="118"/>
      <c r="AB429" s="118"/>
      <c r="AC429" s="118"/>
      <c r="AD429" s="118"/>
      <c r="AE429" s="118" t="s">
        <v>51</v>
      </c>
      <c r="AF429" s="118"/>
      <c r="AG429" s="118"/>
      <c r="AH429" s="26" t="s">
        <v>2037</v>
      </c>
      <c r="AI429" s="26" t="s">
        <v>112</v>
      </c>
      <c r="AJ429" s="26">
        <v>96650</v>
      </c>
      <c r="AK429" s="26" t="str">
        <f t="shared" si="751"/>
        <v/>
      </c>
      <c r="AL429" s="123" t="str">
        <f t="shared" ref="AL429:AL430" si="756">IF(C429="","",C429&amp;"/"&amp;F429&amp;"/"&amp;N429&amp;"/"&amp;O429)</f>
        <v/>
      </c>
      <c r="AM429" s="26"/>
      <c r="AN429" s="26" t="s">
        <v>3245</v>
      </c>
      <c r="AO429" s="26" t="s">
        <v>3245</v>
      </c>
      <c r="AP429" s="26" t="s">
        <v>3245</v>
      </c>
      <c r="AQ429" s="26" t="s">
        <v>3245</v>
      </c>
      <c r="AR429" s="26" t="s">
        <v>3245</v>
      </c>
      <c r="AS429" s="26" t="s">
        <v>3245</v>
      </c>
      <c r="AT429" s="26" t="s">
        <v>3245</v>
      </c>
      <c r="AU429" s="26" t="s">
        <v>3245</v>
      </c>
      <c r="AV429" s="26" t="s">
        <v>3245</v>
      </c>
      <c r="AW429" s="26" t="s">
        <v>3245</v>
      </c>
      <c r="AX429" s="26" t="s">
        <v>3245</v>
      </c>
      <c r="AY429" s="124"/>
      <c r="AZ429" s="138" t="str">
        <f>IF(C429="","","delete from module_mst where pjt_id = '"&amp;C429&amp;"' and menu_id = '"&amp;E429&amp;"';")</f>
        <v/>
      </c>
      <c r="BA429" s="31" t="str">
        <f>IF(C429&lt;&gt;"",CREATE_QUERY($D$1,C$2:AY$2,C429:AY429),"")</f>
        <v/>
      </c>
    </row>
    <row r="430" spans="1:53">
      <c r="A430" s="1">
        <v>430</v>
      </c>
      <c r="B430" s="159" t="str">
        <f t="shared" si="738"/>
        <v/>
      </c>
      <c r="C430" s="27" t="str">
        <f t="shared" si="752"/>
        <v/>
      </c>
      <c r="D430" s="121"/>
      <c r="E430" s="21">
        <v>400014</v>
      </c>
      <c r="F430" s="118"/>
      <c r="G430" s="118" t="s">
        <v>900</v>
      </c>
      <c r="H430" s="118"/>
      <c r="I430" s="118"/>
      <c r="J430" s="118"/>
      <c r="K430" s="21" t="str">
        <f t="shared" si="694"/>
        <v/>
      </c>
      <c r="L430" s="21" t="str">
        <f t="shared" si="753"/>
        <v/>
      </c>
      <c r="M430" s="21" t="str">
        <f t="shared" si="696"/>
        <v>0</v>
      </c>
      <c r="N430" s="118"/>
      <c r="O430" s="118"/>
      <c r="P430" s="21" t="str">
        <f t="shared" si="727"/>
        <v>0</v>
      </c>
      <c r="Q430" s="21" t="str">
        <f t="shared" si="728"/>
        <v>0</v>
      </c>
      <c r="R430" s="21" t="str">
        <f t="shared" si="729"/>
        <v>0</v>
      </c>
      <c r="S430" s="21" t="str">
        <f t="shared" si="730"/>
        <v>0</v>
      </c>
      <c r="T430" s="21" t="str">
        <f t="shared" si="731"/>
        <v>0</v>
      </c>
      <c r="U430" s="21" t="str">
        <f t="shared" si="732"/>
        <v>0</v>
      </c>
      <c r="V430" s="21" t="str">
        <f t="shared" si="733"/>
        <v>1</v>
      </c>
      <c r="W430" s="21"/>
      <c r="X430" s="21" t="str">
        <f t="shared" si="734"/>
        <v/>
      </c>
      <c r="Y430" s="21" t="str">
        <f t="shared" si="735"/>
        <v/>
      </c>
      <c r="Z430" s="21" t="str">
        <f t="shared" si="736"/>
        <v/>
      </c>
      <c r="AA430" s="118"/>
      <c r="AB430" s="118"/>
      <c r="AC430" s="118"/>
      <c r="AD430" s="118"/>
      <c r="AE430" s="118"/>
      <c r="AF430" s="118"/>
      <c r="AG430" s="118"/>
      <c r="AH430" s="26" t="s">
        <v>2037</v>
      </c>
      <c r="AI430" s="26" t="s">
        <v>112</v>
      </c>
      <c r="AJ430" s="26">
        <v>96700</v>
      </c>
      <c r="AK430" s="26" t="str">
        <f t="shared" si="751"/>
        <v/>
      </c>
      <c r="AL430" s="123" t="str">
        <f t="shared" si="756"/>
        <v/>
      </c>
      <c r="AM430" s="26"/>
      <c r="AN430" s="26" t="s">
        <v>3245</v>
      </c>
      <c r="AO430" s="26" t="s">
        <v>3245</v>
      </c>
      <c r="AP430" s="26" t="s">
        <v>3245</v>
      </c>
      <c r="AQ430" s="26" t="s">
        <v>3245</v>
      </c>
      <c r="AR430" s="26" t="s">
        <v>3245</v>
      </c>
      <c r="AS430" s="26" t="s">
        <v>3245</v>
      </c>
      <c r="AT430" s="26" t="s">
        <v>3245</v>
      </c>
      <c r="AU430" s="26" t="s">
        <v>3245</v>
      </c>
      <c r="AV430" s="26" t="s">
        <v>3245</v>
      </c>
      <c r="AW430" s="26" t="s">
        <v>3245</v>
      </c>
      <c r="AX430" s="26" t="s">
        <v>3245</v>
      </c>
      <c r="AY430" s="124"/>
      <c r="AZ430" s="138" t="str">
        <f>IF(C430="","","delete from module_mst where pjt_id = '"&amp;C430&amp;"' and menu_id = '"&amp;E430&amp;"';")</f>
        <v/>
      </c>
      <c r="BA430" s="31" t="str">
        <f>IF(C430&lt;&gt;"",CREATE_QUERY($D$1,C$2:AY$2,C430:AY430),"")</f>
        <v/>
      </c>
    </row>
    <row r="431" spans="1:53">
      <c r="A431" s="1">
        <v>431</v>
      </c>
      <c r="B431" s="43" t="str">
        <f t="shared" si="738"/>
        <v/>
      </c>
      <c r="C431" s="27" t="str">
        <f t="shared" si="752"/>
        <v/>
      </c>
      <c r="D431" s="5"/>
      <c r="E431" s="10"/>
      <c r="F431" s="5"/>
      <c r="G431" s="5" t="s">
        <v>900</v>
      </c>
      <c r="H431" s="5"/>
      <c r="I431" s="5"/>
      <c r="J431" s="5"/>
      <c r="K431" s="10" t="str">
        <f t="shared" si="694"/>
        <v/>
      </c>
      <c r="L431" s="10" t="str">
        <f t="shared" si="753"/>
        <v/>
      </c>
      <c r="M431" s="10" t="str">
        <f t="shared" si="696"/>
        <v>0</v>
      </c>
      <c r="N431" s="5"/>
      <c r="O431" s="5"/>
      <c r="P431" s="27" t="str">
        <f t="shared" si="727"/>
        <v>0</v>
      </c>
      <c r="Q431" s="27" t="str">
        <f t="shared" si="728"/>
        <v>0</v>
      </c>
      <c r="R431" s="27" t="str">
        <f t="shared" si="729"/>
        <v>0</v>
      </c>
      <c r="S431" s="27" t="str">
        <f t="shared" si="730"/>
        <v>0</v>
      </c>
      <c r="T431" s="27" t="str">
        <f t="shared" si="731"/>
        <v>0</v>
      </c>
      <c r="U431" s="27" t="str">
        <f t="shared" si="732"/>
        <v>0</v>
      </c>
      <c r="V431" s="27" t="str">
        <f t="shared" si="733"/>
        <v>1</v>
      </c>
      <c r="W431" s="27"/>
      <c r="X431" s="27" t="str">
        <f t="shared" si="734"/>
        <v/>
      </c>
      <c r="Y431" s="27" t="str">
        <f t="shared" si="735"/>
        <v/>
      </c>
      <c r="Z431" s="27" t="str">
        <f t="shared" si="736"/>
        <v/>
      </c>
      <c r="AA431" s="5"/>
      <c r="AB431" s="5"/>
      <c r="AC431" s="5"/>
      <c r="AD431" s="5"/>
      <c r="AE431" s="5"/>
      <c r="AF431" s="5"/>
      <c r="AG431" s="5"/>
      <c r="AH431" s="27"/>
      <c r="AI431" s="27"/>
      <c r="AJ431" s="27"/>
      <c r="AK431" s="27" t="str">
        <f t="shared" si="751"/>
        <v/>
      </c>
      <c r="AL431" s="6" t="str">
        <f t="shared" si="708"/>
        <v/>
      </c>
      <c r="AM431" s="27"/>
      <c r="AN431" s="27"/>
      <c r="AO431" s="27"/>
      <c r="AP431" s="27"/>
      <c r="AQ431" s="27"/>
      <c r="AR431" s="27"/>
      <c r="AS431" s="27"/>
      <c r="AT431" s="27"/>
      <c r="AU431" s="27"/>
      <c r="AV431" s="27"/>
      <c r="AW431" s="27"/>
      <c r="AX431" s="27"/>
      <c r="AY431" s="63"/>
      <c r="AZ431" s="138" t="str">
        <f>IF(C431="","","delete from module_mst where pjt_id = '"&amp;C431&amp;"' and menu_id = '"&amp;E431&amp;"';")</f>
        <v/>
      </c>
      <c r="BA431" s="31" t="str">
        <f>IF(C431&lt;&gt;"",CREATE_QUERY($D$1,C$2:AY$2,C431:AY431),"")</f>
        <v/>
      </c>
    </row>
    <row r="432" spans="1:53">
      <c r="A432" s="1">
        <v>455</v>
      </c>
      <c r="B432" s="162" t="str">
        <f t="shared" si="738"/>
        <v xml:space="preserve">  └ 성능개선프로젝트</v>
      </c>
      <c r="C432" s="27" t="str">
        <f t="shared" si="752"/>
        <v>14821</v>
      </c>
      <c r="D432" s="121"/>
      <c r="E432" s="24" t="s">
        <v>2414</v>
      </c>
      <c r="F432" s="127" t="s">
        <v>2415</v>
      </c>
      <c r="G432" s="127" t="s">
        <v>3216</v>
      </c>
      <c r="H432" s="127"/>
      <c r="I432" s="127"/>
      <c r="J432" s="127"/>
      <c r="K432" s="25" t="str">
        <f t="shared" ref="K432:K451" si="757">IF(O432="","","1")</f>
        <v/>
      </c>
      <c r="L432" s="25" t="str">
        <f t="shared" si="753"/>
        <v>1</v>
      </c>
      <c r="M432" s="25" t="str">
        <f t="shared" ref="M432:M451" si="758">IF(O432="","0","1")</f>
        <v>0</v>
      </c>
      <c r="N432" s="127"/>
      <c r="O432" s="127"/>
      <c r="P432" s="25" t="str">
        <f t="shared" si="727"/>
        <v>0</v>
      </c>
      <c r="Q432" s="25" t="str">
        <f t="shared" si="728"/>
        <v>0</v>
      </c>
      <c r="R432" s="25" t="str">
        <f t="shared" si="729"/>
        <v>0</v>
      </c>
      <c r="S432" s="25" t="str">
        <f t="shared" si="730"/>
        <v>0</v>
      </c>
      <c r="T432" s="25" t="str">
        <f t="shared" si="731"/>
        <v>0</v>
      </c>
      <c r="U432" s="25" t="str">
        <f t="shared" si="732"/>
        <v>0</v>
      </c>
      <c r="V432" s="25" t="str">
        <f t="shared" si="733"/>
        <v>1</v>
      </c>
      <c r="W432" s="25"/>
      <c r="X432" s="25" t="str">
        <f t="shared" si="734"/>
        <v/>
      </c>
      <c r="Y432" s="25" t="str">
        <f t="shared" si="735"/>
        <v/>
      </c>
      <c r="Z432" s="25" t="str">
        <f t="shared" si="736"/>
        <v/>
      </c>
      <c r="AA432" s="127"/>
      <c r="AB432" s="127"/>
      <c r="AC432" s="127"/>
      <c r="AD432" s="127"/>
      <c r="AE432" s="127" t="s">
        <v>51</v>
      </c>
      <c r="AF432" s="127"/>
      <c r="AG432" s="127"/>
      <c r="AH432" s="24" t="s">
        <v>120</v>
      </c>
      <c r="AI432" s="24" t="s">
        <v>111</v>
      </c>
      <c r="AJ432" s="24">
        <v>95000</v>
      </c>
      <c r="AK432" s="24" t="str">
        <f t="shared" si="751"/>
        <v>0</v>
      </c>
      <c r="AL432" s="123" t="str">
        <f t="shared" ref="AL432:AL433" si="759">IF(C432="","",C432&amp;"/"&amp;F432&amp;"/"&amp;N432&amp;"/"&amp;O432)</f>
        <v>14821/성능개선프로젝트//</v>
      </c>
      <c r="AM432" s="24"/>
      <c r="AN432" s="24"/>
      <c r="AO432" s="24"/>
      <c r="AP432" s="24"/>
      <c r="AQ432" s="24"/>
      <c r="AR432" s="24"/>
      <c r="AS432" s="24"/>
      <c r="AT432" s="24"/>
      <c r="AU432" s="24"/>
      <c r="AV432" s="24"/>
      <c r="AW432" s="24"/>
      <c r="AX432" s="24"/>
      <c r="AY432" s="124"/>
      <c r="AZ432" s="138" t="str">
        <f>IF(C432="","","delete from module_mst where pjt_id = '"&amp;C432&amp;"' and menu_id = '"&amp;E432&amp;"';")</f>
        <v>delete from module_mst where pjt_id = '14821' and menu_id = '950000';</v>
      </c>
      <c r="BA432" s="31" t="str">
        <f>IF(C432&lt;&gt;"",CREATE_QUERY($D$1,C$2:AY$2,C432:AY432),"")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'950000', '성능개선프로젝트', 'Performance improvement project', '', '', '', '', '1', '0', '', '', '0', '0', '0', '0', '0', '0', '1', '', '', '', '', '', '', '', '', 'N', '', '', '200000', '3', '95000', '0', '14821/성능개선프로젝트//', '', '');</v>
      </c>
    </row>
    <row r="433" spans="1:53">
      <c r="A433" s="1">
        <v>456</v>
      </c>
      <c r="B433" s="159" t="str">
        <f t="shared" si="738"/>
        <v xml:space="preserve">    └ 사용자정보관리</v>
      </c>
      <c r="C433" s="27" t="str">
        <f t="shared" si="752"/>
        <v>14821</v>
      </c>
      <c r="D433" s="121"/>
      <c r="E433" s="21">
        <v>950001</v>
      </c>
      <c r="F433" s="118" t="s">
        <v>2416</v>
      </c>
      <c r="G433" s="118" t="s">
        <v>3217</v>
      </c>
      <c r="H433" s="118"/>
      <c r="I433" s="118"/>
      <c r="J433" s="118"/>
      <c r="K433" s="21" t="str">
        <f t="shared" si="757"/>
        <v>1</v>
      </c>
      <c r="L433" s="21" t="str">
        <f t="shared" si="753"/>
        <v>1</v>
      </c>
      <c r="M433" s="21" t="str">
        <f t="shared" si="758"/>
        <v>1</v>
      </c>
      <c r="N433" s="118" t="s">
        <v>2417</v>
      </c>
      <c r="O433" s="118" t="s">
        <v>2418</v>
      </c>
      <c r="P433" s="21" t="str">
        <f t="shared" si="727"/>
        <v>1</v>
      </c>
      <c r="Q433" s="21" t="str">
        <f t="shared" si="728"/>
        <v>1</v>
      </c>
      <c r="R433" s="21" t="str">
        <f t="shared" si="729"/>
        <v>1</v>
      </c>
      <c r="S433" s="21" t="str">
        <f t="shared" si="730"/>
        <v>1</v>
      </c>
      <c r="T433" s="21" t="str">
        <f t="shared" si="731"/>
        <v>1</v>
      </c>
      <c r="U433" s="21" t="str">
        <f t="shared" si="732"/>
        <v>1</v>
      </c>
      <c r="V433" s="21" t="str">
        <f t="shared" si="733"/>
        <v>1</v>
      </c>
      <c r="W433" s="21"/>
      <c r="X433" s="21" t="str">
        <f t="shared" si="734"/>
        <v>0</v>
      </c>
      <c r="Y433" s="21" t="str">
        <f t="shared" si="735"/>
        <v>0</v>
      </c>
      <c r="Z433" s="21" t="str">
        <f t="shared" si="736"/>
        <v>0</v>
      </c>
      <c r="AA433" s="118"/>
      <c r="AB433" s="118"/>
      <c r="AC433" s="118"/>
      <c r="AD433" s="118"/>
      <c r="AE433" s="118" t="s">
        <v>51</v>
      </c>
      <c r="AF433" s="118"/>
      <c r="AG433" s="118"/>
      <c r="AH433" s="21">
        <v>950000</v>
      </c>
      <c r="AI433" s="26" t="s">
        <v>112</v>
      </c>
      <c r="AJ433" s="26">
        <v>95050</v>
      </c>
      <c r="AK433" s="26" t="str">
        <f t="shared" si="751"/>
        <v>0</v>
      </c>
      <c r="AL433" s="123" t="str">
        <f t="shared" si="759"/>
        <v>14821/사용자정보관리/test/TestUserMast</v>
      </c>
      <c r="AM433" s="26"/>
      <c r="AN433" s="26"/>
      <c r="AO433" s="26"/>
      <c r="AP433" s="26"/>
      <c r="AQ433" s="26"/>
      <c r="AR433" s="26"/>
      <c r="AS433" s="26"/>
      <c r="AT433" s="26"/>
      <c r="AU433" s="26"/>
      <c r="AV433" s="26"/>
      <c r="AW433" s="26"/>
      <c r="AX433" s="26"/>
      <c r="AY433" s="124"/>
      <c r="AZ433" s="138" t="str">
        <f>IF(C433="","","delete from module_mst where pjt_id = '"&amp;C433&amp;"' and menu_id = '"&amp;E433&amp;"';")</f>
        <v>delete from module_mst where pjt_id = '14821' and menu_id = '950001';</v>
      </c>
      <c r="BA433" s="31" t="str">
        <f>IF(C433&lt;&gt;"",CREATE_QUERY($D$1,C$2:AY$2,C433:AY433),"")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VALUES ('14821', '', '950001', '사용자정보관리', 'User information management', '', '', '', '1', '1', '1', 'test', 'TestUserMast', '1', '1', '1', '1', '1', '1', '1', '', '0', '0', '0', '', '', '', '', 'N', '', '', '950000', '4', '95050', '0', '14821/사용자정보관리/test/TestUserMast', '', '');</v>
      </c>
    </row>
    <row r="434" spans="1:53">
      <c r="A434" s="1">
        <v>457</v>
      </c>
      <c r="B434" s="43" t="str">
        <f t="shared" si="738"/>
        <v/>
      </c>
      <c r="C434" s="27" t="str">
        <f t="shared" si="752"/>
        <v/>
      </c>
      <c r="D434" s="5"/>
      <c r="E434" s="10"/>
      <c r="F434" s="5"/>
      <c r="G434" s="5" t="s">
        <v>900</v>
      </c>
      <c r="H434" s="5"/>
      <c r="I434" s="5"/>
      <c r="J434" s="5"/>
      <c r="K434" s="10" t="str">
        <f t="shared" si="757"/>
        <v/>
      </c>
      <c r="L434" s="10" t="str">
        <f t="shared" si="753"/>
        <v/>
      </c>
      <c r="M434" s="10" t="str">
        <f t="shared" si="758"/>
        <v>0</v>
      </c>
      <c r="N434" s="5"/>
      <c r="O434" s="5"/>
      <c r="P434" s="27" t="str">
        <f t="shared" si="727"/>
        <v>0</v>
      </c>
      <c r="Q434" s="27" t="str">
        <f t="shared" si="728"/>
        <v>0</v>
      </c>
      <c r="R434" s="27" t="str">
        <f t="shared" si="729"/>
        <v>0</v>
      </c>
      <c r="S434" s="27" t="str">
        <f t="shared" si="730"/>
        <v>0</v>
      </c>
      <c r="T434" s="27" t="str">
        <f t="shared" si="731"/>
        <v>0</v>
      </c>
      <c r="U434" s="27" t="str">
        <f t="shared" si="732"/>
        <v>0</v>
      </c>
      <c r="V434" s="27" t="str">
        <f t="shared" si="733"/>
        <v>1</v>
      </c>
      <c r="W434" s="27"/>
      <c r="X434" s="27" t="str">
        <f t="shared" si="734"/>
        <v/>
      </c>
      <c r="Y434" s="27" t="str">
        <f t="shared" si="735"/>
        <v/>
      </c>
      <c r="Z434" s="27" t="str">
        <f t="shared" si="736"/>
        <v/>
      </c>
      <c r="AA434" s="5"/>
      <c r="AB434" s="5"/>
      <c r="AC434" s="5"/>
      <c r="AD434" s="5"/>
      <c r="AE434" s="5"/>
      <c r="AF434" s="5"/>
      <c r="AG434" s="5"/>
      <c r="AH434" s="27"/>
      <c r="AI434" s="27"/>
      <c r="AJ434" s="27"/>
      <c r="AK434" s="27" t="str">
        <f t="shared" si="751"/>
        <v/>
      </c>
      <c r="AL434" s="6"/>
      <c r="AM434" s="27"/>
      <c r="AN434" s="27"/>
      <c r="AO434" s="27"/>
      <c r="AP434" s="27"/>
      <c r="AQ434" s="27"/>
      <c r="AR434" s="27"/>
      <c r="AS434" s="27"/>
      <c r="AT434" s="27"/>
      <c r="AU434" s="27"/>
      <c r="AV434" s="27"/>
      <c r="AW434" s="27"/>
      <c r="AX434" s="27"/>
      <c r="AY434" s="63"/>
      <c r="AZ434" s="138" t="str">
        <f>IF(C434="","","delete from module_mst where pjt_id = '"&amp;C434&amp;"' and menu_id = '"&amp;E434&amp;"';")</f>
        <v/>
      </c>
      <c r="BA434" s="31" t="str">
        <f>IF(C434&lt;&gt;"",CREATE_QUERY($D$1,C$2:AY$2,C434:AY434),"")</f>
        <v/>
      </c>
    </row>
    <row r="435" spans="1:53">
      <c r="A435" s="1">
        <v>458</v>
      </c>
      <c r="B435" s="43" t="str">
        <f t="shared" si="738"/>
        <v/>
      </c>
      <c r="C435" s="27" t="str">
        <f t="shared" si="752"/>
        <v/>
      </c>
      <c r="D435" s="5"/>
      <c r="E435" s="10"/>
      <c r="F435" s="5"/>
      <c r="G435" s="5" t="s">
        <v>900</v>
      </c>
      <c r="H435" s="5"/>
      <c r="I435" s="5"/>
      <c r="J435" s="5"/>
      <c r="K435" s="10" t="str">
        <f t="shared" si="757"/>
        <v/>
      </c>
      <c r="L435" s="10" t="str">
        <f t="shared" si="753"/>
        <v/>
      </c>
      <c r="M435" s="10" t="str">
        <f t="shared" si="758"/>
        <v>0</v>
      </c>
      <c r="N435" s="5"/>
      <c r="O435" s="5"/>
      <c r="P435" s="27" t="str">
        <f t="shared" si="727"/>
        <v>0</v>
      </c>
      <c r="Q435" s="27" t="str">
        <f t="shared" si="728"/>
        <v>0</v>
      </c>
      <c r="R435" s="27" t="str">
        <f t="shared" si="729"/>
        <v>0</v>
      </c>
      <c r="S435" s="27" t="str">
        <f t="shared" si="730"/>
        <v>0</v>
      </c>
      <c r="T435" s="27" t="str">
        <f t="shared" si="731"/>
        <v>0</v>
      </c>
      <c r="U435" s="27" t="str">
        <f t="shared" si="732"/>
        <v>0</v>
      </c>
      <c r="V435" s="27" t="str">
        <f t="shared" si="733"/>
        <v>1</v>
      </c>
      <c r="W435" s="27"/>
      <c r="X435" s="27" t="str">
        <f t="shared" si="734"/>
        <v/>
      </c>
      <c r="Y435" s="27" t="str">
        <f t="shared" si="735"/>
        <v/>
      </c>
      <c r="Z435" s="27" t="str">
        <f t="shared" si="736"/>
        <v/>
      </c>
      <c r="AA435" s="5"/>
      <c r="AB435" s="5"/>
      <c r="AC435" s="5"/>
      <c r="AD435" s="5"/>
      <c r="AE435" s="5"/>
      <c r="AF435" s="5"/>
      <c r="AG435" s="5"/>
      <c r="AH435" s="27"/>
      <c r="AI435" s="27"/>
      <c r="AJ435" s="27"/>
      <c r="AK435" s="27" t="str">
        <f t="shared" si="751"/>
        <v/>
      </c>
      <c r="AL435" s="6"/>
      <c r="AM435" s="27"/>
      <c r="AN435" s="27"/>
      <c r="AO435" s="27"/>
      <c r="AP435" s="27"/>
      <c r="AQ435" s="27"/>
      <c r="AR435" s="27"/>
      <c r="AS435" s="27"/>
      <c r="AT435" s="27"/>
      <c r="AU435" s="27"/>
      <c r="AV435" s="27"/>
      <c r="AW435" s="27"/>
      <c r="AX435" s="27"/>
      <c r="AY435" s="63"/>
      <c r="AZ435" s="138" t="str">
        <f>IF(C435="","","delete from module_mst where pjt_id = '"&amp;C435&amp;"' and menu_id = '"&amp;E435&amp;"';")</f>
        <v/>
      </c>
      <c r="BA435" s="31" t="str">
        <f>IF(C435&lt;&gt;"",CREATE_QUERY($D$1,C$2:AY$2,C435:AY435),"")</f>
        <v/>
      </c>
    </row>
    <row r="436" spans="1:53">
      <c r="A436" s="1">
        <v>459</v>
      </c>
      <c r="B436" s="43" t="str">
        <f t="shared" si="738"/>
        <v/>
      </c>
      <c r="C436" s="27" t="str">
        <f t="shared" si="752"/>
        <v/>
      </c>
      <c r="D436" s="5"/>
      <c r="E436" s="10"/>
      <c r="F436" s="5"/>
      <c r="G436" s="5" t="s">
        <v>900</v>
      </c>
      <c r="H436" s="5"/>
      <c r="I436" s="5"/>
      <c r="J436" s="5"/>
      <c r="K436" s="10" t="str">
        <f t="shared" si="757"/>
        <v/>
      </c>
      <c r="L436" s="10" t="str">
        <f t="shared" si="753"/>
        <v/>
      </c>
      <c r="M436" s="10" t="str">
        <f t="shared" si="758"/>
        <v>0</v>
      </c>
      <c r="N436" s="5"/>
      <c r="O436" s="5"/>
      <c r="P436" s="27" t="str">
        <f t="shared" si="727"/>
        <v>0</v>
      </c>
      <c r="Q436" s="27" t="str">
        <f t="shared" si="728"/>
        <v>0</v>
      </c>
      <c r="R436" s="27" t="str">
        <f t="shared" si="729"/>
        <v>0</v>
      </c>
      <c r="S436" s="27" t="str">
        <f t="shared" si="730"/>
        <v>0</v>
      </c>
      <c r="T436" s="27" t="str">
        <f t="shared" si="731"/>
        <v>0</v>
      </c>
      <c r="U436" s="27" t="str">
        <f t="shared" si="732"/>
        <v>0</v>
      </c>
      <c r="V436" s="27" t="str">
        <f t="shared" si="733"/>
        <v>1</v>
      </c>
      <c r="W436" s="27"/>
      <c r="X436" s="27" t="str">
        <f t="shared" si="734"/>
        <v/>
      </c>
      <c r="Y436" s="27" t="str">
        <f t="shared" si="735"/>
        <v/>
      </c>
      <c r="Z436" s="27" t="str">
        <f t="shared" si="736"/>
        <v/>
      </c>
      <c r="AA436" s="5"/>
      <c r="AB436" s="5"/>
      <c r="AC436" s="5"/>
      <c r="AD436" s="5"/>
      <c r="AE436" s="5"/>
      <c r="AF436" s="5"/>
      <c r="AG436" s="5"/>
      <c r="AH436" s="27"/>
      <c r="AI436" s="27"/>
      <c r="AJ436" s="27"/>
      <c r="AK436" s="27" t="str">
        <f t="shared" si="751"/>
        <v/>
      </c>
      <c r="AL436" s="6"/>
      <c r="AM436" s="27"/>
      <c r="AN436" s="27"/>
      <c r="AO436" s="27"/>
      <c r="AP436" s="27"/>
      <c r="AQ436" s="27"/>
      <c r="AR436" s="27"/>
      <c r="AS436" s="27"/>
      <c r="AT436" s="27"/>
      <c r="AU436" s="27"/>
      <c r="AV436" s="27"/>
      <c r="AW436" s="27"/>
      <c r="AX436" s="27"/>
      <c r="AY436" s="63"/>
      <c r="AZ436" s="138" t="str">
        <f>IF(C436="","","delete from module_mst where pjt_id = '"&amp;C436&amp;"' and menu_id = '"&amp;E436&amp;"';")</f>
        <v/>
      </c>
      <c r="BA436" s="31" t="str">
        <f>IF(C436&lt;&gt;"",CREATE_QUERY($D$1,C$2:AY$2,C436:AY436),"")</f>
        <v/>
      </c>
    </row>
    <row r="437" spans="1:53">
      <c r="A437" s="1">
        <v>460</v>
      </c>
      <c r="B437" s="43" t="str">
        <f t="shared" si="738"/>
        <v/>
      </c>
      <c r="C437" s="27" t="str">
        <f t="shared" si="752"/>
        <v/>
      </c>
      <c r="D437" s="5"/>
      <c r="E437" s="10"/>
      <c r="F437" s="5"/>
      <c r="G437" s="5" t="s">
        <v>900</v>
      </c>
      <c r="H437" s="5"/>
      <c r="I437" s="5"/>
      <c r="J437" s="5"/>
      <c r="K437" s="10" t="str">
        <f t="shared" si="757"/>
        <v/>
      </c>
      <c r="L437" s="10" t="str">
        <f t="shared" si="753"/>
        <v/>
      </c>
      <c r="M437" s="10" t="str">
        <f t="shared" si="758"/>
        <v>0</v>
      </c>
      <c r="N437" s="5"/>
      <c r="O437" s="5"/>
      <c r="P437" s="27" t="str">
        <f t="shared" ref="P437:P455" si="760">IF(O437="","0","1")</f>
        <v>0</v>
      </c>
      <c r="Q437" s="27" t="str">
        <f t="shared" ref="Q437:Q455" si="761">IF(O437="","0","1")</f>
        <v>0</v>
      </c>
      <c r="R437" s="27" t="str">
        <f t="shared" ref="R437:R455" si="762">IF(O437="","0","1")</f>
        <v>0</v>
      </c>
      <c r="S437" s="27" t="str">
        <f t="shared" ref="S437:S455" si="763">IF(O437="","0","1")</f>
        <v>0</v>
      </c>
      <c r="T437" s="27" t="str">
        <f t="shared" ref="T437" si="764">IF(O437="","0","1")</f>
        <v>0</v>
      </c>
      <c r="U437" s="27" t="str">
        <f t="shared" ref="U437" si="765">IF(O437="","0","1")</f>
        <v>0</v>
      </c>
      <c r="V437" s="27" t="str">
        <f t="shared" ref="V437:V455" si="766">IF(O437="","1","1")</f>
        <v>1</v>
      </c>
      <c r="W437" s="27"/>
      <c r="X437" s="27" t="str">
        <f t="shared" ref="X437:X455" si="767">IF(O437="","","0")</f>
        <v/>
      </c>
      <c r="Y437" s="27" t="str">
        <f t="shared" ref="Y437:Y455" si="768">IF(O437="","","0")</f>
        <v/>
      </c>
      <c r="Z437" s="27" t="str">
        <f t="shared" ref="Z437:Z455" si="769">IF(O437="","","0")</f>
        <v/>
      </c>
      <c r="AA437" s="5"/>
      <c r="AB437" s="5"/>
      <c r="AC437" s="5"/>
      <c r="AD437" s="5"/>
      <c r="AE437" s="5"/>
      <c r="AF437" s="5"/>
      <c r="AG437" s="5"/>
      <c r="AH437" s="27"/>
      <c r="AI437" s="27"/>
      <c r="AJ437" s="27"/>
      <c r="AK437" s="27" t="str">
        <f t="shared" si="751"/>
        <v/>
      </c>
      <c r="AL437" s="6"/>
      <c r="AM437" s="27"/>
      <c r="AN437" s="27"/>
      <c r="AO437" s="27"/>
      <c r="AP437" s="27"/>
      <c r="AQ437" s="27"/>
      <c r="AR437" s="27"/>
      <c r="AS437" s="27"/>
      <c r="AT437" s="27"/>
      <c r="AU437" s="27"/>
      <c r="AV437" s="27"/>
      <c r="AW437" s="27"/>
      <c r="AX437" s="27"/>
      <c r="AY437" s="63"/>
      <c r="AZ437" s="138" t="str">
        <f>IF(C437="","","delete from module_mst where pjt_id = '"&amp;C437&amp;"' and menu_id = '"&amp;E437&amp;"';")</f>
        <v/>
      </c>
      <c r="BA437" s="31" t="str">
        <f>IF(C437&lt;&gt;"",CREATE_QUERY($D$1,C$2:AY$2,C437:AY437),"")</f>
        <v/>
      </c>
    </row>
    <row r="438" spans="1:53">
      <c r="A438" s="1">
        <v>484</v>
      </c>
      <c r="B438" s="43" t="str">
        <f t="shared" ref="B438:B477" si="770">IF(F438="","",IF(AI438="1","",IF(AI438="2","└ ",IF(AI438="3","  └ ",IF(AI438="4","    └ ",IF(AI438="5","        └ ",IF(AI438="6","         └ ",IF(AI438="7"="            └ ",""))))))))&amp;IF(AM438="","",IF(AM438="메뉴","","("&amp;AM438&amp;")"))&amp;F438</f>
        <v/>
      </c>
      <c r="C438" s="27" t="str">
        <f t="shared" ref="C438:C500" si="771">IF(F438="","","14821")</f>
        <v/>
      </c>
      <c r="D438" s="5"/>
      <c r="E438" s="10"/>
      <c r="F438" s="5"/>
      <c r="G438" s="5"/>
      <c r="H438" s="5"/>
      <c r="I438" s="5"/>
      <c r="J438" s="5"/>
      <c r="K438" s="10" t="str">
        <f t="shared" si="757"/>
        <v/>
      </c>
      <c r="L438" s="10" t="str">
        <f t="shared" ref="L438:L482" si="772">IF(F438="","","1")</f>
        <v/>
      </c>
      <c r="M438" s="10" t="str">
        <f t="shared" si="758"/>
        <v>0</v>
      </c>
      <c r="N438" s="5"/>
      <c r="O438" s="5"/>
      <c r="P438" s="27" t="str">
        <f t="shared" si="760"/>
        <v>0</v>
      </c>
      <c r="Q438" s="27" t="str">
        <f t="shared" si="761"/>
        <v>0</v>
      </c>
      <c r="R438" s="27" t="str">
        <f t="shared" si="762"/>
        <v>0</v>
      </c>
      <c r="S438" s="27" t="str">
        <f t="shared" si="763"/>
        <v>0</v>
      </c>
      <c r="T438" s="27" t="str">
        <f t="shared" ref="T438:T455" si="773">IF(O438="","0","1")</f>
        <v>0</v>
      </c>
      <c r="U438" s="27" t="str">
        <f t="shared" ref="U438:U455" si="774">IF(O438="","0","1")</f>
        <v>0</v>
      </c>
      <c r="V438" s="27" t="str">
        <f t="shared" si="766"/>
        <v>1</v>
      </c>
      <c r="W438" s="27"/>
      <c r="X438" s="27" t="str">
        <f t="shared" si="767"/>
        <v/>
      </c>
      <c r="Y438" s="27" t="str">
        <f t="shared" si="768"/>
        <v/>
      </c>
      <c r="Z438" s="27" t="str">
        <f t="shared" si="769"/>
        <v/>
      </c>
      <c r="AA438" s="5"/>
      <c r="AB438" s="5"/>
      <c r="AC438" s="5"/>
      <c r="AD438" s="5"/>
      <c r="AE438" s="5"/>
      <c r="AF438" s="5"/>
      <c r="AG438" s="5"/>
      <c r="AH438" s="27"/>
      <c r="AI438" s="27"/>
      <c r="AJ438" s="27"/>
      <c r="AK438" s="27" t="str">
        <f t="shared" ref="AK438:AK481" si="775">IF(B438="","","0")</f>
        <v/>
      </c>
      <c r="AL438" s="6"/>
      <c r="AM438" s="27"/>
      <c r="AN438" s="27"/>
      <c r="AO438" s="27"/>
      <c r="AP438" s="27"/>
      <c r="AQ438" s="27"/>
      <c r="AR438" s="27"/>
      <c r="AS438" s="27"/>
      <c r="AT438" s="27"/>
      <c r="AU438" s="27"/>
      <c r="AV438" s="27"/>
      <c r="AW438" s="27"/>
      <c r="AX438" s="27"/>
      <c r="AY438" s="63"/>
      <c r="AZ438" s="138" t="str">
        <f>IF(C438="","","delete from module_mst where pjt_id = '"&amp;C438&amp;"' and menu_id = '"&amp;E438&amp;"';")</f>
        <v/>
      </c>
      <c r="BA438" s="31" t="str">
        <f>IF(C438&lt;&gt;"",CREATE_QUERY($D$1,C$2:AY$2,C438:AY438),"")</f>
        <v/>
      </c>
    </row>
    <row r="439" spans="1:53">
      <c r="A439" s="1">
        <v>485</v>
      </c>
      <c r="B439" s="43" t="str">
        <f t="shared" si="770"/>
        <v/>
      </c>
      <c r="C439" s="27" t="str">
        <f t="shared" si="771"/>
        <v/>
      </c>
      <c r="D439" s="5"/>
      <c r="E439" s="10"/>
      <c r="F439" s="5"/>
      <c r="G439" s="5"/>
      <c r="H439" s="5"/>
      <c r="I439" s="5"/>
      <c r="J439" s="5"/>
      <c r="K439" s="10" t="str">
        <f t="shared" si="757"/>
        <v/>
      </c>
      <c r="L439" s="10" t="str">
        <f t="shared" si="772"/>
        <v/>
      </c>
      <c r="M439" s="10" t="str">
        <f t="shared" si="758"/>
        <v>0</v>
      </c>
      <c r="N439" s="5"/>
      <c r="O439" s="5"/>
      <c r="P439" s="27" t="str">
        <f t="shared" si="760"/>
        <v>0</v>
      </c>
      <c r="Q439" s="27" t="str">
        <f t="shared" si="761"/>
        <v>0</v>
      </c>
      <c r="R439" s="27" t="str">
        <f t="shared" si="762"/>
        <v>0</v>
      </c>
      <c r="S439" s="27" t="str">
        <f t="shared" si="763"/>
        <v>0</v>
      </c>
      <c r="T439" s="27" t="str">
        <f t="shared" si="773"/>
        <v>0</v>
      </c>
      <c r="U439" s="27" t="str">
        <f t="shared" si="774"/>
        <v>0</v>
      </c>
      <c r="V439" s="27" t="str">
        <f t="shared" si="766"/>
        <v>1</v>
      </c>
      <c r="W439" s="27"/>
      <c r="X439" s="27" t="str">
        <f t="shared" si="767"/>
        <v/>
      </c>
      <c r="Y439" s="27" t="str">
        <f t="shared" si="768"/>
        <v/>
      </c>
      <c r="Z439" s="27" t="str">
        <f t="shared" si="769"/>
        <v/>
      </c>
      <c r="AA439" s="5"/>
      <c r="AB439" s="5"/>
      <c r="AC439" s="5"/>
      <c r="AD439" s="5"/>
      <c r="AE439" s="5"/>
      <c r="AF439" s="5"/>
      <c r="AG439" s="5"/>
      <c r="AH439" s="27"/>
      <c r="AI439" s="27"/>
      <c r="AJ439" s="27"/>
      <c r="AK439" s="27" t="str">
        <f t="shared" si="775"/>
        <v/>
      </c>
      <c r="AL439" s="6"/>
      <c r="AM439" s="27"/>
      <c r="AN439" s="27"/>
      <c r="AO439" s="27"/>
      <c r="AP439" s="27"/>
      <c r="AQ439" s="27"/>
      <c r="AR439" s="27"/>
      <c r="AS439" s="27"/>
      <c r="AT439" s="27"/>
      <c r="AU439" s="27"/>
      <c r="AV439" s="27"/>
      <c r="AW439" s="27"/>
      <c r="AX439" s="27"/>
      <c r="AY439" s="63"/>
      <c r="AZ439" s="138" t="str">
        <f>IF(C439="","","delete from module_mst where pjt_id = '"&amp;C439&amp;"' and menu_id = '"&amp;E439&amp;"';")</f>
        <v/>
      </c>
      <c r="BA439" s="31" t="str">
        <f>IF(C439&lt;&gt;"",CREATE_QUERY($D$1,C$2:AY$2,C439:AY439),"")</f>
        <v/>
      </c>
    </row>
    <row r="440" spans="1:53">
      <c r="A440" s="1">
        <v>486</v>
      </c>
      <c r="B440" s="43" t="str">
        <f t="shared" si="770"/>
        <v/>
      </c>
      <c r="C440" s="27" t="str">
        <f t="shared" si="771"/>
        <v/>
      </c>
      <c r="D440" s="5"/>
      <c r="E440" s="10"/>
      <c r="F440" s="5"/>
      <c r="G440" s="5"/>
      <c r="H440" s="5"/>
      <c r="I440" s="5"/>
      <c r="J440" s="5"/>
      <c r="K440" s="10" t="str">
        <f t="shared" si="757"/>
        <v/>
      </c>
      <c r="L440" s="10" t="str">
        <f t="shared" si="772"/>
        <v/>
      </c>
      <c r="M440" s="10" t="str">
        <f t="shared" si="758"/>
        <v>0</v>
      </c>
      <c r="N440" s="5"/>
      <c r="O440" s="5"/>
      <c r="P440" s="27" t="str">
        <f t="shared" si="760"/>
        <v>0</v>
      </c>
      <c r="Q440" s="27" t="str">
        <f t="shared" si="761"/>
        <v>0</v>
      </c>
      <c r="R440" s="27" t="str">
        <f t="shared" si="762"/>
        <v>0</v>
      </c>
      <c r="S440" s="27" t="str">
        <f t="shared" si="763"/>
        <v>0</v>
      </c>
      <c r="T440" s="27" t="str">
        <f t="shared" si="773"/>
        <v>0</v>
      </c>
      <c r="U440" s="27" t="str">
        <f t="shared" si="774"/>
        <v>0</v>
      </c>
      <c r="V440" s="27" t="str">
        <f t="shared" si="766"/>
        <v>1</v>
      </c>
      <c r="W440" s="27"/>
      <c r="X440" s="27" t="str">
        <f t="shared" si="767"/>
        <v/>
      </c>
      <c r="Y440" s="27" t="str">
        <f t="shared" si="768"/>
        <v/>
      </c>
      <c r="Z440" s="27" t="str">
        <f t="shared" si="769"/>
        <v/>
      </c>
      <c r="AA440" s="5"/>
      <c r="AB440" s="5"/>
      <c r="AC440" s="5"/>
      <c r="AD440" s="5"/>
      <c r="AE440" s="5"/>
      <c r="AF440" s="5"/>
      <c r="AG440" s="5"/>
      <c r="AH440" s="27"/>
      <c r="AI440" s="27"/>
      <c r="AJ440" s="27"/>
      <c r="AK440" s="27" t="str">
        <f t="shared" si="775"/>
        <v/>
      </c>
      <c r="AL440" s="6"/>
      <c r="AM440" s="27"/>
      <c r="AN440" s="27"/>
      <c r="AO440" s="27"/>
      <c r="AP440" s="27"/>
      <c r="AQ440" s="27"/>
      <c r="AR440" s="27"/>
      <c r="AS440" s="27"/>
      <c r="AT440" s="27"/>
      <c r="AU440" s="27"/>
      <c r="AV440" s="27"/>
      <c r="AW440" s="27"/>
      <c r="AX440" s="27"/>
      <c r="AY440" s="63"/>
      <c r="AZ440" s="138" t="str">
        <f>IF(C440="","","delete from module_mst where pjt_id = '"&amp;C440&amp;"' and menu_id = '"&amp;E440&amp;"';")</f>
        <v/>
      </c>
      <c r="BA440" s="31" t="str">
        <f>IF(C440&lt;&gt;"",CREATE_QUERY($D$1,C$2:AY$2,C440:AY440),"")</f>
        <v/>
      </c>
    </row>
    <row r="441" spans="1:53">
      <c r="A441" s="1">
        <v>487</v>
      </c>
      <c r="B441" s="43" t="str">
        <f t="shared" si="770"/>
        <v/>
      </c>
      <c r="C441" s="27" t="str">
        <f t="shared" si="771"/>
        <v/>
      </c>
      <c r="D441" s="5"/>
      <c r="E441" s="10"/>
      <c r="F441" s="5"/>
      <c r="G441" s="5"/>
      <c r="H441" s="5"/>
      <c r="I441" s="5"/>
      <c r="J441" s="5"/>
      <c r="K441" s="10" t="str">
        <f t="shared" si="757"/>
        <v/>
      </c>
      <c r="L441" s="10" t="str">
        <f t="shared" si="772"/>
        <v/>
      </c>
      <c r="M441" s="10" t="str">
        <f t="shared" si="758"/>
        <v>0</v>
      </c>
      <c r="N441" s="5"/>
      <c r="O441" s="5"/>
      <c r="P441" s="27" t="str">
        <f t="shared" si="760"/>
        <v>0</v>
      </c>
      <c r="Q441" s="27" t="str">
        <f t="shared" si="761"/>
        <v>0</v>
      </c>
      <c r="R441" s="27" t="str">
        <f t="shared" si="762"/>
        <v>0</v>
      </c>
      <c r="S441" s="27" t="str">
        <f t="shared" si="763"/>
        <v>0</v>
      </c>
      <c r="T441" s="27" t="str">
        <f t="shared" si="773"/>
        <v>0</v>
      </c>
      <c r="U441" s="27" t="str">
        <f t="shared" si="774"/>
        <v>0</v>
      </c>
      <c r="V441" s="27" t="str">
        <f t="shared" si="766"/>
        <v>1</v>
      </c>
      <c r="W441" s="27"/>
      <c r="X441" s="27" t="str">
        <f t="shared" si="767"/>
        <v/>
      </c>
      <c r="Y441" s="27" t="str">
        <f t="shared" si="768"/>
        <v/>
      </c>
      <c r="Z441" s="27" t="str">
        <f t="shared" si="769"/>
        <v/>
      </c>
      <c r="AA441" s="5"/>
      <c r="AB441" s="5"/>
      <c r="AC441" s="5"/>
      <c r="AD441" s="5"/>
      <c r="AE441" s="5"/>
      <c r="AF441" s="5"/>
      <c r="AG441" s="5"/>
      <c r="AH441" s="27"/>
      <c r="AI441" s="27"/>
      <c r="AJ441" s="27"/>
      <c r="AK441" s="27" t="str">
        <f t="shared" si="775"/>
        <v/>
      </c>
      <c r="AL441" s="6"/>
      <c r="AM441" s="27"/>
      <c r="AN441" s="27"/>
      <c r="AO441" s="27"/>
      <c r="AP441" s="27"/>
      <c r="AQ441" s="27"/>
      <c r="AR441" s="27"/>
      <c r="AS441" s="27"/>
      <c r="AT441" s="27"/>
      <c r="AU441" s="27"/>
      <c r="AV441" s="27"/>
      <c r="AW441" s="27"/>
      <c r="AX441" s="27"/>
      <c r="AY441" s="63"/>
      <c r="AZ441" s="138" t="str">
        <f>IF(C441="","","delete from module_mst where pjt_id = '"&amp;C441&amp;"' and menu_id = '"&amp;E441&amp;"';")</f>
        <v/>
      </c>
      <c r="BA441" s="31" t="str">
        <f>IF(C441&lt;&gt;"",CREATE_QUERY($D$1,C$2:AY$2,C441:AY441),"")</f>
        <v/>
      </c>
    </row>
    <row r="442" spans="1:53">
      <c r="A442" s="1">
        <v>488</v>
      </c>
      <c r="B442" s="43" t="str">
        <f t="shared" si="770"/>
        <v/>
      </c>
      <c r="C442" s="27" t="str">
        <f t="shared" si="771"/>
        <v/>
      </c>
      <c r="D442" s="5"/>
      <c r="E442" s="10"/>
      <c r="F442" s="5"/>
      <c r="G442" s="5"/>
      <c r="H442" s="5"/>
      <c r="I442" s="5"/>
      <c r="J442" s="5"/>
      <c r="K442" s="10" t="str">
        <f t="shared" si="757"/>
        <v/>
      </c>
      <c r="L442" s="10" t="str">
        <f t="shared" si="772"/>
        <v/>
      </c>
      <c r="M442" s="10" t="str">
        <f t="shared" si="758"/>
        <v>0</v>
      </c>
      <c r="N442" s="5"/>
      <c r="O442" s="5"/>
      <c r="P442" s="27" t="str">
        <f t="shared" si="760"/>
        <v>0</v>
      </c>
      <c r="Q442" s="27" t="str">
        <f t="shared" si="761"/>
        <v>0</v>
      </c>
      <c r="R442" s="27" t="str">
        <f t="shared" si="762"/>
        <v>0</v>
      </c>
      <c r="S442" s="27" t="str">
        <f t="shared" si="763"/>
        <v>0</v>
      </c>
      <c r="T442" s="27" t="str">
        <f t="shared" si="773"/>
        <v>0</v>
      </c>
      <c r="U442" s="27" t="str">
        <f t="shared" si="774"/>
        <v>0</v>
      </c>
      <c r="V442" s="27" t="str">
        <f t="shared" si="766"/>
        <v>1</v>
      </c>
      <c r="W442" s="27"/>
      <c r="X442" s="27" t="str">
        <f t="shared" si="767"/>
        <v/>
      </c>
      <c r="Y442" s="27" t="str">
        <f t="shared" si="768"/>
        <v/>
      </c>
      <c r="Z442" s="27" t="str">
        <f t="shared" si="769"/>
        <v/>
      </c>
      <c r="AA442" s="5"/>
      <c r="AB442" s="5"/>
      <c r="AC442" s="5"/>
      <c r="AD442" s="5"/>
      <c r="AE442" s="5"/>
      <c r="AF442" s="5"/>
      <c r="AG442" s="5"/>
      <c r="AH442" s="27"/>
      <c r="AI442" s="27"/>
      <c r="AJ442" s="27"/>
      <c r="AK442" s="27" t="str">
        <f t="shared" si="775"/>
        <v/>
      </c>
      <c r="AL442" s="6"/>
      <c r="AM442" s="27"/>
      <c r="AN442" s="27"/>
      <c r="AO442" s="27"/>
      <c r="AP442" s="27"/>
      <c r="AQ442" s="27"/>
      <c r="AR442" s="27"/>
      <c r="AS442" s="27"/>
      <c r="AT442" s="27"/>
      <c r="AU442" s="27"/>
      <c r="AV442" s="27"/>
      <c r="AW442" s="27"/>
      <c r="AX442" s="27"/>
      <c r="AY442" s="63"/>
      <c r="AZ442" s="138" t="str">
        <f>IF(C442="","","delete from module_mst where pjt_id = '"&amp;C442&amp;"' and menu_id = '"&amp;E442&amp;"';")</f>
        <v/>
      </c>
      <c r="BA442" s="31" t="str">
        <f>IF(C442&lt;&gt;"",CREATE_QUERY($D$1,C$2:AY$2,C442:AY442),"")</f>
        <v/>
      </c>
    </row>
    <row r="443" spans="1:53">
      <c r="A443" s="1">
        <v>489</v>
      </c>
      <c r="B443" s="43" t="str">
        <f t="shared" si="770"/>
        <v/>
      </c>
      <c r="C443" s="27" t="str">
        <f t="shared" si="771"/>
        <v/>
      </c>
      <c r="D443" s="5"/>
      <c r="E443" s="10"/>
      <c r="F443" s="5"/>
      <c r="G443" s="5"/>
      <c r="H443" s="5"/>
      <c r="I443" s="5"/>
      <c r="J443" s="5"/>
      <c r="K443" s="10" t="str">
        <f t="shared" si="757"/>
        <v/>
      </c>
      <c r="L443" s="10" t="str">
        <f t="shared" si="772"/>
        <v/>
      </c>
      <c r="M443" s="10" t="str">
        <f t="shared" si="758"/>
        <v>0</v>
      </c>
      <c r="N443" s="5"/>
      <c r="O443" s="5"/>
      <c r="P443" s="27" t="str">
        <f t="shared" si="760"/>
        <v>0</v>
      </c>
      <c r="Q443" s="27" t="str">
        <f t="shared" si="761"/>
        <v>0</v>
      </c>
      <c r="R443" s="27" t="str">
        <f t="shared" si="762"/>
        <v>0</v>
      </c>
      <c r="S443" s="27" t="str">
        <f t="shared" si="763"/>
        <v>0</v>
      </c>
      <c r="T443" s="27" t="str">
        <f t="shared" si="773"/>
        <v>0</v>
      </c>
      <c r="U443" s="27" t="str">
        <f t="shared" si="774"/>
        <v>0</v>
      </c>
      <c r="V443" s="27" t="str">
        <f t="shared" si="766"/>
        <v>1</v>
      </c>
      <c r="W443" s="27"/>
      <c r="X443" s="27" t="str">
        <f t="shared" si="767"/>
        <v/>
      </c>
      <c r="Y443" s="27" t="str">
        <f t="shared" si="768"/>
        <v/>
      </c>
      <c r="Z443" s="27" t="str">
        <f t="shared" si="769"/>
        <v/>
      </c>
      <c r="AA443" s="5"/>
      <c r="AB443" s="5"/>
      <c r="AC443" s="5"/>
      <c r="AD443" s="5"/>
      <c r="AE443" s="5"/>
      <c r="AF443" s="5"/>
      <c r="AG443" s="5"/>
      <c r="AH443" s="27"/>
      <c r="AI443" s="27"/>
      <c r="AJ443" s="27"/>
      <c r="AK443" s="27" t="str">
        <f t="shared" si="775"/>
        <v/>
      </c>
      <c r="AL443" s="6"/>
      <c r="AM443" s="27"/>
      <c r="AN443" s="27"/>
      <c r="AO443" s="27"/>
      <c r="AP443" s="27"/>
      <c r="AQ443" s="27"/>
      <c r="AR443" s="27"/>
      <c r="AS443" s="27"/>
      <c r="AT443" s="27"/>
      <c r="AU443" s="27"/>
      <c r="AV443" s="27"/>
      <c r="AW443" s="27"/>
      <c r="AX443" s="27"/>
      <c r="AY443" s="63"/>
      <c r="AZ443" s="138" t="str">
        <f>IF(C443="","","delete from module_mst where pjt_id = '"&amp;C443&amp;"' and menu_id = '"&amp;E443&amp;"';")</f>
        <v/>
      </c>
    </row>
    <row r="444" spans="1:53">
      <c r="A444" s="1">
        <v>490</v>
      </c>
      <c r="B444" s="43" t="str">
        <f t="shared" si="770"/>
        <v/>
      </c>
      <c r="C444" s="27" t="str">
        <f t="shared" si="771"/>
        <v/>
      </c>
      <c r="D444" s="5"/>
      <c r="E444" s="10"/>
      <c r="F444" s="5"/>
      <c r="G444" s="5"/>
      <c r="H444" s="5"/>
      <c r="I444" s="5"/>
      <c r="J444" s="5"/>
      <c r="K444" s="10" t="str">
        <f t="shared" si="757"/>
        <v/>
      </c>
      <c r="L444" s="10" t="str">
        <f t="shared" si="772"/>
        <v/>
      </c>
      <c r="M444" s="10" t="str">
        <f t="shared" si="758"/>
        <v>0</v>
      </c>
      <c r="N444" s="5"/>
      <c r="O444" s="5"/>
      <c r="P444" s="27" t="str">
        <f t="shared" si="760"/>
        <v>0</v>
      </c>
      <c r="Q444" s="27" t="str">
        <f t="shared" si="761"/>
        <v>0</v>
      </c>
      <c r="R444" s="27" t="str">
        <f t="shared" si="762"/>
        <v>0</v>
      </c>
      <c r="S444" s="27" t="str">
        <f t="shared" si="763"/>
        <v>0</v>
      </c>
      <c r="T444" s="27" t="str">
        <f t="shared" si="773"/>
        <v>0</v>
      </c>
      <c r="U444" s="27" t="str">
        <f t="shared" si="774"/>
        <v>0</v>
      </c>
      <c r="V444" s="27" t="str">
        <f t="shared" si="766"/>
        <v>1</v>
      </c>
      <c r="W444" s="27"/>
      <c r="X444" s="27" t="str">
        <f t="shared" si="767"/>
        <v/>
      </c>
      <c r="Y444" s="27" t="str">
        <f t="shared" si="768"/>
        <v/>
      </c>
      <c r="Z444" s="27" t="str">
        <f t="shared" si="769"/>
        <v/>
      </c>
      <c r="AA444" s="5"/>
      <c r="AB444" s="5"/>
      <c r="AC444" s="5"/>
      <c r="AD444" s="5"/>
      <c r="AE444" s="5"/>
      <c r="AF444" s="5"/>
      <c r="AG444" s="5"/>
      <c r="AH444" s="27"/>
      <c r="AI444" s="27"/>
      <c r="AJ444" s="27"/>
      <c r="AK444" s="27" t="str">
        <f t="shared" si="775"/>
        <v/>
      </c>
      <c r="AL444" s="6"/>
      <c r="AM444" s="27"/>
      <c r="AN444" s="27"/>
      <c r="AO444" s="27"/>
      <c r="AP444" s="27"/>
      <c r="AQ444" s="27"/>
      <c r="AR444" s="27"/>
      <c r="AS444" s="27"/>
      <c r="AT444" s="27"/>
      <c r="AU444" s="27"/>
      <c r="AV444" s="27"/>
      <c r="AW444" s="27"/>
      <c r="AX444" s="27"/>
      <c r="AY444" s="63"/>
      <c r="AZ444" s="138" t="str">
        <f>IF(C444="","","delete from module_mst where pjt_id = '"&amp;C444&amp;"' and menu_id = '"&amp;E444&amp;"';")</f>
        <v/>
      </c>
    </row>
    <row r="445" spans="1:53">
      <c r="A445" s="1">
        <v>491</v>
      </c>
      <c r="B445" s="43" t="str">
        <f t="shared" si="770"/>
        <v/>
      </c>
      <c r="C445" s="27" t="str">
        <f t="shared" si="771"/>
        <v/>
      </c>
      <c r="D445" s="5"/>
      <c r="E445" s="10"/>
      <c r="F445" s="5"/>
      <c r="G445" s="5"/>
      <c r="H445" s="5"/>
      <c r="I445" s="5"/>
      <c r="J445" s="5"/>
      <c r="K445" s="10" t="str">
        <f t="shared" si="757"/>
        <v/>
      </c>
      <c r="L445" s="10" t="str">
        <f t="shared" si="772"/>
        <v/>
      </c>
      <c r="M445" s="10" t="str">
        <f t="shared" si="758"/>
        <v>0</v>
      </c>
      <c r="N445" s="5"/>
      <c r="O445" s="5"/>
      <c r="P445" s="27" t="str">
        <f t="shared" si="760"/>
        <v>0</v>
      </c>
      <c r="Q445" s="27" t="str">
        <f t="shared" si="761"/>
        <v>0</v>
      </c>
      <c r="R445" s="27" t="str">
        <f t="shared" si="762"/>
        <v>0</v>
      </c>
      <c r="S445" s="27" t="str">
        <f t="shared" si="763"/>
        <v>0</v>
      </c>
      <c r="T445" s="27" t="str">
        <f t="shared" si="773"/>
        <v>0</v>
      </c>
      <c r="U445" s="27" t="str">
        <f t="shared" si="774"/>
        <v>0</v>
      </c>
      <c r="V445" s="27" t="str">
        <f t="shared" si="766"/>
        <v>1</v>
      </c>
      <c r="W445" s="27"/>
      <c r="X445" s="27" t="str">
        <f t="shared" si="767"/>
        <v/>
      </c>
      <c r="Y445" s="27" t="str">
        <f t="shared" si="768"/>
        <v/>
      </c>
      <c r="Z445" s="27" t="str">
        <f t="shared" si="769"/>
        <v/>
      </c>
      <c r="AA445" s="5"/>
      <c r="AB445" s="5"/>
      <c r="AC445" s="5"/>
      <c r="AD445" s="5"/>
      <c r="AE445" s="5"/>
      <c r="AF445" s="5"/>
      <c r="AG445" s="5"/>
      <c r="AH445" s="27"/>
      <c r="AI445" s="27"/>
      <c r="AJ445" s="27"/>
      <c r="AK445" s="27" t="str">
        <f t="shared" si="775"/>
        <v/>
      </c>
      <c r="AL445" s="6"/>
      <c r="AM445" s="27"/>
      <c r="AN445" s="27"/>
      <c r="AO445" s="27"/>
      <c r="AP445" s="27"/>
      <c r="AQ445" s="27"/>
      <c r="AR445" s="27"/>
      <c r="AS445" s="27"/>
      <c r="AT445" s="27"/>
      <c r="AU445" s="27"/>
      <c r="AV445" s="27"/>
      <c r="AW445" s="27"/>
      <c r="AX445" s="27"/>
      <c r="AY445" s="63"/>
      <c r="AZ445" s="138" t="str">
        <f>IF(C445="","","delete from module_mst where pjt_id = '"&amp;C445&amp;"' and menu_id = '"&amp;E445&amp;"';")</f>
        <v/>
      </c>
    </row>
    <row r="446" spans="1:53">
      <c r="A446" s="1">
        <v>492</v>
      </c>
      <c r="B446" s="43" t="str">
        <f t="shared" si="770"/>
        <v/>
      </c>
      <c r="C446" s="27" t="str">
        <f t="shared" si="771"/>
        <v/>
      </c>
      <c r="D446" s="5"/>
      <c r="E446" s="10"/>
      <c r="F446" s="5"/>
      <c r="G446" s="5"/>
      <c r="H446" s="5"/>
      <c r="I446" s="5"/>
      <c r="J446" s="5"/>
      <c r="K446" s="10" t="str">
        <f t="shared" si="757"/>
        <v/>
      </c>
      <c r="L446" s="10" t="str">
        <f t="shared" si="772"/>
        <v/>
      </c>
      <c r="M446" s="10" t="str">
        <f t="shared" si="758"/>
        <v>0</v>
      </c>
      <c r="N446" s="5"/>
      <c r="O446" s="5"/>
      <c r="P446" s="27" t="str">
        <f t="shared" si="760"/>
        <v>0</v>
      </c>
      <c r="Q446" s="27" t="str">
        <f t="shared" si="761"/>
        <v>0</v>
      </c>
      <c r="R446" s="27" t="str">
        <f t="shared" si="762"/>
        <v>0</v>
      </c>
      <c r="S446" s="27" t="str">
        <f t="shared" si="763"/>
        <v>0</v>
      </c>
      <c r="T446" s="27" t="str">
        <f t="shared" si="773"/>
        <v>0</v>
      </c>
      <c r="U446" s="27" t="str">
        <f t="shared" si="774"/>
        <v>0</v>
      </c>
      <c r="V446" s="27" t="str">
        <f t="shared" si="766"/>
        <v>1</v>
      </c>
      <c r="W446" s="27"/>
      <c r="X446" s="27" t="str">
        <f t="shared" si="767"/>
        <v/>
      </c>
      <c r="Y446" s="27" t="str">
        <f t="shared" si="768"/>
        <v/>
      </c>
      <c r="Z446" s="27" t="str">
        <f t="shared" si="769"/>
        <v/>
      </c>
      <c r="AA446" s="5"/>
      <c r="AB446" s="5"/>
      <c r="AC446" s="5"/>
      <c r="AD446" s="5"/>
      <c r="AE446" s="5"/>
      <c r="AF446" s="5"/>
      <c r="AG446" s="5"/>
      <c r="AH446" s="27"/>
      <c r="AI446" s="27"/>
      <c r="AJ446" s="27"/>
      <c r="AK446" s="27" t="str">
        <f t="shared" si="775"/>
        <v/>
      </c>
      <c r="AL446" s="6"/>
      <c r="AM446" s="27"/>
      <c r="AN446" s="27"/>
      <c r="AO446" s="27"/>
      <c r="AP446" s="27"/>
      <c r="AQ446" s="27"/>
      <c r="AR446" s="27"/>
      <c r="AS446" s="27"/>
      <c r="AT446" s="27"/>
      <c r="AU446" s="27"/>
      <c r="AV446" s="27"/>
      <c r="AW446" s="27"/>
      <c r="AX446" s="27"/>
      <c r="AY446" s="63"/>
      <c r="AZ446" s="138" t="str">
        <f>IF(C446="","","delete from module_mst where pjt_id = '"&amp;C446&amp;"' and menu_id = '"&amp;E446&amp;"';")</f>
        <v/>
      </c>
    </row>
    <row r="447" spans="1:53">
      <c r="A447" s="1">
        <v>493</v>
      </c>
      <c r="B447" s="43" t="str">
        <f t="shared" si="770"/>
        <v/>
      </c>
      <c r="C447" s="27" t="str">
        <f t="shared" si="771"/>
        <v/>
      </c>
      <c r="D447" s="5"/>
      <c r="E447" s="10"/>
      <c r="F447" s="5"/>
      <c r="G447" s="5"/>
      <c r="H447" s="5"/>
      <c r="I447" s="5"/>
      <c r="J447" s="5"/>
      <c r="K447" s="10" t="str">
        <f t="shared" si="757"/>
        <v/>
      </c>
      <c r="L447" s="10" t="str">
        <f t="shared" si="772"/>
        <v/>
      </c>
      <c r="M447" s="10" t="str">
        <f t="shared" si="758"/>
        <v>0</v>
      </c>
      <c r="N447" s="5"/>
      <c r="O447" s="5"/>
      <c r="P447" s="27" t="str">
        <f t="shared" si="760"/>
        <v>0</v>
      </c>
      <c r="Q447" s="27" t="str">
        <f t="shared" si="761"/>
        <v>0</v>
      </c>
      <c r="R447" s="27" t="str">
        <f t="shared" si="762"/>
        <v>0</v>
      </c>
      <c r="S447" s="27" t="str">
        <f t="shared" si="763"/>
        <v>0</v>
      </c>
      <c r="T447" s="27" t="str">
        <f t="shared" si="773"/>
        <v>0</v>
      </c>
      <c r="U447" s="27" t="str">
        <f t="shared" si="774"/>
        <v>0</v>
      </c>
      <c r="V447" s="27" t="str">
        <f t="shared" si="766"/>
        <v>1</v>
      </c>
      <c r="W447" s="27"/>
      <c r="X447" s="27" t="str">
        <f t="shared" si="767"/>
        <v/>
      </c>
      <c r="Y447" s="27" t="str">
        <f t="shared" si="768"/>
        <v/>
      </c>
      <c r="Z447" s="27" t="str">
        <f t="shared" si="769"/>
        <v/>
      </c>
      <c r="AA447" s="5"/>
      <c r="AB447" s="5"/>
      <c r="AC447" s="5"/>
      <c r="AD447" s="5"/>
      <c r="AE447" s="5"/>
      <c r="AF447" s="5"/>
      <c r="AG447" s="5"/>
      <c r="AH447" s="27"/>
      <c r="AI447" s="27"/>
      <c r="AJ447" s="27"/>
      <c r="AK447" s="27" t="str">
        <f t="shared" si="775"/>
        <v/>
      </c>
      <c r="AL447" s="6"/>
      <c r="AM447" s="27"/>
      <c r="AN447" s="27"/>
      <c r="AO447" s="27"/>
      <c r="AP447" s="27"/>
      <c r="AQ447" s="27"/>
      <c r="AR447" s="27"/>
      <c r="AS447" s="27"/>
      <c r="AT447" s="27"/>
      <c r="AU447" s="27"/>
      <c r="AV447" s="27"/>
      <c r="AW447" s="27"/>
      <c r="AX447" s="27"/>
      <c r="AY447" s="63"/>
      <c r="AZ447" s="138" t="str">
        <f>IF(C447="","","delete from module_mst where pjt_id = '"&amp;C447&amp;"' and menu_id = '"&amp;E447&amp;"';")</f>
        <v/>
      </c>
    </row>
    <row r="448" spans="1:53">
      <c r="A448" s="1">
        <v>494</v>
      </c>
      <c r="B448" s="43" t="str">
        <f t="shared" si="770"/>
        <v/>
      </c>
      <c r="C448" s="27" t="str">
        <f t="shared" si="771"/>
        <v/>
      </c>
      <c r="D448" s="5"/>
      <c r="E448" s="10"/>
      <c r="F448" s="5"/>
      <c r="G448" s="5"/>
      <c r="H448" s="5"/>
      <c r="I448" s="5"/>
      <c r="J448" s="5"/>
      <c r="K448" s="10" t="str">
        <f t="shared" si="757"/>
        <v/>
      </c>
      <c r="L448" s="10" t="str">
        <f t="shared" si="772"/>
        <v/>
      </c>
      <c r="M448" s="10" t="str">
        <f t="shared" si="758"/>
        <v>0</v>
      </c>
      <c r="N448" s="5"/>
      <c r="O448" s="5"/>
      <c r="P448" s="27" t="str">
        <f t="shared" si="760"/>
        <v>0</v>
      </c>
      <c r="Q448" s="27" t="str">
        <f t="shared" si="761"/>
        <v>0</v>
      </c>
      <c r="R448" s="27" t="str">
        <f t="shared" si="762"/>
        <v>0</v>
      </c>
      <c r="S448" s="27" t="str">
        <f t="shared" si="763"/>
        <v>0</v>
      </c>
      <c r="T448" s="27" t="str">
        <f t="shared" si="773"/>
        <v>0</v>
      </c>
      <c r="U448" s="27" t="str">
        <f t="shared" si="774"/>
        <v>0</v>
      </c>
      <c r="V448" s="27" t="str">
        <f t="shared" si="766"/>
        <v>1</v>
      </c>
      <c r="W448" s="27"/>
      <c r="X448" s="27" t="str">
        <f t="shared" si="767"/>
        <v/>
      </c>
      <c r="Y448" s="27" t="str">
        <f t="shared" si="768"/>
        <v/>
      </c>
      <c r="Z448" s="27" t="str">
        <f t="shared" si="769"/>
        <v/>
      </c>
      <c r="AA448" s="5"/>
      <c r="AB448" s="5"/>
      <c r="AC448" s="5"/>
      <c r="AD448" s="5"/>
      <c r="AE448" s="5"/>
      <c r="AF448" s="5"/>
      <c r="AG448" s="5"/>
      <c r="AH448" s="27"/>
      <c r="AI448" s="27"/>
      <c r="AJ448" s="27"/>
      <c r="AK448" s="27" t="str">
        <f t="shared" si="775"/>
        <v/>
      </c>
      <c r="AL448" s="6"/>
      <c r="AM448" s="27"/>
      <c r="AN448" s="27"/>
      <c r="AO448" s="27"/>
      <c r="AP448" s="27"/>
      <c r="AQ448" s="27"/>
      <c r="AR448" s="27"/>
      <c r="AS448" s="27"/>
      <c r="AT448" s="27"/>
      <c r="AU448" s="27"/>
      <c r="AV448" s="27"/>
      <c r="AW448" s="27"/>
      <c r="AX448" s="27"/>
      <c r="AY448" s="63"/>
      <c r="AZ448" s="138" t="str">
        <f>IF(C448="","","delete from module_mst where pjt_id = '"&amp;C448&amp;"' and menu_id = '"&amp;E448&amp;"';")</f>
        <v/>
      </c>
    </row>
    <row r="449" spans="1:52">
      <c r="A449" s="1">
        <v>495</v>
      </c>
      <c r="B449" s="43" t="str">
        <f t="shared" si="770"/>
        <v/>
      </c>
      <c r="C449" s="27" t="str">
        <f t="shared" si="771"/>
        <v/>
      </c>
      <c r="D449" s="5"/>
      <c r="E449" s="10"/>
      <c r="F449" s="5"/>
      <c r="G449" s="5"/>
      <c r="H449" s="5"/>
      <c r="I449" s="5"/>
      <c r="J449" s="5"/>
      <c r="K449" s="10" t="str">
        <f t="shared" si="757"/>
        <v/>
      </c>
      <c r="L449" s="10" t="str">
        <f t="shared" si="772"/>
        <v/>
      </c>
      <c r="M449" s="10" t="str">
        <f t="shared" si="758"/>
        <v>0</v>
      </c>
      <c r="N449" s="5"/>
      <c r="O449" s="5"/>
      <c r="P449" s="27" t="str">
        <f t="shared" si="760"/>
        <v>0</v>
      </c>
      <c r="Q449" s="27" t="str">
        <f t="shared" si="761"/>
        <v>0</v>
      </c>
      <c r="R449" s="27" t="str">
        <f t="shared" si="762"/>
        <v>0</v>
      </c>
      <c r="S449" s="27" t="str">
        <f t="shared" si="763"/>
        <v>0</v>
      </c>
      <c r="T449" s="27" t="str">
        <f t="shared" si="773"/>
        <v>0</v>
      </c>
      <c r="U449" s="27" t="str">
        <f t="shared" si="774"/>
        <v>0</v>
      </c>
      <c r="V449" s="27" t="str">
        <f t="shared" si="766"/>
        <v>1</v>
      </c>
      <c r="W449" s="27"/>
      <c r="X449" s="27" t="str">
        <f t="shared" si="767"/>
        <v/>
      </c>
      <c r="Y449" s="27" t="str">
        <f t="shared" si="768"/>
        <v/>
      </c>
      <c r="Z449" s="27" t="str">
        <f t="shared" si="769"/>
        <v/>
      </c>
      <c r="AA449" s="5"/>
      <c r="AB449" s="5"/>
      <c r="AC449" s="5"/>
      <c r="AD449" s="5"/>
      <c r="AE449" s="5"/>
      <c r="AF449" s="5"/>
      <c r="AG449" s="5"/>
      <c r="AH449" s="27"/>
      <c r="AI449" s="27"/>
      <c r="AJ449" s="27"/>
      <c r="AK449" s="27" t="str">
        <f t="shared" si="775"/>
        <v/>
      </c>
      <c r="AL449" s="6"/>
      <c r="AM449" s="27"/>
      <c r="AN449" s="27"/>
      <c r="AO449" s="27"/>
      <c r="AP449" s="27"/>
      <c r="AQ449" s="27"/>
      <c r="AR449" s="27"/>
      <c r="AS449" s="27"/>
      <c r="AT449" s="27"/>
      <c r="AU449" s="27"/>
      <c r="AV449" s="27"/>
      <c r="AW449" s="27"/>
      <c r="AX449" s="27"/>
      <c r="AY449" s="63"/>
      <c r="AZ449" s="138" t="str">
        <f>IF(C449="","","delete from module_mst where pjt_id = '"&amp;C449&amp;"' and menu_id = '"&amp;E449&amp;"';")</f>
        <v/>
      </c>
    </row>
    <row r="450" spans="1:52">
      <c r="A450" s="1">
        <v>496</v>
      </c>
      <c r="B450" s="43" t="str">
        <f t="shared" si="770"/>
        <v/>
      </c>
      <c r="C450" s="27" t="str">
        <f t="shared" si="771"/>
        <v/>
      </c>
      <c r="D450" s="5"/>
      <c r="E450" s="10"/>
      <c r="F450" s="5"/>
      <c r="G450" s="5"/>
      <c r="H450" s="5"/>
      <c r="I450" s="5"/>
      <c r="J450" s="5"/>
      <c r="K450" s="10" t="str">
        <f t="shared" si="757"/>
        <v/>
      </c>
      <c r="L450" s="10" t="str">
        <f t="shared" si="772"/>
        <v/>
      </c>
      <c r="M450" s="10" t="str">
        <f t="shared" si="758"/>
        <v>0</v>
      </c>
      <c r="N450" s="5"/>
      <c r="O450" s="5"/>
      <c r="P450" s="27" t="str">
        <f t="shared" si="760"/>
        <v>0</v>
      </c>
      <c r="Q450" s="27" t="str">
        <f t="shared" si="761"/>
        <v>0</v>
      </c>
      <c r="R450" s="27" t="str">
        <f t="shared" si="762"/>
        <v>0</v>
      </c>
      <c r="S450" s="27" t="str">
        <f t="shared" si="763"/>
        <v>0</v>
      </c>
      <c r="T450" s="27" t="str">
        <f t="shared" si="773"/>
        <v>0</v>
      </c>
      <c r="U450" s="27" t="str">
        <f t="shared" si="774"/>
        <v>0</v>
      </c>
      <c r="V450" s="27" t="str">
        <f t="shared" si="766"/>
        <v>1</v>
      </c>
      <c r="W450" s="27"/>
      <c r="X450" s="27" t="str">
        <f t="shared" si="767"/>
        <v/>
      </c>
      <c r="Y450" s="27" t="str">
        <f t="shared" si="768"/>
        <v/>
      </c>
      <c r="Z450" s="27" t="str">
        <f t="shared" si="769"/>
        <v/>
      </c>
      <c r="AA450" s="5"/>
      <c r="AB450" s="5"/>
      <c r="AC450" s="5"/>
      <c r="AD450" s="5"/>
      <c r="AE450" s="5"/>
      <c r="AF450" s="5"/>
      <c r="AG450" s="5"/>
      <c r="AH450" s="27"/>
      <c r="AI450" s="27"/>
      <c r="AJ450" s="27"/>
      <c r="AK450" s="27" t="str">
        <f t="shared" si="775"/>
        <v/>
      </c>
      <c r="AL450" s="6"/>
      <c r="AM450" s="27"/>
      <c r="AN450" s="27"/>
      <c r="AO450" s="27"/>
      <c r="AP450" s="27"/>
      <c r="AQ450" s="27"/>
      <c r="AR450" s="27"/>
      <c r="AS450" s="27"/>
      <c r="AT450" s="27"/>
      <c r="AU450" s="27"/>
      <c r="AV450" s="27"/>
      <c r="AW450" s="27"/>
      <c r="AX450" s="27"/>
      <c r="AY450" s="63"/>
      <c r="AZ450" s="138" t="str">
        <f>IF(C450="","","delete from module_mst where pjt_id = '"&amp;C450&amp;"' and menu_id = '"&amp;E450&amp;"';")</f>
        <v/>
      </c>
    </row>
    <row r="451" spans="1:52">
      <c r="A451" s="1">
        <v>497</v>
      </c>
      <c r="B451" s="43" t="str">
        <f t="shared" si="770"/>
        <v/>
      </c>
      <c r="C451" s="27" t="str">
        <f t="shared" si="771"/>
        <v/>
      </c>
      <c r="D451" s="5"/>
      <c r="E451" s="10"/>
      <c r="F451" s="5"/>
      <c r="G451" s="5"/>
      <c r="H451" s="5"/>
      <c r="I451" s="5"/>
      <c r="J451" s="5"/>
      <c r="K451" s="10" t="str">
        <f t="shared" si="757"/>
        <v/>
      </c>
      <c r="L451" s="10" t="str">
        <f t="shared" si="772"/>
        <v/>
      </c>
      <c r="M451" s="10" t="str">
        <f t="shared" si="758"/>
        <v>0</v>
      </c>
      <c r="N451" s="5"/>
      <c r="O451" s="5"/>
      <c r="P451" s="27" t="str">
        <f t="shared" si="760"/>
        <v>0</v>
      </c>
      <c r="Q451" s="27" t="str">
        <f t="shared" si="761"/>
        <v>0</v>
      </c>
      <c r="R451" s="27" t="str">
        <f t="shared" si="762"/>
        <v>0</v>
      </c>
      <c r="S451" s="27" t="str">
        <f t="shared" si="763"/>
        <v>0</v>
      </c>
      <c r="T451" s="27" t="str">
        <f t="shared" si="773"/>
        <v>0</v>
      </c>
      <c r="U451" s="27" t="str">
        <f t="shared" si="774"/>
        <v>0</v>
      </c>
      <c r="V451" s="27" t="str">
        <f t="shared" si="766"/>
        <v>1</v>
      </c>
      <c r="W451" s="27"/>
      <c r="X451" s="27" t="str">
        <f t="shared" si="767"/>
        <v/>
      </c>
      <c r="Y451" s="27" t="str">
        <f t="shared" si="768"/>
        <v/>
      </c>
      <c r="Z451" s="27" t="str">
        <f t="shared" si="769"/>
        <v/>
      </c>
      <c r="AA451" s="5"/>
      <c r="AB451" s="5"/>
      <c r="AC451" s="5"/>
      <c r="AD451" s="5"/>
      <c r="AE451" s="5"/>
      <c r="AF451" s="5"/>
      <c r="AG451" s="5"/>
      <c r="AH451" s="27"/>
      <c r="AI451" s="27"/>
      <c r="AJ451" s="27"/>
      <c r="AK451" s="27" t="str">
        <f t="shared" si="775"/>
        <v/>
      </c>
      <c r="AL451" s="6"/>
      <c r="AM451" s="27"/>
      <c r="AN451" s="27"/>
      <c r="AO451" s="27"/>
      <c r="AP451" s="27"/>
      <c r="AQ451" s="27"/>
      <c r="AR451" s="27"/>
      <c r="AS451" s="27"/>
      <c r="AT451" s="27"/>
      <c r="AU451" s="27"/>
      <c r="AV451" s="27"/>
      <c r="AW451" s="27"/>
      <c r="AX451" s="27"/>
      <c r="AY451" s="63"/>
      <c r="AZ451" s="138" t="str">
        <f>IF(C451="","","delete from module_mst where pjt_id = '"&amp;C451&amp;"' and menu_id = '"&amp;E451&amp;"';")</f>
        <v/>
      </c>
    </row>
    <row r="452" spans="1:52">
      <c r="A452" s="1">
        <v>498</v>
      </c>
      <c r="B452" s="43" t="str">
        <f t="shared" si="770"/>
        <v/>
      </c>
      <c r="C452" s="27" t="str">
        <f t="shared" si="771"/>
        <v/>
      </c>
      <c r="D452" s="5"/>
      <c r="E452" s="10"/>
      <c r="F452" s="5"/>
      <c r="G452" s="5"/>
      <c r="H452" s="5"/>
      <c r="I452" s="5"/>
      <c r="J452" s="5"/>
      <c r="K452" s="10" t="str">
        <f t="shared" ref="K452:K482" si="776">IF(O452="","","1")</f>
        <v/>
      </c>
      <c r="L452" s="10" t="str">
        <f t="shared" si="772"/>
        <v/>
      </c>
      <c r="M452" s="10" t="str">
        <f t="shared" ref="M452:M482" si="777">IF(O452="","0","1")</f>
        <v>0</v>
      </c>
      <c r="N452" s="5"/>
      <c r="O452" s="5"/>
      <c r="P452" s="27" t="str">
        <f t="shared" si="760"/>
        <v>0</v>
      </c>
      <c r="Q452" s="27" t="str">
        <f t="shared" si="761"/>
        <v>0</v>
      </c>
      <c r="R452" s="27" t="str">
        <f t="shared" si="762"/>
        <v>0</v>
      </c>
      <c r="S452" s="27" t="str">
        <f t="shared" si="763"/>
        <v>0</v>
      </c>
      <c r="T452" s="27" t="str">
        <f t="shared" si="773"/>
        <v>0</v>
      </c>
      <c r="U452" s="27" t="str">
        <f t="shared" si="774"/>
        <v>0</v>
      </c>
      <c r="V452" s="27" t="str">
        <f t="shared" si="766"/>
        <v>1</v>
      </c>
      <c r="W452" s="27"/>
      <c r="X452" s="27" t="str">
        <f t="shared" si="767"/>
        <v/>
      </c>
      <c r="Y452" s="27" t="str">
        <f t="shared" si="768"/>
        <v/>
      </c>
      <c r="Z452" s="27" t="str">
        <f t="shared" si="769"/>
        <v/>
      </c>
      <c r="AA452" s="5"/>
      <c r="AB452" s="5"/>
      <c r="AC452" s="5"/>
      <c r="AD452" s="5"/>
      <c r="AE452" s="5"/>
      <c r="AF452" s="5"/>
      <c r="AG452" s="5"/>
      <c r="AH452" s="27"/>
      <c r="AI452" s="27"/>
      <c r="AJ452" s="27"/>
      <c r="AK452" s="27" t="str">
        <f t="shared" si="775"/>
        <v/>
      </c>
      <c r="AL452" s="6"/>
      <c r="AM452" s="27"/>
      <c r="AN452" s="27"/>
      <c r="AO452" s="27"/>
      <c r="AP452" s="27"/>
      <c r="AQ452" s="27"/>
      <c r="AR452" s="27"/>
      <c r="AS452" s="27"/>
      <c r="AT452" s="27"/>
      <c r="AU452" s="27"/>
      <c r="AV452" s="27"/>
      <c r="AW452" s="27"/>
      <c r="AX452" s="27"/>
      <c r="AY452" s="63"/>
      <c r="AZ452" s="138" t="str">
        <f>IF(C452="","","delete from module_mst where pjt_id = '"&amp;C452&amp;"' and menu_id = '"&amp;E452&amp;"';")</f>
        <v/>
      </c>
    </row>
    <row r="453" spans="1:52">
      <c r="A453" s="1">
        <v>499</v>
      </c>
      <c r="B453" s="43" t="str">
        <f t="shared" si="770"/>
        <v/>
      </c>
      <c r="C453" s="27" t="str">
        <f t="shared" si="771"/>
        <v/>
      </c>
      <c r="D453" s="5"/>
      <c r="E453" s="10"/>
      <c r="F453" s="5"/>
      <c r="G453" s="5"/>
      <c r="H453" s="5"/>
      <c r="I453" s="5"/>
      <c r="J453" s="5"/>
      <c r="K453" s="10" t="str">
        <f t="shared" si="776"/>
        <v/>
      </c>
      <c r="L453" s="10" t="str">
        <f t="shared" si="772"/>
        <v/>
      </c>
      <c r="M453" s="10" t="str">
        <f t="shared" si="777"/>
        <v>0</v>
      </c>
      <c r="N453" s="5"/>
      <c r="O453" s="5"/>
      <c r="P453" s="27" t="str">
        <f t="shared" si="760"/>
        <v>0</v>
      </c>
      <c r="Q453" s="27" t="str">
        <f t="shared" si="761"/>
        <v>0</v>
      </c>
      <c r="R453" s="27" t="str">
        <f t="shared" si="762"/>
        <v>0</v>
      </c>
      <c r="S453" s="27" t="str">
        <f t="shared" si="763"/>
        <v>0</v>
      </c>
      <c r="T453" s="27" t="str">
        <f t="shared" si="773"/>
        <v>0</v>
      </c>
      <c r="U453" s="27" t="str">
        <f t="shared" si="774"/>
        <v>0</v>
      </c>
      <c r="V453" s="27" t="str">
        <f t="shared" si="766"/>
        <v>1</v>
      </c>
      <c r="W453" s="27"/>
      <c r="X453" s="27" t="str">
        <f t="shared" si="767"/>
        <v/>
      </c>
      <c r="Y453" s="27" t="str">
        <f t="shared" si="768"/>
        <v/>
      </c>
      <c r="Z453" s="27" t="str">
        <f t="shared" si="769"/>
        <v/>
      </c>
      <c r="AA453" s="5"/>
      <c r="AB453" s="5"/>
      <c r="AC453" s="5"/>
      <c r="AD453" s="5"/>
      <c r="AE453" s="5"/>
      <c r="AF453" s="5"/>
      <c r="AG453" s="5"/>
      <c r="AH453" s="27"/>
      <c r="AI453" s="27"/>
      <c r="AJ453" s="27"/>
      <c r="AK453" s="27" t="str">
        <f t="shared" si="775"/>
        <v/>
      </c>
      <c r="AL453" s="6"/>
      <c r="AM453" s="27"/>
      <c r="AN453" s="27"/>
      <c r="AO453" s="27"/>
      <c r="AP453" s="27"/>
      <c r="AQ453" s="27"/>
      <c r="AR453" s="27"/>
      <c r="AS453" s="27"/>
      <c r="AT453" s="27"/>
      <c r="AU453" s="27"/>
      <c r="AV453" s="27"/>
      <c r="AW453" s="27"/>
      <c r="AX453" s="27"/>
      <c r="AY453" s="63"/>
      <c r="AZ453" s="138" t="str">
        <f>IF(C453="","","delete from module_mst where pjt_id = '"&amp;C453&amp;"' and menu_id = '"&amp;E453&amp;"';")</f>
        <v/>
      </c>
    </row>
    <row r="454" spans="1:52">
      <c r="A454" s="1">
        <v>500</v>
      </c>
      <c r="B454" s="43" t="str">
        <f t="shared" si="770"/>
        <v/>
      </c>
      <c r="C454" s="27" t="str">
        <f t="shared" si="771"/>
        <v/>
      </c>
      <c r="D454" s="5"/>
      <c r="E454" s="10"/>
      <c r="F454" s="5"/>
      <c r="G454" s="5"/>
      <c r="H454" s="5"/>
      <c r="I454" s="5"/>
      <c r="J454" s="5"/>
      <c r="K454" s="10" t="str">
        <f t="shared" si="776"/>
        <v/>
      </c>
      <c r="L454" s="10" t="str">
        <f t="shared" si="772"/>
        <v/>
      </c>
      <c r="M454" s="10" t="str">
        <f t="shared" si="777"/>
        <v>0</v>
      </c>
      <c r="N454" s="5"/>
      <c r="O454" s="5"/>
      <c r="P454" s="27" t="str">
        <f t="shared" si="760"/>
        <v>0</v>
      </c>
      <c r="Q454" s="27" t="str">
        <f t="shared" si="761"/>
        <v>0</v>
      </c>
      <c r="R454" s="27" t="str">
        <f t="shared" si="762"/>
        <v>0</v>
      </c>
      <c r="S454" s="27" t="str">
        <f t="shared" si="763"/>
        <v>0</v>
      </c>
      <c r="T454" s="27" t="str">
        <f t="shared" si="773"/>
        <v>0</v>
      </c>
      <c r="U454" s="27" t="str">
        <f t="shared" si="774"/>
        <v>0</v>
      </c>
      <c r="V454" s="27" t="str">
        <f t="shared" si="766"/>
        <v>1</v>
      </c>
      <c r="W454" s="27"/>
      <c r="X454" s="27" t="str">
        <f t="shared" si="767"/>
        <v/>
      </c>
      <c r="Y454" s="27" t="str">
        <f t="shared" si="768"/>
        <v/>
      </c>
      <c r="Z454" s="27" t="str">
        <f t="shared" si="769"/>
        <v/>
      </c>
      <c r="AA454" s="5"/>
      <c r="AB454" s="5"/>
      <c r="AC454" s="5"/>
      <c r="AD454" s="5"/>
      <c r="AE454" s="5"/>
      <c r="AF454" s="5"/>
      <c r="AG454" s="5"/>
      <c r="AH454" s="27"/>
      <c r="AI454" s="27"/>
      <c r="AJ454" s="27"/>
      <c r="AK454" s="27" t="str">
        <f t="shared" si="775"/>
        <v/>
      </c>
      <c r="AL454" s="6"/>
      <c r="AM454" s="27"/>
      <c r="AN454" s="27"/>
      <c r="AO454" s="27"/>
      <c r="AP454" s="27"/>
      <c r="AQ454" s="27"/>
      <c r="AR454" s="27"/>
      <c r="AS454" s="27"/>
      <c r="AT454" s="27"/>
      <c r="AU454" s="27"/>
      <c r="AV454" s="27"/>
      <c r="AW454" s="27"/>
      <c r="AX454" s="27"/>
      <c r="AY454" s="63"/>
      <c r="AZ454" s="138" t="str">
        <f>IF(C454="","","delete from module_mst where pjt_id = '"&amp;C454&amp;"' and menu_id = '"&amp;E454&amp;"';")</f>
        <v/>
      </c>
    </row>
    <row r="455" spans="1:52">
      <c r="A455" s="1">
        <v>501</v>
      </c>
      <c r="B455" s="43" t="str">
        <f t="shared" si="770"/>
        <v/>
      </c>
      <c r="C455" s="27" t="str">
        <f t="shared" si="771"/>
        <v/>
      </c>
      <c r="D455" s="5"/>
      <c r="E455" s="10"/>
      <c r="F455" s="5"/>
      <c r="G455" s="5"/>
      <c r="H455" s="5"/>
      <c r="I455" s="5"/>
      <c r="J455" s="5"/>
      <c r="K455" s="10" t="str">
        <f t="shared" si="776"/>
        <v/>
      </c>
      <c r="L455" s="10" t="str">
        <f t="shared" si="772"/>
        <v/>
      </c>
      <c r="M455" s="10" t="str">
        <f t="shared" si="777"/>
        <v>0</v>
      </c>
      <c r="N455" s="5"/>
      <c r="O455" s="5"/>
      <c r="P455" s="27" t="str">
        <f t="shared" si="760"/>
        <v>0</v>
      </c>
      <c r="Q455" s="27" t="str">
        <f t="shared" si="761"/>
        <v>0</v>
      </c>
      <c r="R455" s="27" t="str">
        <f t="shared" si="762"/>
        <v>0</v>
      </c>
      <c r="S455" s="27" t="str">
        <f t="shared" si="763"/>
        <v>0</v>
      </c>
      <c r="T455" s="27" t="str">
        <f t="shared" si="773"/>
        <v>0</v>
      </c>
      <c r="U455" s="27" t="str">
        <f t="shared" si="774"/>
        <v>0</v>
      </c>
      <c r="V455" s="27" t="str">
        <f t="shared" si="766"/>
        <v>1</v>
      </c>
      <c r="W455" s="27"/>
      <c r="X455" s="27" t="str">
        <f t="shared" si="767"/>
        <v/>
      </c>
      <c r="Y455" s="27" t="str">
        <f t="shared" si="768"/>
        <v/>
      </c>
      <c r="Z455" s="27" t="str">
        <f t="shared" si="769"/>
        <v/>
      </c>
      <c r="AA455" s="5"/>
      <c r="AB455" s="5"/>
      <c r="AC455" s="5"/>
      <c r="AD455" s="5"/>
      <c r="AE455" s="5"/>
      <c r="AF455" s="5"/>
      <c r="AG455" s="5"/>
      <c r="AH455" s="27"/>
      <c r="AI455" s="27"/>
      <c r="AJ455" s="27"/>
      <c r="AK455" s="27" t="str">
        <f t="shared" si="775"/>
        <v/>
      </c>
      <c r="AL455" s="6"/>
      <c r="AM455" s="27"/>
      <c r="AN455" s="27"/>
      <c r="AO455" s="27"/>
      <c r="AP455" s="27"/>
      <c r="AQ455" s="27"/>
      <c r="AR455" s="27"/>
      <c r="AS455" s="27"/>
      <c r="AT455" s="27"/>
      <c r="AU455" s="27"/>
      <c r="AV455" s="27"/>
      <c r="AW455" s="27"/>
      <c r="AX455" s="27"/>
      <c r="AY455" s="63"/>
      <c r="AZ455" s="138" t="str">
        <f>IF(C455="","","delete from module_mst where pjt_id = '"&amp;C455&amp;"' and menu_id = '"&amp;E455&amp;"';")</f>
        <v/>
      </c>
    </row>
    <row r="456" spans="1:52">
      <c r="A456" s="1">
        <v>502</v>
      </c>
      <c r="B456" s="43" t="str">
        <f t="shared" si="770"/>
        <v/>
      </c>
      <c r="C456" s="27" t="str">
        <f t="shared" si="771"/>
        <v/>
      </c>
      <c r="D456" s="5"/>
      <c r="E456" s="10"/>
      <c r="F456" s="5"/>
      <c r="G456" s="5"/>
      <c r="H456" s="5"/>
      <c r="I456" s="5"/>
      <c r="J456" s="5"/>
      <c r="K456" s="10" t="str">
        <f t="shared" si="776"/>
        <v/>
      </c>
      <c r="L456" s="10" t="str">
        <f t="shared" si="772"/>
        <v/>
      </c>
      <c r="M456" s="10" t="str">
        <f t="shared" si="777"/>
        <v>0</v>
      </c>
      <c r="N456" s="5"/>
      <c r="O456" s="5"/>
      <c r="P456" s="27"/>
      <c r="Q456" s="27"/>
      <c r="R456" s="27"/>
      <c r="S456" s="27"/>
      <c r="T456" s="27"/>
      <c r="U456" s="27"/>
      <c r="V456" s="27"/>
      <c r="W456" s="27"/>
      <c r="X456" s="27"/>
      <c r="Y456" s="27"/>
      <c r="Z456" s="27"/>
      <c r="AA456" s="5"/>
      <c r="AB456" s="5"/>
      <c r="AC456" s="5"/>
      <c r="AD456" s="5"/>
      <c r="AE456" s="5"/>
      <c r="AF456" s="5"/>
      <c r="AG456" s="5"/>
      <c r="AH456" s="27"/>
      <c r="AI456" s="27"/>
      <c r="AJ456" s="27"/>
      <c r="AK456" s="27" t="str">
        <f t="shared" si="775"/>
        <v/>
      </c>
      <c r="AL456" s="6"/>
      <c r="AM456" s="27"/>
      <c r="AN456" s="27"/>
      <c r="AO456" s="27"/>
      <c r="AP456" s="27"/>
      <c r="AQ456" s="27"/>
      <c r="AR456" s="27"/>
      <c r="AS456" s="27"/>
      <c r="AT456" s="27"/>
      <c r="AU456" s="27"/>
      <c r="AV456" s="27"/>
      <c r="AW456" s="27"/>
      <c r="AX456" s="27"/>
      <c r="AY456" s="63"/>
      <c r="AZ456" s="138" t="str">
        <f>IF(C456="","","delete from module_mst where pjt_id = '"&amp;C456&amp;"' and menu_id = '"&amp;E456&amp;"';")</f>
        <v/>
      </c>
    </row>
    <row r="457" spans="1:52">
      <c r="A457" s="1">
        <v>503</v>
      </c>
      <c r="B457" s="43" t="str">
        <f t="shared" si="770"/>
        <v/>
      </c>
      <c r="C457" s="27" t="str">
        <f t="shared" si="771"/>
        <v/>
      </c>
      <c r="D457" s="5"/>
      <c r="E457" s="10"/>
      <c r="F457" s="5"/>
      <c r="G457" s="5"/>
      <c r="H457" s="5"/>
      <c r="I457" s="5"/>
      <c r="J457" s="5"/>
      <c r="K457" s="10" t="str">
        <f t="shared" si="776"/>
        <v/>
      </c>
      <c r="L457" s="10" t="str">
        <f t="shared" si="772"/>
        <v/>
      </c>
      <c r="M457" s="10" t="str">
        <f t="shared" si="777"/>
        <v>0</v>
      </c>
      <c r="N457" s="5"/>
      <c r="O457" s="5"/>
      <c r="P457" s="27"/>
      <c r="Q457" s="27"/>
      <c r="R457" s="27"/>
      <c r="S457" s="27"/>
      <c r="T457" s="27"/>
      <c r="U457" s="27"/>
      <c r="V457" s="27"/>
      <c r="W457" s="27"/>
      <c r="X457" s="27"/>
      <c r="Y457" s="27"/>
      <c r="Z457" s="27"/>
      <c r="AA457" s="5"/>
      <c r="AB457" s="5"/>
      <c r="AC457" s="5"/>
      <c r="AD457" s="5"/>
      <c r="AE457" s="5"/>
      <c r="AF457" s="5"/>
      <c r="AG457" s="5"/>
      <c r="AH457" s="27"/>
      <c r="AI457" s="27"/>
      <c r="AJ457" s="27"/>
      <c r="AK457" s="27" t="str">
        <f t="shared" si="775"/>
        <v/>
      </c>
      <c r="AL457" s="6"/>
      <c r="AM457" s="27"/>
      <c r="AN457" s="27"/>
      <c r="AO457" s="27"/>
      <c r="AP457" s="27"/>
      <c r="AQ457" s="27"/>
      <c r="AR457" s="27"/>
      <c r="AS457" s="27"/>
      <c r="AT457" s="27"/>
      <c r="AU457" s="27"/>
      <c r="AV457" s="27"/>
      <c r="AW457" s="27"/>
      <c r="AX457" s="27"/>
      <c r="AY457" s="63"/>
      <c r="AZ457" s="138" t="str">
        <f>IF(C457="","","delete from module_mst where pjt_id = '"&amp;C457&amp;"' and menu_id = '"&amp;E457&amp;"';")</f>
        <v/>
      </c>
    </row>
    <row r="458" spans="1:52">
      <c r="A458" s="1">
        <v>504</v>
      </c>
      <c r="B458" s="43" t="str">
        <f t="shared" si="770"/>
        <v/>
      </c>
      <c r="C458" s="27" t="str">
        <f t="shared" si="771"/>
        <v/>
      </c>
      <c r="D458" s="5"/>
      <c r="E458" s="10"/>
      <c r="F458" s="5"/>
      <c r="G458" s="5"/>
      <c r="H458" s="5"/>
      <c r="I458" s="5"/>
      <c r="J458" s="5"/>
      <c r="K458" s="10" t="str">
        <f t="shared" si="776"/>
        <v/>
      </c>
      <c r="L458" s="10" t="str">
        <f t="shared" si="772"/>
        <v/>
      </c>
      <c r="M458" s="10" t="str">
        <f t="shared" si="777"/>
        <v>0</v>
      </c>
      <c r="N458" s="5"/>
      <c r="O458" s="5"/>
      <c r="P458" s="27"/>
      <c r="Q458" s="27"/>
      <c r="R458" s="27"/>
      <c r="S458" s="27"/>
      <c r="T458" s="27"/>
      <c r="U458" s="27"/>
      <c r="V458" s="27"/>
      <c r="W458" s="27"/>
      <c r="X458" s="27"/>
      <c r="Y458" s="27"/>
      <c r="Z458" s="27"/>
      <c r="AA458" s="5"/>
      <c r="AB458" s="5"/>
      <c r="AC458" s="5"/>
      <c r="AD458" s="5"/>
      <c r="AE458" s="5"/>
      <c r="AF458" s="5"/>
      <c r="AG458" s="5"/>
      <c r="AH458" s="27"/>
      <c r="AI458" s="27"/>
      <c r="AJ458" s="27"/>
      <c r="AK458" s="27" t="str">
        <f t="shared" si="775"/>
        <v/>
      </c>
      <c r="AL458" s="6"/>
      <c r="AM458" s="27"/>
      <c r="AN458" s="27"/>
      <c r="AO458" s="27"/>
      <c r="AP458" s="27"/>
      <c r="AQ458" s="27"/>
      <c r="AR458" s="27"/>
      <c r="AS458" s="27"/>
      <c r="AT458" s="27"/>
      <c r="AU458" s="27"/>
      <c r="AV458" s="27"/>
      <c r="AW458" s="27"/>
      <c r="AX458" s="27"/>
      <c r="AY458" s="63"/>
      <c r="AZ458" s="138" t="str">
        <f>IF(C458="","","delete from module_mst where pjt_id = '"&amp;C458&amp;"' and menu_id = '"&amp;E458&amp;"';")</f>
        <v/>
      </c>
    </row>
    <row r="459" spans="1:52">
      <c r="A459" s="1">
        <v>505</v>
      </c>
      <c r="B459" s="43" t="str">
        <f t="shared" si="770"/>
        <v/>
      </c>
      <c r="C459" s="27" t="str">
        <f t="shared" si="771"/>
        <v/>
      </c>
      <c r="D459" s="5"/>
      <c r="E459" s="10"/>
      <c r="F459" s="5"/>
      <c r="G459" s="5"/>
      <c r="H459" s="5"/>
      <c r="I459" s="5"/>
      <c r="J459" s="5"/>
      <c r="K459" s="10" t="str">
        <f t="shared" si="776"/>
        <v/>
      </c>
      <c r="L459" s="10" t="str">
        <f t="shared" si="772"/>
        <v/>
      </c>
      <c r="M459" s="10" t="str">
        <f t="shared" si="777"/>
        <v>0</v>
      </c>
      <c r="N459" s="5"/>
      <c r="O459" s="5"/>
      <c r="P459" s="27"/>
      <c r="Q459" s="27"/>
      <c r="R459" s="27"/>
      <c r="S459" s="27"/>
      <c r="T459" s="27"/>
      <c r="U459" s="27"/>
      <c r="V459" s="27"/>
      <c r="W459" s="27"/>
      <c r="X459" s="27"/>
      <c r="Y459" s="27"/>
      <c r="Z459" s="27"/>
      <c r="AA459" s="5"/>
      <c r="AB459" s="5"/>
      <c r="AC459" s="5"/>
      <c r="AD459" s="5"/>
      <c r="AE459" s="5"/>
      <c r="AF459" s="5"/>
      <c r="AG459" s="5"/>
      <c r="AH459" s="27"/>
      <c r="AI459" s="27"/>
      <c r="AJ459" s="27"/>
      <c r="AK459" s="27" t="str">
        <f t="shared" si="775"/>
        <v/>
      </c>
      <c r="AL459" s="6"/>
      <c r="AM459" s="27"/>
      <c r="AN459" s="27"/>
      <c r="AO459" s="27"/>
      <c r="AP459" s="27"/>
      <c r="AQ459" s="27"/>
      <c r="AR459" s="27"/>
      <c r="AS459" s="27"/>
      <c r="AT459" s="27"/>
      <c r="AU459" s="27"/>
      <c r="AV459" s="27"/>
      <c r="AW459" s="27"/>
      <c r="AX459" s="27"/>
      <c r="AY459" s="63"/>
      <c r="AZ459" s="138" t="str">
        <f>IF(C459="","","delete from module_mst where pjt_id = '"&amp;C459&amp;"' and menu_id = '"&amp;E459&amp;"';")</f>
        <v/>
      </c>
    </row>
    <row r="460" spans="1:52">
      <c r="A460" s="1">
        <v>506</v>
      </c>
      <c r="B460" s="43" t="str">
        <f t="shared" si="770"/>
        <v/>
      </c>
      <c r="C460" s="27" t="str">
        <f t="shared" si="771"/>
        <v/>
      </c>
      <c r="D460" s="5"/>
      <c r="E460" s="10"/>
      <c r="F460" s="5"/>
      <c r="G460" s="5"/>
      <c r="H460" s="5"/>
      <c r="I460" s="5"/>
      <c r="J460" s="5"/>
      <c r="K460" s="10" t="str">
        <f t="shared" si="776"/>
        <v/>
      </c>
      <c r="L460" s="10" t="str">
        <f t="shared" si="772"/>
        <v/>
      </c>
      <c r="M460" s="10" t="str">
        <f t="shared" si="777"/>
        <v>0</v>
      </c>
      <c r="N460" s="5"/>
      <c r="O460" s="5"/>
      <c r="P460" s="27"/>
      <c r="Q460" s="27"/>
      <c r="R460" s="27"/>
      <c r="S460" s="27"/>
      <c r="T460" s="27"/>
      <c r="U460" s="27"/>
      <c r="V460" s="27"/>
      <c r="W460" s="27"/>
      <c r="X460" s="27"/>
      <c r="Y460" s="27"/>
      <c r="Z460" s="27"/>
      <c r="AA460" s="5"/>
      <c r="AB460" s="5"/>
      <c r="AC460" s="5"/>
      <c r="AD460" s="5"/>
      <c r="AE460" s="5"/>
      <c r="AF460" s="5"/>
      <c r="AG460" s="5"/>
      <c r="AH460" s="27"/>
      <c r="AI460" s="27"/>
      <c r="AJ460" s="27"/>
      <c r="AK460" s="27" t="str">
        <f t="shared" si="775"/>
        <v/>
      </c>
      <c r="AL460" s="6"/>
      <c r="AM460" s="27"/>
      <c r="AN460" s="27"/>
      <c r="AO460" s="27"/>
      <c r="AP460" s="27"/>
      <c r="AQ460" s="27"/>
      <c r="AR460" s="27"/>
      <c r="AS460" s="27"/>
      <c r="AT460" s="27"/>
      <c r="AU460" s="27"/>
      <c r="AV460" s="27"/>
      <c r="AW460" s="27"/>
      <c r="AX460" s="27"/>
      <c r="AY460" s="63"/>
      <c r="AZ460" s="138" t="str">
        <f>IF(C460="","","delete from module_mst where pjt_id = '"&amp;C460&amp;"' and menu_id = '"&amp;E460&amp;"';")</f>
        <v/>
      </c>
    </row>
    <row r="461" spans="1:52">
      <c r="A461" s="1">
        <v>507</v>
      </c>
      <c r="B461" s="43" t="str">
        <f t="shared" si="770"/>
        <v/>
      </c>
      <c r="C461" s="27" t="str">
        <f t="shared" si="771"/>
        <v/>
      </c>
      <c r="D461" s="5"/>
      <c r="E461" s="10"/>
      <c r="F461" s="5"/>
      <c r="G461" s="5"/>
      <c r="H461" s="5"/>
      <c r="I461" s="5"/>
      <c r="J461" s="5"/>
      <c r="K461" s="10" t="str">
        <f t="shared" si="776"/>
        <v/>
      </c>
      <c r="L461" s="10" t="str">
        <f t="shared" si="772"/>
        <v/>
      </c>
      <c r="M461" s="10" t="str">
        <f t="shared" si="777"/>
        <v>0</v>
      </c>
      <c r="N461" s="5"/>
      <c r="O461" s="5"/>
      <c r="P461" s="27"/>
      <c r="Q461" s="27"/>
      <c r="R461" s="27"/>
      <c r="S461" s="27"/>
      <c r="T461" s="27"/>
      <c r="U461" s="27"/>
      <c r="V461" s="27"/>
      <c r="W461" s="27"/>
      <c r="X461" s="27"/>
      <c r="Y461" s="27"/>
      <c r="Z461" s="27"/>
      <c r="AA461" s="5"/>
      <c r="AB461" s="5"/>
      <c r="AC461" s="5"/>
      <c r="AD461" s="5"/>
      <c r="AE461" s="5"/>
      <c r="AF461" s="5"/>
      <c r="AG461" s="5"/>
      <c r="AH461" s="27"/>
      <c r="AI461" s="27"/>
      <c r="AJ461" s="27"/>
      <c r="AK461" s="27" t="str">
        <f t="shared" si="775"/>
        <v/>
      </c>
      <c r="AL461" s="6"/>
      <c r="AM461" s="27"/>
      <c r="AN461" s="27"/>
      <c r="AO461" s="27"/>
      <c r="AP461" s="27"/>
      <c r="AQ461" s="27"/>
      <c r="AR461" s="27"/>
      <c r="AS461" s="27"/>
      <c r="AT461" s="27"/>
      <c r="AU461" s="27"/>
      <c r="AV461" s="27"/>
      <c r="AW461" s="27"/>
      <c r="AX461" s="27"/>
      <c r="AY461" s="63"/>
      <c r="AZ461" s="138" t="str">
        <f>IF(C461="","","delete from module_mst where pjt_id = '"&amp;C461&amp;"' and menu_id = '"&amp;E461&amp;"';")</f>
        <v/>
      </c>
    </row>
    <row r="462" spans="1:52">
      <c r="A462" s="1">
        <v>508</v>
      </c>
      <c r="B462" s="43" t="str">
        <f t="shared" si="770"/>
        <v/>
      </c>
      <c r="C462" s="27" t="str">
        <f t="shared" si="771"/>
        <v/>
      </c>
      <c r="D462" s="5"/>
      <c r="E462" s="10"/>
      <c r="F462" s="5"/>
      <c r="G462" s="5"/>
      <c r="H462" s="5"/>
      <c r="I462" s="5"/>
      <c r="J462" s="5"/>
      <c r="K462" s="10" t="str">
        <f t="shared" si="776"/>
        <v/>
      </c>
      <c r="L462" s="10" t="str">
        <f t="shared" si="772"/>
        <v/>
      </c>
      <c r="M462" s="10" t="str">
        <f t="shared" si="777"/>
        <v>0</v>
      </c>
      <c r="N462" s="5"/>
      <c r="O462" s="5"/>
      <c r="P462" s="27"/>
      <c r="Q462" s="27"/>
      <c r="R462" s="27"/>
      <c r="S462" s="27"/>
      <c r="T462" s="27"/>
      <c r="U462" s="27"/>
      <c r="V462" s="27"/>
      <c r="W462" s="27"/>
      <c r="X462" s="27"/>
      <c r="Y462" s="27"/>
      <c r="Z462" s="27"/>
      <c r="AA462" s="5"/>
      <c r="AB462" s="5"/>
      <c r="AC462" s="5"/>
      <c r="AD462" s="5"/>
      <c r="AE462" s="5"/>
      <c r="AF462" s="5"/>
      <c r="AG462" s="5"/>
      <c r="AH462" s="27"/>
      <c r="AI462" s="27"/>
      <c r="AJ462" s="27"/>
      <c r="AK462" s="27" t="str">
        <f t="shared" si="775"/>
        <v/>
      </c>
      <c r="AL462" s="6"/>
      <c r="AM462" s="27"/>
      <c r="AN462" s="27"/>
      <c r="AO462" s="27"/>
      <c r="AP462" s="27"/>
      <c r="AQ462" s="27"/>
      <c r="AR462" s="27"/>
      <c r="AS462" s="27"/>
      <c r="AT462" s="27"/>
      <c r="AU462" s="27"/>
      <c r="AV462" s="27"/>
      <c r="AW462" s="27"/>
      <c r="AX462" s="27"/>
      <c r="AY462" s="63"/>
      <c r="AZ462" s="138" t="str">
        <f>IF(C462="","","delete from module_mst where pjt_id = '"&amp;C462&amp;"' and menu_id = '"&amp;E462&amp;"';")</f>
        <v/>
      </c>
    </row>
    <row r="463" spans="1:52">
      <c r="A463" s="1">
        <v>509</v>
      </c>
      <c r="B463" s="43" t="str">
        <f t="shared" si="770"/>
        <v/>
      </c>
      <c r="C463" s="27" t="str">
        <f t="shared" si="771"/>
        <v/>
      </c>
      <c r="D463" s="5"/>
      <c r="E463" s="10"/>
      <c r="F463" s="5"/>
      <c r="G463" s="5"/>
      <c r="H463" s="5"/>
      <c r="I463" s="5"/>
      <c r="J463" s="5"/>
      <c r="K463" s="10" t="str">
        <f t="shared" si="776"/>
        <v/>
      </c>
      <c r="L463" s="10" t="str">
        <f t="shared" si="772"/>
        <v/>
      </c>
      <c r="M463" s="10" t="str">
        <f t="shared" si="777"/>
        <v>0</v>
      </c>
      <c r="N463" s="5"/>
      <c r="O463" s="5"/>
      <c r="P463" s="27"/>
      <c r="Q463" s="27"/>
      <c r="R463" s="27"/>
      <c r="S463" s="27"/>
      <c r="T463" s="27"/>
      <c r="U463" s="27"/>
      <c r="V463" s="27"/>
      <c r="W463" s="27"/>
      <c r="X463" s="27"/>
      <c r="Y463" s="27"/>
      <c r="Z463" s="27"/>
      <c r="AA463" s="5"/>
      <c r="AB463" s="5"/>
      <c r="AC463" s="5"/>
      <c r="AD463" s="5"/>
      <c r="AE463" s="5"/>
      <c r="AF463" s="5"/>
      <c r="AG463" s="5"/>
      <c r="AH463" s="27"/>
      <c r="AI463" s="27"/>
      <c r="AJ463" s="27"/>
      <c r="AK463" s="27" t="str">
        <f t="shared" si="775"/>
        <v/>
      </c>
      <c r="AL463" s="6"/>
      <c r="AM463" s="27"/>
      <c r="AN463" s="27"/>
      <c r="AO463" s="27"/>
      <c r="AP463" s="27"/>
      <c r="AQ463" s="27"/>
      <c r="AR463" s="27"/>
      <c r="AS463" s="27"/>
      <c r="AT463" s="27"/>
      <c r="AU463" s="27"/>
      <c r="AV463" s="27"/>
      <c r="AW463" s="27"/>
      <c r="AX463" s="27"/>
      <c r="AY463" s="63"/>
      <c r="AZ463" s="138" t="str">
        <f>IF(C463="","","delete from module_mst where pjt_id = '"&amp;C463&amp;"' and menu_id = '"&amp;E463&amp;"';")</f>
        <v/>
      </c>
    </row>
    <row r="464" spans="1:52">
      <c r="A464" s="1">
        <v>510</v>
      </c>
      <c r="B464" s="43" t="str">
        <f t="shared" si="770"/>
        <v/>
      </c>
      <c r="C464" s="27" t="str">
        <f t="shared" si="771"/>
        <v/>
      </c>
      <c r="D464" s="5"/>
      <c r="E464" s="10"/>
      <c r="F464" s="5"/>
      <c r="G464" s="5"/>
      <c r="H464" s="5"/>
      <c r="I464" s="5"/>
      <c r="J464" s="5"/>
      <c r="K464" s="10" t="str">
        <f t="shared" si="776"/>
        <v/>
      </c>
      <c r="L464" s="10" t="str">
        <f t="shared" si="772"/>
        <v/>
      </c>
      <c r="M464" s="10" t="str">
        <f t="shared" si="777"/>
        <v>0</v>
      </c>
      <c r="N464" s="5"/>
      <c r="O464" s="5"/>
      <c r="P464" s="27"/>
      <c r="Q464" s="27"/>
      <c r="R464" s="27"/>
      <c r="S464" s="27"/>
      <c r="T464" s="27"/>
      <c r="U464" s="27"/>
      <c r="V464" s="27"/>
      <c r="W464" s="27"/>
      <c r="X464" s="27"/>
      <c r="Y464" s="27"/>
      <c r="Z464" s="27"/>
      <c r="AA464" s="5"/>
      <c r="AB464" s="5"/>
      <c r="AC464" s="5"/>
      <c r="AD464" s="5"/>
      <c r="AE464" s="5"/>
      <c r="AF464" s="5"/>
      <c r="AG464" s="5"/>
      <c r="AH464" s="27"/>
      <c r="AI464" s="27"/>
      <c r="AJ464" s="27"/>
      <c r="AK464" s="27" t="str">
        <f t="shared" si="775"/>
        <v/>
      </c>
      <c r="AL464" s="6"/>
      <c r="AM464" s="27"/>
      <c r="AN464" s="27"/>
      <c r="AO464" s="27"/>
      <c r="AP464" s="27"/>
      <c r="AQ464" s="27"/>
      <c r="AR464" s="27"/>
      <c r="AS464" s="27"/>
      <c r="AT464" s="27"/>
      <c r="AU464" s="27"/>
      <c r="AV464" s="27"/>
      <c r="AW464" s="27"/>
      <c r="AX464" s="27"/>
      <c r="AY464" s="63"/>
      <c r="AZ464" s="138" t="str">
        <f>IF(C464="","","delete from module_mst where pjt_id = '"&amp;C464&amp;"' and menu_id = '"&amp;E464&amp;"';")</f>
        <v/>
      </c>
    </row>
    <row r="465" spans="1:52">
      <c r="A465" s="1">
        <v>511</v>
      </c>
      <c r="B465" s="43" t="str">
        <f t="shared" si="770"/>
        <v/>
      </c>
      <c r="C465" s="27" t="str">
        <f t="shared" si="771"/>
        <v/>
      </c>
      <c r="D465" s="5"/>
      <c r="E465" s="10"/>
      <c r="F465" s="5"/>
      <c r="G465" s="5"/>
      <c r="H465" s="5"/>
      <c r="I465" s="5"/>
      <c r="J465" s="5"/>
      <c r="K465" s="10" t="str">
        <f t="shared" si="776"/>
        <v/>
      </c>
      <c r="L465" s="10" t="str">
        <f t="shared" si="772"/>
        <v/>
      </c>
      <c r="M465" s="10" t="str">
        <f t="shared" si="777"/>
        <v>0</v>
      </c>
      <c r="N465" s="5"/>
      <c r="O465" s="5"/>
      <c r="P465" s="27"/>
      <c r="Q465" s="27"/>
      <c r="R465" s="27"/>
      <c r="S465" s="27"/>
      <c r="T465" s="27"/>
      <c r="U465" s="27"/>
      <c r="V465" s="27"/>
      <c r="W465" s="27"/>
      <c r="X465" s="27"/>
      <c r="Y465" s="27"/>
      <c r="Z465" s="27"/>
      <c r="AA465" s="5"/>
      <c r="AB465" s="5"/>
      <c r="AC465" s="5"/>
      <c r="AD465" s="5"/>
      <c r="AE465" s="5"/>
      <c r="AF465" s="5"/>
      <c r="AG465" s="5"/>
      <c r="AH465" s="27"/>
      <c r="AI465" s="27"/>
      <c r="AJ465" s="27"/>
      <c r="AK465" s="27" t="str">
        <f t="shared" si="775"/>
        <v/>
      </c>
      <c r="AL465" s="6"/>
      <c r="AM465" s="27"/>
      <c r="AN465" s="27"/>
      <c r="AO465" s="27"/>
      <c r="AP465" s="27"/>
      <c r="AQ465" s="27"/>
      <c r="AR465" s="27"/>
      <c r="AS465" s="27"/>
      <c r="AT465" s="27"/>
      <c r="AU465" s="27"/>
      <c r="AV465" s="27"/>
      <c r="AW465" s="27"/>
      <c r="AX465" s="27"/>
      <c r="AY465" s="63"/>
      <c r="AZ465" s="138" t="str">
        <f>IF(C465="","","delete from module_mst where pjt_id = '"&amp;C465&amp;"' and menu_id = '"&amp;E465&amp;"';")</f>
        <v/>
      </c>
    </row>
    <row r="466" spans="1:52">
      <c r="A466" s="1">
        <v>512</v>
      </c>
      <c r="B466" s="43" t="str">
        <f t="shared" si="770"/>
        <v/>
      </c>
      <c r="C466" s="27" t="str">
        <f t="shared" si="771"/>
        <v/>
      </c>
      <c r="D466" s="5"/>
      <c r="E466" s="10"/>
      <c r="F466" s="5"/>
      <c r="G466" s="5"/>
      <c r="H466" s="5"/>
      <c r="I466" s="5"/>
      <c r="J466" s="5"/>
      <c r="K466" s="10" t="str">
        <f t="shared" si="776"/>
        <v/>
      </c>
      <c r="L466" s="10" t="str">
        <f t="shared" si="772"/>
        <v/>
      </c>
      <c r="M466" s="10" t="str">
        <f t="shared" si="777"/>
        <v>0</v>
      </c>
      <c r="N466" s="5"/>
      <c r="O466" s="5"/>
      <c r="P466" s="27"/>
      <c r="Q466" s="27"/>
      <c r="R466" s="27"/>
      <c r="S466" s="27"/>
      <c r="T466" s="27"/>
      <c r="U466" s="27"/>
      <c r="V466" s="27"/>
      <c r="W466" s="27"/>
      <c r="X466" s="27"/>
      <c r="Y466" s="27"/>
      <c r="Z466" s="27"/>
      <c r="AA466" s="5"/>
      <c r="AB466" s="5"/>
      <c r="AC466" s="5"/>
      <c r="AD466" s="5"/>
      <c r="AE466" s="5"/>
      <c r="AF466" s="5"/>
      <c r="AG466" s="5"/>
      <c r="AH466" s="27"/>
      <c r="AI466" s="27"/>
      <c r="AJ466" s="27"/>
      <c r="AK466" s="27" t="str">
        <f t="shared" si="775"/>
        <v/>
      </c>
      <c r="AL466" s="6"/>
      <c r="AM466" s="27"/>
      <c r="AN466" s="27"/>
      <c r="AO466" s="27"/>
      <c r="AP466" s="27"/>
      <c r="AQ466" s="27"/>
      <c r="AR466" s="27"/>
      <c r="AS466" s="27"/>
      <c r="AT466" s="27"/>
      <c r="AU466" s="27"/>
      <c r="AV466" s="27"/>
      <c r="AW466" s="27"/>
      <c r="AX466" s="27"/>
      <c r="AY466" s="63"/>
      <c r="AZ466" s="138" t="str">
        <f>IF(C466="","","delete from module_mst where pjt_id = '"&amp;C466&amp;"' and menu_id = '"&amp;E466&amp;"';")</f>
        <v/>
      </c>
    </row>
    <row r="467" spans="1:52">
      <c r="A467" s="1">
        <v>513</v>
      </c>
      <c r="B467" s="43" t="str">
        <f t="shared" si="770"/>
        <v/>
      </c>
      <c r="C467" s="27" t="str">
        <f t="shared" si="771"/>
        <v/>
      </c>
      <c r="D467" s="5"/>
      <c r="E467" s="10"/>
      <c r="F467" s="5"/>
      <c r="G467" s="5"/>
      <c r="H467" s="5"/>
      <c r="I467" s="5"/>
      <c r="J467" s="5"/>
      <c r="K467" s="10" t="str">
        <f t="shared" si="776"/>
        <v/>
      </c>
      <c r="L467" s="10" t="str">
        <f t="shared" si="772"/>
        <v/>
      </c>
      <c r="M467" s="10" t="str">
        <f t="shared" si="777"/>
        <v>0</v>
      </c>
      <c r="N467" s="5"/>
      <c r="O467" s="5"/>
      <c r="P467" s="27"/>
      <c r="Q467" s="27"/>
      <c r="R467" s="27"/>
      <c r="S467" s="27"/>
      <c r="T467" s="27"/>
      <c r="U467" s="27"/>
      <c r="V467" s="27"/>
      <c r="W467" s="27"/>
      <c r="X467" s="27"/>
      <c r="Y467" s="27"/>
      <c r="Z467" s="27"/>
      <c r="AA467" s="5"/>
      <c r="AB467" s="5"/>
      <c r="AC467" s="5"/>
      <c r="AD467" s="5"/>
      <c r="AE467" s="5"/>
      <c r="AF467" s="5"/>
      <c r="AG467" s="5"/>
      <c r="AH467" s="27"/>
      <c r="AI467" s="27"/>
      <c r="AJ467" s="27"/>
      <c r="AK467" s="27" t="str">
        <f t="shared" si="775"/>
        <v/>
      </c>
      <c r="AL467" s="6"/>
      <c r="AM467" s="27"/>
      <c r="AN467" s="27"/>
      <c r="AO467" s="27"/>
      <c r="AP467" s="27"/>
      <c r="AQ467" s="27"/>
      <c r="AR467" s="27"/>
      <c r="AS467" s="27"/>
      <c r="AT467" s="27"/>
      <c r="AU467" s="27"/>
      <c r="AV467" s="27"/>
      <c r="AW467" s="27"/>
      <c r="AX467" s="27"/>
      <c r="AY467" s="63"/>
      <c r="AZ467" s="138" t="str">
        <f>IF(C467="","","delete from module_mst where pjt_id = '"&amp;C467&amp;"' and menu_id = '"&amp;E467&amp;"';")</f>
        <v/>
      </c>
    </row>
    <row r="468" spans="1:52">
      <c r="A468" s="1">
        <v>514</v>
      </c>
      <c r="B468" s="43" t="str">
        <f t="shared" si="770"/>
        <v/>
      </c>
      <c r="C468" s="27" t="str">
        <f t="shared" si="771"/>
        <v/>
      </c>
      <c r="D468" s="5"/>
      <c r="E468" s="10"/>
      <c r="F468" s="5"/>
      <c r="G468" s="5"/>
      <c r="H468" s="5"/>
      <c r="I468" s="5"/>
      <c r="J468" s="5"/>
      <c r="K468" s="10" t="str">
        <f t="shared" si="776"/>
        <v/>
      </c>
      <c r="L468" s="10" t="str">
        <f t="shared" si="772"/>
        <v/>
      </c>
      <c r="M468" s="10" t="str">
        <f t="shared" si="777"/>
        <v>0</v>
      </c>
      <c r="N468" s="5"/>
      <c r="O468" s="5"/>
      <c r="P468" s="27"/>
      <c r="Q468" s="27"/>
      <c r="R468" s="27"/>
      <c r="S468" s="27"/>
      <c r="T468" s="27"/>
      <c r="U468" s="27"/>
      <c r="V468" s="27"/>
      <c r="W468" s="27"/>
      <c r="X468" s="27"/>
      <c r="Y468" s="27"/>
      <c r="Z468" s="27"/>
      <c r="AA468" s="5"/>
      <c r="AB468" s="5"/>
      <c r="AC468" s="5"/>
      <c r="AD468" s="5"/>
      <c r="AE468" s="5"/>
      <c r="AF468" s="5"/>
      <c r="AG468" s="5"/>
      <c r="AH468" s="27"/>
      <c r="AI468" s="27"/>
      <c r="AJ468" s="27"/>
      <c r="AK468" s="27" t="str">
        <f t="shared" si="775"/>
        <v/>
      </c>
      <c r="AL468" s="6"/>
      <c r="AM468" s="27"/>
      <c r="AN468" s="27"/>
      <c r="AO468" s="27"/>
      <c r="AP468" s="27"/>
      <c r="AQ468" s="27"/>
      <c r="AR468" s="27"/>
      <c r="AS468" s="27"/>
      <c r="AT468" s="27"/>
      <c r="AU468" s="27"/>
      <c r="AV468" s="27"/>
      <c r="AW468" s="27"/>
      <c r="AX468" s="27"/>
      <c r="AY468" s="63"/>
      <c r="AZ468" s="138" t="str">
        <f>IF(C468="","","delete from module_mst where pjt_id = '"&amp;C468&amp;"' and menu_id = '"&amp;E468&amp;"';")</f>
        <v/>
      </c>
    </row>
    <row r="469" spans="1:52">
      <c r="A469" s="1">
        <v>515</v>
      </c>
      <c r="B469" s="43" t="str">
        <f t="shared" si="770"/>
        <v/>
      </c>
      <c r="C469" s="27" t="str">
        <f t="shared" si="771"/>
        <v/>
      </c>
      <c r="D469" s="5"/>
      <c r="E469" s="10"/>
      <c r="F469" s="5"/>
      <c r="G469" s="5"/>
      <c r="H469" s="5"/>
      <c r="I469" s="5"/>
      <c r="J469" s="5"/>
      <c r="K469" s="10" t="str">
        <f t="shared" si="776"/>
        <v/>
      </c>
      <c r="L469" s="10" t="str">
        <f t="shared" si="772"/>
        <v/>
      </c>
      <c r="M469" s="10" t="str">
        <f t="shared" si="777"/>
        <v>0</v>
      </c>
      <c r="N469" s="5"/>
      <c r="O469" s="5"/>
      <c r="P469" s="27"/>
      <c r="Q469" s="27"/>
      <c r="R469" s="27"/>
      <c r="S469" s="27"/>
      <c r="T469" s="27"/>
      <c r="U469" s="27"/>
      <c r="V469" s="27"/>
      <c r="W469" s="27"/>
      <c r="X469" s="27"/>
      <c r="Y469" s="27"/>
      <c r="Z469" s="27"/>
      <c r="AA469" s="5"/>
      <c r="AB469" s="5"/>
      <c r="AC469" s="5"/>
      <c r="AD469" s="5"/>
      <c r="AE469" s="5"/>
      <c r="AF469" s="5"/>
      <c r="AG469" s="5"/>
      <c r="AH469" s="27"/>
      <c r="AI469" s="27"/>
      <c r="AJ469" s="27"/>
      <c r="AK469" s="27" t="str">
        <f t="shared" si="775"/>
        <v/>
      </c>
      <c r="AL469" s="6"/>
      <c r="AM469" s="27"/>
      <c r="AN469" s="27"/>
      <c r="AO469" s="27"/>
      <c r="AP469" s="27"/>
      <c r="AQ469" s="27"/>
      <c r="AR469" s="27"/>
      <c r="AS469" s="27"/>
      <c r="AT469" s="27"/>
      <c r="AU469" s="27"/>
      <c r="AV469" s="27"/>
      <c r="AW469" s="27"/>
      <c r="AX469" s="27"/>
      <c r="AY469" s="63"/>
      <c r="AZ469" s="138" t="str">
        <f>IF(C469="","","delete from module_mst where pjt_id = '"&amp;C469&amp;"' and menu_id = '"&amp;E469&amp;"';")</f>
        <v/>
      </c>
    </row>
    <row r="470" spans="1:52">
      <c r="A470" s="1">
        <v>516</v>
      </c>
      <c r="B470" s="43" t="str">
        <f t="shared" si="770"/>
        <v/>
      </c>
      <c r="C470" s="27" t="str">
        <f t="shared" si="771"/>
        <v/>
      </c>
      <c r="D470" s="5"/>
      <c r="E470" s="10"/>
      <c r="F470" s="5"/>
      <c r="G470" s="5"/>
      <c r="H470" s="5"/>
      <c r="I470" s="5"/>
      <c r="J470" s="5"/>
      <c r="K470" s="10" t="str">
        <f t="shared" si="776"/>
        <v/>
      </c>
      <c r="L470" s="10" t="str">
        <f t="shared" si="772"/>
        <v/>
      </c>
      <c r="M470" s="10" t="str">
        <f t="shared" si="777"/>
        <v>0</v>
      </c>
      <c r="N470" s="5"/>
      <c r="O470" s="5"/>
      <c r="P470" s="27"/>
      <c r="Q470" s="27"/>
      <c r="R470" s="27"/>
      <c r="S470" s="27"/>
      <c r="T470" s="27"/>
      <c r="U470" s="27"/>
      <c r="V470" s="27"/>
      <c r="W470" s="27"/>
      <c r="X470" s="27"/>
      <c r="Y470" s="27"/>
      <c r="Z470" s="27"/>
      <c r="AA470" s="5"/>
      <c r="AB470" s="5"/>
      <c r="AC470" s="5"/>
      <c r="AD470" s="5"/>
      <c r="AE470" s="5"/>
      <c r="AF470" s="5"/>
      <c r="AG470" s="5"/>
      <c r="AH470" s="27"/>
      <c r="AI470" s="27"/>
      <c r="AJ470" s="27"/>
      <c r="AK470" s="27" t="str">
        <f t="shared" si="775"/>
        <v/>
      </c>
      <c r="AL470" s="6"/>
      <c r="AM470" s="27"/>
      <c r="AN470" s="27"/>
      <c r="AO470" s="27"/>
      <c r="AP470" s="27"/>
      <c r="AQ470" s="27"/>
      <c r="AR470" s="27"/>
      <c r="AS470" s="27"/>
      <c r="AT470" s="27"/>
      <c r="AU470" s="27"/>
      <c r="AV470" s="27"/>
      <c r="AW470" s="27"/>
      <c r="AX470" s="27"/>
      <c r="AY470" s="63"/>
      <c r="AZ470" s="138" t="str">
        <f>IF(C470="","","delete from module_mst where pjt_id = '"&amp;C470&amp;"' and menu_id = '"&amp;E470&amp;"';")</f>
        <v/>
      </c>
    </row>
    <row r="471" spans="1:52">
      <c r="A471" s="1">
        <v>517</v>
      </c>
      <c r="B471" s="43" t="str">
        <f t="shared" si="770"/>
        <v/>
      </c>
      <c r="C471" s="27" t="str">
        <f t="shared" si="771"/>
        <v/>
      </c>
      <c r="D471" s="5"/>
      <c r="E471" s="10"/>
      <c r="F471" s="5"/>
      <c r="G471" s="5"/>
      <c r="H471" s="5"/>
      <c r="I471" s="5"/>
      <c r="J471" s="5"/>
      <c r="K471" s="10" t="str">
        <f t="shared" si="776"/>
        <v/>
      </c>
      <c r="L471" s="10" t="str">
        <f t="shared" si="772"/>
        <v/>
      </c>
      <c r="M471" s="10" t="str">
        <f t="shared" si="777"/>
        <v>0</v>
      </c>
      <c r="N471" s="5"/>
      <c r="O471" s="5"/>
      <c r="P471" s="27"/>
      <c r="Q471" s="27"/>
      <c r="R471" s="27"/>
      <c r="S471" s="27"/>
      <c r="T471" s="27"/>
      <c r="U471" s="27"/>
      <c r="V471" s="27"/>
      <c r="W471" s="27"/>
      <c r="X471" s="27"/>
      <c r="Y471" s="27"/>
      <c r="Z471" s="27"/>
      <c r="AA471" s="5"/>
      <c r="AB471" s="5"/>
      <c r="AC471" s="5"/>
      <c r="AD471" s="5"/>
      <c r="AE471" s="5"/>
      <c r="AF471" s="5"/>
      <c r="AG471" s="5"/>
      <c r="AH471" s="27"/>
      <c r="AI471" s="27"/>
      <c r="AJ471" s="27"/>
      <c r="AK471" s="27" t="str">
        <f t="shared" si="775"/>
        <v/>
      </c>
      <c r="AL471" s="6"/>
      <c r="AM471" s="27"/>
      <c r="AN471" s="27"/>
      <c r="AO471" s="27"/>
      <c r="AP471" s="27"/>
      <c r="AQ471" s="27"/>
      <c r="AR471" s="27"/>
      <c r="AS471" s="27"/>
      <c r="AT471" s="27"/>
      <c r="AU471" s="27"/>
      <c r="AV471" s="27"/>
      <c r="AW471" s="27"/>
      <c r="AX471" s="27"/>
      <c r="AY471" s="63"/>
      <c r="AZ471" s="138" t="str">
        <f>IF(C471="","","delete from module_mst where pjt_id = '"&amp;C471&amp;"' and menu_id = '"&amp;E471&amp;"';")</f>
        <v/>
      </c>
    </row>
    <row r="472" spans="1:52">
      <c r="A472" s="1">
        <v>518</v>
      </c>
      <c r="B472" s="43" t="str">
        <f t="shared" si="770"/>
        <v/>
      </c>
      <c r="C472" s="27" t="str">
        <f t="shared" si="771"/>
        <v/>
      </c>
      <c r="D472" s="5"/>
      <c r="E472" s="10"/>
      <c r="F472" s="5"/>
      <c r="G472" s="5"/>
      <c r="H472" s="5"/>
      <c r="I472" s="5"/>
      <c r="J472" s="5"/>
      <c r="K472" s="10" t="str">
        <f t="shared" si="776"/>
        <v/>
      </c>
      <c r="L472" s="10" t="str">
        <f t="shared" si="772"/>
        <v/>
      </c>
      <c r="M472" s="10" t="str">
        <f t="shared" si="777"/>
        <v>0</v>
      </c>
      <c r="N472" s="5"/>
      <c r="O472" s="5"/>
      <c r="P472" s="27"/>
      <c r="Q472" s="27"/>
      <c r="R472" s="27"/>
      <c r="S472" s="27"/>
      <c r="T472" s="27"/>
      <c r="U472" s="27"/>
      <c r="V472" s="27"/>
      <c r="W472" s="27"/>
      <c r="X472" s="27"/>
      <c r="Y472" s="27"/>
      <c r="Z472" s="27"/>
      <c r="AA472" s="5"/>
      <c r="AB472" s="5"/>
      <c r="AC472" s="5"/>
      <c r="AD472" s="5"/>
      <c r="AE472" s="5"/>
      <c r="AF472" s="5"/>
      <c r="AG472" s="5"/>
      <c r="AH472" s="27"/>
      <c r="AI472" s="27"/>
      <c r="AJ472" s="27"/>
      <c r="AK472" s="27" t="str">
        <f t="shared" si="775"/>
        <v/>
      </c>
      <c r="AL472" s="6"/>
      <c r="AM472" s="27"/>
      <c r="AN472" s="27"/>
      <c r="AO472" s="27"/>
      <c r="AP472" s="27"/>
      <c r="AQ472" s="27"/>
      <c r="AR472" s="27"/>
      <c r="AS472" s="27"/>
      <c r="AT472" s="27"/>
      <c r="AU472" s="27"/>
      <c r="AV472" s="27"/>
      <c r="AW472" s="27"/>
      <c r="AX472" s="27"/>
      <c r="AY472" s="63"/>
      <c r="AZ472" s="138" t="str">
        <f>IF(C472="","","delete from module_mst where pjt_id = '"&amp;C472&amp;"' and menu_id = '"&amp;E472&amp;"';")</f>
        <v/>
      </c>
    </row>
    <row r="473" spans="1:52">
      <c r="A473" s="1">
        <v>519</v>
      </c>
      <c r="B473" s="43" t="str">
        <f t="shared" si="770"/>
        <v/>
      </c>
      <c r="C473" s="27" t="str">
        <f t="shared" si="771"/>
        <v/>
      </c>
      <c r="D473" s="5"/>
      <c r="E473" s="10"/>
      <c r="F473" s="5"/>
      <c r="G473" s="5"/>
      <c r="H473" s="5"/>
      <c r="I473" s="5"/>
      <c r="J473" s="5"/>
      <c r="K473" s="10" t="str">
        <f t="shared" si="776"/>
        <v/>
      </c>
      <c r="L473" s="10" t="str">
        <f t="shared" si="772"/>
        <v/>
      </c>
      <c r="M473" s="10" t="str">
        <f t="shared" si="777"/>
        <v>0</v>
      </c>
      <c r="N473" s="5"/>
      <c r="O473" s="5"/>
      <c r="P473" s="27"/>
      <c r="Q473" s="27"/>
      <c r="R473" s="27"/>
      <c r="S473" s="27"/>
      <c r="T473" s="27"/>
      <c r="U473" s="27"/>
      <c r="V473" s="27"/>
      <c r="W473" s="27"/>
      <c r="X473" s="27"/>
      <c r="Y473" s="27"/>
      <c r="Z473" s="27"/>
      <c r="AA473" s="5"/>
      <c r="AB473" s="5"/>
      <c r="AC473" s="5"/>
      <c r="AD473" s="5"/>
      <c r="AE473" s="5"/>
      <c r="AF473" s="5"/>
      <c r="AG473" s="5"/>
      <c r="AH473" s="27"/>
      <c r="AI473" s="27"/>
      <c r="AJ473" s="27"/>
      <c r="AK473" s="27" t="str">
        <f t="shared" si="775"/>
        <v/>
      </c>
      <c r="AL473" s="6"/>
      <c r="AM473" s="27"/>
      <c r="AN473" s="27"/>
      <c r="AO473" s="27"/>
      <c r="AP473" s="27"/>
      <c r="AQ473" s="27"/>
      <c r="AR473" s="27"/>
      <c r="AS473" s="27"/>
      <c r="AT473" s="27"/>
      <c r="AU473" s="27"/>
      <c r="AV473" s="27"/>
      <c r="AW473" s="27"/>
      <c r="AX473" s="27"/>
      <c r="AY473" s="63"/>
      <c r="AZ473" s="138" t="str">
        <f>IF(C473="","","delete from module_mst where pjt_id = '"&amp;C473&amp;"' and menu_id = '"&amp;E473&amp;"';")</f>
        <v/>
      </c>
    </row>
    <row r="474" spans="1:52">
      <c r="A474" s="1">
        <v>520</v>
      </c>
      <c r="B474" s="43" t="str">
        <f t="shared" si="770"/>
        <v/>
      </c>
      <c r="C474" s="27" t="str">
        <f t="shared" si="771"/>
        <v/>
      </c>
      <c r="D474" s="5"/>
      <c r="E474" s="10"/>
      <c r="F474" s="5"/>
      <c r="G474" s="5"/>
      <c r="H474" s="5"/>
      <c r="I474" s="5"/>
      <c r="J474" s="5"/>
      <c r="K474" s="10" t="str">
        <f t="shared" si="776"/>
        <v/>
      </c>
      <c r="L474" s="10" t="str">
        <f t="shared" si="772"/>
        <v/>
      </c>
      <c r="M474" s="10" t="str">
        <f t="shared" si="777"/>
        <v>0</v>
      </c>
      <c r="N474" s="5"/>
      <c r="O474" s="5"/>
      <c r="P474" s="27"/>
      <c r="Q474" s="27"/>
      <c r="R474" s="27"/>
      <c r="S474" s="27"/>
      <c r="T474" s="27"/>
      <c r="U474" s="27"/>
      <c r="V474" s="27"/>
      <c r="W474" s="27"/>
      <c r="X474" s="27"/>
      <c r="Y474" s="27"/>
      <c r="Z474" s="27"/>
      <c r="AA474" s="5"/>
      <c r="AB474" s="5"/>
      <c r="AC474" s="5"/>
      <c r="AD474" s="5"/>
      <c r="AE474" s="5"/>
      <c r="AF474" s="5"/>
      <c r="AG474" s="5"/>
      <c r="AH474" s="27"/>
      <c r="AI474" s="27"/>
      <c r="AJ474" s="27"/>
      <c r="AK474" s="27" t="str">
        <f t="shared" si="775"/>
        <v/>
      </c>
      <c r="AL474" s="6"/>
      <c r="AM474" s="27"/>
      <c r="AN474" s="27"/>
      <c r="AO474" s="27"/>
      <c r="AP474" s="27"/>
      <c r="AQ474" s="27"/>
      <c r="AR474" s="27"/>
      <c r="AS474" s="27"/>
      <c r="AT474" s="27"/>
      <c r="AU474" s="27"/>
      <c r="AV474" s="27"/>
      <c r="AW474" s="27"/>
      <c r="AX474" s="27"/>
      <c r="AY474" s="63"/>
      <c r="AZ474" s="138" t="str">
        <f>IF(C474="","","delete from module_mst where pjt_id = '"&amp;C474&amp;"' and menu_id = '"&amp;E474&amp;"';")</f>
        <v/>
      </c>
    </row>
    <row r="475" spans="1:52">
      <c r="A475" s="1">
        <v>521</v>
      </c>
      <c r="B475" s="43" t="str">
        <f t="shared" si="770"/>
        <v/>
      </c>
      <c r="C475" s="27" t="str">
        <f t="shared" si="771"/>
        <v/>
      </c>
      <c r="D475" s="5"/>
      <c r="E475" s="10"/>
      <c r="F475" s="5"/>
      <c r="G475" s="5"/>
      <c r="H475" s="5"/>
      <c r="I475" s="5"/>
      <c r="J475" s="5"/>
      <c r="K475" s="10" t="str">
        <f t="shared" si="776"/>
        <v/>
      </c>
      <c r="L475" s="10" t="str">
        <f t="shared" si="772"/>
        <v/>
      </c>
      <c r="M475" s="10" t="str">
        <f t="shared" si="777"/>
        <v>0</v>
      </c>
      <c r="N475" s="5"/>
      <c r="O475" s="5"/>
      <c r="P475" s="27"/>
      <c r="Q475" s="27"/>
      <c r="R475" s="27"/>
      <c r="S475" s="27"/>
      <c r="T475" s="27"/>
      <c r="U475" s="27"/>
      <c r="V475" s="27"/>
      <c r="W475" s="27"/>
      <c r="X475" s="27"/>
      <c r="Y475" s="27"/>
      <c r="Z475" s="27"/>
      <c r="AA475" s="5"/>
      <c r="AB475" s="5"/>
      <c r="AC475" s="5"/>
      <c r="AD475" s="5"/>
      <c r="AE475" s="5"/>
      <c r="AF475" s="5"/>
      <c r="AG475" s="5"/>
      <c r="AH475" s="27"/>
      <c r="AI475" s="27"/>
      <c r="AJ475" s="27"/>
      <c r="AK475" s="27" t="str">
        <f t="shared" si="775"/>
        <v/>
      </c>
      <c r="AL475" s="6"/>
      <c r="AM475" s="27"/>
      <c r="AN475" s="27"/>
      <c r="AO475" s="27"/>
      <c r="AP475" s="27"/>
      <c r="AQ475" s="27"/>
      <c r="AR475" s="27"/>
      <c r="AS475" s="27"/>
      <c r="AT475" s="27"/>
      <c r="AU475" s="27"/>
      <c r="AV475" s="27"/>
      <c r="AW475" s="27"/>
      <c r="AX475" s="27"/>
      <c r="AY475" s="63"/>
      <c r="AZ475" s="138" t="str">
        <f>IF(C475="","","delete from module_mst where pjt_id = '"&amp;C475&amp;"' and menu_id = '"&amp;E475&amp;"';")</f>
        <v/>
      </c>
    </row>
    <row r="476" spans="1:52">
      <c r="A476" s="1">
        <v>272</v>
      </c>
      <c r="B476" s="43" t="str">
        <f t="shared" si="770"/>
        <v/>
      </c>
      <c r="C476" s="27" t="str">
        <f t="shared" si="771"/>
        <v/>
      </c>
      <c r="D476" s="5"/>
      <c r="E476" s="10"/>
      <c r="F476" s="5"/>
      <c r="G476" s="5"/>
      <c r="H476" s="5"/>
      <c r="I476" s="5"/>
      <c r="J476" s="5"/>
      <c r="K476" s="10" t="str">
        <f t="shared" si="776"/>
        <v/>
      </c>
      <c r="L476" s="10" t="str">
        <f t="shared" si="772"/>
        <v/>
      </c>
      <c r="M476" s="10" t="str">
        <f t="shared" si="777"/>
        <v>0</v>
      </c>
      <c r="N476" s="5"/>
      <c r="O476" s="5"/>
      <c r="P476" s="27"/>
      <c r="Q476" s="27"/>
      <c r="R476" s="27"/>
      <c r="S476" s="27"/>
      <c r="T476" s="27"/>
      <c r="U476" s="27"/>
      <c r="V476" s="27"/>
      <c r="W476" s="27"/>
      <c r="X476" s="27"/>
      <c r="Y476" s="27"/>
      <c r="Z476" s="27"/>
      <c r="AA476" s="5"/>
      <c r="AB476" s="5"/>
      <c r="AC476" s="5"/>
      <c r="AD476" s="5"/>
      <c r="AE476" s="5"/>
      <c r="AF476" s="5"/>
      <c r="AG476" s="5"/>
      <c r="AH476" s="27"/>
      <c r="AI476" s="27"/>
      <c r="AJ476" s="27"/>
      <c r="AK476" s="27" t="str">
        <f t="shared" si="775"/>
        <v/>
      </c>
      <c r="AL476" s="6"/>
      <c r="AM476" s="27"/>
      <c r="AN476" s="27"/>
      <c r="AO476" s="27"/>
      <c r="AP476" s="27"/>
      <c r="AQ476" s="27"/>
      <c r="AR476" s="27"/>
      <c r="AS476" s="27"/>
      <c r="AT476" s="27"/>
      <c r="AU476" s="27"/>
      <c r="AV476" s="27"/>
      <c r="AW476" s="27"/>
      <c r="AX476" s="27"/>
      <c r="AY476" s="63"/>
      <c r="AZ476" s="138" t="str">
        <f>IF(C476="","","delete from module_mst where pjt_id = '"&amp;C476&amp;"' and menu_id = '"&amp;E476&amp;"';")</f>
        <v/>
      </c>
    </row>
    <row r="477" spans="1:52">
      <c r="A477" s="1">
        <v>273</v>
      </c>
      <c r="B477" s="43" t="str">
        <f t="shared" si="770"/>
        <v/>
      </c>
      <c r="C477" s="27" t="str">
        <f t="shared" si="771"/>
        <v/>
      </c>
      <c r="D477" s="5"/>
      <c r="E477" s="10"/>
      <c r="F477" s="5"/>
      <c r="G477" s="5"/>
      <c r="H477" s="5"/>
      <c r="I477" s="5"/>
      <c r="J477" s="5"/>
      <c r="K477" s="10" t="str">
        <f t="shared" si="776"/>
        <v/>
      </c>
      <c r="L477" s="10" t="str">
        <f t="shared" si="772"/>
        <v/>
      </c>
      <c r="M477" s="10" t="str">
        <f t="shared" si="777"/>
        <v>0</v>
      </c>
      <c r="N477" s="5"/>
      <c r="O477" s="5"/>
      <c r="P477" s="27"/>
      <c r="Q477" s="27"/>
      <c r="R477" s="27"/>
      <c r="S477" s="27"/>
      <c r="T477" s="27"/>
      <c r="U477" s="27"/>
      <c r="V477" s="27"/>
      <c r="W477" s="27"/>
      <c r="X477" s="27"/>
      <c r="Y477" s="27"/>
      <c r="Z477" s="27"/>
      <c r="AA477" s="5"/>
      <c r="AB477" s="5"/>
      <c r="AC477" s="5"/>
      <c r="AD477" s="5"/>
      <c r="AE477" s="5"/>
      <c r="AF477" s="5"/>
      <c r="AG477" s="5"/>
      <c r="AH477" s="27"/>
      <c r="AI477" s="27"/>
      <c r="AJ477" s="27"/>
      <c r="AK477" s="27" t="str">
        <f t="shared" si="775"/>
        <v/>
      </c>
      <c r="AL477" s="6"/>
      <c r="AM477" s="27"/>
      <c r="AN477" s="27"/>
      <c r="AO477" s="27"/>
      <c r="AP477" s="27"/>
      <c r="AQ477" s="27"/>
      <c r="AR477" s="27"/>
      <c r="AS477" s="27"/>
      <c r="AT477" s="27"/>
      <c r="AU477" s="27"/>
      <c r="AV477" s="27"/>
      <c r="AW477" s="27"/>
      <c r="AX477" s="27"/>
      <c r="AY477" s="63"/>
      <c r="AZ477" s="138" t="str">
        <f>IF(C477="","","delete from module_mst where pjt_id = '"&amp;C477&amp;"' and menu_id = '"&amp;E477&amp;"';")</f>
        <v/>
      </c>
    </row>
    <row r="478" spans="1:52">
      <c r="A478" s="1">
        <v>274</v>
      </c>
      <c r="B478" s="43" t="str">
        <f t="shared" ref="B478:B479" si="778">IF(AI478="","",IF(AI478="1","",IF(AI478="2","└ ",IF(AI478="3","  └ ",IF(AI478="4","    └ ",IF(AI478="5","        └ ",IF(AI478="6","         └ ",IF(AI478="7"="            └ ",""))))))))&amp;AM478&amp;F478</f>
        <v/>
      </c>
      <c r="C478" s="27" t="str">
        <f t="shared" si="771"/>
        <v/>
      </c>
      <c r="D478" s="5"/>
      <c r="E478" s="10"/>
      <c r="F478" s="5"/>
      <c r="G478" s="5"/>
      <c r="H478" s="5"/>
      <c r="I478" s="5"/>
      <c r="J478" s="5"/>
      <c r="K478" s="10" t="str">
        <f t="shared" si="776"/>
        <v/>
      </c>
      <c r="L478" s="10" t="str">
        <f t="shared" si="772"/>
        <v/>
      </c>
      <c r="M478" s="10" t="str">
        <f t="shared" si="777"/>
        <v>0</v>
      </c>
      <c r="N478" s="5"/>
      <c r="O478" s="5"/>
      <c r="P478" s="27"/>
      <c r="Q478" s="27"/>
      <c r="R478" s="27"/>
      <c r="S478" s="27"/>
      <c r="T478" s="27"/>
      <c r="U478" s="27"/>
      <c r="V478" s="27"/>
      <c r="W478" s="27"/>
      <c r="X478" s="27"/>
      <c r="Y478" s="27"/>
      <c r="Z478" s="27"/>
      <c r="AA478" s="5"/>
      <c r="AB478" s="5"/>
      <c r="AC478" s="5"/>
      <c r="AD478" s="5"/>
      <c r="AE478" s="5"/>
      <c r="AF478" s="5"/>
      <c r="AG478" s="5"/>
      <c r="AH478" s="27"/>
      <c r="AI478" s="27"/>
      <c r="AJ478" s="27"/>
      <c r="AK478" s="27" t="str">
        <f t="shared" si="775"/>
        <v/>
      </c>
      <c r="AL478" s="6"/>
      <c r="AM478" s="27"/>
      <c r="AN478" s="27"/>
      <c r="AO478" s="27"/>
      <c r="AP478" s="27"/>
      <c r="AQ478" s="27"/>
      <c r="AR478" s="27"/>
      <c r="AS478" s="27"/>
      <c r="AT478" s="27"/>
      <c r="AU478" s="27"/>
      <c r="AV478" s="27"/>
      <c r="AW478" s="27"/>
      <c r="AX478" s="27"/>
      <c r="AY478" s="63"/>
      <c r="AZ478" s="138" t="str">
        <f>IF(C478="","","delete from module_mst where pjt_id = '"&amp;C478&amp;"' and menu_id = '"&amp;E478&amp;"';")</f>
        <v/>
      </c>
    </row>
    <row r="479" spans="1:52">
      <c r="A479" s="1">
        <v>275</v>
      </c>
      <c r="B479" s="43" t="str">
        <f t="shared" si="778"/>
        <v/>
      </c>
      <c r="C479" s="27" t="str">
        <f t="shared" si="771"/>
        <v/>
      </c>
      <c r="D479" s="5"/>
      <c r="E479" s="10"/>
      <c r="F479" s="5"/>
      <c r="G479" s="5"/>
      <c r="H479" s="5"/>
      <c r="I479" s="5"/>
      <c r="J479" s="5"/>
      <c r="K479" s="10" t="str">
        <f t="shared" si="776"/>
        <v/>
      </c>
      <c r="L479" s="10" t="str">
        <f t="shared" si="772"/>
        <v/>
      </c>
      <c r="M479" s="10" t="str">
        <f t="shared" si="777"/>
        <v>0</v>
      </c>
      <c r="N479" s="5"/>
      <c r="O479" s="5"/>
      <c r="P479" s="27"/>
      <c r="Q479" s="27"/>
      <c r="R479" s="27"/>
      <c r="S479" s="27"/>
      <c r="T479" s="27"/>
      <c r="U479" s="27"/>
      <c r="V479" s="27"/>
      <c r="W479" s="27"/>
      <c r="X479" s="27"/>
      <c r="Y479" s="27"/>
      <c r="Z479" s="27"/>
      <c r="AA479" s="5"/>
      <c r="AB479" s="5"/>
      <c r="AC479" s="5"/>
      <c r="AD479" s="5"/>
      <c r="AE479" s="5"/>
      <c r="AF479" s="5"/>
      <c r="AG479" s="5"/>
      <c r="AH479" s="27"/>
      <c r="AI479" s="27"/>
      <c r="AJ479" s="27"/>
      <c r="AK479" s="27" t="str">
        <f t="shared" si="775"/>
        <v/>
      </c>
      <c r="AL479" s="6"/>
      <c r="AM479" s="27"/>
      <c r="AN479" s="27"/>
      <c r="AO479" s="27"/>
      <c r="AP479" s="27"/>
      <c r="AQ479" s="27"/>
      <c r="AR479" s="27"/>
      <c r="AS479" s="27"/>
      <c r="AT479" s="27"/>
      <c r="AU479" s="27"/>
      <c r="AV479" s="27"/>
      <c r="AW479" s="27"/>
      <c r="AX479" s="27"/>
      <c r="AY479" s="63"/>
      <c r="AZ479" s="138" t="str">
        <f>IF(C479="","","delete from module_mst where pjt_id = '"&amp;C479&amp;"' and menu_id = '"&amp;E479&amp;"';")</f>
        <v/>
      </c>
    </row>
    <row r="480" spans="1:52">
      <c r="A480" s="1">
        <v>276</v>
      </c>
      <c r="B480" s="43" t="str">
        <f t="shared" ref="B480:B489" si="779">IF(AI480="","",IF(AI480="1","",IF(AI480="2","└ ",IF(AI480="3","  └ ",IF(AI480="4","    └ ",IF(AI480="5","        └ ",IF(AI480="6","         └ ",IF(AI480="7"="            └ ",""))))))))&amp;AM480&amp;F480</f>
        <v/>
      </c>
      <c r="C480" s="27" t="str">
        <f t="shared" si="771"/>
        <v/>
      </c>
      <c r="D480" s="5"/>
      <c r="E480" s="10"/>
      <c r="F480" s="5"/>
      <c r="G480" s="5"/>
      <c r="H480" s="5"/>
      <c r="I480" s="5"/>
      <c r="J480" s="5"/>
      <c r="K480" s="10" t="str">
        <f t="shared" si="776"/>
        <v/>
      </c>
      <c r="L480" s="10" t="str">
        <f t="shared" si="772"/>
        <v/>
      </c>
      <c r="M480" s="10" t="str">
        <f t="shared" si="777"/>
        <v>0</v>
      </c>
      <c r="N480" s="5"/>
      <c r="O480" s="5"/>
      <c r="P480" s="27"/>
      <c r="Q480" s="27"/>
      <c r="R480" s="27"/>
      <c r="S480" s="27"/>
      <c r="T480" s="27"/>
      <c r="U480" s="27"/>
      <c r="V480" s="27"/>
      <c r="W480" s="27"/>
      <c r="X480" s="27"/>
      <c r="Y480" s="27"/>
      <c r="Z480" s="27"/>
      <c r="AA480" s="5"/>
      <c r="AB480" s="5"/>
      <c r="AC480" s="5"/>
      <c r="AD480" s="5"/>
      <c r="AE480" s="5"/>
      <c r="AF480" s="5"/>
      <c r="AG480" s="5"/>
      <c r="AH480" s="27"/>
      <c r="AI480" s="27"/>
      <c r="AJ480" s="27"/>
      <c r="AK480" s="27" t="str">
        <f t="shared" si="775"/>
        <v/>
      </c>
      <c r="AL480" s="6"/>
      <c r="AM480" s="27"/>
      <c r="AN480" s="27"/>
      <c r="AO480" s="27"/>
      <c r="AP480" s="27"/>
      <c r="AQ480" s="27"/>
      <c r="AR480" s="27"/>
      <c r="AS480" s="27"/>
      <c r="AT480" s="27"/>
      <c r="AU480" s="27"/>
      <c r="AV480" s="27"/>
      <c r="AW480" s="27"/>
      <c r="AX480" s="27"/>
      <c r="AY480" s="63"/>
      <c r="AZ480" s="138" t="str">
        <f>IF(C480="","","delete from module_mst where pjt_id = '"&amp;C480&amp;"' and menu_id = '"&amp;E480&amp;"';")</f>
        <v/>
      </c>
    </row>
    <row r="481" spans="1:52">
      <c r="A481" s="1">
        <v>277</v>
      </c>
      <c r="B481" s="43" t="str">
        <f t="shared" si="779"/>
        <v/>
      </c>
      <c r="C481" s="27" t="str">
        <f t="shared" si="771"/>
        <v/>
      </c>
      <c r="D481" s="5"/>
      <c r="E481" s="10"/>
      <c r="F481" s="5"/>
      <c r="G481" s="5"/>
      <c r="H481" s="5"/>
      <c r="I481" s="5"/>
      <c r="J481" s="5"/>
      <c r="K481" s="10" t="str">
        <f t="shared" si="776"/>
        <v/>
      </c>
      <c r="L481" s="10" t="str">
        <f t="shared" si="772"/>
        <v/>
      </c>
      <c r="M481" s="10" t="str">
        <f t="shared" si="777"/>
        <v>0</v>
      </c>
      <c r="N481" s="5"/>
      <c r="O481" s="5"/>
      <c r="P481" s="27"/>
      <c r="Q481" s="27"/>
      <c r="R481" s="27"/>
      <c r="S481" s="27"/>
      <c r="T481" s="27"/>
      <c r="U481" s="27"/>
      <c r="V481" s="27"/>
      <c r="W481" s="27"/>
      <c r="X481" s="27"/>
      <c r="Y481" s="27"/>
      <c r="Z481" s="27"/>
      <c r="AA481" s="5"/>
      <c r="AB481" s="5"/>
      <c r="AC481" s="5"/>
      <c r="AD481" s="5"/>
      <c r="AE481" s="5"/>
      <c r="AF481" s="5"/>
      <c r="AG481" s="5"/>
      <c r="AH481" s="27"/>
      <c r="AI481" s="27"/>
      <c r="AJ481" s="27"/>
      <c r="AK481" s="27" t="str">
        <f t="shared" si="775"/>
        <v/>
      </c>
      <c r="AL481" s="6"/>
      <c r="AM481" s="27"/>
      <c r="AN481" s="27"/>
      <c r="AO481" s="27"/>
      <c r="AP481" s="27"/>
      <c r="AQ481" s="27"/>
      <c r="AR481" s="27"/>
      <c r="AS481" s="27"/>
      <c r="AT481" s="27"/>
      <c r="AU481" s="27"/>
      <c r="AV481" s="27"/>
      <c r="AW481" s="27"/>
      <c r="AX481" s="27"/>
      <c r="AY481" s="63"/>
      <c r="AZ481" s="138" t="str">
        <f>IF(C481="","","delete from module_mst where pjt_id = '"&amp;C481&amp;"' and menu_id = '"&amp;E481&amp;"';")</f>
        <v/>
      </c>
    </row>
    <row r="482" spans="1:52">
      <c r="A482" s="1">
        <v>278</v>
      </c>
      <c r="B482" s="43" t="str">
        <f t="shared" si="779"/>
        <v/>
      </c>
      <c r="C482" s="27" t="str">
        <f t="shared" si="771"/>
        <v/>
      </c>
      <c r="D482" s="5"/>
      <c r="E482" s="10"/>
      <c r="F482" s="5"/>
      <c r="G482" s="5"/>
      <c r="H482" s="5"/>
      <c r="I482" s="5"/>
      <c r="J482" s="5"/>
      <c r="K482" s="10" t="str">
        <f t="shared" si="776"/>
        <v/>
      </c>
      <c r="L482" s="10" t="str">
        <f t="shared" si="772"/>
        <v/>
      </c>
      <c r="M482" s="10" t="str">
        <f t="shared" si="777"/>
        <v>0</v>
      </c>
      <c r="N482" s="5"/>
      <c r="O482" s="5"/>
      <c r="P482" s="27"/>
      <c r="Q482" s="27"/>
      <c r="R482" s="27"/>
      <c r="S482" s="27"/>
      <c r="T482" s="27"/>
      <c r="U482" s="27"/>
      <c r="V482" s="27"/>
      <c r="W482" s="27"/>
      <c r="X482" s="27"/>
      <c r="Y482" s="27"/>
      <c r="Z482" s="27"/>
      <c r="AA482" s="5"/>
      <c r="AB482" s="5"/>
      <c r="AC482" s="5"/>
      <c r="AD482" s="5"/>
      <c r="AE482" s="5"/>
      <c r="AF482" s="5"/>
      <c r="AG482" s="5"/>
      <c r="AH482" s="27"/>
      <c r="AI482" s="27"/>
      <c r="AJ482" s="27"/>
      <c r="AK482" s="27" t="str">
        <f t="shared" ref="AK482:AK545" si="780">IF(B483="","","0")</f>
        <v/>
      </c>
      <c r="AL482" s="6"/>
      <c r="AM482" s="27"/>
      <c r="AN482" s="27"/>
      <c r="AO482" s="27"/>
      <c r="AP482" s="27"/>
      <c r="AQ482" s="27"/>
      <c r="AR482" s="27"/>
      <c r="AS482" s="27"/>
      <c r="AT482" s="27"/>
      <c r="AU482" s="27"/>
      <c r="AV482" s="27"/>
      <c r="AW482" s="27"/>
      <c r="AX482" s="27"/>
      <c r="AY482" s="63"/>
      <c r="AZ482" s="138" t="str">
        <f>IF(C482="","","delete from module_mst where pjt_id = '"&amp;C482&amp;"' and menu_id = '"&amp;E482&amp;"';")</f>
        <v/>
      </c>
    </row>
    <row r="483" spans="1:52">
      <c r="A483" s="1">
        <v>279</v>
      </c>
      <c r="B483" s="43" t="str">
        <f t="shared" si="779"/>
        <v/>
      </c>
      <c r="C483" s="27" t="str">
        <f t="shared" si="771"/>
        <v/>
      </c>
      <c r="D483" s="5"/>
      <c r="E483" s="10"/>
      <c r="F483" s="5"/>
      <c r="G483" s="5"/>
      <c r="H483" s="5"/>
      <c r="I483" s="5"/>
      <c r="J483" s="5"/>
      <c r="K483" s="10"/>
      <c r="L483" s="10"/>
      <c r="M483" s="10"/>
      <c r="N483" s="5"/>
      <c r="O483" s="5"/>
      <c r="P483" s="27"/>
      <c r="Q483" s="27"/>
      <c r="R483" s="27"/>
      <c r="S483" s="27"/>
      <c r="T483" s="27"/>
      <c r="U483" s="27"/>
      <c r="V483" s="27"/>
      <c r="W483" s="27"/>
      <c r="X483" s="27"/>
      <c r="Y483" s="27"/>
      <c r="Z483" s="27"/>
      <c r="AA483" s="5"/>
      <c r="AB483" s="5"/>
      <c r="AC483" s="5"/>
      <c r="AD483" s="5"/>
      <c r="AE483" s="5"/>
      <c r="AF483" s="5"/>
      <c r="AG483" s="5"/>
      <c r="AH483" s="27"/>
      <c r="AI483" s="27"/>
      <c r="AJ483" s="27"/>
      <c r="AK483" s="27" t="str">
        <f t="shared" si="780"/>
        <v/>
      </c>
      <c r="AL483" s="6"/>
      <c r="AM483" s="27"/>
      <c r="AN483" s="27"/>
      <c r="AO483" s="27"/>
      <c r="AP483" s="27"/>
      <c r="AQ483" s="27"/>
      <c r="AR483" s="27"/>
      <c r="AS483" s="27"/>
      <c r="AT483" s="27"/>
      <c r="AU483" s="27"/>
      <c r="AV483" s="27"/>
      <c r="AW483" s="27"/>
      <c r="AX483" s="27"/>
      <c r="AY483" s="63"/>
      <c r="AZ483" s="138" t="str">
        <f>IF(C483="","","delete from module_mst where pjt_id = '"&amp;C483&amp;"' and menu_id = '"&amp;E483&amp;"';")</f>
        <v/>
      </c>
    </row>
    <row r="484" spans="1:52">
      <c r="A484" s="1">
        <v>280</v>
      </c>
      <c r="B484" s="43" t="str">
        <f t="shared" si="779"/>
        <v/>
      </c>
      <c r="C484" s="27" t="str">
        <f t="shared" si="771"/>
        <v/>
      </c>
      <c r="D484" s="5"/>
      <c r="E484" s="10"/>
      <c r="F484" s="5"/>
      <c r="G484" s="5"/>
      <c r="H484" s="5"/>
      <c r="I484" s="5"/>
      <c r="J484" s="5"/>
      <c r="K484" s="10"/>
      <c r="L484" s="10"/>
      <c r="M484" s="10"/>
      <c r="N484" s="5"/>
      <c r="O484" s="5"/>
      <c r="P484" s="27"/>
      <c r="Q484" s="27"/>
      <c r="R484" s="27"/>
      <c r="S484" s="27"/>
      <c r="T484" s="27"/>
      <c r="U484" s="27"/>
      <c r="V484" s="27"/>
      <c r="W484" s="27"/>
      <c r="X484" s="27"/>
      <c r="Y484" s="27"/>
      <c r="Z484" s="27"/>
      <c r="AA484" s="5"/>
      <c r="AB484" s="5"/>
      <c r="AC484" s="5"/>
      <c r="AD484" s="5"/>
      <c r="AE484" s="5"/>
      <c r="AF484" s="5"/>
      <c r="AG484" s="5"/>
      <c r="AH484" s="27"/>
      <c r="AI484" s="27"/>
      <c r="AJ484" s="27"/>
      <c r="AK484" s="27" t="str">
        <f t="shared" si="780"/>
        <v/>
      </c>
      <c r="AL484" s="6"/>
      <c r="AM484" s="27"/>
      <c r="AN484" s="27"/>
      <c r="AO484" s="27"/>
      <c r="AP484" s="27"/>
      <c r="AQ484" s="27"/>
      <c r="AR484" s="27"/>
      <c r="AS484" s="27"/>
      <c r="AT484" s="27"/>
      <c r="AU484" s="27"/>
      <c r="AV484" s="27"/>
      <c r="AW484" s="27"/>
      <c r="AX484" s="27"/>
      <c r="AY484" s="63"/>
      <c r="AZ484" s="138" t="str">
        <f>IF(C484="","","delete from module_mst where pjt_id = '"&amp;C484&amp;"' and menu_id = '"&amp;E484&amp;"';")</f>
        <v/>
      </c>
    </row>
    <row r="485" spans="1:52">
      <c r="A485" s="1">
        <v>281</v>
      </c>
      <c r="B485" s="43" t="str">
        <f t="shared" si="779"/>
        <v/>
      </c>
      <c r="C485" s="27" t="str">
        <f t="shared" si="771"/>
        <v/>
      </c>
      <c r="D485" s="5"/>
      <c r="E485" s="10"/>
      <c r="F485" s="5"/>
      <c r="G485" s="5"/>
      <c r="H485" s="5"/>
      <c r="I485" s="5"/>
      <c r="J485" s="5"/>
      <c r="K485" s="10"/>
      <c r="L485" s="10"/>
      <c r="M485" s="10"/>
      <c r="N485" s="5"/>
      <c r="O485" s="5"/>
      <c r="P485" s="27"/>
      <c r="Q485" s="27"/>
      <c r="R485" s="27"/>
      <c r="S485" s="27"/>
      <c r="T485" s="27"/>
      <c r="U485" s="27"/>
      <c r="V485" s="27"/>
      <c r="W485" s="27"/>
      <c r="X485" s="27"/>
      <c r="Y485" s="27"/>
      <c r="Z485" s="27"/>
      <c r="AA485" s="5"/>
      <c r="AB485" s="5"/>
      <c r="AC485" s="5"/>
      <c r="AD485" s="5"/>
      <c r="AE485" s="5"/>
      <c r="AF485" s="5"/>
      <c r="AG485" s="5"/>
      <c r="AH485" s="27"/>
      <c r="AI485" s="27"/>
      <c r="AJ485" s="27"/>
      <c r="AK485" s="27" t="str">
        <f t="shared" si="780"/>
        <v/>
      </c>
      <c r="AL485" s="6"/>
      <c r="AM485" s="27"/>
      <c r="AN485" s="27"/>
      <c r="AO485" s="27"/>
      <c r="AP485" s="27"/>
      <c r="AQ485" s="27"/>
      <c r="AR485" s="27"/>
      <c r="AS485" s="27"/>
      <c r="AT485" s="27"/>
      <c r="AU485" s="27"/>
      <c r="AV485" s="27"/>
      <c r="AW485" s="27"/>
      <c r="AX485" s="27"/>
      <c r="AY485" s="63"/>
      <c r="AZ485" s="138" t="str">
        <f>IF(C485="","","delete from module_mst where pjt_id = '"&amp;C485&amp;"' and menu_id = '"&amp;E485&amp;"';")</f>
        <v/>
      </c>
    </row>
    <row r="486" spans="1:52">
      <c r="A486" s="1">
        <v>282</v>
      </c>
      <c r="B486" s="43" t="str">
        <f t="shared" si="779"/>
        <v/>
      </c>
      <c r="C486" s="27" t="str">
        <f t="shared" si="771"/>
        <v/>
      </c>
      <c r="D486" s="5"/>
      <c r="E486" s="10"/>
      <c r="F486" s="5"/>
      <c r="G486" s="5"/>
      <c r="H486" s="5"/>
      <c r="I486" s="5"/>
      <c r="J486" s="5"/>
      <c r="K486" s="10"/>
      <c r="L486" s="10"/>
      <c r="M486" s="10"/>
      <c r="N486" s="5"/>
      <c r="O486" s="5"/>
      <c r="P486" s="27"/>
      <c r="Q486" s="27"/>
      <c r="R486" s="27"/>
      <c r="S486" s="27"/>
      <c r="T486" s="27"/>
      <c r="U486" s="27"/>
      <c r="V486" s="27"/>
      <c r="W486" s="27"/>
      <c r="X486" s="27"/>
      <c r="Y486" s="27"/>
      <c r="Z486" s="27"/>
      <c r="AA486" s="5"/>
      <c r="AB486" s="5"/>
      <c r="AC486" s="5"/>
      <c r="AD486" s="5"/>
      <c r="AE486" s="5"/>
      <c r="AF486" s="5"/>
      <c r="AG486" s="5"/>
      <c r="AH486" s="27"/>
      <c r="AI486" s="27"/>
      <c r="AJ486" s="27"/>
      <c r="AK486" s="27" t="str">
        <f t="shared" si="780"/>
        <v/>
      </c>
      <c r="AL486" s="6"/>
      <c r="AM486" s="27"/>
      <c r="AN486" s="27"/>
      <c r="AO486" s="27"/>
      <c r="AP486" s="27"/>
      <c r="AQ486" s="27"/>
      <c r="AR486" s="27"/>
      <c r="AS486" s="27"/>
      <c r="AT486" s="27"/>
      <c r="AU486" s="27"/>
      <c r="AV486" s="27"/>
      <c r="AW486" s="27"/>
      <c r="AX486" s="27"/>
      <c r="AY486" s="63"/>
      <c r="AZ486" s="138" t="str">
        <f>IF(C486="","","delete from module_mst where pjt_id = '"&amp;C486&amp;"' and menu_id = '"&amp;E486&amp;"';")</f>
        <v/>
      </c>
    </row>
    <row r="487" spans="1:52">
      <c r="A487" s="1">
        <v>283</v>
      </c>
      <c r="B487" s="43" t="str">
        <f t="shared" si="779"/>
        <v/>
      </c>
      <c r="C487" s="27" t="str">
        <f t="shared" si="771"/>
        <v/>
      </c>
      <c r="D487" s="5"/>
      <c r="E487" s="10"/>
      <c r="F487" s="5"/>
      <c r="G487" s="5"/>
      <c r="H487" s="5"/>
      <c r="I487" s="5"/>
      <c r="J487" s="5"/>
      <c r="K487" s="10"/>
      <c r="L487" s="10"/>
      <c r="M487" s="10"/>
      <c r="N487" s="5"/>
      <c r="O487" s="5"/>
      <c r="P487" s="27"/>
      <c r="Q487" s="27"/>
      <c r="R487" s="27"/>
      <c r="S487" s="27"/>
      <c r="T487" s="27"/>
      <c r="U487" s="27"/>
      <c r="V487" s="27"/>
      <c r="W487" s="27"/>
      <c r="X487" s="27"/>
      <c r="Y487" s="27"/>
      <c r="Z487" s="27"/>
      <c r="AA487" s="5"/>
      <c r="AB487" s="5"/>
      <c r="AC487" s="5"/>
      <c r="AD487" s="5"/>
      <c r="AE487" s="5"/>
      <c r="AF487" s="5"/>
      <c r="AG487" s="5"/>
      <c r="AH487" s="27"/>
      <c r="AI487" s="27"/>
      <c r="AJ487" s="27"/>
      <c r="AK487" s="27" t="str">
        <f t="shared" si="780"/>
        <v/>
      </c>
      <c r="AL487" s="6"/>
      <c r="AM487" s="27"/>
      <c r="AN487" s="27"/>
      <c r="AO487" s="27"/>
      <c r="AP487" s="27"/>
      <c r="AQ487" s="27"/>
      <c r="AR487" s="27"/>
      <c r="AS487" s="27"/>
      <c r="AT487" s="27"/>
      <c r="AU487" s="27"/>
      <c r="AV487" s="27"/>
      <c r="AW487" s="27"/>
      <c r="AX487" s="27"/>
      <c r="AY487" s="63"/>
      <c r="AZ487" s="138" t="str">
        <f>IF(C487="","","delete from module_mst where pjt_id = '"&amp;C487&amp;"' and menu_id = '"&amp;E487&amp;"';")</f>
        <v/>
      </c>
    </row>
    <row r="488" spans="1:52">
      <c r="A488" s="1">
        <v>284</v>
      </c>
      <c r="B488" s="43" t="str">
        <f t="shared" si="779"/>
        <v/>
      </c>
      <c r="C488" s="27" t="str">
        <f t="shared" si="771"/>
        <v/>
      </c>
      <c r="D488" s="5"/>
      <c r="E488" s="10"/>
      <c r="F488" s="5"/>
      <c r="G488" s="5"/>
      <c r="H488" s="5"/>
      <c r="I488" s="5"/>
      <c r="J488" s="5"/>
      <c r="K488" s="10"/>
      <c r="L488" s="10"/>
      <c r="M488" s="10"/>
      <c r="N488" s="5"/>
      <c r="O488" s="5"/>
      <c r="P488" s="27"/>
      <c r="Q488" s="27"/>
      <c r="R488" s="27"/>
      <c r="S488" s="27"/>
      <c r="T488" s="27"/>
      <c r="U488" s="27"/>
      <c r="V488" s="27"/>
      <c r="W488" s="27"/>
      <c r="X488" s="27"/>
      <c r="Y488" s="27"/>
      <c r="Z488" s="27"/>
      <c r="AA488" s="5"/>
      <c r="AB488" s="5"/>
      <c r="AC488" s="5"/>
      <c r="AD488" s="5"/>
      <c r="AE488" s="5"/>
      <c r="AF488" s="5"/>
      <c r="AG488" s="5"/>
      <c r="AH488" s="27"/>
      <c r="AI488" s="27"/>
      <c r="AJ488" s="27"/>
      <c r="AK488" s="27" t="str">
        <f t="shared" si="780"/>
        <v/>
      </c>
      <c r="AL488" s="6"/>
      <c r="AM488" s="27"/>
      <c r="AN488" s="27"/>
      <c r="AO488" s="27"/>
      <c r="AP488" s="27"/>
      <c r="AQ488" s="27"/>
      <c r="AR488" s="27"/>
      <c r="AS488" s="27"/>
      <c r="AT488" s="27"/>
      <c r="AU488" s="27"/>
      <c r="AV488" s="27"/>
      <c r="AW488" s="27"/>
      <c r="AX488" s="27"/>
      <c r="AY488" s="63"/>
      <c r="AZ488" s="138" t="str">
        <f>IF(C488="","","delete from module_mst where pjt_id = '"&amp;C488&amp;"' and menu_id = '"&amp;E488&amp;"';")</f>
        <v/>
      </c>
    </row>
    <row r="489" spans="1:52">
      <c r="A489" s="1">
        <v>285</v>
      </c>
      <c r="B489" s="43" t="str">
        <f t="shared" si="779"/>
        <v/>
      </c>
      <c r="C489" s="27" t="str">
        <f t="shared" si="771"/>
        <v/>
      </c>
      <c r="D489" s="5"/>
      <c r="E489" s="10"/>
      <c r="F489" s="5"/>
      <c r="G489" s="5"/>
      <c r="H489" s="5"/>
      <c r="I489" s="5"/>
      <c r="J489" s="5"/>
      <c r="K489" s="10"/>
      <c r="L489" s="10"/>
      <c r="M489" s="10"/>
      <c r="N489" s="5"/>
      <c r="O489" s="5"/>
      <c r="P489" s="27"/>
      <c r="Q489" s="27"/>
      <c r="R489" s="27"/>
      <c r="S489" s="27"/>
      <c r="T489" s="27"/>
      <c r="U489" s="27"/>
      <c r="V489" s="27"/>
      <c r="W489" s="27"/>
      <c r="X489" s="27"/>
      <c r="Y489" s="27"/>
      <c r="Z489" s="27"/>
      <c r="AA489" s="5"/>
      <c r="AB489" s="5"/>
      <c r="AC489" s="5"/>
      <c r="AD489" s="5"/>
      <c r="AE489" s="5"/>
      <c r="AF489" s="5"/>
      <c r="AG489" s="5"/>
      <c r="AH489" s="27"/>
      <c r="AI489" s="27"/>
      <c r="AJ489" s="27"/>
      <c r="AK489" s="27" t="str">
        <f t="shared" si="780"/>
        <v/>
      </c>
      <c r="AL489" s="6"/>
      <c r="AM489" s="27"/>
      <c r="AN489" s="27"/>
      <c r="AO489" s="27"/>
      <c r="AP489" s="27"/>
      <c r="AQ489" s="27"/>
      <c r="AR489" s="27"/>
      <c r="AS489" s="27"/>
      <c r="AT489" s="27"/>
      <c r="AU489" s="27"/>
      <c r="AV489" s="27"/>
      <c r="AW489" s="27"/>
      <c r="AX489" s="27"/>
      <c r="AY489" s="63"/>
      <c r="AZ489" s="138" t="str">
        <f>IF(C489="","","delete from module_mst where pjt_id = '"&amp;C489&amp;"' and menu_id = '"&amp;E489&amp;"';")</f>
        <v/>
      </c>
    </row>
    <row r="490" spans="1:52">
      <c r="A490" s="1">
        <v>286</v>
      </c>
      <c r="B490" s="43"/>
      <c r="C490" s="27" t="str">
        <f t="shared" si="771"/>
        <v/>
      </c>
      <c r="D490" s="5"/>
      <c r="E490" s="10"/>
      <c r="F490" s="5"/>
      <c r="G490" s="5"/>
      <c r="H490" s="5"/>
      <c r="I490" s="5"/>
      <c r="J490" s="5"/>
      <c r="K490" s="10"/>
      <c r="L490" s="10"/>
      <c r="M490" s="10"/>
      <c r="N490" s="5"/>
      <c r="O490" s="5"/>
      <c r="P490" s="27"/>
      <c r="Q490" s="27"/>
      <c r="R490" s="27"/>
      <c r="S490" s="27"/>
      <c r="T490" s="27"/>
      <c r="U490" s="27"/>
      <c r="V490" s="27"/>
      <c r="W490" s="27"/>
      <c r="X490" s="27"/>
      <c r="Y490" s="27"/>
      <c r="Z490" s="27"/>
      <c r="AA490" s="5"/>
      <c r="AB490" s="5"/>
      <c r="AC490" s="5"/>
      <c r="AD490" s="5"/>
      <c r="AE490" s="5"/>
      <c r="AF490" s="5"/>
      <c r="AG490" s="5"/>
      <c r="AH490" s="27"/>
      <c r="AI490" s="27"/>
      <c r="AJ490" s="27"/>
      <c r="AK490" s="27" t="str">
        <f t="shared" si="780"/>
        <v/>
      </c>
      <c r="AL490" s="6"/>
      <c r="AM490" s="27"/>
      <c r="AN490" s="27"/>
      <c r="AO490" s="27"/>
      <c r="AP490" s="27"/>
      <c r="AQ490" s="27"/>
      <c r="AR490" s="27"/>
      <c r="AS490" s="27"/>
      <c r="AT490" s="27"/>
      <c r="AU490" s="27"/>
      <c r="AV490" s="27"/>
      <c r="AW490" s="27"/>
      <c r="AX490" s="27"/>
      <c r="AY490" s="63"/>
    </row>
    <row r="491" spans="1:52">
      <c r="A491" s="1">
        <v>287</v>
      </c>
      <c r="B491" s="43"/>
      <c r="C491" s="27" t="str">
        <f t="shared" si="771"/>
        <v/>
      </c>
      <c r="D491" s="5"/>
      <c r="E491" s="10"/>
      <c r="F491" s="5"/>
      <c r="G491" s="5"/>
      <c r="H491" s="5"/>
      <c r="I491" s="5"/>
      <c r="J491" s="5"/>
      <c r="K491" s="10"/>
      <c r="L491" s="10"/>
      <c r="M491" s="10"/>
      <c r="N491" s="5"/>
      <c r="O491" s="5"/>
      <c r="P491" s="27"/>
      <c r="Q491" s="27"/>
      <c r="R491" s="27"/>
      <c r="S491" s="27"/>
      <c r="T491" s="27"/>
      <c r="U491" s="27"/>
      <c r="V491" s="27"/>
      <c r="W491" s="27"/>
      <c r="X491" s="27"/>
      <c r="Y491" s="27"/>
      <c r="Z491" s="27"/>
      <c r="AA491" s="5"/>
      <c r="AB491" s="5"/>
      <c r="AC491" s="5"/>
      <c r="AD491" s="5"/>
      <c r="AE491" s="5"/>
      <c r="AF491" s="5"/>
      <c r="AG491" s="5"/>
      <c r="AH491" s="27"/>
      <c r="AI491" s="27"/>
      <c r="AJ491" s="27"/>
      <c r="AK491" s="27" t="str">
        <f t="shared" si="780"/>
        <v/>
      </c>
      <c r="AL491" s="6"/>
      <c r="AM491" s="27"/>
      <c r="AN491" s="27"/>
      <c r="AO491" s="27"/>
      <c r="AP491" s="27"/>
      <c r="AQ491" s="27"/>
      <c r="AR491" s="27"/>
      <c r="AS491" s="27"/>
      <c r="AT491" s="27"/>
      <c r="AU491" s="27"/>
      <c r="AV491" s="27"/>
      <c r="AW491" s="27"/>
      <c r="AX491" s="27"/>
      <c r="AY491" s="63"/>
    </row>
    <row r="492" spans="1:52">
      <c r="A492" s="1">
        <v>288</v>
      </c>
      <c r="B492" s="43"/>
      <c r="C492" s="27" t="str">
        <f t="shared" si="771"/>
        <v/>
      </c>
      <c r="D492" s="5"/>
      <c r="E492" s="10"/>
      <c r="F492" s="5"/>
      <c r="G492" s="5"/>
      <c r="H492" s="5"/>
      <c r="I492" s="5"/>
      <c r="J492" s="5"/>
      <c r="K492" s="10"/>
      <c r="L492" s="10"/>
      <c r="M492" s="10"/>
      <c r="N492" s="5"/>
      <c r="O492" s="5"/>
      <c r="P492" s="27"/>
      <c r="Q492" s="27"/>
      <c r="R492" s="27"/>
      <c r="S492" s="27"/>
      <c r="T492" s="27"/>
      <c r="U492" s="27"/>
      <c r="V492" s="27"/>
      <c r="W492" s="27"/>
      <c r="X492" s="27"/>
      <c r="Y492" s="27"/>
      <c r="Z492" s="27"/>
      <c r="AA492" s="5"/>
      <c r="AB492" s="5"/>
      <c r="AC492" s="5"/>
      <c r="AD492" s="5"/>
      <c r="AE492" s="5"/>
      <c r="AF492" s="5"/>
      <c r="AG492" s="5"/>
      <c r="AH492" s="27"/>
      <c r="AI492" s="27"/>
      <c r="AJ492" s="27"/>
      <c r="AK492" s="27" t="str">
        <f t="shared" si="780"/>
        <v/>
      </c>
      <c r="AL492" s="6"/>
      <c r="AM492" s="27"/>
      <c r="AN492" s="27"/>
      <c r="AO492" s="27"/>
      <c r="AP492" s="27"/>
      <c r="AQ492" s="27"/>
      <c r="AR492" s="27"/>
      <c r="AS492" s="27"/>
      <c r="AT492" s="27"/>
      <c r="AU492" s="27"/>
      <c r="AV492" s="27"/>
      <c r="AW492" s="27"/>
      <c r="AX492" s="27"/>
      <c r="AY492" s="63"/>
    </row>
    <row r="493" spans="1:52">
      <c r="A493" s="1">
        <v>289</v>
      </c>
      <c r="B493" s="43"/>
      <c r="C493" s="27" t="str">
        <f t="shared" si="771"/>
        <v/>
      </c>
      <c r="D493" s="5"/>
      <c r="E493" s="10"/>
      <c r="F493" s="5"/>
      <c r="G493" s="5"/>
      <c r="H493" s="5"/>
      <c r="I493" s="5"/>
      <c r="J493" s="5"/>
      <c r="K493" s="10"/>
      <c r="L493" s="10"/>
      <c r="M493" s="10"/>
      <c r="N493" s="5"/>
      <c r="O493" s="5"/>
      <c r="P493" s="27"/>
      <c r="Q493" s="27"/>
      <c r="R493" s="27"/>
      <c r="S493" s="27"/>
      <c r="T493" s="27"/>
      <c r="U493" s="27"/>
      <c r="V493" s="27"/>
      <c r="W493" s="27"/>
      <c r="X493" s="27"/>
      <c r="Y493" s="27"/>
      <c r="Z493" s="27"/>
      <c r="AA493" s="5"/>
      <c r="AB493" s="5"/>
      <c r="AC493" s="5"/>
      <c r="AD493" s="5"/>
      <c r="AE493" s="5"/>
      <c r="AF493" s="5"/>
      <c r="AG493" s="5"/>
      <c r="AH493" s="27"/>
      <c r="AI493" s="27"/>
      <c r="AJ493" s="27"/>
      <c r="AK493" s="27" t="str">
        <f t="shared" si="780"/>
        <v/>
      </c>
      <c r="AL493" s="6"/>
      <c r="AM493" s="27"/>
      <c r="AN493" s="27"/>
      <c r="AO493" s="27"/>
      <c r="AP493" s="27"/>
      <c r="AQ493" s="27"/>
      <c r="AR493" s="27"/>
      <c r="AS493" s="27"/>
      <c r="AT493" s="27"/>
      <c r="AU493" s="27"/>
      <c r="AV493" s="27"/>
      <c r="AW493" s="27"/>
      <c r="AX493" s="27"/>
      <c r="AY493" s="63"/>
    </row>
    <row r="494" spans="1:52">
      <c r="A494" s="1">
        <v>290</v>
      </c>
      <c r="B494" s="43"/>
      <c r="C494" s="27" t="str">
        <f t="shared" si="771"/>
        <v/>
      </c>
      <c r="D494" s="5"/>
      <c r="E494" s="10"/>
      <c r="F494" s="5"/>
      <c r="G494" s="5"/>
      <c r="H494" s="5"/>
      <c r="I494" s="5"/>
      <c r="J494" s="5"/>
      <c r="K494" s="10"/>
      <c r="L494" s="10"/>
      <c r="M494" s="10"/>
      <c r="N494" s="5"/>
      <c r="O494" s="5"/>
      <c r="P494" s="27"/>
      <c r="Q494" s="27"/>
      <c r="R494" s="27"/>
      <c r="S494" s="27"/>
      <c r="T494" s="27"/>
      <c r="U494" s="27"/>
      <c r="V494" s="27"/>
      <c r="W494" s="27"/>
      <c r="X494" s="27"/>
      <c r="Y494" s="27"/>
      <c r="Z494" s="27"/>
      <c r="AA494" s="5"/>
      <c r="AB494" s="5"/>
      <c r="AC494" s="5"/>
      <c r="AD494" s="5"/>
      <c r="AE494" s="5"/>
      <c r="AF494" s="5"/>
      <c r="AG494" s="5"/>
      <c r="AH494" s="27"/>
      <c r="AI494" s="27"/>
      <c r="AJ494" s="27"/>
      <c r="AK494" s="27" t="str">
        <f t="shared" si="780"/>
        <v/>
      </c>
      <c r="AL494" s="6"/>
      <c r="AM494" s="27"/>
      <c r="AN494" s="27"/>
      <c r="AO494" s="27"/>
      <c r="AP494" s="27"/>
      <c r="AQ494" s="27"/>
      <c r="AR494" s="27"/>
      <c r="AS494" s="27"/>
      <c r="AT494" s="27"/>
      <c r="AU494" s="27"/>
      <c r="AV494" s="27"/>
      <c r="AW494" s="27"/>
      <c r="AX494" s="27"/>
      <c r="AY494" s="63"/>
    </row>
    <row r="495" spans="1:52">
      <c r="A495" s="1">
        <v>291</v>
      </c>
      <c r="B495" s="43"/>
      <c r="C495" s="27" t="str">
        <f t="shared" si="771"/>
        <v/>
      </c>
      <c r="D495" s="5"/>
      <c r="E495" s="10"/>
      <c r="F495" s="5"/>
      <c r="G495" s="5"/>
      <c r="H495" s="5"/>
      <c r="I495" s="5"/>
      <c r="J495" s="5"/>
      <c r="K495" s="10"/>
      <c r="L495" s="10"/>
      <c r="M495" s="10"/>
      <c r="N495" s="5"/>
      <c r="O495" s="5"/>
      <c r="P495" s="27"/>
      <c r="Q495" s="27"/>
      <c r="R495" s="27"/>
      <c r="S495" s="27"/>
      <c r="T495" s="27"/>
      <c r="U495" s="27"/>
      <c r="V495" s="27"/>
      <c r="W495" s="27"/>
      <c r="X495" s="27"/>
      <c r="Y495" s="27"/>
      <c r="Z495" s="27"/>
      <c r="AA495" s="5"/>
      <c r="AB495" s="5"/>
      <c r="AC495" s="5"/>
      <c r="AD495" s="5"/>
      <c r="AE495" s="5"/>
      <c r="AF495" s="5"/>
      <c r="AG495" s="5"/>
      <c r="AH495" s="27"/>
      <c r="AI495" s="27"/>
      <c r="AJ495" s="27"/>
      <c r="AK495" s="27" t="str">
        <f t="shared" si="780"/>
        <v/>
      </c>
      <c r="AL495" s="6"/>
      <c r="AM495" s="27"/>
      <c r="AN495" s="27"/>
      <c r="AO495" s="27"/>
      <c r="AP495" s="27"/>
      <c r="AQ495" s="27"/>
      <c r="AR495" s="27"/>
      <c r="AS495" s="27"/>
      <c r="AT495" s="27"/>
      <c r="AU495" s="27"/>
      <c r="AV495" s="27"/>
      <c r="AW495" s="27"/>
      <c r="AX495" s="27"/>
      <c r="AY495" s="63"/>
    </row>
    <row r="496" spans="1:52">
      <c r="A496" s="1">
        <v>292</v>
      </c>
      <c r="B496" s="43"/>
      <c r="C496" s="27" t="str">
        <f t="shared" si="771"/>
        <v/>
      </c>
      <c r="D496" s="5"/>
      <c r="E496" s="10"/>
      <c r="F496" s="5"/>
      <c r="G496" s="5"/>
      <c r="H496" s="5"/>
      <c r="I496" s="5"/>
      <c r="J496" s="5"/>
      <c r="K496" s="10"/>
      <c r="L496" s="10"/>
      <c r="M496" s="10"/>
      <c r="N496" s="5"/>
      <c r="O496" s="5"/>
      <c r="P496" s="27"/>
      <c r="Q496" s="27"/>
      <c r="R496" s="27"/>
      <c r="S496" s="27"/>
      <c r="T496" s="27"/>
      <c r="U496" s="27"/>
      <c r="V496" s="27"/>
      <c r="W496" s="27"/>
      <c r="X496" s="27"/>
      <c r="Y496" s="27"/>
      <c r="Z496" s="27"/>
      <c r="AA496" s="5"/>
      <c r="AB496" s="5"/>
      <c r="AC496" s="5"/>
      <c r="AD496" s="5"/>
      <c r="AE496" s="5"/>
      <c r="AF496" s="5"/>
      <c r="AG496" s="5"/>
      <c r="AH496" s="27"/>
      <c r="AI496" s="27"/>
      <c r="AJ496" s="27"/>
      <c r="AK496" s="27" t="str">
        <f t="shared" si="780"/>
        <v/>
      </c>
      <c r="AL496" s="6"/>
      <c r="AM496" s="27"/>
      <c r="AN496" s="27"/>
      <c r="AO496" s="27"/>
      <c r="AP496" s="27"/>
      <c r="AQ496" s="27"/>
      <c r="AR496" s="27"/>
      <c r="AS496" s="27"/>
      <c r="AT496" s="27"/>
      <c r="AU496" s="27"/>
      <c r="AV496" s="27"/>
      <c r="AW496" s="27"/>
      <c r="AX496" s="27"/>
      <c r="AY496" s="63"/>
    </row>
    <row r="497" spans="1:51">
      <c r="A497" s="1">
        <v>293</v>
      </c>
      <c r="B497" s="43"/>
      <c r="C497" s="27" t="str">
        <f t="shared" si="771"/>
        <v/>
      </c>
      <c r="D497" s="5"/>
      <c r="E497" s="10"/>
      <c r="F497" s="5"/>
      <c r="G497" s="5"/>
      <c r="H497" s="5"/>
      <c r="I497" s="5"/>
      <c r="J497" s="5"/>
      <c r="K497" s="10"/>
      <c r="L497" s="10"/>
      <c r="M497" s="10"/>
      <c r="N497" s="5"/>
      <c r="O497" s="5"/>
      <c r="P497" s="27"/>
      <c r="Q497" s="27"/>
      <c r="R497" s="27"/>
      <c r="S497" s="27"/>
      <c r="T497" s="27"/>
      <c r="U497" s="27"/>
      <c r="V497" s="27"/>
      <c r="W497" s="27"/>
      <c r="X497" s="27"/>
      <c r="Y497" s="27"/>
      <c r="Z497" s="27"/>
      <c r="AA497" s="5"/>
      <c r="AB497" s="5"/>
      <c r="AC497" s="5"/>
      <c r="AD497" s="5"/>
      <c r="AE497" s="5"/>
      <c r="AF497" s="5"/>
      <c r="AG497" s="5"/>
      <c r="AH497" s="27"/>
      <c r="AI497" s="27"/>
      <c r="AJ497" s="27"/>
      <c r="AK497" s="27" t="str">
        <f t="shared" si="780"/>
        <v/>
      </c>
      <c r="AL497" s="6"/>
      <c r="AM497" s="27"/>
      <c r="AN497" s="27"/>
      <c r="AO497" s="27"/>
      <c r="AP497" s="27"/>
      <c r="AQ497" s="27"/>
      <c r="AR497" s="27"/>
      <c r="AS497" s="27"/>
      <c r="AT497" s="27"/>
      <c r="AU497" s="27"/>
      <c r="AV497" s="27"/>
      <c r="AW497" s="27"/>
      <c r="AX497" s="27"/>
      <c r="AY497" s="63"/>
    </row>
    <row r="498" spans="1:51">
      <c r="A498" s="1">
        <v>294</v>
      </c>
      <c r="B498" s="43"/>
      <c r="C498" s="27" t="str">
        <f t="shared" si="771"/>
        <v/>
      </c>
      <c r="D498" s="5"/>
      <c r="E498" s="10"/>
      <c r="F498" s="5"/>
      <c r="G498" s="5"/>
      <c r="H498" s="5"/>
      <c r="I498" s="5"/>
      <c r="J498" s="5"/>
      <c r="K498" s="10"/>
      <c r="L498" s="10"/>
      <c r="M498" s="10"/>
      <c r="N498" s="5"/>
      <c r="O498" s="5"/>
      <c r="P498" s="27"/>
      <c r="Q498" s="27"/>
      <c r="R498" s="27"/>
      <c r="S498" s="27"/>
      <c r="T498" s="27"/>
      <c r="U498" s="27"/>
      <c r="V498" s="27"/>
      <c r="W498" s="27"/>
      <c r="X498" s="27"/>
      <c r="Y498" s="27"/>
      <c r="Z498" s="27"/>
      <c r="AA498" s="5"/>
      <c r="AB498" s="5"/>
      <c r="AC498" s="5"/>
      <c r="AD498" s="5"/>
      <c r="AE498" s="5"/>
      <c r="AF498" s="5"/>
      <c r="AG498" s="5"/>
      <c r="AH498" s="27"/>
      <c r="AI498" s="27"/>
      <c r="AJ498" s="27"/>
      <c r="AK498" s="27" t="str">
        <f t="shared" si="780"/>
        <v/>
      </c>
      <c r="AL498" s="6"/>
      <c r="AM498" s="27"/>
      <c r="AN498" s="27"/>
      <c r="AO498" s="27"/>
      <c r="AP498" s="27"/>
      <c r="AQ498" s="27"/>
      <c r="AR498" s="27"/>
      <c r="AS498" s="27"/>
      <c r="AT498" s="27"/>
      <c r="AU498" s="27"/>
      <c r="AV498" s="27"/>
      <c r="AW498" s="27"/>
      <c r="AX498" s="27"/>
      <c r="AY498" s="63"/>
    </row>
    <row r="499" spans="1:51">
      <c r="A499" s="1">
        <v>295</v>
      </c>
      <c r="B499" s="43"/>
      <c r="C499" s="27" t="str">
        <f t="shared" si="771"/>
        <v/>
      </c>
      <c r="D499" s="5"/>
      <c r="E499" s="10"/>
      <c r="F499" s="5"/>
      <c r="G499" s="5"/>
      <c r="H499" s="5"/>
      <c r="I499" s="5"/>
      <c r="J499" s="5"/>
      <c r="K499" s="10"/>
      <c r="L499" s="10"/>
      <c r="M499" s="10"/>
      <c r="N499" s="5"/>
      <c r="O499" s="5"/>
      <c r="P499" s="27"/>
      <c r="Q499" s="27"/>
      <c r="R499" s="27"/>
      <c r="S499" s="27"/>
      <c r="T499" s="27"/>
      <c r="U499" s="27"/>
      <c r="V499" s="27"/>
      <c r="W499" s="27"/>
      <c r="X499" s="27"/>
      <c r="Y499" s="27"/>
      <c r="Z499" s="27"/>
      <c r="AA499" s="5"/>
      <c r="AB499" s="5"/>
      <c r="AC499" s="5"/>
      <c r="AD499" s="5"/>
      <c r="AE499" s="5"/>
      <c r="AF499" s="5"/>
      <c r="AG499" s="5"/>
      <c r="AH499" s="27"/>
      <c r="AI499" s="27"/>
      <c r="AJ499" s="27"/>
      <c r="AK499" s="27" t="str">
        <f t="shared" si="780"/>
        <v/>
      </c>
      <c r="AL499" s="6"/>
      <c r="AM499" s="27"/>
      <c r="AN499" s="27"/>
      <c r="AO499" s="27"/>
      <c r="AP499" s="27"/>
      <c r="AQ499" s="27"/>
      <c r="AR499" s="27"/>
      <c r="AS499" s="27"/>
      <c r="AT499" s="27"/>
      <c r="AU499" s="27"/>
      <c r="AV499" s="27"/>
      <c r="AW499" s="27"/>
      <c r="AX499" s="27"/>
      <c r="AY499" s="63"/>
    </row>
    <row r="500" spans="1:51">
      <c r="A500" s="1">
        <v>296</v>
      </c>
      <c r="B500" s="43"/>
      <c r="C500" s="27" t="str">
        <f t="shared" si="771"/>
        <v/>
      </c>
      <c r="D500" s="5"/>
      <c r="E500" s="10"/>
      <c r="F500" s="5"/>
      <c r="G500" s="5"/>
      <c r="H500" s="5"/>
      <c r="I500" s="5"/>
      <c r="J500" s="5"/>
      <c r="K500" s="10"/>
      <c r="L500" s="10"/>
      <c r="M500" s="10"/>
      <c r="N500" s="5"/>
      <c r="O500" s="5"/>
      <c r="P500" s="27"/>
      <c r="Q500" s="27"/>
      <c r="R500" s="27"/>
      <c r="S500" s="27"/>
      <c r="T500" s="27"/>
      <c r="U500" s="27"/>
      <c r="V500" s="27"/>
      <c r="W500" s="27"/>
      <c r="X500" s="27"/>
      <c r="Y500" s="27"/>
      <c r="Z500" s="27"/>
      <c r="AA500" s="5"/>
      <c r="AB500" s="5"/>
      <c r="AC500" s="5"/>
      <c r="AD500" s="5"/>
      <c r="AE500" s="5"/>
      <c r="AF500" s="5"/>
      <c r="AG500" s="5"/>
      <c r="AH500" s="27"/>
      <c r="AI500" s="27"/>
      <c r="AJ500" s="27"/>
      <c r="AK500" s="27" t="str">
        <f t="shared" si="780"/>
        <v/>
      </c>
      <c r="AL500" s="6"/>
      <c r="AM500" s="27"/>
      <c r="AN500" s="27"/>
      <c r="AO500" s="27"/>
      <c r="AP500" s="27"/>
      <c r="AQ500" s="27"/>
      <c r="AR500" s="27"/>
      <c r="AS500" s="27"/>
      <c r="AT500" s="27"/>
      <c r="AU500" s="27"/>
      <c r="AV500" s="27"/>
      <c r="AW500" s="27"/>
      <c r="AX500" s="27"/>
      <c r="AY500" s="63"/>
    </row>
    <row r="501" spans="1:51">
      <c r="A501" s="1">
        <v>297</v>
      </c>
      <c r="B501" s="43"/>
      <c r="C501" s="27" t="str">
        <f t="shared" ref="C501:C534" si="781">IF(F501="","","14821")</f>
        <v/>
      </c>
      <c r="D501" s="5"/>
      <c r="E501" s="10"/>
      <c r="F501" s="5"/>
      <c r="G501" s="5"/>
      <c r="H501" s="5"/>
      <c r="I501" s="5"/>
      <c r="J501" s="5"/>
      <c r="K501" s="10"/>
      <c r="L501" s="10"/>
      <c r="M501" s="10"/>
      <c r="N501" s="5"/>
      <c r="O501" s="5"/>
      <c r="P501" s="27"/>
      <c r="Q501" s="27"/>
      <c r="R501" s="27"/>
      <c r="S501" s="27"/>
      <c r="T501" s="27"/>
      <c r="U501" s="27"/>
      <c r="V501" s="27"/>
      <c r="W501" s="27"/>
      <c r="X501" s="27"/>
      <c r="Y501" s="27"/>
      <c r="Z501" s="27"/>
      <c r="AA501" s="5"/>
      <c r="AB501" s="5"/>
      <c r="AC501" s="5"/>
      <c r="AD501" s="5"/>
      <c r="AE501" s="5"/>
      <c r="AF501" s="5"/>
      <c r="AG501" s="5"/>
      <c r="AH501" s="27"/>
      <c r="AI501" s="27"/>
      <c r="AJ501" s="27"/>
      <c r="AK501" s="27" t="str">
        <f t="shared" si="780"/>
        <v/>
      </c>
      <c r="AL501" s="6"/>
      <c r="AM501" s="27"/>
      <c r="AN501" s="27"/>
      <c r="AO501" s="27"/>
      <c r="AP501" s="27"/>
      <c r="AQ501" s="27"/>
      <c r="AR501" s="27"/>
      <c r="AS501" s="27"/>
      <c r="AT501" s="27"/>
      <c r="AU501" s="27"/>
      <c r="AV501" s="27"/>
      <c r="AW501" s="27"/>
      <c r="AX501" s="27"/>
      <c r="AY501" s="63"/>
    </row>
    <row r="502" spans="1:51">
      <c r="A502" s="1">
        <v>298</v>
      </c>
      <c r="B502" s="43"/>
      <c r="C502" s="27" t="str">
        <f t="shared" si="781"/>
        <v/>
      </c>
      <c r="D502" s="5"/>
      <c r="E502" s="10"/>
      <c r="F502" s="5"/>
      <c r="G502" s="5"/>
      <c r="H502" s="5"/>
      <c r="I502" s="5"/>
      <c r="J502" s="5"/>
      <c r="K502" s="10"/>
      <c r="L502" s="10"/>
      <c r="M502" s="10"/>
      <c r="N502" s="5"/>
      <c r="O502" s="5"/>
      <c r="P502" s="27"/>
      <c r="Q502" s="27"/>
      <c r="R502" s="27"/>
      <c r="S502" s="27"/>
      <c r="T502" s="27"/>
      <c r="U502" s="27"/>
      <c r="V502" s="27"/>
      <c r="W502" s="27"/>
      <c r="X502" s="27"/>
      <c r="Y502" s="27"/>
      <c r="Z502" s="27"/>
      <c r="AA502" s="5"/>
      <c r="AB502" s="5"/>
      <c r="AC502" s="5"/>
      <c r="AD502" s="5"/>
      <c r="AE502" s="5"/>
      <c r="AF502" s="5"/>
      <c r="AG502" s="5"/>
      <c r="AH502" s="27"/>
      <c r="AI502" s="27"/>
      <c r="AJ502" s="27"/>
      <c r="AK502" s="27" t="str">
        <f t="shared" si="780"/>
        <v/>
      </c>
      <c r="AL502" s="6"/>
      <c r="AM502" s="27"/>
      <c r="AN502" s="27"/>
      <c r="AO502" s="27"/>
      <c r="AP502" s="27"/>
      <c r="AQ502" s="27"/>
      <c r="AR502" s="27"/>
      <c r="AS502" s="27"/>
      <c r="AT502" s="27"/>
      <c r="AU502" s="27"/>
      <c r="AV502" s="27"/>
      <c r="AW502" s="27"/>
      <c r="AX502" s="27"/>
      <c r="AY502" s="63"/>
    </row>
    <row r="503" spans="1:51">
      <c r="A503" s="1">
        <v>299</v>
      </c>
      <c r="B503" s="43"/>
      <c r="C503" s="27" t="str">
        <f t="shared" si="781"/>
        <v/>
      </c>
      <c r="D503" s="5"/>
      <c r="E503" s="10"/>
      <c r="F503" s="5"/>
      <c r="G503" s="5"/>
      <c r="H503" s="5"/>
      <c r="I503" s="5"/>
      <c r="J503" s="5"/>
      <c r="K503" s="10"/>
      <c r="L503" s="10"/>
      <c r="M503" s="10"/>
      <c r="N503" s="5"/>
      <c r="O503" s="5"/>
      <c r="P503" s="27"/>
      <c r="Q503" s="27"/>
      <c r="R503" s="27"/>
      <c r="S503" s="27"/>
      <c r="T503" s="27"/>
      <c r="U503" s="27"/>
      <c r="V503" s="27"/>
      <c r="W503" s="27"/>
      <c r="X503" s="27"/>
      <c r="Y503" s="27"/>
      <c r="Z503" s="27"/>
      <c r="AA503" s="5"/>
      <c r="AB503" s="5"/>
      <c r="AC503" s="5"/>
      <c r="AD503" s="5"/>
      <c r="AE503" s="5"/>
      <c r="AF503" s="5"/>
      <c r="AG503" s="5"/>
      <c r="AH503" s="27"/>
      <c r="AI503" s="27"/>
      <c r="AJ503" s="27"/>
      <c r="AK503" s="27" t="str">
        <f t="shared" si="780"/>
        <v/>
      </c>
      <c r="AL503" s="6"/>
      <c r="AM503" s="27"/>
      <c r="AN503" s="27"/>
      <c r="AO503" s="27"/>
      <c r="AP503" s="27"/>
      <c r="AQ503" s="27"/>
      <c r="AR503" s="27"/>
      <c r="AS503" s="27"/>
      <c r="AT503" s="27"/>
      <c r="AU503" s="27"/>
      <c r="AV503" s="27"/>
      <c r="AW503" s="27"/>
      <c r="AX503" s="27"/>
      <c r="AY503" s="63"/>
    </row>
    <row r="504" spans="1:51">
      <c r="A504" s="1">
        <v>300</v>
      </c>
      <c r="B504" s="43"/>
      <c r="C504" s="27" t="str">
        <f t="shared" si="781"/>
        <v/>
      </c>
      <c r="D504" s="5"/>
      <c r="E504" s="10"/>
      <c r="F504" s="5"/>
      <c r="G504" s="5"/>
      <c r="H504" s="5"/>
      <c r="I504" s="5"/>
      <c r="J504" s="5"/>
      <c r="K504" s="10"/>
      <c r="L504" s="10"/>
      <c r="M504" s="10"/>
      <c r="N504" s="5"/>
      <c r="O504" s="5"/>
      <c r="P504" s="27"/>
      <c r="Q504" s="27"/>
      <c r="R504" s="27"/>
      <c r="S504" s="27"/>
      <c r="T504" s="27"/>
      <c r="U504" s="27"/>
      <c r="V504" s="27"/>
      <c r="W504" s="27"/>
      <c r="X504" s="27"/>
      <c r="Y504" s="27"/>
      <c r="Z504" s="27"/>
      <c r="AA504" s="5"/>
      <c r="AB504" s="5"/>
      <c r="AC504" s="5"/>
      <c r="AD504" s="5"/>
      <c r="AE504" s="5"/>
      <c r="AF504" s="5"/>
      <c r="AG504" s="5"/>
      <c r="AH504" s="27"/>
      <c r="AI504" s="27"/>
      <c r="AJ504" s="27"/>
      <c r="AK504" s="27" t="str">
        <f t="shared" si="780"/>
        <v/>
      </c>
      <c r="AL504" s="6"/>
      <c r="AM504" s="27"/>
      <c r="AN504" s="27"/>
      <c r="AO504" s="27"/>
      <c r="AP504" s="27"/>
      <c r="AQ504" s="27"/>
      <c r="AR504" s="27"/>
      <c r="AS504" s="27"/>
      <c r="AT504" s="27"/>
      <c r="AU504" s="27"/>
      <c r="AV504" s="27"/>
      <c r="AW504" s="27"/>
      <c r="AX504" s="27"/>
      <c r="AY504" s="63"/>
    </row>
    <row r="505" spans="1:51">
      <c r="A505" s="1">
        <v>301</v>
      </c>
      <c r="B505" s="43"/>
      <c r="C505" s="27" t="str">
        <f t="shared" si="781"/>
        <v/>
      </c>
      <c r="D505" s="5"/>
      <c r="E505" s="10"/>
      <c r="F505" s="5"/>
      <c r="G505" s="5"/>
      <c r="H505" s="5"/>
      <c r="I505" s="5"/>
      <c r="J505" s="5"/>
      <c r="K505" s="10"/>
      <c r="L505" s="10"/>
      <c r="M505" s="10"/>
      <c r="N505" s="5"/>
      <c r="O505" s="5"/>
      <c r="P505" s="27"/>
      <c r="Q505" s="27"/>
      <c r="R505" s="27"/>
      <c r="S505" s="27"/>
      <c r="T505" s="27"/>
      <c r="U505" s="27"/>
      <c r="V505" s="27"/>
      <c r="W505" s="27"/>
      <c r="X505" s="27"/>
      <c r="Y505" s="27"/>
      <c r="Z505" s="27"/>
      <c r="AA505" s="5"/>
      <c r="AB505" s="5"/>
      <c r="AC505" s="5"/>
      <c r="AD505" s="5"/>
      <c r="AE505" s="5"/>
      <c r="AF505" s="5"/>
      <c r="AG505" s="5"/>
      <c r="AH505" s="27"/>
      <c r="AI505" s="27"/>
      <c r="AJ505" s="27"/>
      <c r="AK505" s="27" t="str">
        <f t="shared" si="780"/>
        <v/>
      </c>
      <c r="AL505" s="6"/>
      <c r="AM505" s="27"/>
      <c r="AN505" s="27"/>
      <c r="AO505" s="27"/>
      <c r="AP505" s="27"/>
      <c r="AQ505" s="27"/>
      <c r="AR505" s="27"/>
      <c r="AS505" s="27"/>
      <c r="AT505" s="27"/>
      <c r="AU505" s="27"/>
      <c r="AV505" s="27"/>
      <c r="AW505" s="27"/>
      <c r="AX505" s="27"/>
      <c r="AY505" s="63"/>
    </row>
    <row r="506" spans="1:51">
      <c r="A506" s="1">
        <v>302</v>
      </c>
      <c r="B506" s="43"/>
      <c r="C506" s="27" t="str">
        <f t="shared" si="781"/>
        <v/>
      </c>
      <c r="D506" s="5"/>
      <c r="E506" s="10"/>
      <c r="F506" s="5"/>
      <c r="G506" s="5"/>
      <c r="H506" s="5"/>
      <c r="I506" s="5"/>
      <c r="J506" s="5"/>
      <c r="K506" s="10"/>
      <c r="L506" s="10"/>
      <c r="M506" s="10"/>
      <c r="N506" s="5"/>
      <c r="O506" s="5"/>
      <c r="P506" s="27"/>
      <c r="Q506" s="27"/>
      <c r="R506" s="27"/>
      <c r="S506" s="27"/>
      <c r="T506" s="27"/>
      <c r="U506" s="27"/>
      <c r="V506" s="27"/>
      <c r="W506" s="27"/>
      <c r="X506" s="27"/>
      <c r="Y506" s="27"/>
      <c r="Z506" s="27"/>
      <c r="AA506" s="5"/>
      <c r="AB506" s="5"/>
      <c r="AC506" s="5"/>
      <c r="AD506" s="5"/>
      <c r="AE506" s="5"/>
      <c r="AF506" s="5"/>
      <c r="AG506" s="5"/>
      <c r="AH506" s="27"/>
      <c r="AI506" s="27"/>
      <c r="AJ506" s="27"/>
      <c r="AK506" s="27" t="str">
        <f t="shared" si="780"/>
        <v/>
      </c>
      <c r="AL506" s="6"/>
      <c r="AM506" s="27"/>
      <c r="AN506" s="27"/>
      <c r="AO506" s="27"/>
      <c r="AP506" s="27"/>
      <c r="AQ506" s="27"/>
      <c r="AR506" s="27"/>
      <c r="AS506" s="27"/>
      <c r="AT506" s="27"/>
      <c r="AU506" s="27"/>
      <c r="AV506" s="27"/>
      <c r="AW506" s="27"/>
      <c r="AX506" s="27"/>
      <c r="AY506" s="63"/>
    </row>
    <row r="507" spans="1:51">
      <c r="A507" s="1">
        <v>303</v>
      </c>
      <c r="B507" s="43"/>
      <c r="C507" s="27" t="str">
        <f t="shared" si="781"/>
        <v/>
      </c>
      <c r="D507" s="5"/>
      <c r="E507" s="10"/>
      <c r="F507" s="5"/>
      <c r="G507" s="5"/>
      <c r="H507" s="5"/>
      <c r="I507" s="5"/>
      <c r="J507" s="5"/>
      <c r="K507" s="10"/>
      <c r="L507" s="10"/>
      <c r="M507" s="10"/>
      <c r="N507" s="5"/>
      <c r="O507" s="5"/>
      <c r="P507" s="27"/>
      <c r="Q507" s="27"/>
      <c r="R507" s="27"/>
      <c r="S507" s="27"/>
      <c r="T507" s="27"/>
      <c r="U507" s="27"/>
      <c r="V507" s="27"/>
      <c r="W507" s="27"/>
      <c r="X507" s="27"/>
      <c r="Y507" s="27"/>
      <c r="Z507" s="27"/>
      <c r="AA507" s="5"/>
      <c r="AB507" s="5"/>
      <c r="AC507" s="5"/>
      <c r="AD507" s="5"/>
      <c r="AE507" s="5"/>
      <c r="AF507" s="5"/>
      <c r="AG507" s="5"/>
      <c r="AH507" s="27"/>
      <c r="AI507" s="27"/>
      <c r="AJ507" s="27"/>
      <c r="AK507" s="27" t="str">
        <f t="shared" si="780"/>
        <v/>
      </c>
      <c r="AL507" s="6"/>
      <c r="AM507" s="27"/>
      <c r="AN507" s="27"/>
      <c r="AO507" s="27"/>
      <c r="AP507" s="27"/>
      <c r="AQ507" s="27"/>
      <c r="AR507" s="27"/>
      <c r="AS507" s="27"/>
      <c r="AT507" s="27"/>
      <c r="AU507" s="27"/>
      <c r="AV507" s="27"/>
      <c r="AW507" s="27"/>
      <c r="AX507" s="27"/>
      <c r="AY507" s="63"/>
    </row>
    <row r="508" spans="1:51">
      <c r="A508" s="1">
        <v>304</v>
      </c>
      <c r="B508" s="43"/>
      <c r="C508" s="27" t="str">
        <f t="shared" si="781"/>
        <v/>
      </c>
      <c r="D508" s="5"/>
      <c r="E508" s="10"/>
      <c r="F508" s="5"/>
      <c r="G508" s="5"/>
      <c r="H508" s="5"/>
      <c r="I508" s="5"/>
      <c r="J508" s="5"/>
      <c r="K508" s="10"/>
      <c r="L508" s="10"/>
      <c r="M508" s="10"/>
      <c r="N508" s="5"/>
      <c r="O508" s="5"/>
      <c r="P508" s="27"/>
      <c r="Q508" s="27"/>
      <c r="R508" s="27"/>
      <c r="S508" s="27"/>
      <c r="T508" s="27"/>
      <c r="U508" s="27"/>
      <c r="V508" s="27"/>
      <c r="W508" s="27"/>
      <c r="X508" s="27"/>
      <c r="Y508" s="27"/>
      <c r="Z508" s="27"/>
      <c r="AA508" s="5"/>
      <c r="AB508" s="5"/>
      <c r="AC508" s="5"/>
      <c r="AD508" s="5"/>
      <c r="AE508" s="5"/>
      <c r="AF508" s="5"/>
      <c r="AG508" s="5"/>
      <c r="AH508" s="27"/>
      <c r="AI508" s="27"/>
      <c r="AJ508" s="27"/>
      <c r="AK508" s="27" t="str">
        <f t="shared" si="780"/>
        <v/>
      </c>
      <c r="AL508" s="6"/>
      <c r="AM508" s="27"/>
      <c r="AN508" s="27"/>
      <c r="AO508" s="27"/>
      <c r="AP508" s="27"/>
      <c r="AQ508" s="27"/>
      <c r="AR508" s="27"/>
      <c r="AS508" s="27"/>
      <c r="AT508" s="27"/>
      <c r="AU508" s="27"/>
      <c r="AV508" s="27"/>
      <c r="AW508" s="27"/>
      <c r="AX508" s="27"/>
      <c r="AY508" s="63"/>
    </row>
    <row r="509" spans="1:51">
      <c r="A509" s="1">
        <v>305</v>
      </c>
      <c r="B509" s="43"/>
      <c r="C509" s="27" t="str">
        <f t="shared" si="781"/>
        <v/>
      </c>
      <c r="D509" s="5"/>
      <c r="E509" s="10"/>
      <c r="F509" s="5"/>
      <c r="G509" s="5"/>
      <c r="H509" s="5"/>
      <c r="I509" s="5"/>
      <c r="J509" s="5"/>
      <c r="K509" s="10"/>
      <c r="L509" s="10"/>
      <c r="M509" s="10"/>
      <c r="N509" s="5"/>
      <c r="O509" s="5"/>
      <c r="P509" s="27"/>
      <c r="Q509" s="27"/>
      <c r="R509" s="27"/>
      <c r="S509" s="27"/>
      <c r="T509" s="27"/>
      <c r="U509" s="27"/>
      <c r="V509" s="27"/>
      <c r="W509" s="27"/>
      <c r="X509" s="27"/>
      <c r="Y509" s="27"/>
      <c r="Z509" s="27"/>
      <c r="AA509" s="5"/>
      <c r="AB509" s="5"/>
      <c r="AC509" s="5"/>
      <c r="AD509" s="5"/>
      <c r="AE509" s="5"/>
      <c r="AF509" s="5"/>
      <c r="AG509" s="5"/>
      <c r="AH509" s="27"/>
      <c r="AI509" s="27"/>
      <c r="AJ509" s="27"/>
      <c r="AK509" s="27" t="str">
        <f t="shared" si="780"/>
        <v/>
      </c>
      <c r="AL509" s="6"/>
      <c r="AM509" s="27"/>
      <c r="AN509" s="27"/>
      <c r="AO509" s="27"/>
      <c r="AP509" s="27"/>
      <c r="AQ509" s="27"/>
      <c r="AR509" s="27"/>
      <c r="AS509" s="27"/>
      <c r="AT509" s="27"/>
      <c r="AU509" s="27"/>
      <c r="AV509" s="27"/>
      <c r="AW509" s="27"/>
      <c r="AX509" s="27"/>
      <c r="AY509" s="63"/>
    </row>
    <row r="510" spans="1:51">
      <c r="A510" s="1">
        <v>306</v>
      </c>
      <c r="B510" s="43"/>
      <c r="C510" s="27" t="str">
        <f t="shared" si="781"/>
        <v/>
      </c>
      <c r="D510" s="5"/>
      <c r="E510" s="10"/>
      <c r="F510" s="5"/>
      <c r="G510" s="5"/>
      <c r="H510" s="5"/>
      <c r="I510" s="5"/>
      <c r="J510" s="5"/>
      <c r="K510" s="10"/>
      <c r="L510" s="10"/>
      <c r="M510" s="10"/>
      <c r="N510" s="5"/>
      <c r="O510" s="5"/>
      <c r="P510" s="27"/>
      <c r="Q510" s="27"/>
      <c r="R510" s="27"/>
      <c r="S510" s="27"/>
      <c r="T510" s="27"/>
      <c r="U510" s="27"/>
      <c r="V510" s="27"/>
      <c r="W510" s="27"/>
      <c r="X510" s="27"/>
      <c r="Y510" s="27"/>
      <c r="Z510" s="27"/>
      <c r="AA510" s="5"/>
      <c r="AB510" s="5"/>
      <c r="AC510" s="5"/>
      <c r="AD510" s="5"/>
      <c r="AE510" s="5"/>
      <c r="AF510" s="5"/>
      <c r="AG510" s="5"/>
      <c r="AH510" s="27"/>
      <c r="AI510" s="27"/>
      <c r="AJ510" s="27"/>
      <c r="AK510" s="27" t="str">
        <f t="shared" si="780"/>
        <v/>
      </c>
      <c r="AL510" s="6"/>
      <c r="AM510" s="27"/>
      <c r="AN510" s="27"/>
      <c r="AO510" s="27"/>
      <c r="AP510" s="27"/>
      <c r="AQ510" s="27"/>
      <c r="AR510" s="27"/>
      <c r="AS510" s="27"/>
      <c r="AT510" s="27"/>
      <c r="AU510" s="27"/>
      <c r="AV510" s="27"/>
      <c r="AW510" s="27"/>
      <c r="AX510" s="27"/>
      <c r="AY510" s="63"/>
    </row>
    <row r="511" spans="1:51">
      <c r="A511" s="1">
        <v>307</v>
      </c>
      <c r="B511" s="43"/>
      <c r="C511" s="27" t="str">
        <f t="shared" si="781"/>
        <v/>
      </c>
      <c r="D511" s="5"/>
      <c r="E511" s="10"/>
      <c r="F511" s="5"/>
      <c r="G511" s="5"/>
      <c r="H511" s="5"/>
      <c r="I511" s="5"/>
      <c r="J511" s="5"/>
      <c r="K511" s="10"/>
      <c r="L511" s="10"/>
      <c r="M511" s="10"/>
      <c r="N511" s="5"/>
      <c r="O511" s="5"/>
      <c r="P511" s="27"/>
      <c r="Q511" s="27"/>
      <c r="R511" s="27"/>
      <c r="S511" s="27"/>
      <c r="T511" s="27"/>
      <c r="U511" s="27"/>
      <c r="V511" s="27"/>
      <c r="W511" s="27"/>
      <c r="X511" s="27"/>
      <c r="Y511" s="27"/>
      <c r="Z511" s="27"/>
      <c r="AA511" s="5"/>
      <c r="AB511" s="5"/>
      <c r="AC511" s="5"/>
      <c r="AD511" s="5"/>
      <c r="AE511" s="5"/>
      <c r="AF511" s="5"/>
      <c r="AG511" s="5"/>
      <c r="AH511" s="27"/>
      <c r="AI511" s="27"/>
      <c r="AJ511" s="27"/>
      <c r="AK511" s="27" t="str">
        <f t="shared" si="780"/>
        <v/>
      </c>
      <c r="AL511" s="6"/>
      <c r="AM511" s="27"/>
      <c r="AN511" s="27"/>
      <c r="AO511" s="27"/>
      <c r="AP511" s="27"/>
      <c r="AQ511" s="27"/>
      <c r="AR511" s="27"/>
      <c r="AS511" s="27"/>
      <c r="AT511" s="27"/>
      <c r="AU511" s="27"/>
      <c r="AV511" s="27"/>
      <c r="AW511" s="27"/>
      <c r="AX511" s="27"/>
      <c r="AY511" s="63"/>
    </row>
    <row r="512" spans="1:51">
      <c r="A512" s="1">
        <v>308</v>
      </c>
      <c r="B512" s="43"/>
      <c r="C512" s="27" t="str">
        <f t="shared" si="781"/>
        <v/>
      </c>
      <c r="D512" s="5"/>
      <c r="E512" s="10"/>
      <c r="F512" s="5"/>
      <c r="G512" s="5"/>
      <c r="H512" s="5"/>
      <c r="I512" s="5"/>
      <c r="J512" s="5"/>
      <c r="K512" s="10"/>
      <c r="L512" s="10"/>
      <c r="M512" s="10"/>
      <c r="N512" s="5"/>
      <c r="O512" s="5"/>
      <c r="P512" s="27"/>
      <c r="Q512" s="27"/>
      <c r="R512" s="27"/>
      <c r="S512" s="27"/>
      <c r="T512" s="27"/>
      <c r="U512" s="27"/>
      <c r="V512" s="27"/>
      <c r="W512" s="27"/>
      <c r="X512" s="27"/>
      <c r="Y512" s="27"/>
      <c r="Z512" s="27"/>
      <c r="AA512" s="5"/>
      <c r="AB512" s="5"/>
      <c r="AC512" s="5"/>
      <c r="AD512" s="5"/>
      <c r="AE512" s="5"/>
      <c r="AF512" s="5"/>
      <c r="AG512" s="5"/>
      <c r="AH512" s="27"/>
      <c r="AI512" s="27"/>
      <c r="AJ512" s="27"/>
      <c r="AK512" s="27" t="str">
        <f t="shared" si="780"/>
        <v/>
      </c>
      <c r="AL512" s="6"/>
      <c r="AM512" s="27"/>
      <c r="AN512" s="27"/>
      <c r="AO512" s="27"/>
      <c r="AP512" s="27"/>
      <c r="AQ512" s="27"/>
      <c r="AR512" s="27"/>
      <c r="AS512" s="27"/>
      <c r="AT512" s="27"/>
      <c r="AU512" s="27"/>
      <c r="AV512" s="27"/>
      <c r="AW512" s="27"/>
      <c r="AX512" s="27"/>
      <c r="AY512" s="63"/>
    </row>
    <row r="513" spans="1:51">
      <c r="A513" s="1">
        <v>309</v>
      </c>
      <c r="B513" s="43"/>
      <c r="C513" s="27" t="str">
        <f t="shared" si="781"/>
        <v/>
      </c>
      <c r="D513" s="5"/>
      <c r="E513" s="10"/>
      <c r="F513" s="5"/>
      <c r="G513" s="5"/>
      <c r="H513" s="5"/>
      <c r="I513" s="5"/>
      <c r="J513" s="5"/>
      <c r="K513" s="10"/>
      <c r="L513" s="10"/>
      <c r="M513" s="10"/>
      <c r="N513" s="5"/>
      <c r="O513" s="5"/>
      <c r="P513" s="27"/>
      <c r="Q513" s="27"/>
      <c r="R513" s="27"/>
      <c r="S513" s="27"/>
      <c r="T513" s="27"/>
      <c r="U513" s="27"/>
      <c r="V513" s="27"/>
      <c r="W513" s="27"/>
      <c r="X513" s="27"/>
      <c r="Y513" s="27"/>
      <c r="Z513" s="27"/>
      <c r="AA513" s="5"/>
      <c r="AB513" s="5"/>
      <c r="AC513" s="5"/>
      <c r="AD513" s="5"/>
      <c r="AE513" s="5"/>
      <c r="AF513" s="5"/>
      <c r="AG513" s="5"/>
      <c r="AH513" s="27"/>
      <c r="AI513" s="27"/>
      <c r="AJ513" s="27"/>
      <c r="AK513" s="27" t="str">
        <f t="shared" si="780"/>
        <v/>
      </c>
      <c r="AL513" s="6"/>
      <c r="AM513" s="27"/>
      <c r="AN513" s="27"/>
      <c r="AO513" s="27"/>
      <c r="AP513" s="27"/>
      <c r="AQ513" s="27"/>
      <c r="AR513" s="27"/>
      <c r="AS513" s="27"/>
      <c r="AT513" s="27"/>
      <c r="AU513" s="27"/>
      <c r="AV513" s="27"/>
      <c r="AW513" s="27"/>
      <c r="AX513" s="27"/>
      <c r="AY513" s="63"/>
    </row>
    <row r="514" spans="1:51">
      <c r="A514" s="1">
        <v>310</v>
      </c>
      <c r="B514" s="43"/>
      <c r="C514" s="27" t="str">
        <f t="shared" si="781"/>
        <v/>
      </c>
      <c r="D514" s="5"/>
      <c r="E514" s="10"/>
      <c r="F514" s="5"/>
      <c r="G514" s="5"/>
      <c r="H514" s="5"/>
      <c r="I514" s="5"/>
      <c r="J514" s="5"/>
      <c r="K514" s="10"/>
      <c r="L514" s="10"/>
      <c r="M514" s="10"/>
      <c r="N514" s="5"/>
      <c r="O514" s="5"/>
      <c r="P514" s="27"/>
      <c r="Q514" s="27"/>
      <c r="R514" s="27"/>
      <c r="S514" s="27"/>
      <c r="T514" s="27"/>
      <c r="U514" s="27"/>
      <c r="V514" s="27"/>
      <c r="W514" s="27"/>
      <c r="X514" s="27"/>
      <c r="Y514" s="27"/>
      <c r="Z514" s="27"/>
      <c r="AA514" s="5"/>
      <c r="AB514" s="5"/>
      <c r="AC514" s="5"/>
      <c r="AD514" s="5"/>
      <c r="AE514" s="5"/>
      <c r="AF514" s="5"/>
      <c r="AG514" s="5"/>
      <c r="AH514" s="27"/>
      <c r="AI514" s="27"/>
      <c r="AJ514" s="27"/>
      <c r="AK514" s="27" t="str">
        <f t="shared" si="780"/>
        <v/>
      </c>
      <c r="AL514" s="6"/>
      <c r="AM514" s="27"/>
      <c r="AN514" s="27"/>
      <c r="AO514" s="27"/>
      <c r="AP514" s="27"/>
      <c r="AQ514" s="27"/>
      <c r="AR514" s="27"/>
      <c r="AS514" s="27"/>
      <c r="AT514" s="27"/>
      <c r="AU514" s="27"/>
      <c r="AV514" s="27"/>
      <c r="AW514" s="27"/>
      <c r="AX514" s="27"/>
      <c r="AY514" s="63"/>
    </row>
    <row r="515" spans="1:51">
      <c r="A515" s="1">
        <v>311</v>
      </c>
      <c r="B515" s="43"/>
      <c r="C515" s="27" t="str">
        <f t="shared" si="781"/>
        <v/>
      </c>
      <c r="D515" s="5"/>
      <c r="E515" s="10"/>
      <c r="F515" s="5"/>
      <c r="G515" s="5"/>
      <c r="H515" s="5"/>
      <c r="I515" s="5"/>
      <c r="J515" s="5"/>
      <c r="K515" s="10"/>
      <c r="L515" s="10"/>
      <c r="M515" s="10"/>
      <c r="N515" s="5"/>
      <c r="O515" s="5"/>
      <c r="P515" s="27"/>
      <c r="Q515" s="27"/>
      <c r="R515" s="27"/>
      <c r="S515" s="27"/>
      <c r="T515" s="27"/>
      <c r="U515" s="27"/>
      <c r="V515" s="27"/>
      <c r="W515" s="27"/>
      <c r="X515" s="27"/>
      <c r="Y515" s="27"/>
      <c r="Z515" s="27"/>
      <c r="AA515" s="5"/>
      <c r="AB515" s="5"/>
      <c r="AC515" s="5"/>
      <c r="AD515" s="5"/>
      <c r="AE515" s="5"/>
      <c r="AF515" s="5"/>
      <c r="AG515" s="5"/>
      <c r="AH515" s="27"/>
      <c r="AI515" s="27"/>
      <c r="AJ515" s="27"/>
      <c r="AK515" s="27" t="str">
        <f t="shared" si="780"/>
        <v/>
      </c>
      <c r="AL515" s="6"/>
      <c r="AM515" s="27"/>
      <c r="AN515" s="27"/>
      <c r="AO515" s="27"/>
      <c r="AP515" s="27"/>
      <c r="AQ515" s="27"/>
      <c r="AR515" s="27"/>
      <c r="AS515" s="27"/>
      <c r="AT515" s="27"/>
      <c r="AU515" s="27"/>
      <c r="AV515" s="27"/>
      <c r="AW515" s="27"/>
      <c r="AX515" s="27"/>
      <c r="AY515" s="63"/>
    </row>
    <row r="516" spans="1:51">
      <c r="A516" s="1">
        <v>312</v>
      </c>
      <c r="B516" s="43"/>
      <c r="C516" s="27" t="str">
        <f t="shared" si="781"/>
        <v/>
      </c>
      <c r="D516" s="5"/>
      <c r="E516" s="10"/>
      <c r="F516" s="5"/>
      <c r="G516" s="5"/>
      <c r="H516" s="5"/>
      <c r="I516" s="5"/>
      <c r="J516" s="5"/>
      <c r="K516" s="10"/>
      <c r="L516" s="10"/>
      <c r="M516" s="10"/>
      <c r="N516" s="5"/>
      <c r="O516" s="5"/>
      <c r="P516" s="27"/>
      <c r="Q516" s="27"/>
      <c r="R516" s="27"/>
      <c r="S516" s="27"/>
      <c r="T516" s="27"/>
      <c r="U516" s="27"/>
      <c r="V516" s="27"/>
      <c r="W516" s="27"/>
      <c r="X516" s="27"/>
      <c r="Y516" s="27"/>
      <c r="Z516" s="27"/>
      <c r="AA516" s="5"/>
      <c r="AB516" s="5"/>
      <c r="AC516" s="5"/>
      <c r="AD516" s="5"/>
      <c r="AE516" s="5"/>
      <c r="AF516" s="5"/>
      <c r="AG516" s="5"/>
      <c r="AH516" s="27"/>
      <c r="AI516" s="27"/>
      <c r="AJ516" s="27"/>
      <c r="AK516" s="27" t="str">
        <f t="shared" si="780"/>
        <v/>
      </c>
      <c r="AL516" s="6"/>
      <c r="AM516" s="27"/>
      <c r="AN516" s="27"/>
      <c r="AO516" s="27"/>
      <c r="AP516" s="27"/>
      <c r="AQ516" s="27"/>
      <c r="AR516" s="27"/>
      <c r="AS516" s="27"/>
      <c r="AT516" s="27"/>
      <c r="AU516" s="27"/>
      <c r="AV516" s="27"/>
      <c r="AW516" s="27"/>
      <c r="AX516" s="27"/>
      <c r="AY516" s="63"/>
    </row>
    <row r="517" spans="1:51">
      <c r="A517" s="1">
        <v>313</v>
      </c>
      <c r="B517" s="43"/>
      <c r="C517" s="27" t="str">
        <f t="shared" si="781"/>
        <v/>
      </c>
      <c r="D517" s="5"/>
      <c r="E517" s="10"/>
      <c r="F517" s="5"/>
      <c r="G517" s="5"/>
      <c r="H517" s="5"/>
      <c r="I517" s="5"/>
      <c r="J517" s="5"/>
      <c r="K517" s="10"/>
      <c r="L517" s="10"/>
      <c r="M517" s="10"/>
      <c r="N517" s="5"/>
      <c r="O517" s="5"/>
      <c r="P517" s="27"/>
      <c r="Q517" s="27"/>
      <c r="R517" s="27"/>
      <c r="S517" s="27"/>
      <c r="T517" s="27"/>
      <c r="U517" s="27"/>
      <c r="V517" s="27"/>
      <c r="W517" s="27"/>
      <c r="X517" s="27"/>
      <c r="Y517" s="27"/>
      <c r="Z517" s="27"/>
      <c r="AA517" s="5"/>
      <c r="AB517" s="5"/>
      <c r="AC517" s="5"/>
      <c r="AD517" s="5"/>
      <c r="AE517" s="5"/>
      <c r="AF517" s="5"/>
      <c r="AG517" s="5"/>
      <c r="AH517" s="27"/>
      <c r="AI517" s="27"/>
      <c r="AJ517" s="27"/>
      <c r="AK517" s="27" t="str">
        <f t="shared" si="780"/>
        <v/>
      </c>
      <c r="AL517" s="6"/>
      <c r="AM517" s="27"/>
      <c r="AN517" s="27"/>
      <c r="AO517" s="27"/>
      <c r="AP517" s="27"/>
      <c r="AQ517" s="27"/>
      <c r="AR517" s="27"/>
      <c r="AS517" s="27"/>
      <c r="AT517" s="27"/>
      <c r="AU517" s="27"/>
      <c r="AV517" s="27"/>
      <c r="AW517" s="27"/>
      <c r="AX517" s="27"/>
      <c r="AY517" s="63"/>
    </row>
    <row r="518" spans="1:51">
      <c r="A518" s="1">
        <v>314</v>
      </c>
      <c r="B518" s="43"/>
      <c r="C518" s="27" t="str">
        <f t="shared" si="781"/>
        <v/>
      </c>
      <c r="D518" s="5"/>
      <c r="E518" s="10"/>
      <c r="F518" s="5"/>
      <c r="G518" s="5"/>
      <c r="H518" s="5"/>
      <c r="I518" s="5"/>
      <c r="J518" s="5"/>
      <c r="K518" s="10"/>
      <c r="L518" s="10"/>
      <c r="M518" s="10"/>
      <c r="N518" s="5"/>
      <c r="O518" s="5"/>
      <c r="P518" s="27"/>
      <c r="Q518" s="27"/>
      <c r="R518" s="27"/>
      <c r="S518" s="27"/>
      <c r="T518" s="27"/>
      <c r="U518" s="27"/>
      <c r="V518" s="27"/>
      <c r="W518" s="27"/>
      <c r="X518" s="27"/>
      <c r="Y518" s="27"/>
      <c r="Z518" s="27"/>
      <c r="AA518" s="5"/>
      <c r="AB518" s="5"/>
      <c r="AC518" s="5"/>
      <c r="AD518" s="5"/>
      <c r="AE518" s="5"/>
      <c r="AF518" s="5"/>
      <c r="AG518" s="5"/>
      <c r="AH518" s="27"/>
      <c r="AI518" s="27"/>
      <c r="AJ518" s="27"/>
      <c r="AK518" s="27" t="str">
        <f t="shared" si="780"/>
        <v/>
      </c>
      <c r="AL518" s="6"/>
      <c r="AM518" s="27"/>
      <c r="AN518" s="27"/>
      <c r="AO518" s="27"/>
      <c r="AP518" s="27"/>
      <c r="AQ518" s="27"/>
      <c r="AR518" s="27"/>
      <c r="AS518" s="27"/>
      <c r="AT518" s="27"/>
      <c r="AU518" s="27"/>
      <c r="AV518" s="27"/>
      <c r="AW518" s="27"/>
      <c r="AX518" s="27"/>
      <c r="AY518" s="63"/>
    </row>
    <row r="519" spans="1:51">
      <c r="A519" s="1">
        <v>315</v>
      </c>
      <c r="B519" s="43"/>
      <c r="C519" s="27" t="str">
        <f t="shared" si="781"/>
        <v/>
      </c>
      <c r="D519" s="5"/>
      <c r="E519" s="10"/>
      <c r="F519" s="5"/>
      <c r="G519" s="5"/>
      <c r="H519" s="5"/>
      <c r="I519" s="5"/>
      <c r="J519" s="5"/>
      <c r="K519" s="10"/>
      <c r="L519" s="10"/>
      <c r="M519" s="10"/>
      <c r="N519" s="5"/>
      <c r="O519" s="5"/>
      <c r="P519" s="27"/>
      <c r="Q519" s="27"/>
      <c r="R519" s="27"/>
      <c r="S519" s="27"/>
      <c r="T519" s="27"/>
      <c r="U519" s="27"/>
      <c r="V519" s="27"/>
      <c r="W519" s="27"/>
      <c r="X519" s="27"/>
      <c r="Y519" s="27"/>
      <c r="Z519" s="27"/>
      <c r="AA519" s="5"/>
      <c r="AB519" s="5"/>
      <c r="AC519" s="5"/>
      <c r="AD519" s="5"/>
      <c r="AE519" s="5"/>
      <c r="AF519" s="5"/>
      <c r="AG519" s="5"/>
      <c r="AH519" s="27"/>
      <c r="AI519" s="27"/>
      <c r="AJ519" s="27"/>
      <c r="AK519" s="27" t="str">
        <f t="shared" si="780"/>
        <v/>
      </c>
      <c r="AL519" s="6"/>
      <c r="AM519" s="27"/>
      <c r="AN519" s="27"/>
      <c r="AO519" s="27"/>
      <c r="AP519" s="27"/>
      <c r="AQ519" s="27"/>
      <c r="AR519" s="27"/>
      <c r="AS519" s="27"/>
      <c r="AT519" s="27"/>
      <c r="AU519" s="27"/>
      <c r="AV519" s="27"/>
      <c r="AW519" s="27"/>
      <c r="AX519" s="27"/>
      <c r="AY519" s="63"/>
    </row>
    <row r="520" spans="1:51">
      <c r="A520" s="1">
        <v>316</v>
      </c>
      <c r="B520" s="43"/>
      <c r="C520" s="27" t="str">
        <f t="shared" si="781"/>
        <v/>
      </c>
      <c r="D520" s="5"/>
      <c r="E520" s="10"/>
      <c r="F520" s="5"/>
      <c r="G520" s="5"/>
      <c r="H520" s="5"/>
      <c r="I520" s="5"/>
      <c r="J520" s="5"/>
      <c r="K520" s="10"/>
      <c r="L520" s="10"/>
      <c r="M520" s="10"/>
      <c r="N520" s="5"/>
      <c r="O520" s="5"/>
      <c r="P520" s="27"/>
      <c r="Q520" s="27"/>
      <c r="R520" s="27"/>
      <c r="S520" s="27"/>
      <c r="T520" s="27"/>
      <c r="U520" s="27"/>
      <c r="V520" s="27"/>
      <c r="W520" s="27"/>
      <c r="X520" s="27"/>
      <c r="Y520" s="27"/>
      <c r="Z520" s="27"/>
      <c r="AA520" s="5"/>
      <c r="AB520" s="5"/>
      <c r="AC520" s="5"/>
      <c r="AD520" s="5"/>
      <c r="AE520" s="5"/>
      <c r="AF520" s="5"/>
      <c r="AG520" s="5"/>
      <c r="AH520" s="27"/>
      <c r="AI520" s="27"/>
      <c r="AJ520" s="27"/>
      <c r="AK520" s="27" t="str">
        <f t="shared" si="780"/>
        <v/>
      </c>
      <c r="AL520" s="6"/>
      <c r="AM520" s="27"/>
      <c r="AN520" s="27"/>
      <c r="AO520" s="27"/>
      <c r="AP520" s="27"/>
      <c r="AQ520" s="27"/>
      <c r="AR520" s="27"/>
      <c r="AS520" s="27"/>
      <c r="AT520" s="27"/>
      <c r="AU520" s="27"/>
      <c r="AV520" s="27"/>
      <c r="AW520" s="27"/>
      <c r="AX520" s="27"/>
      <c r="AY520" s="63"/>
    </row>
    <row r="521" spans="1:51">
      <c r="A521" s="1">
        <v>317</v>
      </c>
      <c r="B521" s="43"/>
      <c r="C521" s="27" t="str">
        <f t="shared" si="781"/>
        <v/>
      </c>
      <c r="D521" s="5"/>
      <c r="E521" s="10"/>
      <c r="F521" s="5"/>
      <c r="G521" s="5"/>
      <c r="H521" s="5"/>
      <c r="I521" s="5"/>
      <c r="J521" s="5"/>
      <c r="K521" s="10"/>
      <c r="L521" s="10"/>
      <c r="M521" s="10"/>
      <c r="N521" s="5"/>
      <c r="O521" s="5"/>
      <c r="P521" s="27"/>
      <c r="Q521" s="27"/>
      <c r="R521" s="27"/>
      <c r="S521" s="27"/>
      <c r="T521" s="27"/>
      <c r="U521" s="27"/>
      <c r="V521" s="27"/>
      <c r="W521" s="27"/>
      <c r="X521" s="27"/>
      <c r="Y521" s="27"/>
      <c r="Z521" s="27"/>
      <c r="AA521" s="5"/>
      <c r="AB521" s="5"/>
      <c r="AC521" s="5"/>
      <c r="AD521" s="5"/>
      <c r="AE521" s="5"/>
      <c r="AF521" s="5"/>
      <c r="AG521" s="5"/>
      <c r="AH521" s="27"/>
      <c r="AI521" s="27"/>
      <c r="AJ521" s="27"/>
      <c r="AK521" s="27" t="str">
        <f t="shared" si="780"/>
        <v/>
      </c>
      <c r="AL521" s="6"/>
      <c r="AM521" s="27"/>
      <c r="AN521" s="27"/>
      <c r="AO521" s="27"/>
      <c r="AP521" s="27"/>
      <c r="AQ521" s="27"/>
      <c r="AR521" s="27"/>
      <c r="AS521" s="27"/>
      <c r="AT521" s="27"/>
      <c r="AU521" s="27"/>
      <c r="AV521" s="27"/>
      <c r="AW521" s="27"/>
      <c r="AX521" s="27"/>
      <c r="AY521" s="63"/>
    </row>
    <row r="522" spans="1:51">
      <c r="A522" s="1">
        <v>318</v>
      </c>
      <c r="B522" s="43"/>
      <c r="C522" s="27" t="str">
        <f t="shared" si="781"/>
        <v/>
      </c>
      <c r="D522" s="5"/>
      <c r="E522" s="10"/>
      <c r="F522" s="5"/>
      <c r="G522" s="5"/>
      <c r="H522" s="5"/>
      <c r="I522" s="5"/>
      <c r="J522" s="5"/>
      <c r="K522" s="10"/>
      <c r="L522" s="10"/>
      <c r="M522" s="10"/>
      <c r="N522" s="5"/>
      <c r="O522" s="5"/>
      <c r="P522" s="27"/>
      <c r="Q522" s="27"/>
      <c r="R522" s="27"/>
      <c r="S522" s="27"/>
      <c r="T522" s="27"/>
      <c r="U522" s="27"/>
      <c r="V522" s="27"/>
      <c r="W522" s="27"/>
      <c r="X522" s="27"/>
      <c r="Y522" s="27"/>
      <c r="Z522" s="27"/>
      <c r="AA522" s="5"/>
      <c r="AB522" s="5"/>
      <c r="AC522" s="5"/>
      <c r="AD522" s="5"/>
      <c r="AE522" s="5"/>
      <c r="AF522" s="5"/>
      <c r="AG522" s="5"/>
      <c r="AH522" s="27"/>
      <c r="AI522" s="27"/>
      <c r="AJ522" s="27"/>
      <c r="AK522" s="27" t="str">
        <f t="shared" si="780"/>
        <v/>
      </c>
      <c r="AL522" s="6"/>
      <c r="AM522" s="27"/>
      <c r="AN522" s="27"/>
      <c r="AO522" s="27"/>
      <c r="AP522" s="27"/>
      <c r="AQ522" s="27"/>
      <c r="AR522" s="27"/>
      <c r="AS522" s="27"/>
      <c r="AT522" s="27"/>
      <c r="AU522" s="27"/>
      <c r="AV522" s="27"/>
      <c r="AW522" s="27"/>
      <c r="AX522" s="27"/>
      <c r="AY522" s="63"/>
    </row>
    <row r="523" spans="1:51">
      <c r="A523" s="1">
        <v>319</v>
      </c>
      <c r="B523" s="43"/>
      <c r="C523" s="27" t="str">
        <f t="shared" si="781"/>
        <v/>
      </c>
      <c r="D523" s="5"/>
      <c r="E523" s="10"/>
      <c r="F523" s="5"/>
      <c r="G523" s="5"/>
      <c r="H523" s="5"/>
      <c r="I523" s="5"/>
      <c r="J523" s="5"/>
      <c r="K523" s="10"/>
      <c r="L523" s="10"/>
      <c r="M523" s="10"/>
      <c r="N523" s="5"/>
      <c r="O523" s="5"/>
      <c r="P523" s="27"/>
      <c r="Q523" s="27"/>
      <c r="R523" s="27"/>
      <c r="S523" s="27"/>
      <c r="T523" s="27"/>
      <c r="U523" s="27"/>
      <c r="V523" s="27"/>
      <c r="W523" s="27"/>
      <c r="X523" s="27"/>
      <c r="Y523" s="27"/>
      <c r="Z523" s="27"/>
      <c r="AA523" s="5"/>
      <c r="AB523" s="5"/>
      <c r="AC523" s="5"/>
      <c r="AD523" s="5"/>
      <c r="AE523" s="5"/>
      <c r="AF523" s="5"/>
      <c r="AG523" s="5"/>
      <c r="AH523" s="27"/>
      <c r="AI523" s="27"/>
      <c r="AJ523" s="27"/>
      <c r="AK523" s="27" t="str">
        <f t="shared" si="780"/>
        <v/>
      </c>
      <c r="AL523" s="6"/>
      <c r="AM523" s="27"/>
      <c r="AN523" s="27"/>
      <c r="AO523" s="27"/>
      <c r="AP523" s="27"/>
      <c r="AQ523" s="27"/>
      <c r="AR523" s="27"/>
      <c r="AS523" s="27"/>
      <c r="AT523" s="27"/>
      <c r="AU523" s="27"/>
      <c r="AV523" s="27"/>
      <c r="AW523" s="27"/>
      <c r="AX523" s="27"/>
      <c r="AY523" s="63"/>
    </row>
    <row r="524" spans="1:51">
      <c r="A524" s="1">
        <v>320</v>
      </c>
      <c r="B524" s="43"/>
      <c r="C524" s="27" t="str">
        <f t="shared" si="781"/>
        <v/>
      </c>
      <c r="D524" s="5"/>
      <c r="E524" s="10"/>
      <c r="F524" s="5"/>
      <c r="G524" s="5"/>
      <c r="H524" s="5"/>
      <c r="I524" s="5"/>
      <c r="J524" s="5"/>
      <c r="K524" s="10"/>
      <c r="L524" s="10"/>
      <c r="M524" s="10"/>
      <c r="N524" s="5"/>
      <c r="O524" s="5"/>
      <c r="P524" s="27"/>
      <c r="Q524" s="27"/>
      <c r="R524" s="27"/>
      <c r="S524" s="27"/>
      <c r="T524" s="27"/>
      <c r="U524" s="27"/>
      <c r="V524" s="27"/>
      <c r="W524" s="27"/>
      <c r="X524" s="27"/>
      <c r="Y524" s="27"/>
      <c r="Z524" s="27"/>
      <c r="AA524" s="5"/>
      <c r="AB524" s="5"/>
      <c r="AC524" s="5"/>
      <c r="AD524" s="5"/>
      <c r="AE524" s="5"/>
      <c r="AF524" s="5"/>
      <c r="AG524" s="5"/>
      <c r="AH524" s="27"/>
      <c r="AI524" s="27"/>
      <c r="AJ524" s="27"/>
      <c r="AK524" s="27" t="str">
        <f t="shared" si="780"/>
        <v/>
      </c>
      <c r="AL524" s="6"/>
      <c r="AM524" s="27"/>
      <c r="AN524" s="27"/>
      <c r="AO524" s="27"/>
      <c r="AP524" s="27"/>
      <c r="AQ524" s="27"/>
      <c r="AR524" s="27"/>
      <c r="AS524" s="27"/>
      <c r="AT524" s="27"/>
      <c r="AU524" s="27"/>
      <c r="AV524" s="27"/>
      <c r="AW524" s="27"/>
      <c r="AX524" s="27"/>
      <c r="AY524" s="63"/>
    </row>
    <row r="525" spans="1:51">
      <c r="A525" s="1">
        <v>321</v>
      </c>
      <c r="B525" s="43"/>
      <c r="C525" s="27" t="str">
        <f t="shared" si="781"/>
        <v/>
      </c>
      <c r="D525" s="5"/>
      <c r="E525" s="10"/>
      <c r="F525" s="5"/>
      <c r="G525" s="5"/>
      <c r="H525" s="5"/>
      <c r="I525" s="5"/>
      <c r="J525" s="5"/>
      <c r="K525" s="10"/>
      <c r="L525" s="10"/>
      <c r="M525" s="10"/>
      <c r="N525" s="5"/>
      <c r="O525" s="5"/>
      <c r="P525" s="27"/>
      <c r="Q525" s="27"/>
      <c r="R525" s="27"/>
      <c r="S525" s="27"/>
      <c r="T525" s="27"/>
      <c r="U525" s="27"/>
      <c r="V525" s="27"/>
      <c r="W525" s="27"/>
      <c r="X525" s="27"/>
      <c r="Y525" s="27"/>
      <c r="Z525" s="27"/>
      <c r="AA525" s="5"/>
      <c r="AB525" s="5"/>
      <c r="AC525" s="5"/>
      <c r="AD525" s="5"/>
      <c r="AE525" s="5"/>
      <c r="AF525" s="5"/>
      <c r="AG525" s="5"/>
      <c r="AH525" s="27"/>
      <c r="AI525" s="27"/>
      <c r="AJ525" s="27"/>
      <c r="AK525" s="27" t="str">
        <f t="shared" si="780"/>
        <v/>
      </c>
      <c r="AL525" s="6"/>
      <c r="AM525" s="27"/>
      <c r="AN525" s="27"/>
      <c r="AO525" s="27"/>
      <c r="AP525" s="27"/>
      <c r="AQ525" s="27"/>
      <c r="AR525" s="27"/>
      <c r="AS525" s="27"/>
      <c r="AT525" s="27"/>
      <c r="AU525" s="27"/>
      <c r="AV525" s="27"/>
      <c r="AW525" s="27"/>
      <c r="AX525" s="27"/>
      <c r="AY525" s="63"/>
    </row>
    <row r="526" spans="1:51">
      <c r="A526" s="1">
        <v>322</v>
      </c>
      <c r="B526" s="43"/>
      <c r="C526" s="27" t="str">
        <f t="shared" si="781"/>
        <v/>
      </c>
      <c r="D526" s="5"/>
      <c r="E526" s="10"/>
      <c r="F526" s="5"/>
      <c r="G526" s="5"/>
      <c r="H526" s="5"/>
      <c r="I526" s="5"/>
      <c r="J526" s="5"/>
      <c r="K526" s="10"/>
      <c r="L526" s="10"/>
      <c r="M526" s="10"/>
      <c r="N526" s="5"/>
      <c r="O526" s="5"/>
      <c r="P526" s="27"/>
      <c r="Q526" s="27"/>
      <c r="R526" s="27"/>
      <c r="S526" s="27"/>
      <c r="T526" s="27"/>
      <c r="U526" s="27"/>
      <c r="V526" s="27"/>
      <c r="W526" s="27"/>
      <c r="X526" s="27"/>
      <c r="Y526" s="27"/>
      <c r="Z526" s="27"/>
      <c r="AA526" s="5"/>
      <c r="AB526" s="5"/>
      <c r="AC526" s="5"/>
      <c r="AD526" s="5"/>
      <c r="AE526" s="5"/>
      <c r="AF526" s="5"/>
      <c r="AG526" s="5"/>
      <c r="AH526" s="27"/>
      <c r="AI526" s="27"/>
      <c r="AJ526" s="27"/>
      <c r="AK526" s="27" t="str">
        <f t="shared" si="780"/>
        <v/>
      </c>
      <c r="AL526" s="6"/>
      <c r="AM526" s="27"/>
      <c r="AN526" s="27"/>
      <c r="AO526" s="27"/>
      <c r="AP526" s="27"/>
      <c r="AQ526" s="27"/>
      <c r="AR526" s="27"/>
      <c r="AS526" s="27"/>
      <c r="AT526" s="27"/>
      <c r="AU526" s="27"/>
      <c r="AV526" s="27"/>
      <c r="AW526" s="27"/>
      <c r="AX526" s="27"/>
      <c r="AY526" s="63"/>
    </row>
    <row r="527" spans="1:51">
      <c r="A527" s="1">
        <v>323</v>
      </c>
      <c r="B527" s="43"/>
      <c r="C527" s="27" t="str">
        <f t="shared" si="781"/>
        <v/>
      </c>
      <c r="D527" s="5"/>
      <c r="E527" s="10"/>
      <c r="F527" s="5"/>
      <c r="G527" s="5"/>
      <c r="H527" s="5"/>
      <c r="I527" s="5"/>
      <c r="J527" s="5"/>
      <c r="K527" s="10"/>
      <c r="L527" s="10"/>
      <c r="M527" s="10"/>
      <c r="N527" s="5"/>
      <c r="O527" s="5"/>
      <c r="P527" s="27"/>
      <c r="Q527" s="27"/>
      <c r="R527" s="27"/>
      <c r="S527" s="27"/>
      <c r="T527" s="27"/>
      <c r="U527" s="27"/>
      <c r="V527" s="27"/>
      <c r="W527" s="27"/>
      <c r="X527" s="27"/>
      <c r="Y527" s="27"/>
      <c r="Z527" s="27"/>
      <c r="AA527" s="5"/>
      <c r="AB527" s="5"/>
      <c r="AC527" s="5"/>
      <c r="AD527" s="5"/>
      <c r="AE527" s="5"/>
      <c r="AF527" s="5"/>
      <c r="AG527" s="5"/>
      <c r="AH527" s="27"/>
      <c r="AI527" s="27"/>
      <c r="AJ527" s="27"/>
      <c r="AK527" s="27" t="str">
        <f t="shared" si="780"/>
        <v/>
      </c>
      <c r="AL527" s="6"/>
      <c r="AM527" s="27"/>
      <c r="AN527" s="27"/>
      <c r="AO527" s="27"/>
      <c r="AP527" s="27"/>
      <c r="AQ527" s="27"/>
      <c r="AR527" s="27"/>
      <c r="AS527" s="27"/>
      <c r="AT527" s="27"/>
      <c r="AU527" s="27"/>
      <c r="AV527" s="27"/>
      <c r="AW527" s="27"/>
      <c r="AX527" s="27"/>
      <c r="AY527" s="63"/>
    </row>
    <row r="528" spans="1:51">
      <c r="A528" s="1">
        <v>324</v>
      </c>
      <c r="B528" s="43"/>
      <c r="C528" s="27" t="str">
        <f t="shared" si="781"/>
        <v/>
      </c>
      <c r="D528" s="5"/>
      <c r="E528" s="10"/>
      <c r="F528" s="5"/>
      <c r="G528" s="5"/>
      <c r="H528" s="5"/>
      <c r="I528" s="5"/>
      <c r="J528" s="5"/>
      <c r="K528" s="10"/>
      <c r="L528" s="10"/>
      <c r="M528" s="10"/>
      <c r="N528" s="5"/>
      <c r="O528" s="5"/>
      <c r="P528" s="27"/>
      <c r="Q528" s="27"/>
      <c r="R528" s="27"/>
      <c r="S528" s="27"/>
      <c r="T528" s="27"/>
      <c r="U528" s="27"/>
      <c r="V528" s="27"/>
      <c r="W528" s="27"/>
      <c r="X528" s="27"/>
      <c r="Y528" s="27"/>
      <c r="Z528" s="27"/>
      <c r="AA528" s="5"/>
      <c r="AB528" s="5"/>
      <c r="AC528" s="5"/>
      <c r="AD528" s="5"/>
      <c r="AE528" s="5"/>
      <c r="AF528" s="5"/>
      <c r="AG528" s="5"/>
      <c r="AH528" s="27"/>
      <c r="AI528" s="27"/>
      <c r="AJ528" s="27"/>
      <c r="AK528" s="27" t="str">
        <f t="shared" si="780"/>
        <v/>
      </c>
      <c r="AL528" s="6"/>
      <c r="AM528" s="27"/>
      <c r="AN528" s="27"/>
      <c r="AO528" s="27"/>
      <c r="AP528" s="27"/>
      <c r="AQ528" s="27"/>
      <c r="AR528" s="27"/>
      <c r="AS528" s="27"/>
      <c r="AT528" s="27"/>
      <c r="AU528" s="27"/>
      <c r="AV528" s="27"/>
      <c r="AW528" s="27"/>
      <c r="AX528" s="27"/>
      <c r="AY528" s="63"/>
    </row>
    <row r="529" spans="1:51">
      <c r="A529" s="1">
        <v>325</v>
      </c>
      <c r="B529" s="43"/>
      <c r="C529" s="27" t="str">
        <f t="shared" si="781"/>
        <v/>
      </c>
      <c r="D529" s="5"/>
      <c r="E529" s="10"/>
      <c r="F529" s="5"/>
      <c r="G529" s="5"/>
      <c r="H529" s="5"/>
      <c r="I529" s="5"/>
      <c r="J529" s="5"/>
      <c r="K529" s="10"/>
      <c r="L529" s="10"/>
      <c r="M529" s="10"/>
      <c r="N529" s="5"/>
      <c r="O529" s="5"/>
      <c r="P529" s="27"/>
      <c r="Q529" s="27"/>
      <c r="R529" s="27"/>
      <c r="S529" s="27"/>
      <c r="T529" s="27"/>
      <c r="U529" s="27"/>
      <c r="V529" s="27"/>
      <c r="W529" s="27"/>
      <c r="X529" s="27"/>
      <c r="Y529" s="27"/>
      <c r="Z529" s="27"/>
      <c r="AA529" s="5"/>
      <c r="AB529" s="5"/>
      <c r="AC529" s="5"/>
      <c r="AD529" s="5"/>
      <c r="AE529" s="5"/>
      <c r="AF529" s="5"/>
      <c r="AG529" s="5"/>
      <c r="AH529" s="27"/>
      <c r="AI529" s="27"/>
      <c r="AJ529" s="27"/>
      <c r="AK529" s="27" t="str">
        <f t="shared" si="780"/>
        <v/>
      </c>
      <c r="AL529" s="6"/>
      <c r="AM529" s="27"/>
      <c r="AN529" s="27"/>
      <c r="AO529" s="27"/>
      <c r="AP529" s="27"/>
      <c r="AQ529" s="27"/>
      <c r="AR529" s="27"/>
      <c r="AS529" s="27"/>
      <c r="AT529" s="27"/>
      <c r="AU529" s="27"/>
      <c r="AV529" s="27"/>
      <c r="AW529" s="27"/>
      <c r="AX529" s="27"/>
      <c r="AY529" s="63"/>
    </row>
    <row r="530" spans="1:51">
      <c r="A530" s="1">
        <v>326</v>
      </c>
      <c r="B530" s="43"/>
      <c r="C530" s="27" t="str">
        <f t="shared" si="781"/>
        <v/>
      </c>
      <c r="D530" s="5"/>
      <c r="E530" s="10"/>
      <c r="F530" s="5"/>
      <c r="G530" s="5"/>
      <c r="H530" s="5"/>
      <c r="I530" s="5"/>
      <c r="J530" s="5"/>
      <c r="K530" s="10"/>
      <c r="L530" s="10"/>
      <c r="M530" s="10"/>
      <c r="N530" s="5"/>
      <c r="O530" s="5"/>
      <c r="P530" s="27"/>
      <c r="Q530" s="27"/>
      <c r="R530" s="27"/>
      <c r="S530" s="27"/>
      <c r="T530" s="27"/>
      <c r="U530" s="27"/>
      <c r="V530" s="27"/>
      <c r="W530" s="27"/>
      <c r="X530" s="27"/>
      <c r="Y530" s="27"/>
      <c r="Z530" s="27"/>
      <c r="AA530" s="5"/>
      <c r="AB530" s="5"/>
      <c r="AC530" s="5"/>
      <c r="AD530" s="5"/>
      <c r="AE530" s="5"/>
      <c r="AF530" s="5"/>
      <c r="AG530" s="5"/>
      <c r="AH530" s="27"/>
      <c r="AI530" s="27"/>
      <c r="AJ530" s="27"/>
      <c r="AK530" s="27" t="str">
        <f t="shared" si="780"/>
        <v/>
      </c>
      <c r="AL530" s="6"/>
      <c r="AM530" s="27"/>
      <c r="AN530" s="27"/>
      <c r="AO530" s="27"/>
      <c r="AP530" s="27"/>
      <c r="AQ530" s="27"/>
      <c r="AR530" s="27"/>
      <c r="AS530" s="27"/>
      <c r="AT530" s="27"/>
      <c r="AU530" s="27"/>
      <c r="AV530" s="27"/>
      <c r="AW530" s="27"/>
      <c r="AX530" s="27"/>
      <c r="AY530" s="63"/>
    </row>
    <row r="531" spans="1:51">
      <c r="A531" s="1">
        <v>327</v>
      </c>
      <c r="B531" s="43"/>
      <c r="C531" s="27" t="str">
        <f t="shared" si="781"/>
        <v/>
      </c>
      <c r="D531" s="5"/>
      <c r="E531" s="10"/>
      <c r="F531" s="5"/>
      <c r="G531" s="5"/>
      <c r="H531" s="5"/>
      <c r="I531" s="5"/>
      <c r="J531" s="5"/>
      <c r="K531" s="10"/>
      <c r="L531" s="10"/>
      <c r="M531" s="10"/>
      <c r="N531" s="5"/>
      <c r="O531" s="5"/>
      <c r="P531" s="27"/>
      <c r="Q531" s="27"/>
      <c r="R531" s="27"/>
      <c r="S531" s="27"/>
      <c r="T531" s="27"/>
      <c r="U531" s="27"/>
      <c r="V531" s="27"/>
      <c r="W531" s="27"/>
      <c r="X531" s="27"/>
      <c r="Y531" s="27"/>
      <c r="Z531" s="27"/>
      <c r="AA531" s="5"/>
      <c r="AB531" s="5"/>
      <c r="AC531" s="5"/>
      <c r="AD531" s="5"/>
      <c r="AE531" s="5"/>
      <c r="AF531" s="5"/>
      <c r="AG531" s="5"/>
      <c r="AH531" s="27"/>
      <c r="AI531" s="27"/>
      <c r="AJ531" s="27"/>
      <c r="AK531" s="27" t="str">
        <f t="shared" si="780"/>
        <v/>
      </c>
      <c r="AL531" s="6"/>
      <c r="AM531" s="27"/>
      <c r="AN531" s="27"/>
      <c r="AO531" s="27"/>
      <c r="AP531" s="27"/>
      <c r="AQ531" s="27"/>
      <c r="AR531" s="27"/>
      <c r="AS531" s="27"/>
      <c r="AT531" s="27"/>
      <c r="AU531" s="27"/>
      <c r="AV531" s="27"/>
      <c r="AW531" s="27"/>
      <c r="AX531" s="27"/>
      <c r="AY531" s="63"/>
    </row>
    <row r="532" spans="1:51">
      <c r="A532" s="1">
        <v>328</v>
      </c>
      <c r="B532" s="43"/>
      <c r="C532" s="27" t="str">
        <f t="shared" si="781"/>
        <v/>
      </c>
      <c r="D532" s="5"/>
      <c r="E532" s="10"/>
      <c r="F532" s="5"/>
      <c r="G532" s="5"/>
      <c r="H532" s="5"/>
      <c r="I532" s="5"/>
      <c r="J532" s="5"/>
      <c r="K532" s="10"/>
      <c r="L532" s="10"/>
      <c r="M532" s="10"/>
      <c r="N532" s="5"/>
      <c r="O532" s="5"/>
      <c r="P532" s="27"/>
      <c r="Q532" s="27"/>
      <c r="R532" s="27"/>
      <c r="S532" s="27"/>
      <c r="T532" s="27"/>
      <c r="U532" s="27"/>
      <c r="V532" s="27"/>
      <c r="W532" s="27"/>
      <c r="X532" s="27"/>
      <c r="Y532" s="27"/>
      <c r="Z532" s="27"/>
      <c r="AA532" s="5"/>
      <c r="AB532" s="5"/>
      <c r="AC532" s="5"/>
      <c r="AD532" s="5"/>
      <c r="AE532" s="5"/>
      <c r="AF532" s="5"/>
      <c r="AG532" s="5"/>
      <c r="AH532" s="27"/>
      <c r="AI532" s="27"/>
      <c r="AJ532" s="27"/>
      <c r="AK532" s="27" t="str">
        <f t="shared" si="780"/>
        <v/>
      </c>
      <c r="AL532" s="6"/>
      <c r="AM532" s="27"/>
      <c r="AN532" s="27"/>
      <c r="AO532" s="27"/>
      <c r="AP532" s="27"/>
      <c r="AQ532" s="27"/>
      <c r="AR532" s="27"/>
      <c r="AS532" s="27"/>
      <c r="AT532" s="27"/>
      <c r="AU532" s="27"/>
      <c r="AV532" s="27"/>
      <c r="AW532" s="27"/>
      <c r="AX532" s="27"/>
      <c r="AY532" s="63"/>
    </row>
    <row r="533" spans="1:51">
      <c r="A533" s="1">
        <v>329</v>
      </c>
      <c r="B533" s="43"/>
      <c r="C533" s="27" t="str">
        <f t="shared" si="781"/>
        <v/>
      </c>
      <c r="D533" s="5"/>
      <c r="E533" s="10"/>
      <c r="F533" s="5"/>
      <c r="G533" s="5"/>
      <c r="H533" s="5"/>
      <c r="I533" s="5"/>
      <c r="J533" s="5"/>
      <c r="K533" s="10"/>
      <c r="L533" s="10"/>
      <c r="M533" s="10"/>
      <c r="N533" s="5"/>
      <c r="O533" s="5"/>
      <c r="P533" s="27"/>
      <c r="Q533" s="27"/>
      <c r="R533" s="27"/>
      <c r="S533" s="27"/>
      <c r="T533" s="27"/>
      <c r="U533" s="27"/>
      <c r="V533" s="27"/>
      <c r="W533" s="27"/>
      <c r="X533" s="27"/>
      <c r="Y533" s="27"/>
      <c r="Z533" s="27"/>
      <c r="AA533" s="5"/>
      <c r="AB533" s="5"/>
      <c r="AC533" s="5"/>
      <c r="AD533" s="5"/>
      <c r="AE533" s="5"/>
      <c r="AF533" s="5"/>
      <c r="AG533" s="5"/>
      <c r="AH533" s="27"/>
      <c r="AI533" s="27"/>
      <c r="AJ533" s="27"/>
      <c r="AK533" s="27" t="str">
        <f t="shared" si="780"/>
        <v/>
      </c>
      <c r="AL533" s="6"/>
      <c r="AM533" s="27"/>
      <c r="AN533" s="27"/>
      <c r="AO533" s="27"/>
      <c r="AP533" s="27"/>
      <c r="AQ533" s="27"/>
      <c r="AR533" s="27"/>
      <c r="AS533" s="27"/>
      <c r="AT533" s="27"/>
      <c r="AU533" s="27"/>
      <c r="AV533" s="27"/>
      <c r="AW533" s="27"/>
      <c r="AX533" s="27"/>
      <c r="AY533" s="63"/>
    </row>
    <row r="534" spans="1:51">
      <c r="A534" s="1">
        <v>330</v>
      </c>
      <c r="B534" s="43"/>
      <c r="C534" s="27" t="str">
        <f t="shared" si="781"/>
        <v/>
      </c>
      <c r="D534" s="5"/>
      <c r="E534" s="10"/>
      <c r="F534" s="5"/>
      <c r="G534" s="5"/>
      <c r="H534" s="5"/>
      <c r="I534" s="5"/>
      <c r="J534" s="5"/>
      <c r="K534" s="10"/>
      <c r="L534" s="10"/>
      <c r="M534" s="10"/>
      <c r="N534" s="5"/>
      <c r="O534" s="5"/>
      <c r="P534" s="27"/>
      <c r="Q534" s="27"/>
      <c r="R534" s="27"/>
      <c r="S534" s="27"/>
      <c r="T534" s="27"/>
      <c r="U534" s="27"/>
      <c r="V534" s="27"/>
      <c r="W534" s="27"/>
      <c r="X534" s="27"/>
      <c r="Y534" s="27"/>
      <c r="Z534" s="27"/>
      <c r="AA534" s="5"/>
      <c r="AB534" s="5"/>
      <c r="AC534" s="5"/>
      <c r="AD534" s="5"/>
      <c r="AE534" s="5"/>
      <c r="AF534" s="5"/>
      <c r="AG534" s="5"/>
      <c r="AH534" s="27"/>
      <c r="AI534" s="27"/>
      <c r="AJ534" s="27"/>
      <c r="AK534" s="27" t="str">
        <f t="shared" si="780"/>
        <v/>
      </c>
      <c r="AL534" s="6"/>
      <c r="AM534" s="27"/>
      <c r="AN534" s="27"/>
      <c r="AO534" s="27"/>
      <c r="AP534" s="27"/>
      <c r="AQ534" s="27"/>
      <c r="AR534" s="27"/>
      <c r="AS534" s="27"/>
      <c r="AT534" s="27"/>
      <c r="AU534" s="27"/>
      <c r="AV534" s="27"/>
      <c r="AW534" s="27"/>
      <c r="AX534" s="27"/>
      <c r="AY534" s="63"/>
    </row>
    <row r="535" spans="1:51">
      <c r="A535" s="1">
        <v>331</v>
      </c>
      <c r="B535" s="43"/>
      <c r="C535" s="10"/>
      <c r="D535" s="5"/>
      <c r="E535" s="10"/>
      <c r="F535" s="5"/>
      <c r="G535" s="5"/>
      <c r="H535" s="5"/>
      <c r="I535" s="5"/>
      <c r="J535" s="5"/>
      <c r="K535" s="10"/>
      <c r="L535" s="10"/>
      <c r="M535" s="10"/>
      <c r="N535" s="5"/>
      <c r="O535" s="5"/>
      <c r="P535" s="27"/>
      <c r="Q535" s="27"/>
      <c r="R535" s="27"/>
      <c r="S535" s="27"/>
      <c r="T535" s="27"/>
      <c r="U535" s="27"/>
      <c r="V535" s="27"/>
      <c r="W535" s="27"/>
      <c r="X535" s="27"/>
      <c r="Y535" s="27"/>
      <c r="Z535" s="27"/>
      <c r="AA535" s="5"/>
      <c r="AB535" s="5"/>
      <c r="AC535" s="5"/>
      <c r="AD535" s="5"/>
      <c r="AE535" s="5"/>
      <c r="AF535" s="5"/>
      <c r="AG535" s="5"/>
      <c r="AH535" s="27"/>
      <c r="AI535" s="27"/>
      <c r="AJ535" s="27"/>
      <c r="AK535" s="27" t="str">
        <f t="shared" si="780"/>
        <v/>
      </c>
      <c r="AL535" s="6"/>
      <c r="AM535" s="27"/>
      <c r="AN535" s="27"/>
      <c r="AO535" s="27"/>
      <c r="AP535" s="27"/>
      <c r="AQ535" s="27"/>
      <c r="AR535" s="27"/>
      <c r="AS535" s="27"/>
      <c r="AT535" s="27"/>
      <c r="AU535" s="27"/>
      <c r="AV535" s="27"/>
      <c r="AW535" s="27"/>
      <c r="AX535" s="27"/>
      <c r="AY535" s="63"/>
    </row>
    <row r="536" spans="1:51">
      <c r="A536" s="1">
        <v>332</v>
      </c>
      <c r="B536" s="43"/>
      <c r="C536" s="10"/>
      <c r="D536" s="5"/>
      <c r="E536" s="10"/>
      <c r="F536" s="5"/>
      <c r="G536" s="5"/>
      <c r="H536" s="5"/>
      <c r="I536" s="5"/>
      <c r="J536" s="5"/>
      <c r="K536" s="10"/>
      <c r="L536" s="10"/>
      <c r="M536" s="10"/>
      <c r="N536" s="5"/>
      <c r="O536" s="5"/>
      <c r="P536" s="27"/>
      <c r="Q536" s="27"/>
      <c r="R536" s="27"/>
      <c r="S536" s="27"/>
      <c r="T536" s="27"/>
      <c r="U536" s="27"/>
      <c r="V536" s="27"/>
      <c r="W536" s="27"/>
      <c r="X536" s="27"/>
      <c r="Y536" s="27"/>
      <c r="Z536" s="27"/>
      <c r="AA536" s="5"/>
      <c r="AB536" s="5"/>
      <c r="AC536" s="5"/>
      <c r="AD536" s="5"/>
      <c r="AE536" s="5"/>
      <c r="AF536" s="5"/>
      <c r="AG536" s="5"/>
      <c r="AH536" s="27"/>
      <c r="AI536" s="27"/>
      <c r="AJ536" s="27"/>
      <c r="AK536" s="27" t="str">
        <f t="shared" si="780"/>
        <v/>
      </c>
      <c r="AL536" s="6"/>
      <c r="AM536" s="27"/>
      <c r="AN536" s="27"/>
      <c r="AO536" s="27"/>
      <c r="AP536" s="27"/>
      <c r="AQ536" s="27"/>
      <c r="AR536" s="27"/>
      <c r="AS536" s="27"/>
      <c r="AT536" s="27"/>
      <c r="AU536" s="27"/>
      <c r="AV536" s="27"/>
      <c r="AW536" s="27"/>
      <c r="AX536" s="27"/>
      <c r="AY536" s="63"/>
    </row>
    <row r="537" spans="1:51">
      <c r="A537" s="1">
        <v>333</v>
      </c>
      <c r="B537" s="43"/>
      <c r="C537" s="10"/>
      <c r="D537" s="5"/>
      <c r="E537" s="10"/>
      <c r="F537" s="5"/>
      <c r="G537" s="5"/>
      <c r="H537" s="5"/>
      <c r="I537" s="5"/>
      <c r="J537" s="5"/>
      <c r="K537" s="10"/>
      <c r="L537" s="10"/>
      <c r="M537" s="10"/>
      <c r="N537" s="5"/>
      <c r="O537" s="5"/>
      <c r="P537" s="27"/>
      <c r="Q537" s="27"/>
      <c r="R537" s="27"/>
      <c r="S537" s="27"/>
      <c r="T537" s="27"/>
      <c r="U537" s="27"/>
      <c r="V537" s="27"/>
      <c r="W537" s="27"/>
      <c r="X537" s="27"/>
      <c r="Y537" s="27"/>
      <c r="Z537" s="27"/>
      <c r="AA537" s="5"/>
      <c r="AB537" s="5"/>
      <c r="AC537" s="5"/>
      <c r="AD537" s="5"/>
      <c r="AE537" s="5"/>
      <c r="AF537" s="5"/>
      <c r="AG537" s="5"/>
      <c r="AH537" s="27"/>
      <c r="AI537" s="27"/>
      <c r="AJ537" s="27"/>
      <c r="AK537" s="27" t="str">
        <f t="shared" si="780"/>
        <v/>
      </c>
      <c r="AL537" s="6"/>
      <c r="AM537" s="27"/>
      <c r="AN537" s="27"/>
      <c r="AO537" s="27"/>
      <c r="AP537" s="27"/>
      <c r="AQ537" s="27"/>
      <c r="AR537" s="27"/>
      <c r="AS537" s="27"/>
      <c r="AT537" s="27"/>
      <c r="AU537" s="27"/>
      <c r="AV537" s="27"/>
      <c r="AW537" s="27"/>
      <c r="AX537" s="27"/>
      <c r="AY537" s="63"/>
    </row>
    <row r="538" spans="1:51">
      <c r="A538" s="1">
        <v>334</v>
      </c>
      <c r="B538" s="43"/>
      <c r="C538" s="10"/>
      <c r="D538" s="5"/>
      <c r="E538" s="10"/>
      <c r="F538" s="5"/>
      <c r="G538" s="5"/>
      <c r="H538" s="5"/>
      <c r="I538" s="5"/>
      <c r="J538" s="5"/>
      <c r="K538" s="10"/>
      <c r="L538" s="10"/>
      <c r="M538" s="10"/>
      <c r="N538" s="5"/>
      <c r="O538" s="5"/>
      <c r="P538" s="27"/>
      <c r="Q538" s="27"/>
      <c r="R538" s="27"/>
      <c r="S538" s="27"/>
      <c r="T538" s="27"/>
      <c r="U538" s="27"/>
      <c r="V538" s="27"/>
      <c r="W538" s="27"/>
      <c r="X538" s="27"/>
      <c r="Y538" s="27"/>
      <c r="Z538" s="27"/>
      <c r="AA538" s="5"/>
      <c r="AB538" s="5"/>
      <c r="AC538" s="5"/>
      <c r="AD538" s="5"/>
      <c r="AE538" s="5"/>
      <c r="AF538" s="5"/>
      <c r="AG538" s="5"/>
      <c r="AH538" s="27"/>
      <c r="AI538" s="27"/>
      <c r="AJ538" s="27"/>
      <c r="AK538" s="27" t="str">
        <f t="shared" si="780"/>
        <v/>
      </c>
      <c r="AL538" s="6"/>
      <c r="AM538" s="27"/>
      <c r="AN538" s="27"/>
      <c r="AO538" s="27"/>
      <c r="AP538" s="27"/>
      <c r="AQ538" s="27"/>
      <c r="AR538" s="27"/>
      <c r="AS538" s="27"/>
      <c r="AT538" s="27"/>
      <c r="AU538" s="27"/>
      <c r="AV538" s="27"/>
      <c r="AW538" s="27"/>
      <c r="AX538" s="27"/>
      <c r="AY538" s="63"/>
    </row>
    <row r="539" spans="1:51">
      <c r="A539" s="1">
        <v>335</v>
      </c>
      <c r="B539" s="43"/>
      <c r="C539" s="10"/>
      <c r="D539" s="5"/>
      <c r="E539" s="10"/>
      <c r="F539" s="5"/>
      <c r="G539" s="5"/>
      <c r="H539" s="5"/>
      <c r="I539" s="5"/>
      <c r="J539" s="5"/>
      <c r="K539" s="10"/>
      <c r="L539" s="10"/>
      <c r="M539" s="10"/>
      <c r="N539" s="5"/>
      <c r="O539" s="5"/>
      <c r="P539" s="27"/>
      <c r="Q539" s="27"/>
      <c r="R539" s="27"/>
      <c r="S539" s="27"/>
      <c r="T539" s="27"/>
      <c r="U539" s="27"/>
      <c r="V539" s="27"/>
      <c r="W539" s="27"/>
      <c r="X539" s="27"/>
      <c r="Y539" s="27"/>
      <c r="Z539" s="27"/>
      <c r="AA539" s="5"/>
      <c r="AB539" s="5"/>
      <c r="AC539" s="5"/>
      <c r="AD539" s="5"/>
      <c r="AE539" s="5"/>
      <c r="AF539" s="5"/>
      <c r="AG539" s="5"/>
      <c r="AH539" s="27"/>
      <c r="AI539" s="27"/>
      <c r="AJ539" s="27"/>
      <c r="AK539" s="27" t="str">
        <f t="shared" si="780"/>
        <v/>
      </c>
      <c r="AL539" s="6"/>
      <c r="AM539" s="27"/>
      <c r="AN539" s="27"/>
      <c r="AO539" s="27"/>
      <c r="AP539" s="27"/>
      <c r="AQ539" s="27"/>
      <c r="AR539" s="27"/>
      <c r="AS539" s="27"/>
      <c r="AT539" s="27"/>
      <c r="AU539" s="27"/>
      <c r="AV539" s="27"/>
      <c r="AW539" s="27"/>
      <c r="AX539" s="27"/>
      <c r="AY539" s="63"/>
    </row>
    <row r="540" spans="1:51">
      <c r="A540" s="1">
        <v>336</v>
      </c>
      <c r="B540" s="43"/>
      <c r="C540" s="10"/>
      <c r="D540" s="5"/>
      <c r="E540" s="10"/>
      <c r="F540" s="5"/>
      <c r="G540" s="5"/>
      <c r="H540" s="5"/>
      <c r="I540" s="5"/>
      <c r="J540" s="5"/>
      <c r="K540" s="10"/>
      <c r="L540" s="10"/>
      <c r="M540" s="10"/>
      <c r="N540" s="5"/>
      <c r="O540" s="5"/>
      <c r="P540" s="27"/>
      <c r="Q540" s="27"/>
      <c r="R540" s="27"/>
      <c r="S540" s="27"/>
      <c r="T540" s="27"/>
      <c r="U540" s="27"/>
      <c r="V540" s="27"/>
      <c r="W540" s="27"/>
      <c r="X540" s="27"/>
      <c r="Y540" s="27"/>
      <c r="Z540" s="27"/>
      <c r="AA540" s="5"/>
      <c r="AB540" s="5"/>
      <c r="AC540" s="5"/>
      <c r="AD540" s="5"/>
      <c r="AE540" s="5"/>
      <c r="AF540" s="5"/>
      <c r="AG540" s="5"/>
      <c r="AH540" s="27"/>
      <c r="AI540" s="27"/>
      <c r="AJ540" s="27"/>
      <c r="AK540" s="27" t="str">
        <f t="shared" si="780"/>
        <v/>
      </c>
      <c r="AL540" s="6"/>
      <c r="AM540" s="27"/>
      <c r="AN540" s="27"/>
      <c r="AO540" s="27"/>
      <c r="AP540" s="27"/>
      <c r="AQ540" s="27"/>
      <c r="AR540" s="27"/>
      <c r="AS540" s="27"/>
      <c r="AT540" s="27"/>
      <c r="AU540" s="27"/>
      <c r="AV540" s="27"/>
      <c r="AW540" s="27"/>
      <c r="AX540" s="27"/>
      <c r="AY540" s="63"/>
    </row>
    <row r="541" spans="1:51">
      <c r="A541" s="1">
        <v>337</v>
      </c>
      <c r="B541" s="43"/>
      <c r="C541" s="10"/>
      <c r="D541" s="5"/>
      <c r="E541" s="10"/>
      <c r="F541" s="5"/>
      <c r="G541" s="5"/>
      <c r="H541" s="5"/>
      <c r="I541" s="5"/>
      <c r="J541" s="5"/>
      <c r="K541" s="10"/>
      <c r="L541" s="10"/>
      <c r="M541" s="10"/>
      <c r="N541" s="5"/>
      <c r="O541" s="5"/>
      <c r="P541" s="27"/>
      <c r="Q541" s="27"/>
      <c r="R541" s="27"/>
      <c r="S541" s="27"/>
      <c r="T541" s="27"/>
      <c r="U541" s="27"/>
      <c r="V541" s="27"/>
      <c r="W541" s="27"/>
      <c r="X541" s="27"/>
      <c r="Y541" s="27"/>
      <c r="Z541" s="27"/>
      <c r="AA541" s="5"/>
      <c r="AB541" s="5"/>
      <c r="AC541" s="5"/>
      <c r="AD541" s="5"/>
      <c r="AE541" s="5"/>
      <c r="AF541" s="5"/>
      <c r="AG541" s="5"/>
      <c r="AH541" s="27"/>
      <c r="AI541" s="27"/>
      <c r="AJ541" s="27"/>
      <c r="AK541" s="27" t="str">
        <f t="shared" si="780"/>
        <v/>
      </c>
      <c r="AL541" s="6"/>
      <c r="AM541" s="27"/>
      <c r="AN541" s="27"/>
      <c r="AO541" s="27"/>
      <c r="AP541" s="27"/>
      <c r="AQ541" s="27"/>
      <c r="AR541" s="27"/>
      <c r="AS541" s="27"/>
      <c r="AT541" s="27"/>
      <c r="AU541" s="27"/>
      <c r="AV541" s="27"/>
      <c r="AW541" s="27"/>
      <c r="AX541" s="27"/>
      <c r="AY541" s="63"/>
    </row>
    <row r="542" spans="1:51">
      <c r="A542" s="1">
        <v>338</v>
      </c>
      <c r="B542" s="43"/>
      <c r="C542" s="10"/>
      <c r="D542" s="5"/>
      <c r="E542" s="10"/>
      <c r="F542" s="5"/>
      <c r="G542" s="5"/>
      <c r="H542" s="5"/>
      <c r="I542" s="5"/>
      <c r="J542" s="5"/>
      <c r="K542" s="10"/>
      <c r="L542" s="10"/>
      <c r="M542" s="10"/>
      <c r="N542" s="5"/>
      <c r="O542" s="5"/>
      <c r="P542" s="27"/>
      <c r="Q542" s="27"/>
      <c r="R542" s="27"/>
      <c r="S542" s="27"/>
      <c r="T542" s="27"/>
      <c r="U542" s="27"/>
      <c r="V542" s="27"/>
      <c r="W542" s="27"/>
      <c r="X542" s="27"/>
      <c r="Y542" s="27"/>
      <c r="Z542" s="27"/>
      <c r="AA542" s="5"/>
      <c r="AB542" s="5"/>
      <c r="AC542" s="5"/>
      <c r="AD542" s="5"/>
      <c r="AE542" s="5"/>
      <c r="AF542" s="5"/>
      <c r="AG542" s="5"/>
      <c r="AH542" s="27"/>
      <c r="AI542" s="27"/>
      <c r="AJ542" s="27"/>
      <c r="AK542" s="27" t="str">
        <f t="shared" si="780"/>
        <v/>
      </c>
      <c r="AL542" s="6"/>
      <c r="AM542" s="27"/>
      <c r="AN542" s="27"/>
      <c r="AO542" s="27"/>
      <c r="AP542" s="27"/>
      <c r="AQ542" s="27"/>
      <c r="AR542" s="27"/>
      <c r="AS542" s="27"/>
      <c r="AT542" s="27"/>
      <c r="AU542" s="27"/>
      <c r="AV542" s="27"/>
      <c r="AW542" s="27"/>
      <c r="AX542" s="27"/>
      <c r="AY542" s="63"/>
    </row>
    <row r="543" spans="1:51">
      <c r="A543" s="1">
        <v>339</v>
      </c>
      <c r="B543" s="43"/>
      <c r="C543" s="10"/>
      <c r="D543" s="5"/>
      <c r="E543" s="10"/>
      <c r="F543" s="5"/>
      <c r="G543" s="5"/>
      <c r="H543" s="5"/>
      <c r="I543" s="5"/>
      <c r="J543" s="5"/>
      <c r="K543" s="10"/>
      <c r="L543" s="10"/>
      <c r="M543" s="10"/>
      <c r="N543" s="5"/>
      <c r="O543" s="5"/>
      <c r="P543" s="27"/>
      <c r="Q543" s="27"/>
      <c r="R543" s="27"/>
      <c r="S543" s="27"/>
      <c r="T543" s="27"/>
      <c r="U543" s="27"/>
      <c r="V543" s="27"/>
      <c r="W543" s="27"/>
      <c r="X543" s="27"/>
      <c r="Y543" s="27"/>
      <c r="Z543" s="27"/>
      <c r="AA543" s="5"/>
      <c r="AB543" s="5"/>
      <c r="AC543" s="5"/>
      <c r="AD543" s="5"/>
      <c r="AE543" s="5"/>
      <c r="AF543" s="5"/>
      <c r="AG543" s="5"/>
      <c r="AH543" s="27"/>
      <c r="AI543" s="27"/>
      <c r="AJ543" s="27"/>
      <c r="AK543" s="27" t="str">
        <f t="shared" si="780"/>
        <v/>
      </c>
      <c r="AL543" s="6"/>
      <c r="AM543" s="27"/>
      <c r="AN543" s="27"/>
      <c r="AO543" s="27"/>
      <c r="AP543" s="27"/>
      <c r="AQ543" s="27"/>
      <c r="AR543" s="27"/>
      <c r="AS543" s="27"/>
      <c r="AT543" s="27"/>
      <c r="AU543" s="27"/>
      <c r="AV543" s="27"/>
      <c r="AW543" s="27"/>
      <c r="AX543" s="27"/>
      <c r="AY543" s="63"/>
    </row>
    <row r="544" spans="1:51">
      <c r="A544" s="1">
        <v>340</v>
      </c>
      <c r="B544" s="43"/>
      <c r="C544" s="10"/>
      <c r="D544" s="5"/>
      <c r="E544" s="10"/>
      <c r="F544" s="5"/>
      <c r="G544" s="5"/>
      <c r="H544" s="5"/>
      <c r="I544" s="5"/>
      <c r="J544" s="5"/>
      <c r="K544" s="10"/>
      <c r="L544" s="10"/>
      <c r="M544" s="10"/>
      <c r="N544" s="5"/>
      <c r="O544" s="5"/>
      <c r="P544" s="27"/>
      <c r="Q544" s="27"/>
      <c r="R544" s="27"/>
      <c r="S544" s="27"/>
      <c r="T544" s="27"/>
      <c r="U544" s="27"/>
      <c r="V544" s="27"/>
      <c r="W544" s="27"/>
      <c r="X544" s="27"/>
      <c r="Y544" s="27"/>
      <c r="Z544" s="27"/>
      <c r="AA544" s="5"/>
      <c r="AB544" s="5"/>
      <c r="AC544" s="5"/>
      <c r="AD544" s="5"/>
      <c r="AE544" s="5"/>
      <c r="AF544" s="5"/>
      <c r="AG544" s="5"/>
      <c r="AH544" s="27"/>
      <c r="AI544" s="27"/>
      <c r="AJ544" s="27"/>
      <c r="AK544" s="27" t="str">
        <f t="shared" si="780"/>
        <v/>
      </c>
      <c r="AL544" s="6"/>
      <c r="AM544" s="27"/>
      <c r="AN544" s="27"/>
      <c r="AO544" s="27"/>
      <c r="AP544" s="27"/>
      <c r="AQ544" s="27"/>
      <c r="AR544" s="27"/>
      <c r="AS544" s="27"/>
      <c r="AT544" s="27"/>
      <c r="AU544" s="27"/>
      <c r="AV544" s="27"/>
      <c r="AW544" s="27"/>
      <c r="AX544" s="27"/>
      <c r="AY544" s="63"/>
    </row>
    <row r="545" spans="1:54">
      <c r="A545" s="1">
        <v>341</v>
      </c>
      <c r="B545" s="43"/>
      <c r="C545" s="10"/>
      <c r="D545" s="5"/>
      <c r="E545" s="10"/>
      <c r="F545" s="5"/>
      <c r="G545" s="5"/>
      <c r="H545" s="5"/>
      <c r="I545" s="5"/>
      <c r="J545" s="5"/>
      <c r="K545" s="10"/>
      <c r="L545" s="10"/>
      <c r="M545" s="10"/>
      <c r="N545" s="5"/>
      <c r="O545" s="5"/>
      <c r="P545" s="27"/>
      <c r="Q545" s="27"/>
      <c r="R545" s="27"/>
      <c r="S545" s="27"/>
      <c r="T545" s="27"/>
      <c r="U545" s="27"/>
      <c r="V545" s="27"/>
      <c r="W545" s="27"/>
      <c r="X545" s="27"/>
      <c r="Y545" s="27"/>
      <c r="Z545" s="27"/>
      <c r="AA545" s="5"/>
      <c r="AB545" s="5"/>
      <c r="AC545" s="5"/>
      <c r="AD545" s="5"/>
      <c r="AE545" s="5"/>
      <c r="AF545" s="5"/>
      <c r="AG545" s="5"/>
      <c r="AH545" s="27"/>
      <c r="AI545" s="27"/>
      <c r="AJ545" s="27"/>
      <c r="AK545" s="27" t="str">
        <f t="shared" si="780"/>
        <v/>
      </c>
      <c r="AL545" s="6"/>
      <c r="AM545" s="27"/>
      <c r="AN545" s="27"/>
      <c r="AO545" s="27"/>
      <c r="AP545" s="27"/>
      <c r="AQ545" s="27"/>
      <c r="AR545" s="27"/>
      <c r="AS545" s="27"/>
      <c r="AT545" s="27"/>
      <c r="AU545" s="27"/>
      <c r="AV545" s="27"/>
      <c r="AW545" s="27"/>
      <c r="AX545" s="27"/>
      <c r="AY545" s="63"/>
    </row>
    <row r="546" spans="1:54">
      <c r="A546" s="1">
        <v>342</v>
      </c>
      <c r="B546" s="43"/>
      <c r="C546" s="10"/>
      <c r="D546" s="5"/>
      <c r="E546" s="10"/>
      <c r="F546" s="5"/>
      <c r="G546" s="5"/>
      <c r="H546" s="5"/>
      <c r="I546" s="5"/>
      <c r="J546" s="5"/>
      <c r="K546" s="10"/>
      <c r="L546" s="10"/>
      <c r="M546" s="10"/>
      <c r="N546" s="5"/>
      <c r="O546" s="5"/>
      <c r="P546" s="27"/>
      <c r="Q546" s="27"/>
      <c r="R546" s="27"/>
      <c r="S546" s="27"/>
      <c r="T546" s="27"/>
      <c r="U546" s="27"/>
      <c r="V546" s="27"/>
      <c r="W546" s="27"/>
      <c r="X546" s="27"/>
      <c r="Y546" s="27"/>
      <c r="Z546" s="27"/>
      <c r="AA546" s="5"/>
      <c r="AB546" s="5"/>
      <c r="AC546" s="5"/>
      <c r="AD546" s="5"/>
      <c r="AE546" s="5"/>
      <c r="AF546" s="5"/>
      <c r="AG546" s="5"/>
      <c r="AH546" s="27"/>
      <c r="AI546" s="27"/>
      <c r="AJ546" s="27"/>
      <c r="AK546" s="27" t="str">
        <f t="shared" ref="AK546:AK572" si="782">IF(B547="","","0")</f>
        <v/>
      </c>
      <c r="AL546" s="6"/>
      <c r="AM546" s="27"/>
      <c r="AN546" s="27"/>
      <c r="AO546" s="27"/>
      <c r="AP546" s="27"/>
      <c r="AQ546" s="27"/>
      <c r="AR546" s="27"/>
      <c r="AS546" s="27"/>
      <c r="AT546" s="27"/>
      <c r="AU546" s="27"/>
      <c r="AV546" s="27"/>
      <c r="AW546" s="27"/>
      <c r="AX546" s="27"/>
      <c r="AY546" s="63"/>
    </row>
    <row r="547" spans="1:54">
      <c r="A547" s="1">
        <v>343</v>
      </c>
      <c r="B547" s="43"/>
      <c r="C547" s="10"/>
      <c r="D547" s="5"/>
      <c r="E547" s="10"/>
      <c r="F547" s="5"/>
      <c r="G547" s="5"/>
      <c r="H547" s="5"/>
      <c r="I547" s="5"/>
      <c r="J547" s="5"/>
      <c r="K547" s="10"/>
      <c r="L547" s="10"/>
      <c r="M547" s="10"/>
      <c r="N547" s="5"/>
      <c r="O547" s="5"/>
      <c r="P547" s="27"/>
      <c r="Q547" s="27"/>
      <c r="R547" s="27"/>
      <c r="S547" s="27"/>
      <c r="T547" s="27"/>
      <c r="U547" s="27"/>
      <c r="V547" s="27"/>
      <c r="W547" s="27"/>
      <c r="X547" s="27"/>
      <c r="Y547" s="27"/>
      <c r="Z547" s="27"/>
      <c r="AA547" s="5"/>
      <c r="AB547" s="5"/>
      <c r="AC547" s="5"/>
      <c r="AD547" s="5"/>
      <c r="AE547" s="5"/>
      <c r="AF547" s="5"/>
      <c r="AG547" s="5"/>
      <c r="AH547" s="27"/>
      <c r="AI547" s="27"/>
      <c r="AJ547" s="27"/>
      <c r="AK547" s="27" t="str">
        <f t="shared" si="782"/>
        <v/>
      </c>
      <c r="AL547" s="6"/>
      <c r="AM547" s="27"/>
      <c r="AN547" s="27"/>
      <c r="AO547" s="27"/>
      <c r="AP547" s="27"/>
      <c r="AQ547" s="27"/>
      <c r="AR547" s="27"/>
      <c r="AS547" s="27"/>
      <c r="AT547" s="27"/>
      <c r="AU547" s="27"/>
      <c r="AV547" s="27"/>
      <c r="AW547" s="27"/>
      <c r="AX547" s="27"/>
      <c r="AY547" s="63"/>
    </row>
    <row r="548" spans="1:54">
      <c r="A548" s="1">
        <v>344</v>
      </c>
      <c r="B548" s="43"/>
      <c r="C548" s="10"/>
      <c r="D548" s="5"/>
      <c r="E548" s="10"/>
      <c r="F548" s="5"/>
      <c r="G548" s="5"/>
      <c r="H548" s="5"/>
      <c r="I548" s="5"/>
      <c r="J548" s="5"/>
      <c r="K548" s="10"/>
      <c r="L548" s="10"/>
      <c r="M548" s="10"/>
      <c r="N548" s="5"/>
      <c r="O548" s="5"/>
      <c r="P548" s="27"/>
      <c r="Q548" s="27"/>
      <c r="R548" s="27"/>
      <c r="S548" s="27"/>
      <c r="T548" s="27"/>
      <c r="U548" s="27"/>
      <c r="V548" s="27"/>
      <c r="W548" s="27"/>
      <c r="X548" s="27"/>
      <c r="Y548" s="27"/>
      <c r="Z548" s="27"/>
      <c r="AA548" s="5"/>
      <c r="AB548" s="5"/>
      <c r="AC548" s="5"/>
      <c r="AD548" s="5"/>
      <c r="AE548" s="5"/>
      <c r="AF548" s="5"/>
      <c r="AG548" s="5"/>
      <c r="AH548" s="27"/>
      <c r="AI548" s="27"/>
      <c r="AJ548" s="27"/>
      <c r="AK548" s="27" t="str">
        <f t="shared" si="782"/>
        <v/>
      </c>
      <c r="AL548" s="6"/>
      <c r="AM548" s="27"/>
      <c r="AN548" s="27"/>
      <c r="AO548" s="27"/>
      <c r="AP548" s="27"/>
      <c r="AQ548" s="27"/>
      <c r="AR548" s="27"/>
      <c r="AS548" s="27"/>
      <c r="AT548" s="27"/>
      <c r="AU548" s="27"/>
      <c r="AV548" s="27"/>
      <c r="AW548" s="27"/>
      <c r="AX548" s="27"/>
      <c r="AY548" s="63"/>
    </row>
    <row r="549" spans="1:54">
      <c r="A549" s="1">
        <v>345</v>
      </c>
      <c r="B549" s="43"/>
      <c r="C549" s="10"/>
      <c r="D549" s="5"/>
      <c r="E549" s="10"/>
      <c r="F549" s="5"/>
      <c r="G549" s="5"/>
      <c r="H549" s="5"/>
      <c r="I549" s="5"/>
      <c r="J549" s="5"/>
      <c r="K549" s="10"/>
      <c r="L549" s="10"/>
      <c r="M549" s="10"/>
      <c r="N549" s="5"/>
      <c r="O549" s="5"/>
      <c r="P549" s="27"/>
      <c r="Q549" s="27"/>
      <c r="R549" s="27"/>
      <c r="S549" s="27"/>
      <c r="T549" s="27"/>
      <c r="U549" s="27"/>
      <c r="V549" s="27"/>
      <c r="W549" s="27"/>
      <c r="X549" s="27"/>
      <c r="Y549" s="27"/>
      <c r="Z549" s="27"/>
      <c r="AA549" s="5"/>
      <c r="AB549" s="5"/>
      <c r="AC549" s="5"/>
      <c r="AD549" s="5"/>
      <c r="AE549" s="5"/>
      <c r="AF549" s="5"/>
      <c r="AG549" s="5"/>
      <c r="AH549" s="27"/>
      <c r="AI549" s="27"/>
      <c r="AJ549" s="27"/>
      <c r="AK549" s="27" t="e">
        <f>IF(#REF!="","","0")</f>
        <v>#REF!</v>
      </c>
      <c r="AL549" s="6"/>
      <c r="AM549" s="27"/>
      <c r="AN549" s="27"/>
      <c r="AO549" s="27"/>
      <c r="AP549" s="27"/>
      <c r="AQ549" s="27"/>
      <c r="AR549" s="27"/>
      <c r="AS549" s="27"/>
      <c r="AT549" s="27"/>
      <c r="AU549" s="27"/>
      <c r="AV549" s="27"/>
      <c r="AW549" s="27"/>
      <c r="AX549" s="27"/>
      <c r="AY549" s="63"/>
    </row>
    <row r="550" spans="1:54" ht="16">
      <c r="A550" s="1">
        <v>347</v>
      </c>
      <c r="B550" s="43"/>
      <c r="C550" s="10"/>
      <c r="D550" s="5"/>
      <c r="E550" s="10"/>
      <c r="F550" s="5"/>
      <c r="G550" s="5"/>
      <c r="H550" s="5"/>
      <c r="I550" s="5"/>
      <c r="J550" s="5"/>
      <c r="K550" s="10"/>
      <c r="L550" s="10"/>
      <c r="M550" s="10"/>
      <c r="N550" s="5"/>
      <c r="O550" s="5"/>
      <c r="P550" s="27"/>
      <c r="Q550" s="27"/>
      <c r="R550" s="27"/>
      <c r="S550" s="27"/>
      <c r="T550" s="27"/>
      <c r="U550" s="27"/>
      <c r="V550" s="27"/>
      <c r="W550" s="27"/>
      <c r="X550" s="27"/>
      <c r="Y550" s="27"/>
      <c r="Z550" s="27"/>
      <c r="AA550" s="5"/>
      <c r="AB550" s="5"/>
      <c r="AC550" s="5"/>
      <c r="AD550" s="5"/>
      <c r="AE550" s="5"/>
      <c r="AF550" s="5"/>
      <c r="AG550" s="5"/>
      <c r="AH550" s="27"/>
      <c r="AI550" s="27"/>
      <c r="AJ550" s="27"/>
      <c r="AK550" s="27" t="e">
        <f>IF(#REF!="","","0")</f>
        <v>#REF!</v>
      </c>
      <c r="AL550" s="6"/>
      <c r="AM550" s="27"/>
      <c r="AN550" s="27"/>
      <c r="AO550" s="27"/>
      <c r="AP550" s="27"/>
      <c r="AQ550" s="27"/>
      <c r="AR550" s="27"/>
      <c r="AS550" s="27"/>
      <c r="AT550" s="27"/>
      <c r="AU550" s="27"/>
      <c r="AV550" s="27"/>
      <c r="AW550" s="27"/>
      <c r="AX550" s="27"/>
      <c r="AY550" s="63"/>
      <c r="BA550" s="151" t="s">
        <v>2986</v>
      </c>
      <c r="BB550" s="150" t="s">
        <v>2985</v>
      </c>
    </row>
    <row r="551" spans="1:54" ht="16">
      <c r="A551" s="1">
        <v>349</v>
      </c>
      <c r="B551" s="43"/>
      <c r="C551" s="10"/>
      <c r="D551" s="5"/>
      <c r="E551" s="10"/>
      <c r="F551" s="5"/>
      <c r="G551" s="5"/>
      <c r="H551" s="5"/>
      <c r="I551" s="5"/>
      <c r="J551" s="5"/>
      <c r="K551" s="10"/>
      <c r="L551" s="10"/>
      <c r="M551" s="10"/>
      <c r="N551" s="5"/>
      <c r="O551" s="5"/>
      <c r="P551" s="27"/>
      <c r="Q551" s="27"/>
      <c r="R551" s="27"/>
      <c r="S551" s="27"/>
      <c r="T551" s="27"/>
      <c r="U551" s="27"/>
      <c r="V551" s="27"/>
      <c r="W551" s="27"/>
      <c r="X551" s="27"/>
      <c r="Y551" s="27"/>
      <c r="Z551" s="27"/>
      <c r="AA551" s="5"/>
      <c r="AB551" s="5"/>
      <c r="AC551" s="5"/>
      <c r="AD551" s="5"/>
      <c r="AE551" s="5"/>
      <c r="AF551" s="5"/>
      <c r="AG551" s="5"/>
      <c r="AH551" s="27"/>
      <c r="AI551" s="27"/>
      <c r="AJ551" s="27"/>
      <c r="AK551" s="27" t="e">
        <f>IF(#REF!="","","0")</f>
        <v>#REF!</v>
      </c>
      <c r="AL551" s="6"/>
      <c r="AM551" s="27"/>
      <c r="AN551" s="27"/>
      <c r="AO551" s="27"/>
      <c r="AP551" s="27"/>
      <c r="AQ551" s="27"/>
      <c r="AR551" s="27"/>
      <c r="AS551" s="27"/>
      <c r="AT551" s="27"/>
      <c r="AU551" s="27"/>
      <c r="AV551" s="27"/>
      <c r="AW551" s="27"/>
      <c r="AX551" s="27"/>
      <c r="AY551" s="63"/>
      <c r="BA551" s="151" t="s">
        <v>1828</v>
      </c>
      <c r="BB551" s="150" t="s">
        <v>2987</v>
      </c>
    </row>
    <row r="552" spans="1:54" ht="16">
      <c r="A552" s="1">
        <v>351</v>
      </c>
      <c r="B552" s="43"/>
      <c r="C552" s="10"/>
      <c r="D552" s="5"/>
      <c r="E552" s="10"/>
      <c r="F552" s="5"/>
      <c r="G552" s="5"/>
      <c r="H552" s="5"/>
      <c r="I552" s="5"/>
      <c r="J552" s="5"/>
      <c r="K552" s="10"/>
      <c r="L552" s="10"/>
      <c r="M552" s="10"/>
      <c r="N552" s="5"/>
      <c r="O552" s="5"/>
      <c r="P552" s="27"/>
      <c r="Q552" s="27"/>
      <c r="R552" s="27"/>
      <c r="S552" s="27"/>
      <c r="T552" s="27"/>
      <c r="U552" s="27"/>
      <c r="V552" s="27"/>
      <c r="W552" s="27"/>
      <c r="X552" s="27"/>
      <c r="Y552" s="27"/>
      <c r="Z552" s="27"/>
      <c r="AA552" s="5"/>
      <c r="AB552" s="5"/>
      <c r="AC552" s="5"/>
      <c r="AD552" s="5"/>
      <c r="AE552" s="5"/>
      <c r="AF552" s="5"/>
      <c r="AG552" s="5"/>
      <c r="AH552" s="27"/>
      <c r="AI552" s="27"/>
      <c r="AJ552" s="27"/>
      <c r="AK552" s="27" t="e">
        <f>IF(#REF!="","","0")</f>
        <v>#REF!</v>
      </c>
      <c r="AL552" s="6"/>
      <c r="AM552" s="27"/>
      <c r="AN552" s="27"/>
      <c r="AO552" s="27"/>
      <c r="AP552" s="27"/>
      <c r="AQ552" s="27"/>
      <c r="AR552" s="27"/>
      <c r="AS552" s="27"/>
      <c r="AT552" s="27"/>
      <c r="AU552" s="27"/>
      <c r="AV552" s="27"/>
      <c r="AW552" s="27"/>
      <c r="AX552" s="27"/>
      <c r="AY552" s="63"/>
      <c r="BA552" s="151" t="s">
        <v>2984</v>
      </c>
      <c r="BB552" s="150" t="s">
        <v>2988</v>
      </c>
    </row>
    <row r="553" spans="1:54" ht="16">
      <c r="A553" s="1">
        <v>353</v>
      </c>
      <c r="B553" s="43"/>
      <c r="C553" s="10"/>
      <c r="D553" s="5"/>
      <c r="E553" s="10"/>
      <c r="F553" s="5"/>
      <c r="G553" s="5"/>
      <c r="H553" s="5"/>
      <c r="I553" s="5"/>
      <c r="J553" s="5"/>
      <c r="K553" s="10"/>
      <c r="L553" s="10"/>
      <c r="M553" s="10"/>
      <c r="N553" s="5"/>
      <c r="O553" s="5"/>
      <c r="P553" s="27"/>
      <c r="Q553" s="27"/>
      <c r="R553" s="27"/>
      <c r="S553" s="27"/>
      <c r="T553" s="27"/>
      <c r="U553" s="27"/>
      <c r="V553" s="27"/>
      <c r="W553" s="27"/>
      <c r="X553" s="27"/>
      <c r="Y553" s="27"/>
      <c r="Z553" s="27"/>
      <c r="AA553" s="5"/>
      <c r="AB553" s="5"/>
      <c r="AC553" s="5"/>
      <c r="AD553" s="5"/>
      <c r="AE553" s="5"/>
      <c r="AF553" s="5"/>
      <c r="AG553" s="5"/>
      <c r="AH553" s="27"/>
      <c r="AI553" s="27"/>
      <c r="AJ553" s="27"/>
      <c r="AK553" s="27" t="e">
        <f>IF(#REF!="","","0")</f>
        <v>#REF!</v>
      </c>
      <c r="AL553" s="6"/>
      <c r="AM553" s="27"/>
      <c r="AN553" s="27"/>
      <c r="AO553" s="27"/>
      <c r="AP553" s="27"/>
      <c r="AQ553" s="27"/>
      <c r="AR553" s="27"/>
      <c r="AS553" s="27"/>
      <c r="AT553" s="27"/>
      <c r="AU553" s="27"/>
      <c r="AV553" s="27"/>
      <c r="AW553" s="27"/>
      <c r="AX553" s="27"/>
      <c r="AY553" s="63"/>
      <c r="BA553" s="151" t="s">
        <v>1826</v>
      </c>
      <c r="BB553" s="150" t="s">
        <v>2989</v>
      </c>
    </row>
    <row r="554" spans="1:54" ht="16">
      <c r="A554" s="1">
        <v>355</v>
      </c>
      <c r="B554" s="43"/>
      <c r="C554" s="10"/>
      <c r="D554" s="5"/>
      <c r="E554" s="10"/>
      <c r="F554" s="5"/>
      <c r="G554" s="5"/>
      <c r="H554" s="5"/>
      <c r="I554" s="5"/>
      <c r="J554" s="5"/>
      <c r="K554" s="10"/>
      <c r="L554" s="10"/>
      <c r="M554" s="10"/>
      <c r="N554" s="5"/>
      <c r="O554" s="5"/>
      <c r="P554" s="27"/>
      <c r="Q554" s="27"/>
      <c r="R554" s="27"/>
      <c r="S554" s="27"/>
      <c r="T554" s="27"/>
      <c r="U554" s="27"/>
      <c r="V554" s="27"/>
      <c r="W554" s="27"/>
      <c r="X554" s="27"/>
      <c r="Y554" s="27"/>
      <c r="Z554" s="27"/>
      <c r="AA554" s="5"/>
      <c r="AB554" s="5"/>
      <c r="AC554" s="5"/>
      <c r="AD554" s="5"/>
      <c r="AE554" s="5"/>
      <c r="AF554" s="5"/>
      <c r="AG554" s="5"/>
      <c r="AH554" s="27"/>
      <c r="AI554" s="27"/>
      <c r="AJ554" s="27"/>
      <c r="AK554" s="27" t="e">
        <f>IF(#REF!="","","0")</f>
        <v>#REF!</v>
      </c>
      <c r="AL554" s="6"/>
      <c r="AM554" s="27"/>
      <c r="AN554" s="27"/>
      <c r="AO554" s="27"/>
      <c r="AP554" s="27"/>
      <c r="AQ554" s="27"/>
      <c r="AR554" s="27"/>
      <c r="AS554" s="27"/>
      <c r="AT554" s="27"/>
      <c r="AU554" s="27"/>
      <c r="AV554" s="27"/>
      <c r="AW554" s="27"/>
      <c r="AX554" s="27"/>
      <c r="AY554" s="63"/>
      <c r="BA554" s="151" t="s">
        <v>2991</v>
      </c>
      <c r="BB554" s="150" t="s">
        <v>2990</v>
      </c>
    </row>
    <row r="555" spans="1:54" ht="16">
      <c r="A555" s="1">
        <v>357</v>
      </c>
      <c r="B555" s="43"/>
      <c r="C555" s="10"/>
      <c r="D555" s="5"/>
      <c r="E555" s="10"/>
      <c r="F555" s="5"/>
      <c r="G555" s="5"/>
      <c r="H555" s="5"/>
      <c r="I555" s="5"/>
      <c r="J555" s="5"/>
      <c r="K555" s="10"/>
      <c r="L555" s="10"/>
      <c r="M555" s="10"/>
      <c r="N555" s="5"/>
      <c r="O555" s="5"/>
      <c r="P555" s="27"/>
      <c r="Q555" s="27"/>
      <c r="R555" s="27"/>
      <c r="S555" s="27"/>
      <c r="T555" s="27"/>
      <c r="U555" s="27"/>
      <c r="V555" s="27"/>
      <c r="W555" s="27"/>
      <c r="X555" s="27"/>
      <c r="Y555" s="27"/>
      <c r="Z555" s="27"/>
      <c r="AA555" s="5"/>
      <c r="AB555" s="5"/>
      <c r="AC555" s="5"/>
      <c r="AD555" s="5"/>
      <c r="AE555" s="5"/>
      <c r="AF555" s="5"/>
      <c r="AG555" s="5"/>
      <c r="AH555" s="27"/>
      <c r="AI555" s="27"/>
      <c r="AJ555" s="27"/>
      <c r="AK555" s="27" t="e">
        <f>IF(#REF!="","","0")</f>
        <v>#REF!</v>
      </c>
      <c r="AL555" s="6"/>
      <c r="AM555" s="27"/>
      <c r="AN555" s="27"/>
      <c r="AO555" s="27"/>
      <c r="AP555" s="27"/>
      <c r="AQ555" s="27"/>
      <c r="AR555" s="27"/>
      <c r="AS555" s="27"/>
      <c r="AT555" s="27"/>
      <c r="AU555" s="27"/>
      <c r="AV555" s="27"/>
      <c r="AW555" s="27"/>
      <c r="AX555" s="27"/>
      <c r="AY555" s="63"/>
      <c r="BA555" s="151" t="s">
        <v>2993</v>
      </c>
      <c r="BB555" s="150" t="s">
        <v>2992</v>
      </c>
    </row>
    <row r="556" spans="1:54" ht="16">
      <c r="A556" s="1">
        <v>359</v>
      </c>
      <c r="B556" s="43"/>
      <c r="C556" s="10"/>
      <c r="D556" s="5"/>
      <c r="E556" s="10"/>
      <c r="F556" s="5"/>
      <c r="G556" s="5"/>
      <c r="H556" s="5"/>
      <c r="I556" s="5"/>
      <c r="J556" s="5"/>
      <c r="K556" s="10"/>
      <c r="L556" s="10"/>
      <c r="M556" s="10"/>
      <c r="N556" s="5"/>
      <c r="O556" s="5"/>
      <c r="P556" s="27"/>
      <c r="Q556" s="27"/>
      <c r="R556" s="27"/>
      <c r="S556" s="27"/>
      <c r="T556" s="27"/>
      <c r="U556" s="27"/>
      <c r="V556" s="27"/>
      <c r="W556" s="27"/>
      <c r="X556" s="27"/>
      <c r="Y556" s="27"/>
      <c r="Z556" s="27"/>
      <c r="AA556" s="5"/>
      <c r="AB556" s="5"/>
      <c r="AC556" s="5"/>
      <c r="AD556" s="5"/>
      <c r="AE556" s="5"/>
      <c r="AF556" s="5"/>
      <c r="AG556" s="5"/>
      <c r="AH556" s="27"/>
      <c r="AI556" s="27"/>
      <c r="AJ556" s="27"/>
      <c r="AK556" s="27" t="e">
        <f>IF(#REF!="","","0")</f>
        <v>#REF!</v>
      </c>
      <c r="AL556" s="6"/>
      <c r="AM556" s="27"/>
      <c r="AN556" s="27"/>
      <c r="AO556" s="27"/>
      <c r="AP556" s="27"/>
      <c r="AQ556" s="27"/>
      <c r="AR556" s="27"/>
      <c r="AS556" s="27"/>
      <c r="AT556" s="27"/>
      <c r="AU556" s="27"/>
      <c r="AV556" s="27"/>
      <c r="AW556" s="27"/>
      <c r="AX556" s="27"/>
      <c r="AY556" s="63"/>
      <c r="BA556" s="151" t="s">
        <v>1825</v>
      </c>
      <c r="BB556" s="150" t="s">
        <v>2994</v>
      </c>
    </row>
    <row r="557" spans="1:54" ht="16">
      <c r="A557" s="1">
        <v>361</v>
      </c>
      <c r="B557" s="43"/>
      <c r="C557" s="10"/>
      <c r="D557" s="5"/>
      <c r="E557" s="10"/>
      <c r="F557" s="5"/>
      <c r="G557" s="5"/>
      <c r="H557" s="5"/>
      <c r="I557" s="5"/>
      <c r="J557" s="5"/>
      <c r="K557" s="10"/>
      <c r="L557" s="10"/>
      <c r="M557" s="10"/>
      <c r="N557" s="5"/>
      <c r="O557" s="5"/>
      <c r="P557" s="27"/>
      <c r="Q557" s="27"/>
      <c r="R557" s="27"/>
      <c r="S557" s="27"/>
      <c r="T557" s="27"/>
      <c r="U557" s="27"/>
      <c r="V557" s="27"/>
      <c r="W557" s="27"/>
      <c r="X557" s="27"/>
      <c r="Y557" s="27"/>
      <c r="Z557" s="27"/>
      <c r="AA557" s="5"/>
      <c r="AB557" s="5"/>
      <c r="AC557" s="5"/>
      <c r="AD557" s="5"/>
      <c r="AE557" s="5"/>
      <c r="AF557" s="5"/>
      <c r="AG557" s="5"/>
      <c r="AH557" s="27"/>
      <c r="AI557" s="27"/>
      <c r="AJ557" s="27"/>
      <c r="AK557" s="27" t="e">
        <f>IF(#REF!="","","0")</f>
        <v>#REF!</v>
      </c>
      <c r="AL557" s="6"/>
      <c r="AM557" s="27"/>
      <c r="AN557" s="27"/>
      <c r="AO557" s="27"/>
      <c r="AP557" s="27"/>
      <c r="AQ557" s="27"/>
      <c r="AR557" s="27"/>
      <c r="AS557" s="27"/>
      <c r="AT557" s="27"/>
      <c r="AU557" s="27"/>
      <c r="AV557" s="27"/>
      <c r="AW557" s="27"/>
      <c r="AX557" s="27"/>
      <c r="AY557" s="63"/>
      <c r="BA557" s="151" t="s">
        <v>2996</v>
      </c>
      <c r="BB557" s="150" t="s">
        <v>2995</v>
      </c>
    </row>
    <row r="558" spans="1:54" ht="16">
      <c r="A558" s="1">
        <v>363</v>
      </c>
      <c r="B558" s="43"/>
      <c r="C558" s="10"/>
      <c r="D558" s="5"/>
      <c r="E558" s="10"/>
      <c r="F558" s="5"/>
      <c r="G558" s="5"/>
      <c r="H558" s="5"/>
      <c r="I558" s="5"/>
      <c r="J558" s="5"/>
      <c r="K558" s="10"/>
      <c r="L558" s="10"/>
      <c r="M558" s="10"/>
      <c r="N558" s="5"/>
      <c r="O558" s="5"/>
      <c r="P558" s="27"/>
      <c r="Q558" s="27"/>
      <c r="R558" s="27"/>
      <c r="S558" s="27"/>
      <c r="T558" s="27"/>
      <c r="U558" s="27"/>
      <c r="V558" s="27"/>
      <c r="W558" s="27"/>
      <c r="X558" s="27"/>
      <c r="Y558" s="27"/>
      <c r="Z558" s="27"/>
      <c r="AA558" s="5"/>
      <c r="AB558" s="5"/>
      <c r="AC558" s="5"/>
      <c r="AD558" s="5"/>
      <c r="AE558" s="5"/>
      <c r="AF558" s="5"/>
      <c r="AG558" s="5"/>
      <c r="AH558" s="27"/>
      <c r="AI558" s="27"/>
      <c r="AJ558" s="27"/>
      <c r="AK558" s="27" t="e">
        <f>IF(#REF!="","","0")</f>
        <v>#REF!</v>
      </c>
      <c r="AL558" s="6"/>
      <c r="AM558" s="27"/>
      <c r="AN558" s="27"/>
      <c r="AO558" s="27"/>
      <c r="AP558" s="27"/>
      <c r="AQ558" s="27"/>
      <c r="AR558" s="27"/>
      <c r="AS558" s="27"/>
      <c r="AT558" s="27"/>
      <c r="AU558" s="27"/>
      <c r="AV558" s="27"/>
      <c r="AW558" s="27"/>
      <c r="AX558" s="27"/>
      <c r="AY558" s="63"/>
      <c r="BA558" s="151" t="s">
        <v>2998</v>
      </c>
      <c r="BB558" s="150" t="s">
        <v>2997</v>
      </c>
    </row>
    <row r="559" spans="1:54" ht="16">
      <c r="A559" s="1">
        <v>365</v>
      </c>
      <c r="B559" s="43"/>
      <c r="C559" s="10"/>
      <c r="D559" s="5"/>
      <c r="E559" s="10"/>
      <c r="F559" s="5"/>
      <c r="G559" s="5"/>
      <c r="H559" s="5"/>
      <c r="I559" s="5"/>
      <c r="J559" s="5"/>
      <c r="K559" s="10"/>
      <c r="L559" s="10"/>
      <c r="M559" s="10"/>
      <c r="N559" s="5"/>
      <c r="O559" s="5"/>
      <c r="P559" s="27"/>
      <c r="Q559" s="27"/>
      <c r="R559" s="27"/>
      <c r="S559" s="27"/>
      <c r="T559" s="27"/>
      <c r="U559" s="27"/>
      <c r="V559" s="27"/>
      <c r="W559" s="27"/>
      <c r="X559" s="27"/>
      <c r="Y559" s="27"/>
      <c r="Z559" s="27"/>
      <c r="AA559" s="5"/>
      <c r="AB559" s="5"/>
      <c r="AC559" s="5"/>
      <c r="AD559" s="5"/>
      <c r="AE559" s="5"/>
      <c r="AF559" s="5"/>
      <c r="AG559" s="5"/>
      <c r="AH559" s="27"/>
      <c r="AI559" s="27"/>
      <c r="AJ559" s="27"/>
      <c r="AK559" s="27" t="e">
        <f>IF(#REF!="","","0")</f>
        <v>#REF!</v>
      </c>
      <c r="AL559" s="6"/>
      <c r="AM559" s="27"/>
      <c r="AN559" s="27"/>
      <c r="AO559" s="27"/>
      <c r="AP559" s="27"/>
      <c r="AQ559" s="27"/>
      <c r="AR559" s="27"/>
      <c r="AS559" s="27"/>
      <c r="AT559" s="27"/>
      <c r="AU559" s="27"/>
      <c r="AV559" s="27"/>
      <c r="AW559" s="27"/>
      <c r="AX559" s="27"/>
      <c r="AY559" s="63"/>
      <c r="BA559" s="151" t="s">
        <v>3000</v>
      </c>
      <c r="BB559" s="150" t="s">
        <v>2999</v>
      </c>
    </row>
    <row r="560" spans="1:54" ht="16">
      <c r="A560" s="1">
        <v>367</v>
      </c>
      <c r="B560" s="43"/>
      <c r="C560" s="10"/>
      <c r="D560" s="5"/>
      <c r="E560" s="10"/>
      <c r="F560" s="5"/>
      <c r="G560" s="5"/>
      <c r="H560" s="5"/>
      <c r="I560" s="5"/>
      <c r="J560" s="5"/>
      <c r="K560" s="10"/>
      <c r="L560" s="10"/>
      <c r="M560" s="10"/>
      <c r="N560" s="5"/>
      <c r="O560" s="5"/>
      <c r="P560" s="27"/>
      <c r="Q560" s="27"/>
      <c r="R560" s="27"/>
      <c r="S560" s="27"/>
      <c r="T560" s="27"/>
      <c r="U560" s="27"/>
      <c r="V560" s="27"/>
      <c r="W560" s="27"/>
      <c r="X560" s="27"/>
      <c r="Y560" s="27"/>
      <c r="Z560" s="27"/>
      <c r="AA560" s="5"/>
      <c r="AB560" s="5"/>
      <c r="AC560" s="5"/>
      <c r="AD560" s="5"/>
      <c r="AE560" s="5"/>
      <c r="AF560" s="5"/>
      <c r="AG560" s="5"/>
      <c r="AH560" s="27"/>
      <c r="AI560" s="27"/>
      <c r="AJ560" s="27"/>
      <c r="AK560" s="27" t="e">
        <f>IF(#REF!="","","0")</f>
        <v>#REF!</v>
      </c>
      <c r="AL560" s="6"/>
      <c r="AM560" s="27"/>
      <c r="AN560" s="27"/>
      <c r="AO560" s="27"/>
      <c r="AP560" s="27"/>
      <c r="AQ560" s="27"/>
      <c r="AR560" s="27"/>
      <c r="AS560" s="27"/>
      <c r="AT560" s="27"/>
      <c r="AU560" s="27"/>
      <c r="AV560" s="27"/>
      <c r="AW560" s="27"/>
      <c r="AX560" s="27"/>
      <c r="AY560" s="63"/>
      <c r="BA560" s="151" t="s">
        <v>3002</v>
      </c>
      <c r="BB560" s="150" t="s">
        <v>3001</v>
      </c>
    </row>
    <row r="561" spans="1:51">
      <c r="A561" s="1">
        <v>369</v>
      </c>
      <c r="B561" s="43"/>
      <c r="C561" s="10"/>
      <c r="D561" s="5"/>
      <c r="E561" s="10"/>
      <c r="F561" s="5"/>
      <c r="G561" s="5"/>
      <c r="H561" s="5"/>
      <c r="I561" s="5"/>
      <c r="J561" s="5"/>
      <c r="K561" s="10"/>
      <c r="L561" s="10"/>
      <c r="M561" s="10"/>
      <c r="N561" s="5"/>
      <c r="O561" s="5"/>
      <c r="P561" s="27"/>
      <c r="Q561" s="27"/>
      <c r="R561" s="27"/>
      <c r="S561" s="27"/>
      <c r="T561" s="27"/>
      <c r="U561" s="27"/>
      <c r="V561" s="27"/>
      <c r="W561" s="27"/>
      <c r="X561" s="27"/>
      <c r="Y561" s="27"/>
      <c r="Z561" s="27"/>
      <c r="AA561" s="5"/>
      <c r="AB561" s="5"/>
      <c r="AC561" s="5"/>
      <c r="AD561" s="5"/>
      <c r="AE561" s="5"/>
      <c r="AF561" s="5"/>
      <c r="AG561" s="5"/>
      <c r="AH561" s="27"/>
      <c r="AI561" s="27"/>
      <c r="AJ561" s="27"/>
      <c r="AK561" s="27" t="str">
        <f t="shared" si="782"/>
        <v/>
      </c>
      <c r="AL561" s="6"/>
      <c r="AM561" s="27"/>
      <c r="AN561" s="27"/>
      <c r="AO561" s="27"/>
      <c r="AP561" s="27"/>
      <c r="AQ561" s="27"/>
      <c r="AR561" s="27"/>
      <c r="AS561" s="27"/>
      <c r="AT561" s="27"/>
      <c r="AU561" s="27"/>
      <c r="AV561" s="27"/>
      <c r="AW561" s="27"/>
      <c r="AX561" s="27"/>
      <c r="AY561" s="63"/>
    </row>
    <row r="562" spans="1:51">
      <c r="A562" s="1">
        <v>370</v>
      </c>
      <c r="B562" s="43"/>
      <c r="C562" s="10"/>
      <c r="D562" s="5"/>
      <c r="E562" s="10"/>
      <c r="F562" s="5"/>
      <c r="G562" s="5"/>
      <c r="H562" s="5"/>
      <c r="I562" s="5"/>
      <c r="J562" s="5"/>
      <c r="K562" s="10"/>
      <c r="L562" s="10"/>
      <c r="M562" s="10"/>
      <c r="N562" s="5"/>
      <c r="O562" s="5"/>
      <c r="P562" s="27"/>
      <c r="Q562" s="27"/>
      <c r="R562" s="27"/>
      <c r="S562" s="27"/>
      <c r="T562" s="27"/>
      <c r="U562" s="27"/>
      <c r="V562" s="27"/>
      <c r="W562" s="27"/>
      <c r="X562" s="27"/>
      <c r="Y562" s="27"/>
      <c r="Z562" s="27"/>
      <c r="AA562" s="5"/>
      <c r="AB562" s="5"/>
      <c r="AC562" s="5"/>
      <c r="AD562" s="5"/>
      <c r="AE562" s="5"/>
      <c r="AF562" s="5"/>
      <c r="AG562" s="5"/>
      <c r="AH562" s="27"/>
      <c r="AI562" s="27"/>
      <c r="AJ562" s="27"/>
      <c r="AK562" s="27" t="str">
        <f t="shared" si="782"/>
        <v/>
      </c>
      <c r="AL562" s="6"/>
      <c r="AM562" s="27"/>
      <c r="AN562" s="27"/>
      <c r="AO562" s="27"/>
      <c r="AP562" s="27"/>
      <c r="AQ562" s="27"/>
      <c r="AR562" s="27"/>
      <c r="AS562" s="27"/>
      <c r="AT562" s="27"/>
      <c r="AU562" s="27"/>
      <c r="AV562" s="27"/>
      <c r="AW562" s="27"/>
      <c r="AX562" s="27"/>
      <c r="AY562" s="63"/>
    </row>
    <row r="563" spans="1:51">
      <c r="A563" s="1">
        <v>371</v>
      </c>
      <c r="B563" s="43"/>
      <c r="C563" s="10"/>
      <c r="D563" s="5"/>
      <c r="E563" s="10"/>
      <c r="F563" s="5"/>
      <c r="G563" s="5"/>
      <c r="H563" s="5"/>
      <c r="I563" s="5"/>
      <c r="J563" s="5"/>
      <c r="K563" s="10"/>
      <c r="L563" s="10"/>
      <c r="M563" s="10"/>
      <c r="N563" s="5"/>
      <c r="O563" s="5"/>
      <c r="P563" s="27"/>
      <c r="Q563" s="27"/>
      <c r="R563" s="27"/>
      <c r="S563" s="27"/>
      <c r="T563" s="27"/>
      <c r="U563" s="27"/>
      <c r="V563" s="27"/>
      <c r="W563" s="27"/>
      <c r="X563" s="27"/>
      <c r="Y563" s="27"/>
      <c r="Z563" s="27"/>
      <c r="AA563" s="5"/>
      <c r="AB563" s="5"/>
      <c r="AC563" s="5"/>
      <c r="AD563" s="5"/>
      <c r="AE563" s="5"/>
      <c r="AF563" s="5"/>
      <c r="AG563" s="5"/>
      <c r="AH563" s="27"/>
      <c r="AI563" s="27"/>
      <c r="AJ563" s="27"/>
      <c r="AK563" s="27" t="str">
        <f t="shared" si="782"/>
        <v/>
      </c>
      <c r="AL563" s="6"/>
      <c r="AM563" s="27"/>
      <c r="AN563" s="27"/>
      <c r="AO563" s="27"/>
      <c r="AP563" s="27"/>
      <c r="AQ563" s="27"/>
      <c r="AR563" s="27"/>
      <c r="AS563" s="27"/>
      <c r="AT563" s="27"/>
      <c r="AU563" s="27"/>
      <c r="AV563" s="27"/>
      <c r="AW563" s="27"/>
      <c r="AX563" s="27"/>
      <c r="AY563" s="63"/>
    </row>
    <row r="564" spans="1:51">
      <c r="A564" s="1">
        <v>372</v>
      </c>
      <c r="B564" s="43"/>
      <c r="C564" s="10"/>
      <c r="D564" s="5"/>
      <c r="E564" s="10"/>
      <c r="F564" s="5"/>
      <c r="G564" s="5"/>
      <c r="H564" s="5"/>
      <c r="I564" s="5"/>
      <c r="J564" s="5"/>
      <c r="K564" s="10"/>
      <c r="L564" s="10"/>
      <c r="M564" s="10"/>
      <c r="N564" s="5"/>
      <c r="O564" s="5"/>
      <c r="P564" s="27"/>
      <c r="Q564" s="27"/>
      <c r="R564" s="27"/>
      <c r="S564" s="27"/>
      <c r="T564" s="27"/>
      <c r="U564" s="27"/>
      <c r="V564" s="27"/>
      <c r="W564" s="27"/>
      <c r="X564" s="27"/>
      <c r="Y564" s="27"/>
      <c r="Z564" s="27"/>
      <c r="AA564" s="5"/>
      <c r="AB564" s="5"/>
      <c r="AC564" s="5"/>
      <c r="AD564" s="5"/>
      <c r="AE564" s="5"/>
      <c r="AF564" s="5"/>
      <c r="AG564" s="5"/>
      <c r="AH564" s="27"/>
      <c r="AI564" s="27"/>
      <c r="AJ564" s="27"/>
      <c r="AK564" s="27" t="str">
        <f t="shared" si="782"/>
        <v/>
      </c>
      <c r="AL564" s="6"/>
      <c r="AM564" s="27"/>
      <c r="AN564" s="27"/>
      <c r="AO564" s="27"/>
      <c r="AP564" s="27"/>
      <c r="AQ564" s="27"/>
      <c r="AR564" s="27"/>
      <c r="AS564" s="27"/>
      <c r="AT564" s="27"/>
      <c r="AU564" s="27"/>
      <c r="AV564" s="27"/>
      <c r="AW564" s="27"/>
      <c r="AX564" s="27"/>
      <c r="AY564" s="63"/>
    </row>
    <row r="565" spans="1:51">
      <c r="A565" s="1">
        <v>373</v>
      </c>
      <c r="B565" s="43"/>
      <c r="C565" s="10"/>
      <c r="D565" s="5"/>
      <c r="E565" s="10"/>
      <c r="F565" s="5"/>
      <c r="G565" s="5"/>
      <c r="H565" s="5"/>
      <c r="I565" s="5"/>
      <c r="J565" s="5"/>
      <c r="K565" s="10"/>
      <c r="L565" s="10"/>
      <c r="M565" s="10"/>
      <c r="N565" s="5"/>
      <c r="O565" s="5"/>
      <c r="P565" s="27"/>
      <c r="Q565" s="27"/>
      <c r="R565" s="27"/>
      <c r="S565" s="27"/>
      <c r="T565" s="27"/>
      <c r="U565" s="27"/>
      <c r="V565" s="27"/>
      <c r="W565" s="27"/>
      <c r="X565" s="27"/>
      <c r="Y565" s="27"/>
      <c r="Z565" s="27"/>
      <c r="AA565" s="5"/>
      <c r="AB565" s="5"/>
      <c r="AC565" s="5"/>
      <c r="AD565" s="5"/>
      <c r="AE565" s="5"/>
      <c r="AF565" s="5"/>
      <c r="AG565" s="5"/>
      <c r="AH565" s="27"/>
      <c r="AI565" s="27"/>
      <c r="AJ565" s="27"/>
      <c r="AK565" s="27" t="str">
        <f t="shared" si="782"/>
        <v/>
      </c>
      <c r="AL565" s="6"/>
      <c r="AM565" s="27"/>
      <c r="AN565" s="27"/>
      <c r="AO565" s="27"/>
      <c r="AP565" s="27"/>
      <c r="AQ565" s="27"/>
      <c r="AR565" s="27"/>
      <c r="AS565" s="27"/>
      <c r="AT565" s="27"/>
      <c r="AU565" s="27"/>
      <c r="AV565" s="27"/>
      <c r="AW565" s="27"/>
      <c r="AX565" s="27"/>
      <c r="AY565" s="63"/>
    </row>
    <row r="566" spans="1:51">
      <c r="A566" s="1">
        <v>374</v>
      </c>
      <c r="B566" s="43"/>
      <c r="C566" s="10"/>
      <c r="D566" s="5"/>
      <c r="E566" s="10"/>
      <c r="F566" s="5"/>
      <c r="G566" s="5"/>
      <c r="H566" s="5"/>
      <c r="I566" s="5"/>
      <c r="J566" s="5"/>
      <c r="K566" s="10"/>
      <c r="L566" s="10"/>
      <c r="M566" s="10"/>
      <c r="N566" s="5"/>
      <c r="O566" s="5"/>
      <c r="P566" s="27"/>
      <c r="Q566" s="27"/>
      <c r="R566" s="27"/>
      <c r="S566" s="27"/>
      <c r="T566" s="27"/>
      <c r="U566" s="27"/>
      <c r="V566" s="27"/>
      <c r="W566" s="27"/>
      <c r="X566" s="27"/>
      <c r="Y566" s="27"/>
      <c r="Z566" s="27"/>
      <c r="AA566" s="5"/>
      <c r="AB566" s="5"/>
      <c r="AC566" s="5"/>
      <c r="AD566" s="5"/>
      <c r="AE566" s="5"/>
      <c r="AF566" s="5"/>
      <c r="AG566" s="5"/>
      <c r="AH566" s="27"/>
      <c r="AI566" s="27"/>
      <c r="AJ566" s="27"/>
      <c r="AK566" s="27" t="str">
        <f t="shared" si="782"/>
        <v/>
      </c>
      <c r="AL566" s="6"/>
      <c r="AM566" s="27"/>
      <c r="AN566" s="27"/>
      <c r="AO566" s="27"/>
      <c r="AP566" s="27"/>
      <c r="AQ566" s="27"/>
      <c r="AR566" s="27"/>
      <c r="AS566" s="27"/>
      <c r="AT566" s="27"/>
      <c r="AU566" s="27"/>
      <c r="AV566" s="27"/>
      <c r="AW566" s="27"/>
      <c r="AX566" s="27"/>
      <c r="AY566" s="63"/>
    </row>
    <row r="567" spans="1:51">
      <c r="A567" s="1">
        <v>375</v>
      </c>
      <c r="B567" s="43"/>
      <c r="C567" s="10"/>
      <c r="D567" s="5"/>
      <c r="E567" s="10"/>
      <c r="F567" s="5"/>
      <c r="G567" s="5"/>
      <c r="H567" s="5"/>
      <c r="I567" s="5"/>
      <c r="J567" s="5"/>
      <c r="K567" s="10"/>
      <c r="L567" s="10"/>
      <c r="M567" s="10"/>
      <c r="N567" s="5"/>
      <c r="O567" s="5"/>
      <c r="P567" s="27"/>
      <c r="Q567" s="27"/>
      <c r="R567" s="27"/>
      <c r="S567" s="27"/>
      <c r="T567" s="27"/>
      <c r="U567" s="27"/>
      <c r="V567" s="27"/>
      <c r="W567" s="27"/>
      <c r="X567" s="27"/>
      <c r="Y567" s="27"/>
      <c r="Z567" s="27"/>
      <c r="AA567" s="5"/>
      <c r="AB567" s="5"/>
      <c r="AC567" s="5"/>
      <c r="AD567" s="5"/>
      <c r="AE567" s="5"/>
      <c r="AF567" s="5"/>
      <c r="AG567" s="5"/>
      <c r="AH567" s="27"/>
      <c r="AI567" s="27"/>
      <c r="AJ567" s="27"/>
      <c r="AK567" s="27" t="str">
        <f t="shared" si="782"/>
        <v/>
      </c>
      <c r="AL567" s="6"/>
      <c r="AM567" s="27"/>
      <c r="AN567" s="27"/>
      <c r="AO567" s="27"/>
      <c r="AP567" s="27"/>
      <c r="AQ567" s="27"/>
      <c r="AR567" s="27"/>
      <c r="AS567" s="27"/>
      <c r="AT567" s="27"/>
      <c r="AU567" s="27"/>
      <c r="AV567" s="27"/>
      <c r="AW567" s="27"/>
      <c r="AX567" s="27"/>
      <c r="AY567" s="63"/>
    </row>
    <row r="568" spans="1:51">
      <c r="A568" s="1">
        <v>376</v>
      </c>
      <c r="B568" s="43"/>
      <c r="C568" s="10"/>
      <c r="D568" s="5"/>
      <c r="E568" s="10"/>
      <c r="F568" s="5"/>
      <c r="G568" s="5"/>
      <c r="H568" s="5"/>
      <c r="I568" s="5"/>
      <c r="J568" s="5"/>
      <c r="K568" s="10"/>
      <c r="L568" s="10"/>
      <c r="M568" s="10"/>
      <c r="N568" s="5"/>
      <c r="O568" s="5"/>
      <c r="P568" s="27"/>
      <c r="Q568" s="27"/>
      <c r="R568" s="27"/>
      <c r="S568" s="27"/>
      <c r="T568" s="27"/>
      <c r="U568" s="27"/>
      <c r="V568" s="27"/>
      <c r="W568" s="27"/>
      <c r="X568" s="27"/>
      <c r="Y568" s="27"/>
      <c r="Z568" s="27"/>
      <c r="AA568" s="5"/>
      <c r="AB568" s="5"/>
      <c r="AC568" s="5"/>
      <c r="AD568" s="5"/>
      <c r="AE568" s="5"/>
      <c r="AF568" s="5"/>
      <c r="AG568" s="5"/>
      <c r="AH568" s="27"/>
      <c r="AI568" s="27"/>
      <c r="AJ568" s="27"/>
      <c r="AK568" s="27" t="str">
        <f t="shared" si="782"/>
        <v/>
      </c>
      <c r="AL568" s="6"/>
      <c r="AM568" s="27"/>
      <c r="AN568" s="27"/>
      <c r="AO568" s="27"/>
      <c r="AP568" s="27"/>
      <c r="AQ568" s="27"/>
      <c r="AR568" s="27"/>
      <c r="AS568" s="27"/>
      <c r="AT568" s="27"/>
      <c r="AU568" s="27"/>
      <c r="AV568" s="27"/>
      <c r="AW568" s="27"/>
      <c r="AX568" s="27"/>
      <c r="AY568" s="63"/>
    </row>
    <row r="569" spans="1:51">
      <c r="A569" s="1">
        <v>377</v>
      </c>
      <c r="B569" s="43"/>
      <c r="C569" s="10"/>
      <c r="D569" s="5"/>
      <c r="E569" s="10"/>
      <c r="F569" s="5"/>
      <c r="G569" s="5"/>
      <c r="H569" s="5"/>
      <c r="I569" s="5"/>
      <c r="J569" s="5"/>
      <c r="K569" s="10"/>
      <c r="L569" s="10"/>
      <c r="M569" s="10"/>
      <c r="N569" s="5"/>
      <c r="O569" s="5"/>
      <c r="P569" s="27"/>
      <c r="Q569" s="27"/>
      <c r="R569" s="27"/>
      <c r="S569" s="27"/>
      <c r="T569" s="27"/>
      <c r="U569" s="27"/>
      <c r="V569" s="27"/>
      <c r="W569" s="27"/>
      <c r="X569" s="27"/>
      <c r="Y569" s="27"/>
      <c r="Z569" s="27"/>
      <c r="AA569" s="5"/>
      <c r="AB569" s="5"/>
      <c r="AC569" s="5"/>
      <c r="AD569" s="5"/>
      <c r="AE569" s="5"/>
      <c r="AF569" s="5"/>
      <c r="AG569" s="5"/>
      <c r="AH569" s="27"/>
      <c r="AI569" s="27"/>
      <c r="AJ569" s="27"/>
      <c r="AK569" s="27" t="str">
        <f t="shared" si="782"/>
        <v/>
      </c>
      <c r="AL569" s="6"/>
      <c r="AM569" s="27"/>
      <c r="AN569" s="27"/>
      <c r="AO569" s="27"/>
      <c r="AP569" s="27"/>
      <c r="AQ569" s="27"/>
      <c r="AR569" s="27"/>
      <c r="AS569" s="27"/>
      <c r="AT569" s="27"/>
      <c r="AU569" s="27"/>
      <c r="AV569" s="27"/>
      <c r="AW569" s="27"/>
      <c r="AX569" s="27"/>
      <c r="AY569" s="63"/>
    </row>
    <row r="570" spans="1:51">
      <c r="A570" s="1">
        <v>378</v>
      </c>
      <c r="B570" s="43"/>
      <c r="C570" s="10"/>
      <c r="D570" s="5"/>
      <c r="E570" s="10"/>
      <c r="F570" s="5"/>
      <c r="G570" s="5"/>
      <c r="H570" s="5"/>
      <c r="I570" s="5"/>
      <c r="J570" s="5"/>
      <c r="K570" s="10"/>
      <c r="L570" s="10"/>
      <c r="M570" s="10"/>
      <c r="N570" s="5"/>
      <c r="O570" s="5"/>
      <c r="P570" s="27"/>
      <c r="Q570" s="27"/>
      <c r="R570" s="27"/>
      <c r="S570" s="27"/>
      <c r="T570" s="27"/>
      <c r="U570" s="27"/>
      <c r="V570" s="27"/>
      <c r="W570" s="27"/>
      <c r="X570" s="27"/>
      <c r="Y570" s="27"/>
      <c r="Z570" s="27"/>
      <c r="AA570" s="5"/>
      <c r="AB570" s="5"/>
      <c r="AC570" s="5"/>
      <c r="AD570" s="5"/>
      <c r="AE570" s="5"/>
      <c r="AF570" s="5"/>
      <c r="AG570" s="5"/>
      <c r="AH570" s="27"/>
      <c r="AI570" s="27"/>
      <c r="AJ570" s="27"/>
      <c r="AK570" s="27" t="str">
        <f t="shared" si="782"/>
        <v/>
      </c>
      <c r="AL570" s="6"/>
      <c r="AM570" s="27"/>
      <c r="AN570" s="27"/>
      <c r="AO570" s="27"/>
      <c r="AP570" s="27"/>
      <c r="AQ570" s="27"/>
      <c r="AR570" s="27"/>
      <c r="AS570" s="27"/>
      <c r="AT570" s="27"/>
      <c r="AU570" s="27"/>
      <c r="AV570" s="27"/>
      <c r="AW570" s="27"/>
      <c r="AX570" s="27"/>
      <c r="AY570" s="63"/>
    </row>
    <row r="571" spans="1:51">
      <c r="A571" s="1">
        <v>379</v>
      </c>
      <c r="B571" s="43"/>
      <c r="C571" s="10"/>
      <c r="D571" s="5"/>
      <c r="E571" s="10"/>
      <c r="F571" s="5"/>
      <c r="G571" s="5"/>
      <c r="H571" s="5"/>
      <c r="I571" s="5"/>
      <c r="J571" s="5"/>
      <c r="K571" s="10"/>
      <c r="L571" s="10"/>
      <c r="M571" s="10"/>
      <c r="N571" s="5"/>
      <c r="O571" s="5"/>
      <c r="P571" s="27"/>
      <c r="Q571" s="27"/>
      <c r="R571" s="27"/>
      <c r="S571" s="27"/>
      <c r="T571" s="27"/>
      <c r="U571" s="27"/>
      <c r="V571" s="27"/>
      <c r="W571" s="27"/>
      <c r="X571" s="27"/>
      <c r="Y571" s="27"/>
      <c r="Z571" s="27"/>
      <c r="AA571" s="5"/>
      <c r="AB571" s="5"/>
      <c r="AC571" s="5"/>
      <c r="AD571" s="5"/>
      <c r="AE571" s="5"/>
      <c r="AF571" s="5"/>
      <c r="AG571" s="5"/>
      <c r="AH571" s="27"/>
      <c r="AI571" s="27"/>
      <c r="AJ571" s="27"/>
      <c r="AK571" s="27" t="str">
        <f t="shared" si="782"/>
        <v/>
      </c>
      <c r="AL571" s="6"/>
      <c r="AM571" s="27"/>
      <c r="AN571" s="27"/>
      <c r="AO571" s="27"/>
      <c r="AP571" s="27"/>
      <c r="AQ571" s="27"/>
      <c r="AR571" s="27"/>
      <c r="AS571" s="27"/>
      <c r="AT571" s="27"/>
      <c r="AU571" s="27"/>
      <c r="AV571" s="27"/>
      <c r="AW571" s="27"/>
      <c r="AX571" s="27"/>
      <c r="AY571" s="63"/>
    </row>
    <row r="572" spans="1:51">
      <c r="A572" s="1">
        <v>380</v>
      </c>
      <c r="B572" s="43"/>
      <c r="C572" s="10"/>
      <c r="D572" s="5"/>
      <c r="E572" s="10"/>
      <c r="F572" s="5"/>
      <c r="G572" s="5"/>
      <c r="H572" s="5"/>
      <c r="I572" s="5"/>
      <c r="J572" s="5"/>
      <c r="K572" s="10"/>
      <c r="L572" s="10"/>
      <c r="M572" s="10"/>
      <c r="N572" s="5"/>
      <c r="O572" s="5"/>
      <c r="P572" s="27"/>
      <c r="Q572" s="27"/>
      <c r="R572" s="27"/>
      <c r="S572" s="27"/>
      <c r="T572" s="27"/>
      <c r="U572" s="27"/>
      <c r="V572" s="27"/>
      <c r="W572" s="27"/>
      <c r="X572" s="27"/>
      <c r="Y572" s="27"/>
      <c r="Z572" s="27"/>
      <c r="AA572" s="5"/>
      <c r="AB572" s="5"/>
      <c r="AC572" s="5"/>
      <c r="AD572" s="5"/>
      <c r="AE572" s="5"/>
      <c r="AF572" s="5"/>
      <c r="AG572" s="5"/>
      <c r="AH572" s="27"/>
      <c r="AI572" s="27"/>
      <c r="AJ572" s="27"/>
      <c r="AK572" s="27" t="str">
        <f t="shared" si="782"/>
        <v/>
      </c>
      <c r="AL572" s="6"/>
      <c r="AM572" s="27"/>
      <c r="AN572" s="27"/>
      <c r="AO572" s="27"/>
      <c r="AP572" s="27"/>
      <c r="AQ572" s="27"/>
      <c r="AR572" s="27"/>
      <c r="AS572" s="27"/>
      <c r="AT572" s="27"/>
      <c r="AU572" s="27"/>
      <c r="AV572" s="27"/>
      <c r="AW572" s="27"/>
      <c r="AX572" s="27"/>
      <c r="AY572" s="63"/>
    </row>
    <row r="573" spans="1:51">
      <c r="A573" s="1">
        <v>381</v>
      </c>
      <c r="B573" s="43"/>
      <c r="C573" s="10"/>
      <c r="D573" s="5"/>
      <c r="E573" s="10"/>
      <c r="F573" s="5"/>
      <c r="G573" s="5"/>
      <c r="H573" s="5"/>
      <c r="I573" s="5"/>
      <c r="J573" s="5"/>
      <c r="K573" s="10"/>
      <c r="L573" s="10"/>
      <c r="M573" s="10"/>
      <c r="N573" s="5"/>
      <c r="O573" s="5"/>
      <c r="P573" s="27"/>
      <c r="Q573" s="27"/>
      <c r="R573" s="27"/>
      <c r="S573" s="27"/>
      <c r="T573" s="27"/>
      <c r="U573" s="27"/>
      <c r="V573" s="27"/>
      <c r="W573" s="27"/>
      <c r="X573" s="27"/>
      <c r="Y573" s="27"/>
      <c r="Z573" s="27"/>
      <c r="AA573" s="5"/>
      <c r="AB573" s="5"/>
      <c r="AC573" s="5"/>
      <c r="AD573" s="5"/>
      <c r="AE573" s="5"/>
      <c r="AF573" s="5"/>
      <c r="AG573" s="5"/>
      <c r="AH573" s="27"/>
      <c r="AI573" s="27"/>
      <c r="AJ573" s="27"/>
      <c r="AK573" s="27"/>
      <c r="AL573" s="6"/>
      <c r="AM573" s="27"/>
      <c r="AN573" s="27"/>
      <c r="AO573" s="27"/>
      <c r="AP573" s="27"/>
      <c r="AQ573" s="27"/>
      <c r="AR573" s="27"/>
      <c r="AS573" s="27"/>
      <c r="AT573" s="27"/>
      <c r="AU573" s="27"/>
      <c r="AV573" s="27"/>
      <c r="AW573" s="27"/>
      <c r="AX573" s="27"/>
      <c r="AY573" s="63"/>
    </row>
    <row r="574" spans="1:51">
      <c r="A574" s="1">
        <v>382</v>
      </c>
      <c r="B574" s="43"/>
      <c r="C574" s="10"/>
      <c r="D574" s="5"/>
      <c r="E574" s="10"/>
      <c r="F574" s="5"/>
      <c r="G574" s="5"/>
      <c r="H574" s="5"/>
      <c r="I574" s="5"/>
      <c r="J574" s="5"/>
      <c r="K574" s="10"/>
      <c r="L574" s="10"/>
      <c r="M574" s="10"/>
      <c r="N574" s="5"/>
      <c r="O574" s="5"/>
      <c r="P574" s="27"/>
      <c r="Q574" s="27"/>
      <c r="R574" s="27"/>
      <c r="S574" s="27"/>
      <c r="T574" s="27"/>
      <c r="U574" s="27"/>
      <c r="V574" s="27"/>
      <c r="W574" s="27"/>
      <c r="X574" s="27"/>
      <c r="Y574" s="27"/>
      <c r="Z574" s="27"/>
      <c r="AA574" s="5"/>
      <c r="AB574" s="5"/>
      <c r="AC574" s="5"/>
      <c r="AD574" s="5"/>
      <c r="AE574" s="5"/>
      <c r="AF574" s="5"/>
      <c r="AG574" s="5"/>
      <c r="AH574" s="27"/>
      <c r="AI574" s="27"/>
      <c r="AJ574" s="27"/>
      <c r="AK574" s="27"/>
      <c r="AL574" s="6"/>
      <c r="AM574" s="27"/>
      <c r="AN574" s="27"/>
      <c r="AO574" s="27"/>
      <c r="AP574" s="27"/>
      <c r="AQ574" s="27"/>
      <c r="AR574" s="27"/>
      <c r="AS574" s="27"/>
      <c r="AT574" s="27"/>
      <c r="AU574" s="27"/>
      <c r="AV574" s="27"/>
      <c r="AW574" s="27"/>
      <c r="AX574" s="27"/>
      <c r="AY574" s="63"/>
    </row>
    <row r="575" spans="1:51">
      <c r="A575" s="1">
        <v>383</v>
      </c>
      <c r="B575" s="43"/>
      <c r="C575" s="10"/>
      <c r="D575" s="5"/>
      <c r="E575" s="10"/>
      <c r="F575" s="5"/>
      <c r="G575" s="5"/>
      <c r="H575" s="5"/>
      <c r="I575" s="5"/>
      <c r="J575" s="5"/>
      <c r="K575" s="10"/>
      <c r="L575" s="10"/>
      <c r="M575" s="10"/>
      <c r="N575" s="5"/>
      <c r="O575" s="5"/>
      <c r="P575" s="27"/>
      <c r="Q575" s="27"/>
      <c r="R575" s="27"/>
      <c r="S575" s="27"/>
      <c r="T575" s="27"/>
      <c r="U575" s="27"/>
      <c r="V575" s="27"/>
      <c r="W575" s="27"/>
      <c r="X575" s="27"/>
      <c r="Y575" s="27"/>
      <c r="Z575" s="27"/>
      <c r="AA575" s="5"/>
      <c r="AB575" s="5"/>
      <c r="AC575" s="5"/>
      <c r="AD575" s="5"/>
      <c r="AE575" s="5"/>
      <c r="AF575" s="5"/>
      <c r="AG575" s="5"/>
      <c r="AH575" s="27"/>
      <c r="AI575" s="27"/>
      <c r="AJ575" s="27"/>
      <c r="AK575" s="27"/>
      <c r="AL575" s="6"/>
      <c r="AM575" s="27"/>
      <c r="AN575" s="27"/>
      <c r="AO575" s="27"/>
      <c r="AP575" s="27"/>
      <c r="AQ575" s="27"/>
      <c r="AR575" s="27"/>
      <c r="AS575" s="27"/>
      <c r="AT575" s="27"/>
      <c r="AU575" s="27"/>
      <c r="AV575" s="27"/>
      <c r="AW575" s="27"/>
      <c r="AX575" s="27"/>
      <c r="AY575" s="63"/>
    </row>
    <row r="576" spans="1:51">
      <c r="A576" s="1">
        <v>384</v>
      </c>
      <c r="B576" s="43"/>
      <c r="C576" s="10"/>
      <c r="D576" s="5"/>
      <c r="E576" s="10"/>
      <c r="F576" s="5"/>
      <c r="G576" s="5"/>
      <c r="H576" s="5"/>
      <c r="I576" s="5"/>
      <c r="J576" s="5"/>
      <c r="K576" s="10"/>
      <c r="L576" s="10"/>
      <c r="M576" s="10"/>
      <c r="N576" s="5"/>
      <c r="O576" s="5"/>
      <c r="P576" s="27"/>
      <c r="Q576" s="27"/>
      <c r="R576" s="27"/>
      <c r="S576" s="27"/>
      <c r="T576" s="27"/>
      <c r="U576" s="27"/>
      <c r="V576" s="27"/>
      <c r="W576" s="27"/>
      <c r="X576" s="27"/>
      <c r="Y576" s="27"/>
      <c r="Z576" s="27"/>
      <c r="AA576" s="5"/>
      <c r="AB576" s="5"/>
      <c r="AC576" s="5"/>
      <c r="AD576" s="5"/>
      <c r="AE576" s="5"/>
      <c r="AF576" s="5"/>
      <c r="AG576" s="5"/>
      <c r="AH576" s="27"/>
      <c r="AI576" s="27"/>
      <c r="AJ576" s="27"/>
      <c r="AK576" s="27"/>
      <c r="AL576" s="6"/>
      <c r="AM576" s="27"/>
      <c r="AN576" s="27"/>
      <c r="AO576" s="27"/>
      <c r="AP576" s="27"/>
      <c r="AQ576" s="27"/>
      <c r="AR576" s="27"/>
      <c r="AS576" s="27"/>
      <c r="AT576" s="27"/>
      <c r="AU576" s="27"/>
      <c r="AV576" s="27"/>
      <c r="AW576" s="27"/>
      <c r="AX576" s="27"/>
      <c r="AY576" s="63"/>
    </row>
    <row r="577" spans="1:51">
      <c r="A577" s="1">
        <v>385</v>
      </c>
      <c r="B577" s="43"/>
      <c r="C577" s="10"/>
      <c r="D577" s="5"/>
      <c r="E577" s="10"/>
      <c r="F577" s="5"/>
      <c r="G577" s="5"/>
      <c r="H577" s="5"/>
      <c r="I577" s="5"/>
      <c r="J577" s="5"/>
      <c r="K577" s="10"/>
      <c r="L577" s="10"/>
      <c r="M577" s="10"/>
      <c r="N577" s="5"/>
      <c r="O577" s="5"/>
      <c r="P577" s="27"/>
      <c r="Q577" s="27"/>
      <c r="R577" s="27"/>
      <c r="S577" s="27"/>
      <c r="T577" s="27"/>
      <c r="U577" s="27"/>
      <c r="V577" s="27"/>
      <c r="W577" s="27"/>
      <c r="X577" s="27"/>
      <c r="Y577" s="27"/>
      <c r="Z577" s="27"/>
      <c r="AA577" s="5"/>
      <c r="AB577" s="5"/>
      <c r="AC577" s="5"/>
      <c r="AD577" s="5"/>
      <c r="AE577" s="5"/>
      <c r="AF577" s="5"/>
      <c r="AG577" s="5"/>
      <c r="AH577" s="27"/>
      <c r="AI577" s="27"/>
      <c r="AJ577" s="27"/>
      <c r="AK577" s="27"/>
      <c r="AL577" s="6"/>
      <c r="AM577" s="27"/>
      <c r="AN577" s="27"/>
      <c r="AO577" s="27"/>
      <c r="AP577" s="27"/>
      <c r="AQ577" s="27"/>
      <c r="AR577" s="27"/>
      <c r="AS577" s="27"/>
      <c r="AT577" s="27"/>
      <c r="AU577" s="27"/>
      <c r="AV577" s="27"/>
      <c r="AW577" s="27"/>
      <c r="AX577" s="27"/>
      <c r="AY577" s="63"/>
    </row>
    <row r="578" spans="1:51">
      <c r="A578" s="1">
        <v>386</v>
      </c>
      <c r="B578" s="43"/>
      <c r="C578" s="10"/>
      <c r="D578" s="5"/>
      <c r="E578" s="10"/>
      <c r="F578" s="5"/>
      <c r="G578" s="5"/>
      <c r="H578" s="5"/>
      <c r="I578" s="5"/>
      <c r="J578" s="5"/>
      <c r="K578" s="10"/>
      <c r="L578" s="10"/>
      <c r="M578" s="10"/>
      <c r="N578" s="5"/>
      <c r="O578" s="5"/>
      <c r="P578" s="27"/>
      <c r="Q578" s="27"/>
      <c r="R578" s="27"/>
      <c r="S578" s="27"/>
      <c r="T578" s="27"/>
      <c r="U578" s="27"/>
      <c r="V578" s="27"/>
      <c r="W578" s="27"/>
      <c r="X578" s="27"/>
      <c r="Y578" s="27"/>
      <c r="Z578" s="27"/>
      <c r="AA578" s="5"/>
      <c r="AB578" s="5"/>
      <c r="AC578" s="5"/>
      <c r="AD578" s="5"/>
      <c r="AE578" s="5"/>
      <c r="AF578" s="5"/>
      <c r="AG578" s="5"/>
      <c r="AH578" s="27"/>
      <c r="AI578" s="27"/>
      <c r="AJ578" s="27"/>
      <c r="AK578" s="27"/>
      <c r="AL578" s="6"/>
      <c r="AM578" s="27"/>
      <c r="AN578" s="27"/>
      <c r="AO578" s="27"/>
      <c r="AP578" s="27"/>
      <c r="AQ578" s="27"/>
      <c r="AR578" s="27"/>
      <c r="AS578" s="27"/>
      <c r="AT578" s="27"/>
      <c r="AU578" s="27"/>
      <c r="AV578" s="27"/>
      <c r="AW578" s="27"/>
      <c r="AX578" s="27"/>
      <c r="AY578" s="63"/>
    </row>
    <row r="579" spans="1:51">
      <c r="A579" s="1">
        <v>387</v>
      </c>
      <c r="B579" s="43"/>
      <c r="C579" s="10"/>
      <c r="D579" s="5"/>
      <c r="E579" s="10"/>
      <c r="F579" s="5"/>
      <c r="G579" s="5"/>
      <c r="H579" s="5"/>
      <c r="I579" s="5"/>
      <c r="J579" s="5"/>
      <c r="K579" s="10"/>
      <c r="L579" s="10"/>
      <c r="M579" s="10"/>
      <c r="N579" s="5"/>
      <c r="O579" s="5"/>
      <c r="P579" s="27"/>
      <c r="Q579" s="27"/>
      <c r="R579" s="27"/>
      <c r="S579" s="27"/>
      <c r="T579" s="27"/>
      <c r="U579" s="27"/>
      <c r="V579" s="27"/>
      <c r="W579" s="27"/>
      <c r="X579" s="27"/>
      <c r="Y579" s="27"/>
      <c r="Z579" s="27"/>
      <c r="AA579" s="5"/>
      <c r="AB579" s="5"/>
      <c r="AC579" s="5"/>
      <c r="AD579" s="5"/>
      <c r="AE579" s="5"/>
      <c r="AF579" s="5"/>
      <c r="AG579" s="5"/>
      <c r="AH579" s="27"/>
      <c r="AI579" s="27"/>
      <c r="AJ579" s="27"/>
      <c r="AK579" s="27"/>
      <c r="AL579" s="6"/>
      <c r="AM579" s="27"/>
      <c r="AN579" s="27"/>
      <c r="AO579" s="27"/>
      <c r="AP579" s="27"/>
      <c r="AQ579" s="27"/>
      <c r="AR579" s="27"/>
      <c r="AS579" s="27"/>
      <c r="AT579" s="27"/>
      <c r="AU579" s="27"/>
      <c r="AV579" s="27"/>
      <c r="AW579" s="27"/>
      <c r="AX579" s="27"/>
      <c r="AY579" s="63"/>
    </row>
    <row r="580" spans="1:51">
      <c r="A580" s="1">
        <v>388</v>
      </c>
      <c r="B580" s="43"/>
      <c r="C580" s="10"/>
      <c r="D580" s="5"/>
      <c r="E580" s="10"/>
      <c r="F580" s="5"/>
      <c r="G580" s="5"/>
      <c r="H580" s="5"/>
      <c r="I580" s="5"/>
      <c r="J580" s="5"/>
      <c r="K580" s="10"/>
      <c r="L580" s="10"/>
      <c r="M580" s="10"/>
      <c r="N580" s="5"/>
      <c r="O580" s="5"/>
      <c r="P580" s="27"/>
      <c r="Q580" s="27"/>
      <c r="R580" s="27"/>
      <c r="S580" s="27"/>
      <c r="T580" s="27"/>
      <c r="U580" s="27"/>
      <c r="V580" s="27"/>
      <c r="W580" s="27"/>
      <c r="X580" s="27"/>
      <c r="Y580" s="27"/>
      <c r="Z580" s="27"/>
      <c r="AA580" s="5"/>
      <c r="AB580" s="5"/>
      <c r="AC580" s="5"/>
      <c r="AD580" s="5"/>
      <c r="AE580" s="5"/>
      <c r="AF580" s="5"/>
      <c r="AG580" s="5"/>
      <c r="AH580" s="27"/>
      <c r="AI580" s="27"/>
      <c r="AJ580" s="27"/>
      <c r="AK580" s="27"/>
      <c r="AL580" s="6"/>
      <c r="AM580" s="27"/>
      <c r="AN580" s="27"/>
      <c r="AO580" s="27"/>
      <c r="AP580" s="27"/>
      <c r="AQ580" s="27"/>
      <c r="AR580" s="27"/>
      <c r="AS580" s="27"/>
      <c r="AT580" s="27"/>
      <c r="AU580" s="27"/>
      <c r="AV580" s="27"/>
      <c r="AW580" s="27"/>
      <c r="AX580" s="27"/>
      <c r="AY580" s="63"/>
    </row>
    <row r="581" spans="1:51">
      <c r="A581" s="1">
        <v>389</v>
      </c>
      <c r="B581" s="43"/>
      <c r="C581" s="10"/>
      <c r="D581" s="5"/>
      <c r="E581" s="10"/>
      <c r="F581" s="5"/>
      <c r="G581" s="5"/>
      <c r="H581" s="5"/>
      <c r="I581" s="5"/>
      <c r="J581" s="5"/>
      <c r="K581" s="10"/>
      <c r="L581" s="10"/>
      <c r="M581" s="10"/>
      <c r="N581" s="5"/>
      <c r="O581" s="5"/>
      <c r="P581" s="27"/>
      <c r="Q581" s="27"/>
      <c r="R581" s="27"/>
      <c r="S581" s="27"/>
      <c r="T581" s="27"/>
      <c r="U581" s="27"/>
      <c r="V581" s="27"/>
      <c r="W581" s="27"/>
      <c r="X581" s="27"/>
      <c r="Y581" s="27"/>
      <c r="Z581" s="27"/>
      <c r="AA581" s="5"/>
      <c r="AB581" s="5"/>
      <c r="AC581" s="5"/>
      <c r="AD581" s="5"/>
      <c r="AE581" s="5"/>
      <c r="AF581" s="5"/>
      <c r="AG581" s="5"/>
      <c r="AH581" s="27"/>
      <c r="AI581" s="27"/>
      <c r="AJ581" s="27"/>
      <c r="AK581" s="27"/>
      <c r="AL581" s="6"/>
      <c r="AM581" s="27"/>
      <c r="AN581" s="27"/>
      <c r="AO581" s="27"/>
      <c r="AP581" s="27"/>
      <c r="AQ581" s="27"/>
      <c r="AR581" s="27"/>
      <c r="AS581" s="27"/>
      <c r="AT581" s="27"/>
      <c r="AU581" s="27"/>
      <c r="AV581" s="27"/>
      <c r="AW581" s="27"/>
      <c r="AX581" s="27"/>
      <c r="AY581" s="63"/>
    </row>
    <row r="582" spans="1:51">
      <c r="A582" s="1">
        <v>390</v>
      </c>
      <c r="B582" s="43"/>
      <c r="C582" s="10"/>
      <c r="D582" s="5"/>
      <c r="E582" s="10"/>
      <c r="F582" s="5"/>
      <c r="G582" s="5"/>
      <c r="H582" s="5"/>
      <c r="I582" s="5"/>
      <c r="J582" s="5"/>
      <c r="K582" s="10"/>
      <c r="L582" s="10"/>
      <c r="M582" s="10"/>
      <c r="N582" s="5"/>
      <c r="O582" s="5"/>
      <c r="P582" s="27"/>
      <c r="Q582" s="27"/>
      <c r="R582" s="27"/>
      <c r="S582" s="27"/>
      <c r="T582" s="27"/>
      <c r="U582" s="27"/>
      <c r="V582" s="27"/>
      <c r="W582" s="27"/>
      <c r="X582" s="27"/>
      <c r="Y582" s="27"/>
      <c r="Z582" s="27"/>
      <c r="AA582" s="5"/>
      <c r="AB582" s="5"/>
      <c r="AC582" s="5"/>
      <c r="AD582" s="5"/>
      <c r="AE582" s="5"/>
      <c r="AF582" s="5"/>
      <c r="AG582" s="5"/>
      <c r="AH582" s="27"/>
      <c r="AI582" s="27"/>
      <c r="AJ582" s="27"/>
      <c r="AK582" s="27"/>
      <c r="AL582" s="6"/>
      <c r="AM582" s="27"/>
      <c r="AN582" s="27"/>
      <c r="AO582" s="27"/>
      <c r="AP582" s="27"/>
      <c r="AQ582" s="27"/>
      <c r="AR582" s="27"/>
      <c r="AS582" s="27"/>
      <c r="AT582" s="27"/>
      <c r="AU582" s="27"/>
      <c r="AV582" s="27"/>
      <c r="AW582" s="27"/>
      <c r="AX582" s="27"/>
      <c r="AY582" s="63"/>
    </row>
    <row r="583" spans="1:51">
      <c r="A583" s="1">
        <v>391</v>
      </c>
      <c r="B583" s="43"/>
      <c r="C583" s="10"/>
      <c r="D583" s="5"/>
      <c r="E583" s="10"/>
      <c r="F583" s="5"/>
      <c r="G583" s="5"/>
      <c r="H583" s="5"/>
      <c r="I583" s="5"/>
      <c r="J583" s="5"/>
      <c r="K583" s="10"/>
      <c r="L583" s="10"/>
      <c r="M583" s="10"/>
      <c r="N583" s="5"/>
      <c r="O583" s="5"/>
      <c r="P583" s="27"/>
      <c r="Q583" s="27"/>
      <c r="R583" s="27"/>
      <c r="S583" s="27"/>
      <c r="T583" s="27"/>
      <c r="U583" s="27"/>
      <c r="V583" s="27"/>
      <c r="W583" s="27"/>
      <c r="X583" s="27"/>
      <c r="Y583" s="27"/>
      <c r="Z583" s="27"/>
      <c r="AA583" s="5"/>
      <c r="AB583" s="5"/>
      <c r="AC583" s="5"/>
      <c r="AD583" s="5"/>
      <c r="AE583" s="5"/>
      <c r="AF583" s="5"/>
      <c r="AG583" s="5"/>
      <c r="AH583" s="27"/>
      <c r="AI583" s="27"/>
      <c r="AJ583" s="27"/>
      <c r="AK583" s="27"/>
      <c r="AL583" s="6"/>
      <c r="AM583" s="27"/>
      <c r="AN583" s="27"/>
      <c r="AO583" s="27"/>
      <c r="AP583" s="27"/>
      <c r="AQ583" s="27"/>
      <c r="AR583" s="27"/>
      <c r="AS583" s="27"/>
      <c r="AT583" s="27"/>
      <c r="AU583" s="27"/>
      <c r="AV583" s="27"/>
      <c r="AW583" s="27"/>
      <c r="AX583" s="27"/>
      <c r="AY583" s="63"/>
    </row>
    <row r="584" spans="1:51">
      <c r="A584" s="1">
        <v>392</v>
      </c>
      <c r="B584" s="43"/>
      <c r="C584" s="10"/>
      <c r="D584" s="5"/>
      <c r="E584" s="10"/>
      <c r="F584" s="5"/>
      <c r="G584" s="5"/>
      <c r="H584" s="5"/>
      <c r="I584" s="5"/>
      <c r="J584" s="5"/>
      <c r="K584" s="10"/>
      <c r="L584" s="10"/>
      <c r="M584" s="10"/>
      <c r="N584" s="5"/>
      <c r="O584" s="5"/>
      <c r="P584" s="27"/>
      <c r="Q584" s="27"/>
      <c r="R584" s="27"/>
      <c r="S584" s="27"/>
      <c r="T584" s="27"/>
      <c r="U584" s="27"/>
      <c r="V584" s="27"/>
      <c r="W584" s="27"/>
      <c r="X584" s="27"/>
      <c r="Y584" s="27"/>
      <c r="Z584" s="27"/>
      <c r="AA584" s="5"/>
      <c r="AB584" s="5"/>
      <c r="AC584" s="5"/>
      <c r="AD584" s="5"/>
      <c r="AE584" s="5"/>
      <c r="AF584" s="5"/>
      <c r="AG584" s="5"/>
      <c r="AH584" s="27"/>
      <c r="AI584" s="27"/>
      <c r="AJ584" s="27"/>
      <c r="AK584" s="27"/>
      <c r="AL584" s="6"/>
      <c r="AM584" s="27"/>
      <c r="AN584" s="27"/>
      <c r="AO584" s="27"/>
      <c r="AP584" s="27"/>
      <c r="AQ584" s="27"/>
      <c r="AR584" s="27"/>
      <c r="AS584" s="27"/>
      <c r="AT584" s="27"/>
      <c r="AU584" s="27"/>
      <c r="AV584" s="27"/>
      <c r="AW584" s="27"/>
      <c r="AX584" s="27"/>
      <c r="AY584" s="63"/>
    </row>
    <row r="585" spans="1:51">
      <c r="A585" s="1">
        <v>393</v>
      </c>
      <c r="B585" s="43"/>
      <c r="C585" s="10"/>
      <c r="D585" s="5"/>
      <c r="E585" s="10"/>
      <c r="F585" s="5"/>
      <c r="G585" s="5"/>
      <c r="H585" s="5"/>
      <c r="I585" s="5"/>
      <c r="J585" s="5"/>
      <c r="K585" s="10"/>
      <c r="L585" s="10"/>
      <c r="M585" s="10"/>
      <c r="N585" s="5"/>
      <c r="O585" s="5"/>
      <c r="P585" s="27"/>
      <c r="Q585" s="27"/>
      <c r="R585" s="27"/>
      <c r="S585" s="27"/>
      <c r="T585" s="27"/>
      <c r="U585" s="27"/>
      <c r="V585" s="27"/>
      <c r="W585" s="27"/>
      <c r="X585" s="27"/>
      <c r="Y585" s="27"/>
      <c r="Z585" s="27"/>
      <c r="AA585" s="5"/>
      <c r="AB585" s="5"/>
      <c r="AC585" s="5"/>
      <c r="AD585" s="5"/>
      <c r="AE585" s="5"/>
      <c r="AF585" s="5"/>
      <c r="AG585" s="5"/>
      <c r="AH585" s="27"/>
      <c r="AI585" s="27"/>
      <c r="AJ585" s="27"/>
      <c r="AK585" s="27"/>
      <c r="AL585" s="6"/>
      <c r="AM585" s="27"/>
      <c r="AN585" s="27"/>
      <c r="AO585" s="27"/>
      <c r="AP585" s="27"/>
      <c r="AQ585" s="27"/>
      <c r="AR585" s="27"/>
      <c r="AS585" s="27"/>
      <c r="AT585" s="27"/>
      <c r="AU585" s="27"/>
      <c r="AV585" s="27"/>
      <c r="AW585" s="27"/>
      <c r="AX585" s="27"/>
      <c r="AY585" s="63"/>
    </row>
    <row r="586" spans="1:51">
      <c r="A586" s="1">
        <v>394</v>
      </c>
      <c r="B586" s="43"/>
      <c r="C586" s="10"/>
      <c r="D586" s="5"/>
      <c r="E586" s="10"/>
      <c r="F586" s="5"/>
      <c r="G586" s="5"/>
      <c r="H586" s="5"/>
      <c r="I586" s="5"/>
      <c r="J586" s="5"/>
      <c r="K586" s="10"/>
      <c r="L586" s="10"/>
      <c r="M586" s="10"/>
      <c r="N586" s="5"/>
      <c r="O586" s="5"/>
      <c r="P586" s="27"/>
      <c r="Q586" s="27"/>
      <c r="R586" s="27"/>
      <c r="S586" s="27"/>
      <c r="T586" s="27"/>
      <c r="U586" s="27"/>
      <c r="V586" s="27"/>
      <c r="W586" s="27"/>
      <c r="X586" s="27"/>
      <c r="Y586" s="27"/>
      <c r="Z586" s="27"/>
      <c r="AA586" s="5"/>
      <c r="AB586" s="5"/>
      <c r="AC586" s="5"/>
      <c r="AD586" s="5"/>
      <c r="AE586" s="5"/>
      <c r="AF586" s="5"/>
      <c r="AG586" s="5"/>
      <c r="AH586" s="27"/>
      <c r="AI586" s="27"/>
      <c r="AJ586" s="27"/>
      <c r="AK586" s="27"/>
      <c r="AL586" s="6"/>
      <c r="AM586" s="27"/>
      <c r="AN586" s="27"/>
      <c r="AO586" s="27"/>
      <c r="AP586" s="27"/>
      <c r="AQ586" s="27"/>
      <c r="AR586" s="27"/>
      <c r="AS586" s="27"/>
      <c r="AT586" s="27"/>
      <c r="AU586" s="27"/>
      <c r="AV586" s="27"/>
      <c r="AW586" s="27"/>
      <c r="AX586" s="27"/>
      <c r="AY586" s="63"/>
    </row>
    <row r="587" spans="1:51">
      <c r="A587" s="1">
        <v>395</v>
      </c>
      <c r="B587" s="43"/>
      <c r="C587" s="10"/>
      <c r="D587" s="5"/>
      <c r="E587" s="10"/>
      <c r="F587" s="5"/>
      <c r="G587" s="5"/>
      <c r="H587" s="5"/>
      <c r="I587" s="5"/>
      <c r="J587" s="5"/>
      <c r="K587" s="10"/>
      <c r="L587" s="10"/>
      <c r="M587" s="10"/>
      <c r="N587" s="5"/>
      <c r="O587" s="5"/>
      <c r="P587" s="27"/>
      <c r="Q587" s="27"/>
      <c r="R587" s="27"/>
      <c r="S587" s="27"/>
      <c r="T587" s="27"/>
      <c r="U587" s="27"/>
      <c r="V587" s="27"/>
      <c r="W587" s="27"/>
      <c r="X587" s="27"/>
      <c r="Y587" s="27"/>
      <c r="Z587" s="27"/>
      <c r="AA587" s="5"/>
      <c r="AB587" s="5"/>
      <c r="AC587" s="5"/>
      <c r="AD587" s="5"/>
      <c r="AE587" s="5"/>
      <c r="AF587" s="5"/>
      <c r="AG587" s="5"/>
      <c r="AH587" s="27"/>
      <c r="AI587" s="27"/>
      <c r="AJ587" s="27"/>
      <c r="AK587" s="27"/>
      <c r="AL587" s="6"/>
      <c r="AM587" s="27"/>
      <c r="AN587" s="27"/>
      <c r="AO587" s="27"/>
      <c r="AP587" s="27"/>
      <c r="AQ587" s="27"/>
      <c r="AR587" s="27"/>
      <c r="AS587" s="27"/>
      <c r="AT587" s="27"/>
      <c r="AU587" s="27"/>
      <c r="AV587" s="27"/>
      <c r="AW587" s="27"/>
      <c r="AX587" s="27"/>
      <c r="AY587" s="63"/>
    </row>
    <row r="588" spans="1:51">
      <c r="A588" s="1">
        <v>396</v>
      </c>
      <c r="B588" s="43"/>
      <c r="C588" s="10"/>
      <c r="D588" s="5"/>
      <c r="E588" s="10"/>
      <c r="F588" s="5"/>
      <c r="G588" s="5"/>
      <c r="H588" s="5"/>
      <c r="I588" s="5"/>
      <c r="J588" s="5"/>
      <c r="K588" s="10"/>
      <c r="L588" s="10"/>
      <c r="M588" s="10"/>
      <c r="N588" s="5"/>
      <c r="O588" s="5"/>
      <c r="P588" s="27"/>
      <c r="Q588" s="27"/>
      <c r="R588" s="27"/>
      <c r="S588" s="27"/>
      <c r="T588" s="27"/>
      <c r="U588" s="27"/>
      <c r="V588" s="27"/>
      <c r="W588" s="27"/>
      <c r="X588" s="27"/>
      <c r="Y588" s="27"/>
      <c r="Z588" s="27"/>
      <c r="AA588" s="5"/>
      <c r="AB588" s="5"/>
      <c r="AC588" s="5"/>
      <c r="AD588" s="5"/>
      <c r="AE588" s="5"/>
      <c r="AF588" s="5"/>
      <c r="AG588" s="5"/>
      <c r="AH588" s="27"/>
      <c r="AI588" s="27"/>
      <c r="AJ588" s="27"/>
      <c r="AK588" s="27"/>
      <c r="AL588" s="6"/>
      <c r="AM588" s="27"/>
      <c r="AN588" s="27"/>
      <c r="AO588" s="27"/>
      <c r="AP588" s="27"/>
      <c r="AQ588" s="27"/>
      <c r="AR588" s="27"/>
      <c r="AS588" s="27"/>
      <c r="AT588" s="27"/>
      <c r="AU588" s="27"/>
      <c r="AV588" s="27"/>
      <c r="AW588" s="27"/>
      <c r="AX588" s="27"/>
      <c r="AY588" s="63"/>
    </row>
    <row r="589" spans="1:51">
      <c r="A589" s="1">
        <v>397</v>
      </c>
      <c r="B589" s="43"/>
      <c r="C589" s="10"/>
      <c r="D589" s="5"/>
      <c r="E589" s="10"/>
      <c r="F589" s="5"/>
      <c r="G589" s="5"/>
      <c r="H589" s="5"/>
      <c r="I589" s="5"/>
      <c r="J589" s="5"/>
      <c r="K589" s="10"/>
      <c r="L589" s="10"/>
      <c r="M589" s="10"/>
      <c r="N589" s="5"/>
      <c r="O589" s="5"/>
      <c r="P589" s="27"/>
      <c r="Q589" s="27"/>
      <c r="R589" s="27"/>
      <c r="S589" s="27"/>
      <c r="T589" s="27"/>
      <c r="U589" s="27"/>
      <c r="V589" s="27"/>
      <c r="W589" s="27"/>
      <c r="X589" s="27"/>
      <c r="Y589" s="27"/>
      <c r="Z589" s="27"/>
      <c r="AA589" s="5"/>
      <c r="AB589" s="5"/>
      <c r="AC589" s="5"/>
      <c r="AD589" s="5"/>
      <c r="AE589" s="5"/>
      <c r="AF589" s="5"/>
      <c r="AG589" s="5"/>
      <c r="AH589" s="27"/>
      <c r="AI589" s="27"/>
      <c r="AJ589" s="27"/>
      <c r="AK589" s="27"/>
      <c r="AL589" s="6"/>
      <c r="AM589" s="27"/>
      <c r="AN589" s="27"/>
      <c r="AO589" s="27"/>
      <c r="AP589" s="27"/>
      <c r="AQ589" s="27"/>
      <c r="AR589" s="27"/>
      <c r="AS589" s="27"/>
      <c r="AT589" s="27"/>
      <c r="AU589" s="27"/>
      <c r="AV589" s="27"/>
      <c r="AW589" s="27"/>
      <c r="AX589" s="27"/>
      <c r="AY589" s="63"/>
    </row>
    <row r="590" spans="1:51">
      <c r="A590" s="1">
        <v>398</v>
      </c>
      <c r="B590" s="43"/>
      <c r="C590" s="10"/>
      <c r="D590" s="5"/>
      <c r="E590" s="10"/>
      <c r="F590" s="5"/>
      <c r="G590" s="5"/>
      <c r="H590" s="5"/>
      <c r="I590" s="5"/>
      <c r="J590" s="5"/>
      <c r="K590" s="10"/>
      <c r="L590" s="10"/>
      <c r="M590" s="10"/>
      <c r="N590" s="5"/>
      <c r="O590" s="5"/>
      <c r="P590" s="27"/>
      <c r="Q590" s="27"/>
      <c r="R590" s="27"/>
      <c r="S590" s="27"/>
      <c r="T590" s="27"/>
      <c r="U590" s="27"/>
      <c r="V590" s="27"/>
      <c r="W590" s="27"/>
      <c r="X590" s="27"/>
      <c r="Y590" s="27"/>
      <c r="Z590" s="27"/>
      <c r="AA590" s="5"/>
      <c r="AB590" s="5"/>
      <c r="AC590" s="5"/>
      <c r="AD590" s="5"/>
      <c r="AE590" s="5"/>
      <c r="AF590" s="5"/>
      <c r="AG590" s="5"/>
      <c r="AH590" s="27"/>
      <c r="AI590" s="27"/>
      <c r="AJ590" s="27"/>
      <c r="AK590" s="27"/>
      <c r="AL590" s="6"/>
      <c r="AM590" s="27"/>
      <c r="AN590" s="27"/>
      <c r="AO590" s="27"/>
      <c r="AP590" s="27"/>
      <c r="AQ590" s="27"/>
      <c r="AR590" s="27"/>
      <c r="AS590" s="27"/>
      <c r="AT590" s="27"/>
      <c r="AU590" s="27"/>
      <c r="AV590" s="27"/>
      <c r="AW590" s="27"/>
      <c r="AX590" s="27"/>
      <c r="AY590" s="63"/>
    </row>
    <row r="591" spans="1:51">
      <c r="A591" s="1">
        <v>399</v>
      </c>
      <c r="B591" s="43"/>
      <c r="C591" s="10"/>
      <c r="D591" s="5"/>
      <c r="E591" s="10"/>
      <c r="F591" s="5"/>
      <c r="G591" s="5"/>
      <c r="H591" s="5"/>
      <c r="I591" s="5"/>
      <c r="J591" s="5"/>
      <c r="K591" s="10"/>
      <c r="L591" s="10"/>
      <c r="M591" s="10"/>
      <c r="N591" s="5"/>
      <c r="O591" s="5"/>
      <c r="P591" s="27"/>
      <c r="Q591" s="27"/>
      <c r="R591" s="27"/>
      <c r="S591" s="27"/>
      <c r="T591" s="27"/>
      <c r="U591" s="27"/>
      <c r="V591" s="27"/>
      <c r="W591" s="27"/>
      <c r="X591" s="27"/>
      <c r="Y591" s="27"/>
      <c r="Z591" s="27"/>
      <c r="AA591" s="5"/>
      <c r="AB591" s="5"/>
      <c r="AC591" s="5"/>
      <c r="AD591" s="5"/>
      <c r="AE591" s="5"/>
      <c r="AF591" s="5"/>
      <c r="AG591" s="5"/>
      <c r="AH591" s="27"/>
      <c r="AI591" s="27"/>
      <c r="AJ591" s="27"/>
      <c r="AK591" s="27"/>
      <c r="AL591" s="6"/>
      <c r="AM591" s="27"/>
      <c r="AN591" s="27"/>
      <c r="AO591" s="27"/>
      <c r="AP591" s="27"/>
      <c r="AQ591" s="27"/>
      <c r="AR591" s="27"/>
      <c r="AS591" s="27"/>
      <c r="AT591" s="27"/>
      <c r="AU591" s="27"/>
      <c r="AV591" s="27"/>
      <c r="AW591" s="27"/>
      <c r="AX591" s="27"/>
      <c r="AY591" s="63"/>
    </row>
    <row r="592" spans="1:51">
      <c r="A592" s="1">
        <v>400</v>
      </c>
      <c r="B592" s="43"/>
      <c r="C592" s="10"/>
      <c r="D592" s="5"/>
      <c r="E592" s="10"/>
      <c r="F592" s="5"/>
      <c r="G592" s="5"/>
      <c r="H592" s="5"/>
      <c r="I592" s="5"/>
      <c r="J592" s="5"/>
      <c r="K592" s="10"/>
      <c r="L592" s="10"/>
      <c r="M592" s="10"/>
      <c r="N592" s="5"/>
      <c r="O592" s="5"/>
      <c r="P592" s="27"/>
      <c r="Q592" s="27"/>
      <c r="R592" s="27"/>
      <c r="S592" s="27"/>
      <c r="T592" s="27"/>
      <c r="U592" s="27"/>
      <c r="V592" s="27"/>
      <c r="W592" s="27"/>
      <c r="X592" s="27"/>
      <c r="Y592" s="27"/>
      <c r="Z592" s="27"/>
      <c r="AA592" s="5"/>
      <c r="AB592" s="5"/>
      <c r="AC592" s="5"/>
      <c r="AD592" s="5"/>
      <c r="AE592" s="5"/>
      <c r="AF592" s="5"/>
      <c r="AG592" s="5"/>
      <c r="AH592" s="27"/>
      <c r="AI592" s="27"/>
      <c r="AJ592" s="27"/>
      <c r="AK592" s="27"/>
      <c r="AL592" s="6"/>
      <c r="AM592" s="27"/>
      <c r="AN592" s="27"/>
      <c r="AO592" s="27"/>
      <c r="AP592" s="27"/>
      <c r="AQ592" s="27"/>
      <c r="AR592" s="27"/>
      <c r="AS592" s="27"/>
      <c r="AT592" s="27"/>
      <c r="AU592" s="27"/>
      <c r="AV592" s="27"/>
      <c r="AW592" s="27"/>
      <c r="AX592" s="27"/>
      <c r="AY592" s="63"/>
    </row>
    <row r="593" spans="1:51">
      <c r="A593" s="1">
        <v>401</v>
      </c>
      <c r="B593" s="43"/>
      <c r="C593" s="10"/>
      <c r="D593" s="5"/>
      <c r="E593" s="10"/>
      <c r="F593" s="5"/>
      <c r="G593" s="5"/>
      <c r="H593" s="5"/>
      <c r="I593" s="5"/>
      <c r="J593" s="5"/>
      <c r="K593" s="10"/>
      <c r="L593" s="10"/>
      <c r="M593" s="10"/>
      <c r="N593" s="5"/>
      <c r="O593" s="5"/>
      <c r="P593" s="27"/>
      <c r="Q593" s="27"/>
      <c r="R593" s="27"/>
      <c r="S593" s="27"/>
      <c r="T593" s="27"/>
      <c r="U593" s="27"/>
      <c r="V593" s="27"/>
      <c r="W593" s="27"/>
      <c r="X593" s="27"/>
      <c r="Y593" s="27"/>
      <c r="Z593" s="27"/>
      <c r="AA593" s="5"/>
      <c r="AB593" s="5"/>
      <c r="AC593" s="5"/>
      <c r="AD593" s="5"/>
      <c r="AE593" s="5"/>
      <c r="AF593" s="5"/>
      <c r="AG593" s="5"/>
      <c r="AH593" s="27"/>
      <c r="AI593" s="27"/>
      <c r="AJ593" s="27"/>
      <c r="AK593" s="27"/>
      <c r="AL593" s="6"/>
      <c r="AM593" s="27"/>
      <c r="AN593" s="27"/>
      <c r="AO593" s="27"/>
      <c r="AP593" s="27"/>
      <c r="AQ593" s="27"/>
      <c r="AR593" s="27"/>
      <c r="AS593" s="27"/>
      <c r="AT593" s="27"/>
      <c r="AU593" s="27"/>
      <c r="AV593" s="27"/>
      <c r="AW593" s="27"/>
      <c r="AX593" s="27"/>
      <c r="AY593" s="63"/>
    </row>
    <row r="594" spans="1:51">
      <c r="A594" s="1">
        <v>402</v>
      </c>
      <c r="B594" s="43"/>
      <c r="C594" s="10"/>
      <c r="D594" s="5"/>
      <c r="E594" s="10"/>
      <c r="F594" s="5"/>
      <c r="G594" s="5"/>
      <c r="H594" s="5"/>
      <c r="I594" s="5"/>
      <c r="J594" s="5"/>
      <c r="K594" s="10"/>
      <c r="L594" s="10"/>
      <c r="M594" s="10"/>
      <c r="N594" s="5"/>
      <c r="O594" s="5"/>
      <c r="P594" s="27"/>
      <c r="Q594" s="27"/>
      <c r="R594" s="27"/>
      <c r="S594" s="27"/>
      <c r="T594" s="27"/>
      <c r="U594" s="27"/>
      <c r="V594" s="27"/>
      <c r="W594" s="27"/>
      <c r="X594" s="27"/>
      <c r="Y594" s="27"/>
      <c r="Z594" s="27"/>
      <c r="AA594" s="5"/>
      <c r="AB594" s="5"/>
      <c r="AC594" s="5"/>
      <c r="AD594" s="5"/>
      <c r="AE594" s="5"/>
      <c r="AF594" s="5"/>
      <c r="AG594" s="5"/>
      <c r="AH594" s="27"/>
      <c r="AI594" s="27"/>
      <c r="AJ594" s="27"/>
      <c r="AK594" s="27"/>
      <c r="AL594" s="6"/>
      <c r="AM594" s="27"/>
      <c r="AN594" s="27"/>
      <c r="AO594" s="27"/>
      <c r="AP594" s="27"/>
      <c r="AQ594" s="27"/>
      <c r="AR594" s="27"/>
      <c r="AS594" s="27"/>
      <c r="AT594" s="27"/>
      <c r="AU594" s="27"/>
      <c r="AV594" s="27"/>
      <c r="AW594" s="27"/>
      <c r="AX594" s="27"/>
      <c r="AY594" s="63"/>
    </row>
    <row r="595" spans="1:51">
      <c r="A595" s="1">
        <v>403</v>
      </c>
      <c r="B595" s="43"/>
      <c r="C595" s="10"/>
      <c r="D595" s="5"/>
      <c r="E595" s="10"/>
      <c r="F595" s="5"/>
      <c r="G595" s="5"/>
      <c r="H595" s="5"/>
      <c r="I595" s="5"/>
      <c r="J595" s="5"/>
      <c r="K595" s="10"/>
      <c r="L595" s="10"/>
      <c r="M595" s="10"/>
      <c r="N595" s="5"/>
      <c r="O595" s="5"/>
      <c r="P595" s="27"/>
      <c r="Q595" s="27"/>
      <c r="R595" s="27"/>
      <c r="S595" s="27"/>
      <c r="T595" s="27"/>
      <c r="U595" s="27"/>
      <c r="V595" s="27"/>
      <c r="W595" s="27"/>
      <c r="X595" s="27"/>
      <c r="Y595" s="27"/>
      <c r="Z595" s="27"/>
      <c r="AA595" s="5"/>
      <c r="AB595" s="5"/>
      <c r="AC595" s="5"/>
      <c r="AD595" s="5"/>
      <c r="AE595" s="5"/>
      <c r="AF595" s="5"/>
      <c r="AG595" s="5"/>
      <c r="AH595" s="27"/>
      <c r="AI595" s="27"/>
      <c r="AJ595" s="27"/>
      <c r="AK595" s="27"/>
      <c r="AL595" s="6"/>
      <c r="AM595" s="27"/>
      <c r="AN595" s="27"/>
      <c r="AO595" s="27"/>
      <c r="AP595" s="27"/>
      <c r="AQ595" s="27"/>
      <c r="AR595" s="27"/>
      <c r="AS595" s="27"/>
      <c r="AT595" s="27"/>
      <c r="AU595" s="27"/>
      <c r="AV595" s="27"/>
      <c r="AW595" s="27"/>
      <c r="AX595" s="27"/>
      <c r="AY595" s="63"/>
    </row>
    <row r="596" spans="1:51">
      <c r="A596" s="1">
        <v>404</v>
      </c>
      <c r="B596" s="43"/>
      <c r="C596" s="10"/>
      <c r="D596" s="5"/>
      <c r="E596" s="10"/>
      <c r="F596" s="5"/>
      <c r="G596" s="5"/>
      <c r="H596" s="5"/>
      <c r="I596" s="5"/>
      <c r="J596" s="5"/>
      <c r="K596" s="10"/>
      <c r="L596" s="10"/>
      <c r="M596" s="10"/>
      <c r="N596" s="5"/>
      <c r="O596" s="5"/>
      <c r="P596" s="27"/>
      <c r="Q596" s="27"/>
      <c r="R596" s="27"/>
      <c r="S596" s="27"/>
      <c r="T596" s="27"/>
      <c r="U596" s="27"/>
      <c r="V596" s="27"/>
      <c r="W596" s="27"/>
      <c r="X596" s="27"/>
      <c r="Y596" s="27"/>
      <c r="Z596" s="27"/>
      <c r="AA596" s="5"/>
      <c r="AB596" s="5"/>
      <c r="AC596" s="5"/>
      <c r="AD596" s="5"/>
      <c r="AE596" s="5"/>
      <c r="AF596" s="5"/>
      <c r="AG596" s="5"/>
      <c r="AH596" s="27"/>
      <c r="AI596" s="27"/>
      <c r="AJ596" s="27"/>
      <c r="AK596" s="27"/>
      <c r="AL596" s="6"/>
      <c r="AM596" s="27"/>
      <c r="AN596" s="27"/>
      <c r="AO596" s="27"/>
      <c r="AP596" s="27"/>
      <c r="AQ596" s="27"/>
      <c r="AR596" s="27"/>
      <c r="AS596" s="27"/>
      <c r="AT596" s="27"/>
      <c r="AU596" s="27"/>
      <c r="AV596" s="27"/>
      <c r="AW596" s="27"/>
      <c r="AX596" s="27"/>
      <c r="AY596" s="63"/>
    </row>
    <row r="597" spans="1:51">
      <c r="A597" s="1">
        <v>405</v>
      </c>
      <c r="B597" s="43"/>
      <c r="C597" s="10"/>
      <c r="D597" s="5"/>
      <c r="E597" s="10"/>
      <c r="F597" s="5"/>
      <c r="G597" s="5"/>
      <c r="H597" s="5"/>
      <c r="I597" s="5"/>
      <c r="J597" s="5"/>
      <c r="K597" s="10"/>
      <c r="L597" s="10"/>
      <c r="M597" s="10"/>
      <c r="N597" s="5"/>
      <c r="O597" s="5"/>
      <c r="P597" s="27"/>
      <c r="Q597" s="27"/>
      <c r="R597" s="27"/>
      <c r="S597" s="27"/>
      <c r="T597" s="27"/>
      <c r="U597" s="27"/>
      <c r="V597" s="27"/>
      <c r="W597" s="27"/>
      <c r="X597" s="27"/>
      <c r="Y597" s="27"/>
      <c r="Z597" s="27"/>
      <c r="AA597" s="5"/>
      <c r="AB597" s="5"/>
      <c r="AC597" s="5"/>
      <c r="AD597" s="5"/>
      <c r="AE597" s="5"/>
      <c r="AF597" s="5"/>
      <c r="AG597" s="5"/>
      <c r="AH597" s="27"/>
      <c r="AI597" s="27"/>
      <c r="AJ597" s="27"/>
      <c r="AK597" s="27"/>
      <c r="AL597" s="6"/>
      <c r="AM597" s="27"/>
      <c r="AN597" s="27"/>
      <c r="AO597" s="27"/>
      <c r="AP597" s="27"/>
      <c r="AQ597" s="27"/>
      <c r="AR597" s="27"/>
      <c r="AS597" s="27"/>
      <c r="AT597" s="27"/>
      <c r="AU597" s="27"/>
      <c r="AV597" s="27"/>
      <c r="AW597" s="27"/>
      <c r="AX597" s="27"/>
      <c r="AY597" s="63"/>
    </row>
    <row r="598" spans="1:51">
      <c r="A598" s="1">
        <v>406</v>
      </c>
      <c r="B598" s="43"/>
      <c r="C598" s="10"/>
      <c r="D598" s="5"/>
      <c r="E598" s="10"/>
      <c r="F598" s="5"/>
      <c r="G598" s="5"/>
      <c r="H598" s="5"/>
      <c r="I598" s="5"/>
      <c r="J598" s="5"/>
      <c r="K598" s="10"/>
      <c r="L598" s="10"/>
      <c r="M598" s="10"/>
      <c r="N598" s="5"/>
      <c r="O598" s="5"/>
      <c r="P598" s="27"/>
      <c r="Q598" s="27"/>
      <c r="R598" s="27"/>
      <c r="S598" s="27"/>
      <c r="T598" s="27"/>
      <c r="U598" s="27"/>
      <c r="V598" s="27"/>
      <c r="W598" s="27"/>
      <c r="X598" s="27"/>
      <c r="Y598" s="27"/>
      <c r="Z598" s="27"/>
      <c r="AA598" s="5"/>
      <c r="AB598" s="5"/>
      <c r="AC598" s="5"/>
      <c r="AD598" s="5"/>
      <c r="AE598" s="5"/>
      <c r="AF598" s="5"/>
      <c r="AG598" s="5"/>
      <c r="AH598" s="27"/>
      <c r="AI598" s="27"/>
      <c r="AJ598" s="27"/>
      <c r="AK598" s="27"/>
      <c r="AL598" s="6"/>
      <c r="AM598" s="27"/>
      <c r="AN598" s="27"/>
      <c r="AO598" s="27"/>
      <c r="AP598" s="27"/>
      <c r="AQ598" s="27"/>
      <c r="AR598" s="27"/>
      <c r="AS598" s="27"/>
      <c r="AT598" s="27"/>
      <c r="AU598" s="27"/>
      <c r="AV598" s="27"/>
      <c r="AW598" s="27"/>
      <c r="AX598" s="27"/>
      <c r="AY598" s="63"/>
    </row>
    <row r="599" spans="1:51">
      <c r="A599" s="1">
        <v>407</v>
      </c>
      <c r="B599" s="43"/>
      <c r="C599" s="10"/>
      <c r="D599" s="5"/>
      <c r="E599" s="10"/>
      <c r="F599" s="5"/>
      <c r="G599" s="5"/>
      <c r="H599" s="5"/>
      <c r="I599" s="5"/>
      <c r="J599" s="5"/>
      <c r="K599" s="10"/>
      <c r="L599" s="10"/>
      <c r="M599" s="10"/>
      <c r="N599" s="5"/>
      <c r="O599" s="5"/>
      <c r="P599" s="27"/>
      <c r="Q599" s="27"/>
      <c r="R599" s="27"/>
      <c r="S599" s="27"/>
      <c r="T599" s="27"/>
      <c r="U599" s="27"/>
      <c r="V599" s="27"/>
      <c r="W599" s="27"/>
      <c r="X599" s="27"/>
      <c r="Y599" s="27"/>
      <c r="Z599" s="27"/>
      <c r="AA599" s="5"/>
      <c r="AB599" s="5"/>
      <c r="AC599" s="5"/>
      <c r="AD599" s="5"/>
      <c r="AE599" s="5"/>
      <c r="AF599" s="5"/>
      <c r="AG599" s="5"/>
      <c r="AH599" s="27"/>
      <c r="AI599" s="27"/>
      <c r="AJ599" s="27"/>
      <c r="AK599" s="27"/>
      <c r="AL599" s="6"/>
      <c r="AM599" s="27"/>
      <c r="AN599" s="27"/>
      <c r="AO599" s="27"/>
      <c r="AP599" s="27"/>
      <c r="AQ599" s="27"/>
      <c r="AR599" s="27"/>
      <c r="AS599" s="27"/>
      <c r="AT599" s="27"/>
      <c r="AU599" s="27"/>
      <c r="AV599" s="27"/>
      <c r="AW599" s="27"/>
      <c r="AX599" s="27"/>
      <c r="AY599" s="63"/>
    </row>
    <row r="600" spans="1:51">
      <c r="A600" s="1">
        <v>408</v>
      </c>
      <c r="B600" s="43"/>
      <c r="C600" s="10"/>
      <c r="D600" s="5"/>
      <c r="E600" s="10"/>
      <c r="F600" s="5"/>
      <c r="G600" s="5"/>
      <c r="H600" s="5"/>
      <c r="I600" s="5"/>
      <c r="J600" s="5"/>
      <c r="K600" s="10"/>
      <c r="L600" s="10"/>
      <c r="M600" s="10"/>
      <c r="N600" s="5"/>
      <c r="O600" s="5"/>
      <c r="P600" s="27"/>
      <c r="Q600" s="27"/>
      <c r="R600" s="27"/>
      <c r="S600" s="27"/>
      <c r="T600" s="27"/>
      <c r="U600" s="27"/>
      <c r="V600" s="27"/>
      <c r="W600" s="27"/>
      <c r="X600" s="27"/>
      <c r="Y600" s="27"/>
      <c r="Z600" s="27"/>
      <c r="AA600" s="5"/>
      <c r="AB600" s="5"/>
      <c r="AC600" s="5"/>
      <c r="AD600" s="5"/>
      <c r="AE600" s="5"/>
      <c r="AF600" s="5"/>
      <c r="AG600" s="5"/>
      <c r="AH600" s="27"/>
      <c r="AI600" s="27"/>
      <c r="AJ600" s="27"/>
      <c r="AK600" s="27"/>
      <c r="AL600" s="6"/>
      <c r="AM600" s="27"/>
      <c r="AN600" s="27"/>
      <c r="AO600" s="27"/>
      <c r="AP600" s="27"/>
      <c r="AQ600" s="27"/>
      <c r="AR600" s="27"/>
      <c r="AS600" s="27"/>
      <c r="AT600" s="27"/>
      <c r="AU600" s="27"/>
      <c r="AV600" s="27"/>
      <c r="AW600" s="27"/>
      <c r="AX600" s="27"/>
      <c r="AY600" s="63"/>
    </row>
    <row r="601" spans="1:51">
      <c r="A601" s="1">
        <v>409</v>
      </c>
      <c r="B601" s="43"/>
      <c r="C601" s="10"/>
      <c r="D601" s="5"/>
      <c r="E601" s="10"/>
      <c r="F601" s="5"/>
      <c r="G601" s="5"/>
      <c r="H601" s="5"/>
      <c r="I601" s="5"/>
      <c r="J601" s="5"/>
      <c r="K601" s="10"/>
      <c r="L601" s="10"/>
      <c r="M601" s="10"/>
      <c r="N601" s="5"/>
      <c r="O601" s="5"/>
      <c r="P601" s="27"/>
      <c r="Q601" s="27"/>
      <c r="R601" s="27"/>
      <c r="S601" s="27"/>
      <c r="T601" s="27"/>
      <c r="U601" s="27"/>
      <c r="V601" s="27"/>
      <c r="W601" s="27"/>
      <c r="X601" s="27"/>
      <c r="Y601" s="27"/>
      <c r="Z601" s="27"/>
      <c r="AA601" s="5"/>
      <c r="AB601" s="5"/>
      <c r="AC601" s="5"/>
      <c r="AD601" s="5"/>
      <c r="AE601" s="5"/>
      <c r="AF601" s="5"/>
      <c r="AG601" s="5"/>
      <c r="AH601" s="27"/>
      <c r="AI601" s="27"/>
      <c r="AJ601" s="27"/>
      <c r="AK601" s="27"/>
      <c r="AL601" s="6"/>
      <c r="AM601" s="27"/>
      <c r="AN601" s="27"/>
      <c r="AO601" s="27"/>
      <c r="AP601" s="27"/>
      <c r="AQ601" s="27"/>
      <c r="AR601" s="27"/>
      <c r="AS601" s="27"/>
      <c r="AT601" s="27"/>
      <c r="AU601" s="27"/>
      <c r="AV601" s="27"/>
      <c r="AW601" s="27"/>
      <c r="AX601" s="27"/>
      <c r="AY601" s="63"/>
    </row>
    <row r="602" spans="1:51">
      <c r="A602" s="1">
        <v>410</v>
      </c>
      <c r="B602" s="43"/>
      <c r="C602" s="10"/>
      <c r="D602" s="5"/>
      <c r="E602" s="10"/>
      <c r="F602" s="5"/>
      <c r="G602" s="5"/>
      <c r="H602" s="5"/>
      <c r="I602" s="5"/>
      <c r="J602" s="5"/>
      <c r="K602" s="10"/>
      <c r="L602" s="10"/>
      <c r="M602" s="10"/>
      <c r="N602" s="5"/>
      <c r="O602" s="5"/>
      <c r="P602" s="27"/>
      <c r="Q602" s="27"/>
      <c r="R602" s="27"/>
      <c r="S602" s="27"/>
      <c r="T602" s="27"/>
      <c r="U602" s="27"/>
      <c r="V602" s="27"/>
      <c r="W602" s="27"/>
      <c r="X602" s="27"/>
      <c r="Y602" s="27"/>
      <c r="Z602" s="27"/>
      <c r="AA602" s="5"/>
      <c r="AB602" s="5"/>
      <c r="AC602" s="5"/>
      <c r="AD602" s="5"/>
      <c r="AE602" s="5"/>
      <c r="AF602" s="5"/>
      <c r="AG602" s="5"/>
      <c r="AH602" s="27"/>
      <c r="AI602" s="27"/>
      <c r="AJ602" s="27"/>
      <c r="AK602" s="27"/>
      <c r="AL602" s="6"/>
      <c r="AM602" s="27"/>
      <c r="AN602" s="27"/>
      <c r="AO602" s="27"/>
      <c r="AP602" s="27"/>
      <c r="AQ602" s="27"/>
      <c r="AR602" s="27"/>
      <c r="AS602" s="27"/>
      <c r="AT602" s="27"/>
      <c r="AU602" s="27"/>
      <c r="AV602" s="27"/>
      <c r="AW602" s="27"/>
      <c r="AX602" s="27"/>
      <c r="AY602" s="63"/>
    </row>
    <row r="603" spans="1:51">
      <c r="A603" s="1">
        <v>411</v>
      </c>
      <c r="B603" s="43"/>
      <c r="C603" s="10"/>
      <c r="D603" s="5"/>
      <c r="E603" s="10"/>
      <c r="F603" s="5"/>
      <c r="G603" s="5"/>
      <c r="H603" s="5"/>
      <c r="I603" s="5"/>
      <c r="J603" s="5"/>
      <c r="K603" s="10"/>
      <c r="L603" s="10"/>
      <c r="M603" s="10"/>
      <c r="N603" s="5"/>
      <c r="O603" s="5"/>
      <c r="P603" s="27"/>
      <c r="Q603" s="27"/>
      <c r="R603" s="27"/>
      <c r="S603" s="27"/>
      <c r="T603" s="27"/>
      <c r="U603" s="27"/>
      <c r="V603" s="27"/>
      <c r="W603" s="27"/>
      <c r="X603" s="27"/>
      <c r="Y603" s="27"/>
      <c r="Z603" s="27"/>
      <c r="AA603" s="5"/>
      <c r="AB603" s="5"/>
      <c r="AC603" s="5"/>
      <c r="AD603" s="5"/>
      <c r="AE603" s="5"/>
      <c r="AF603" s="5"/>
      <c r="AG603" s="5"/>
      <c r="AH603" s="27"/>
      <c r="AI603" s="27"/>
      <c r="AJ603" s="27"/>
      <c r="AK603" s="27"/>
      <c r="AL603" s="6"/>
      <c r="AM603" s="27"/>
      <c r="AN603" s="27"/>
      <c r="AO603" s="27"/>
      <c r="AP603" s="27"/>
      <c r="AQ603" s="27"/>
      <c r="AR603" s="27"/>
      <c r="AS603" s="27"/>
      <c r="AT603" s="27"/>
      <c r="AU603" s="27"/>
      <c r="AV603" s="27"/>
      <c r="AW603" s="27"/>
      <c r="AX603" s="27"/>
      <c r="AY603" s="63"/>
    </row>
    <row r="604" spans="1:51">
      <c r="A604" s="1">
        <v>412</v>
      </c>
      <c r="B604" s="43"/>
      <c r="C604" s="10"/>
      <c r="D604" s="5"/>
      <c r="E604" s="10"/>
      <c r="F604" s="5"/>
      <c r="G604" s="5"/>
      <c r="H604" s="5"/>
      <c r="I604" s="5"/>
      <c r="J604" s="5"/>
      <c r="K604" s="10"/>
      <c r="L604" s="10"/>
      <c r="M604" s="10"/>
      <c r="N604" s="5"/>
      <c r="O604" s="5"/>
      <c r="P604" s="27"/>
      <c r="Q604" s="27"/>
      <c r="R604" s="27"/>
      <c r="S604" s="27"/>
      <c r="T604" s="27"/>
      <c r="U604" s="27"/>
      <c r="V604" s="27"/>
      <c r="W604" s="27"/>
      <c r="X604" s="27"/>
      <c r="Y604" s="27"/>
      <c r="Z604" s="27"/>
      <c r="AA604" s="5"/>
      <c r="AB604" s="5"/>
      <c r="AC604" s="5"/>
      <c r="AD604" s="5"/>
      <c r="AE604" s="5"/>
      <c r="AF604" s="5"/>
      <c r="AG604" s="5"/>
      <c r="AH604" s="27"/>
      <c r="AI604" s="27"/>
      <c r="AJ604" s="27"/>
      <c r="AK604" s="27"/>
      <c r="AL604" s="6"/>
      <c r="AM604" s="27"/>
      <c r="AN604" s="27"/>
      <c r="AO604" s="27"/>
      <c r="AP604" s="27"/>
      <c r="AQ604" s="27"/>
      <c r="AR604" s="27"/>
      <c r="AS604" s="27"/>
      <c r="AT604" s="27"/>
      <c r="AU604" s="27"/>
      <c r="AV604" s="27"/>
      <c r="AW604" s="27"/>
      <c r="AX604" s="27"/>
      <c r="AY604" s="63"/>
    </row>
    <row r="605" spans="1:51">
      <c r="A605" s="1">
        <v>413</v>
      </c>
      <c r="B605" s="43"/>
      <c r="C605" s="10"/>
      <c r="D605" s="5"/>
      <c r="E605" s="10"/>
      <c r="F605" s="5"/>
      <c r="G605" s="5"/>
      <c r="H605" s="5"/>
      <c r="I605" s="5"/>
      <c r="J605" s="5"/>
      <c r="K605" s="10"/>
      <c r="L605" s="10"/>
      <c r="M605" s="10"/>
      <c r="N605" s="5"/>
      <c r="O605" s="5"/>
      <c r="P605" s="27"/>
      <c r="Q605" s="27"/>
      <c r="R605" s="27"/>
      <c r="S605" s="27"/>
      <c r="T605" s="27"/>
      <c r="U605" s="27"/>
      <c r="V605" s="27"/>
      <c r="W605" s="27"/>
      <c r="X605" s="27"/>
      <c r="Y605" s="27"/>
      <c r="Z605" s="27"/>
      <c r="AA605" s="5"/>
      <c r="AB605" s="5"/>
      <c r="AC605" s="5"/>
      <c r="AD605" s="5"/>
      <c r="AE605" s="5"/>
      <c r="AF605" s="5"/>
      <c r="AG605" s="5"/>
      <c r="AH605" s="27"/>
      <c r="AI605" s="27"/>
      <c r="AJ605" s="27"/>
      <c r="AK605" s="27"/>
      <c r="AL605" s="6"/>
      <c r="AM605" s="27"/>
      <c r="AN605" s="27"/>
      <c r="AO605" s="27"/>
      <c r="AP605" s="27"/>
      <c r="AQ605" s="27"/>
      <c r="AR605" s="27"/>
      <c r="AS605" s="27"/>
      <c r="AT605" s="27"/>
      <c r="AU605" s="27"/>
      <c r="AV605" s="27"/>
      <c r="AW605" s="27"/>
      <c r="AX605" s="27"/>
      <c r="AY605" s="63"/>
    </row>
    <row r="606" spans="1:51">
      <c r="A606" s="1">
        <v>414</v>
      </c>
      <c r="B606" s="43"/>
      <c r="C606" s="10"/>
      <c r="D606" s="5"/>
      <c r="E606" s="10"/>
      <c r="F606" s="5"/>
      <c r="G606" s="5"/>
      <c r="H606" s="5"/>
      <c r="I606" s="5"/>
      <c r="J606" s="5"/>
      <c r="K606" s="10"/>
      <c r="L606" s="10"/>
      <c r="M606" s="10"/>
      <c r="N606" s="5"/>
      <c r="O606" s="5"/>
      <c r="P606" s="27"/>
      <c r="Q606" s="27"/>
      <c r="R606" s="27"/>
      <c r="S606" s="27"/>
      <c r="T606" s="27"/>
      <c r="U606" s="27"/>
      <c r="V606" s="27"/>
      <c r="W606" s="27"/>
      <c r="X606" s="27"/>
      <c r="Y606" s="27"/>
      <c r="Z606" s="27"/>
      <c r="AA606" s="5"/>
      <c r="AB606" s="5"/>
      <c r="AC606" s="5"/>
      <c r="AD606" s="5"/>
      <c r="AE606" s="5"/>
      <c r="AF606" s="5"/>
      <c r="AG606" s="5"/>
      <c r="AH606" s="27"/>
      <c r="AI606" s="27"/>
      <c r="AJ606" s="27"/>
      <c r="AK606" s="27"/>
      <c r="AL606" s="6"/>
      <c r="AM606" s="27"/>
      <c r="AN606" s="27"/>
      <c r="AO606" s="27"/>
      <c r="AP606" s="27"/>
      <c r="AQ606" s="27"/>
      <c r="AR606" s="27"/>
      <c r="AS606" s="27"/>
      <c r="AT606" s="27"/>
      <c r="AU606" s="27"/>
      <c r="AV606" s="27"/>
      <c r="AW606" s="27"/>
      <c r="AX606" s="27"/>
      <c r="AY606" s="63"/>
    </row>
    <row r="607" spans="1:51">
      <c r="A607" s="1">
        <v>415</v>
      </c>
      <c r="B607" s="43"/>
      <c r="C607" s="10"/>
      <c r="D607" s="5"/>
      <c r="E607" s="10"/>
      <c r="F607" s="5"/>
      <c r="G607" s="5"/>
      <c r="H607" s="5"/>
      <c r="I607" s="5"/>
      <c r="J607" s="5"/>
      <c r="K607" s="10"/>
      <c r="L607" s="10"/>
      <c r="M607" s="10"/>
      <c r="N607" s="5"/>
      <c r="O607" s="5"/>
      <c r="P607" s="27"/>
      <c r="Q607" s="27"/>
      <c r="R607" s="27"/>
      <c r="S607" s="27"/>
      <c r="T607" s="27"/>
      <c r="U607" s="27"/>
      <c r="V607" s="27"/>
      <c r="W607" s="27"/>
      <c r="X607" s="27"/>
      <c r="Y607" s="27"/>
      <c r="Z607" s="27"/>
      <c r="AA607" s="5"/>
      <c r="AB607" s="5"/>
      <c r="AC607" s="5"/>
      <c r="AD607" s="5"/>
      <c r="AE607" s="5"/>
      <c r="AF607" s="5"/>
      <c r="AG607" s="5"/>
      <c r="AH607" s="27"/>
      <c r="AI607" s="27"/>
      <c r="AJ607" s="27"/>
      <c r="AK607" s="27"/>
      <c r="AL607" s="6"/>
      <c r="AM607" s="27"/>
      <c r="AN607" s="27"/>
      <c r="AO607" s="27"/>
      <c r="AP607" s="27"/>
      <c r="AQ607" s="27"/>
      <c r="AR607" s="27"/>
      <c r="AS607" s="27"/>
      <c r="AT607" s="27"/>
      <c r="AU607" s="27"/>
      <c r="AV607" s="27"/>
      <c r="AW607" s="27"/>
      <c r="AX607" s="27"/>
      <c r="AY607" s="63"/>
    </row>
    <row r="608" spans="1:51">
      <c r="A608" s="1">
        <v>416</v>
      </c>
      <c r="B608" s="43"/>
      <c r="C608" s="10"/>
      <c r="D608" s="5"/>
      <c r="E608" s="10"/>
      <c r="F608" s="5"/>
      <c r="G608" s="5"/>
      <c r="H608" s="5"/>
      <c r="I608" s="5"/>
      <c r="J608" s="5"/>
      <c r="K608" s="10"/>
      <c r="L608" s="10"/>
      <c r="M608" s="10"/>
      <c r="N608" s="5"/>
      <c r="O608" s="5"/>
      <c r="P608" s="27"/>
      <c r="Q608" s="27"/>
      <c r="R608" s="27"/>
      <c r="S608" s="27"/>
      <c r="T608" s="27"/>
      <c r="U608" s="27"/>
      <c r="V608" s="27"/>
      <c r="W608" s="27"/>
      <c r="X608" s="27"/>
      <c r="Y608" s="27"/>
      <c r="Z608" s="27"/>
      <c r="AA608" s="5"/>
      <c r="AB608" s="5"/>
      <c r="AC608" s="5"/>
      <c r="AD608" s="5"/>
      <c r="AE608" s="5"/>
      <c r="AF608" s="5"/>
      <c r="AG608" s="5"/>
      <c r="AH608" s="27"/>
      <c r="AI608" s="27"/>
      <c r="AJ608" s="27"/>
      <c r="AK608" s="27"/>
      <c r="AL608" s="6"/>
      <c r="AM608" s="27"/>
      <c r="AN608" s="27"/>
      <c r="AO608" s="27"/>
      <c r="AP608" s="27"/>
      <c r="AQ608" s="27"/>
      <c r="AR608" s="27"/>
      <c r="AS608" s="27"/>
      <c r="AT608" s="27"/>
      <c r="AU608" s="27"/>
      <c r="AV608" s="27"/>
      <c r="AW608" s="27"/>
      <c r="AX608" s="27"/>
      <c r="AY608" s="63"/>
    </row>
    <row r="609" spans="1:51">
      <c r="A609" s="1">
        <v>417</v>
      </c>
      <c r="B609" s="43"/>
      <c r="C609" s="10"/>
      <c r="D609" s="5"/>
      <c r="E609" s="10"/>
      <c r="F609" s="5"/>
      <c r="G609" s="5"/>
      <c r="H609" s="5"/>
      <c r="I609" s="5"/>
      <c r="J609" s="5"/>
      <c r="K609" s="10"/>
      <c r="L609" s="10"/>
      <c r="M609" s="10"/>
      <c r="N609" s="5"/>
      <c r="O609" s="5"/>
      <c r="P609" s="27"/>
      <c r="Q609" s="27"/>
      <c r="R609" s="27"/>
      <c r="S609" s="27"/>
      <c r="T609" s="27"/>
      <c r="U609" s="27"/>
      <c r="V609" s="27"/>
      <c r="W609" s="27"/>
      <c r="X609" s="27"/>
      <c r="Y609" s="27"/>
      <c r="Z609" s="27"/>
      <c r="AA609" s="5"/>
      <c r="AB609" s="5"/>
      <c r="AC609" s="5"/>
      <c r="AD609" s="5"/>
      <c r="AE609" s="5"/>
      <c r="AF609" s="5"/>
      <c r="AG609" s="5"/>
      <c r="AH609" s="27"/>
      <c r="AI609" s="27"/>
      <c r="AJ609" s="27"/>
      <c r="AK609" s="27"/>
      <c r="AL609" s="6"/>
      <c r="AM609" s="27"/>
      <c r="AN609" s="27"/>
      <c r="AO609" s="27"/>
      <c r="AP609" s="27"/>
      <c r="AQ609" s="27"/>
      <c r="AR609" s="27"/>
      <c r="AS609" s="27"/>
      <c r="AT609" s="27"/>
      <c r="AU609" s="27"/>
      <c r="AV609" s="27"/>
      <c r="AW609" s="27"/>
      <c r="AX609" s="27"/>
      <c r="AY609" s="63"/>
    </row>
    <row r="610" spans="1:51">
      <c r="A610" s="1">
        <v>418</v>
      </c>
      <c r="B610" s="43"/>
      <c r="C610" s="10"/>
      <c r="D610" s="5"/>
      <c r="E610" s="10"/>
      <c r="F610" s="5"/>
      <c r="G610" s="5"/>
      <c r="H610" s="5"/>
      <c r="I610" s="5"/>
      <c r="J610" s="5"/>
      <c r="K610" s="10"/>
      <c r="L610" s="10"/>
      <c r="M610" s="10"/>
      <c r="N610" s="5"/>
      <c r="O610" s="5"/>
      <c r="P610" s="27"/>
      <c r="Q610" s="27"/>
      <c r="R610" s="27"/>
      <c r="S610" s="27"/>
      <c r="T610" s="27"/>
      <c r="U610" s="27"/>
      <c r="V610" s="27"/>
      <c r="W610" s="27"/>
      <c r="X610" s="27"/>
      <c r="Y610" s="27"/>
      <c r="Z610" s="27"/>
      <c r="AA610" s="5"/>
      <c r="AB610" s="5"/>
      <c r="AC610" s="5"/>
      <c r="AD610" s="5"/>
      <c r="AE610" s="5"/>
      <c r="AF610" s="5"/>
      <c r="AG610" s="5"/>
      <c r="AH610" s="27"/>
      <c r="AI610" s="27"/>
      <c r="AJ610" s="27"/>
      <c r="AK610" s="27"/>
      <c r="AL610" s="6"/>
      <c r="AM610" s="27"/>
      <c r="AN610" s="27"/>
      <c r="AO610" s="27"/>
      <c r="AP610" s="27"/>
      <c r="AQ610" s="27"/>
      <c r="AR610" s="27"/>
      <c r="AS610" s="27"/>
      <c r="AT610" s="27"/>
      <c r="AU610" s="27"/>
      <c r="AV610" s="27"/>
      <c r="AW610" s="27"/>
      <c r="AX610" s="27"/>
      <c r="AY610" s="63"/>
    </row>
    <row r="611" spans="1:51">
      <c r="A611" s="1">
        <v>419</v>
      </c>
      <c r="B611" s="43"/>
      <c r="C611" s="10"/>
      <c r="D611" s="5"/>
      <c r="E611" s="10"/>
      <c r="F611" s="5"/>
      <c r="G611" s="5"/>
      <c r="H611" s="5"/>
      <c r="I611" s="5"/>
      <c r="J611" s="5"/>
      <c r="K611" s="10"/>
      <c r="L611" s="10"/>
      <c r="M611" s="10"/>
      <c r="N611" s="5"/>
      <c r="O611" s="5"/>
      <c r="P611" s="27"/>
      <c r="Q611" s="27"/>
      <c r="R611" s="27"/>
      <c r="S611" s="27"/>
      <c r="T611" s="27"/>
      <c r="U611" s="27"/>
      <c r="V611" s="27"/>
      <c r="W611" s="27"/>
      <c r="X611" s="27"/>
      <c r="Y611" s="27"/>
      <c r="Z611" s="27"/>
      <c r="AA611" s="5"/>
      <c r="AB611" s="5"/>
      <c r="AC611" s="5"/>
      <c r="AD611" s="5"/>
      <c r="AE611" s="5"/>
      <c r="AF611" s="5"/>
      <c r="AG611" s="5"/>
      <c r="AH611" s="27"/>
      <c r="AI611" s="27"/>
      <c r="AJ611" s="27"/>
      <c r="AK611" s="27"/>
      <c r="AL611" s="6"/>
      <c r="AM611" s="27"/>
      <c r="AN611" s="27"/>
      <c r="AO611" s="27"/>
      <c r="AP611" s="27"/>
      <c r="AQ611" s="27"/>
      <c r="AR611" s="27"/>
      <c r="AS611" s="27"/>
      <c r="AT611" s="27"/>
      <c r="AU611" s="27"/>
      <c r="AV611" s="27"/>
      <c r="AW611" s="27"/>
      <c r="AX611" s="27"/>
      <c r="AY611" s="63"/>
    </row>
    <row r="612" spans="1:51">
      <c r="A612" s="1">
        <v>420</v>
      </c>
      <c r="B612" s="43"/>
      <c r="C612" s="10"/>
      <c r="D612" s="5"/>
      <c r="E612" s="10"/>
      <c r="F612" s="5"/>
      <c r="G612" s="5"/>
      <c r="H612" s="5"/>
      <c r="I612" s="5"/>
      <c r="J612" s="5"/>
      <c r="K612" s="10"/>
      <c r="L612" s="10"/>
      <c r="M612" s="10"/>
      <c r="N612" s="5"/>
      <c r="O612" s="5"/>
      <c r="P612" s="27"/>
      <c r="Q612" s="27"/>
      <c r="R612" s="27"/>
      <c r="S612" s="27"/>
      <c r="T612" s="27"/>
      <c r="U612" s="27"/>
      <c r="V612" s="27"/>
      <c r="W612" s="27"/>
      <c r="X612" s="27"/>
      <c r="Y612" s="27"/>
      <c r="Z612" s="27"/>
      <c r="AA612" s="5"/>
      <c r="AB612" s="5"/>
      <c r="AC612" s="5"/>
      <c r="AD612" s="5"/>
      <c r="AE612" s="5"/>
      <c r="AF612" s="5"/>
      <c r="AG612" s="5"/>
      <c r="AH612" s="27"/>
      <c r="AI612" s="27"/>
      <c r="AJ612" s="27"/>
      <c r="AK612" s="27"/>
      <c r="AL612" s="6"/>
      <c r="AM612" s="27"/>
      <c r="AN612" s="27"/>
      <c r="AO612" s="27"/>
      <c r="AP612" s="27"/>
      <c r="AQ612" s="27"/>
      <c r="AR612" s="27"/>
      <c r="AS612" s="27"/>
      <c r="AT612" s="27"/>
      <c r="AU612" s="27"/>
      <c r="AV612" s="27"/>
      <c r="AW612" s="27"/>
      <c r="AX612" s="27"/>
      <c r="AY612" s="63"/>
    </row>
    <row r="613" spans="1:51">
      <c r="A613" s="1">
        <v>421</v>
      </c>
      <c r="B613" s="43"/>
      <c r="C613" s="10"/>
      <c r="D613" s="5"/>
      <c r="E613" s="10"/>
      <c r="F613" s="5"/>
      <c r="G613" s="5"/>
      <c r="H613" s="5"/>
      <c r="I613" s="5"/>
      <c r="J613" s="5"/>
      <c r="K613" s="10"/>
      <c r="L613" s="10"/>
      <c r="M613" s="10"/>
      <c r="N613" s="5"/>
      <c r="O613" s="5"/>
      <c r="P613" s="27"/>
      <c r="Q613" s="27"/>
      <c r="R613" s="27"/>
      <c r="S613" s="27"/>
      <c r="T613" s="27"/>
      <c r="U613" s="27"/>
      <c r="V613" s="27"/>
      <c r="W613" s="27"/>
      <c r="X613" s="27"/>
      <c r="Y613" s="27"/>
      <c r="Z613" s="27"/>
      <c r="AA613" s="5"/>
      <c r="AB613" s="5"/>
      <c r="AC613" s="5"/>
      <c r="AD613" s="5"/>
      <c r="AE613" s="5"/>
      <c r="AF613" s="5"/>
      <c r="AG613" s="5"/>
      <c r="AH613" s="27"/>
      <c r="AI613" s="27"/>
      <c r="AJ613" s="27"/>
      <c r="AK613" s="27"/>
      <c r="AL613" s="6"/>
      <c r="AM613" s="27"/>
      <c r="AN613" s="27"/>
      <c r="AO613" s="27"/>
      <c r="AP613" s="27"/>
      <c r="AQ613" s="27"/>
      <c r="AR613" s="27"/>
      <c r="AS613" s="27"/>
      <c r="AT613" s="27"/>
      <c r="AU613" s="27"/>
      <c r="AV613" s="27"/>
      <c r="AW613" s="27"/>
      <c r="AX613" s="27"/>
      <c r="AY613" s="63"/>
    </row>
    <row r="614" spans="1:51">
      <c r="A614" s="1">
        <v>422</v>
      </c>
      <c r="B614" s="43"/>
      <c r="C614" s="10"/>
      <c r="D614" s="5"/>
      <c r="E614" s="10"/>
      <c r="F614" s="5"/>
      <c r="G614" s="5"/>
      <c r="H614" s="5"/>
      <c r="I614" s="5"/>
      <c r="J614" s="5"/>
      <c r="K614" s="10"/>
      <c r="L614" s="10"/>
      <c r="M614" s="10"/>
      <c r="N614" s="5"/>
      <c r="O614" s="5"/>
      <c r="P614" s="27"/>
      <c r="Q614" s="27"/>
      <c r="R614" s="27"/>
      <c r="S614" s="27"/>
      <c r="T614" s="27"/>
      <c r="U614" s="27"/>
      <c r="V614" s="27"/>
      <c r="W614" s="27"/>
      <c r="X614" s="27"/>
      <c r="Y614" s="27"/>
      <c r="Z614" s="27"/>
      <c r="AA614" s="5"/>
      <c r="AB614" s="5"/>
      <c r="AC614" s="5"/>
      <c r="AD614" s="5"/>
      <c r="AE614" s="5"/>
      <c r="AF614" s="5"/>
      <c r="AG614" s="5"/>
      <c r="AH614" s="27"/>
      <c r="AI614" s="27"/>
      <c r="AJ614" s="27"/>
      <c r="AK614" s="27"/>
      <c r="AL614" s="6"/>
      <c r="AM614" s="27"/>
      <c r="AN614" s="27"/>
      <c r="AO614" s="27"/>
      <c r="AP614" s="27"/>
      <c r="AQ614" s="27"/>
      <c r="AR614" s="27"/>
      <c r="AS614" s="27"/>
      <c r="AT614" s="27"/>
      <c r="AU614" s="27"/>
      <c r="AV614" s="27"/>
      <c r="AW614" s="27"/>
      <c r="AX614" s="27"/>
      <c r="AY614" s="63"/>
    </row>
    <row r="615" spans="1:51">
      <c r="A615" s="1">
        <v>423</v>
      </c>
      <c r="B615" s="43"/>
      <c r="C615" s="10"/>
      <c r="D615" s="5"/>
      <c r="E615" s="10"/>
      <c r="F615" s="5"/>
      <c r="G615" s="5"/>
      <c r="H615" s="5"/>
      <c r="I615" s="5"/>
      <c r="J615" s="5"/>
      <c r="K615" s="10"/>
      <c r="L615" s="10"/>
      <c r="M615" s="10"/>
      <c r="N615" s="5"/>
      <c r="O615" s="5"/>
      <c r="P615" s="27"/>
      <c r="Q615" s="27"/>
      <c r="R615" s="27"/>
      <c r="S615" s="27"/>
      <c r="T615" s="27"/>
      <c r="U615" s="27"/>
      <c r="V615" s="27"/>
      <c r="W615" s="27"/>
      <c r="X615" s="27"/>
      <c r="Y615" s="27"/>
      <c r="Z615" s="27"/>
      <c r="AA615" s="5"/>
      <c r="AB615" s="5"/>
      <c r="AC615" s="5"/>
      <c r="AD615" s="5"/>
      <c r="AE615" s="5"/>
      <c r="AF615" s="5"/>
      <c r="AG615" s="5"/>
      <c r="AH615" s="27"/>
      <c r="AI615" s="27"/>
      <c r="AJ615" s="27"/>
      <c r="AK615" s="27"/>
      <c r="AL615" s="6"/>
      <c r="AM615" s="27"/>
      <c r="AN615" s="27"/>
      <c r="AO615" s="27"/>
      <c r="AP615" s="27"/>
      <c r="AQ615" s="27"/>
      <c r="AR615" s="27"/>
      <c r="AS615" s="27"/>
      <c r="AT615" s="27"/>
      <c r="AU615" s="27"/>
      <c r="AV615" s="27"/>
      <c r="AW615" s="27"/>
      <c r="AX615" s="27"/>
      <c r="AY615" s="63"/>
    </row>
    <row r="616" spans="1:51">
      <c r="A616" s="1">
        <v>424</v>
      </c>
      <c r="B616" s="43"/>
      <c r="C616" s="10"/>
      <c r="D616" s="5"/>
      <c r="E616" s="10"/>
      <c r="F616" s="5"/>
      <c r="G616" s="5"/>
      <c r="H616" s="5"/>
      <c r="I616" s="5"/>
      <c r="J616" s="5"/>
      <c r="K616" s="10"/>
      <c r="L616" s="10"/>
      <c r="M616" s="10"/>
      <c r="N616" s="5"/>
      <c r="O616" s="5"/>
      <c r="P616" s="27"/>
      <c r="Q616" s="27"/>
      <c r="R616" s="27"/>
      <c r="S616" s="27"/>
      <c r="T616" s="27"/>
      <c r="U616" s="27"/>
      <c r="V616" s="27"/>
      <c r="W616" s="27"/>
      <c r="X616" s="27"/>
      <c r="Y616" s="27"/>
      <c r="Z616" s="27"/>
      <c r="AA616" s="5"/>
      <c r="AB616" s="5"/>
      <c r="AC616" s="5"/>
      <c r="AD616" s="5"/>
      <c r="AE616" s="5"/>
      <c r="AF616" s="5"/>
      <c r="AG616" s="5"/>
      <c r="AH616" s="27"/>
      <c r="AI616" s="27"/>
      <c r="AJ616" s="27"/>
      <c r="AK616" s="27"/>
      <c r="AL616" s="6"/>
      <c r="AM616" s="27"/>
      <c r="AN616" s="27"/>
      <c r="AO616" s="27"/>
      <c r="AP616" s="27"/>
      <c r="AQ616" s="27"/>
      <c r="AR616" s="27"/>
      <c r="AS616" s="27"/>
      <c r="AT616" s="27"/>
      <c r="AU616" s="27"/>
      <c r="AV616" s="27"/>
      <c r="AW616" s="27"/>
      <c r="AX616" s="27"/>
      <c r="AY616" s="63"/>
    </row>
    <row r="617" spans="1:51">
      <c r="A617" s="1">
        <v>425</v>
      </c>
      <c r="B617" s="43"/>
      <c r="C617" s="10"/>
      <c r="D617" s="5"/>
      <c r="E617" s="10"/>
      <c r="F617" s="5"/>
      <c r="G617" s="5"/>
      <c r="H617" s="5"/>
      <c r="I617" s="5"/>
      <c r="J617" s="5"/>
      <c r="K617" s="10"/>
      <c r="L617" s="10"/>
      <c r="M617" s="10"/>
      <c r="N617" s="5"/>
      <c r="O617" s="5"/>
      <c r="P617" s="27"/>
      <c r="Q617" s="27"/>
      <c r="R617" s="27"/>
      <c r="S617" s="27"/>
      <c r="T617" s="27"/>
      <c r="U617" s="27"/>
      <c r="V617" s="27"/>
      <c r="W617" s="27"/>
      <c r="X617" s="27"/>
      <c r="Y617" s="27"/>
      <c r="Z617" s="27"/>
      <c r="AA617" s="5"/>
      <c r="AB617" s="5"/>
      <c r="AC617" s="5"/>
      <c r="AD617" s="5"/>
      <c r="AE617" s="5"/>
      <c r="AF617" s="5"/>
      <c r="AG617" s="5"/>
      <c r="AH617" s="27"/>
      <c r="AI617" s="27"/>
      <c r="AJ617" s="27"/>
      <c r="AK617" s="27"/>
      <c r="AL617" s="6"/>
      <c r="AM617" s="27"/>
      <c r="AN617" s="27"/>
      <c r="AO617" s="27"/>
      <c r="AP617" s="27"/>
      <c r="AQ617" s="27"/>
      <c r="AR617" s="27"/>
      <c r="AS617" s="27"/>
      <c r="AT617" s="27"/>
      <c r="AU617" s="27"/>
      <c r="AV617" s="27"/>
      <c r="AW617" s="27"/>
      <c r="AX617" s="27"/>
      <c r="AY617" s="63"/>
    </row>
    <row r="618" spans="1:51">
      <c r="A618" s="1">
        <v>426</v>
      </c>
      <c r="B618" s="43"/>
      <c r="C618" s="10"/>
      <c r="D618" s="5"/>
      <c r="E618" s="10"/>
      <c r="F618" s="5"/>
      <c r="G618" s="5"/>
      <c r="H618" s="5"/>
      <c r="I618" s="5"/>
      <c r="J618" s="5"/>
      <c r="K618" s="10"/>
      <c r="L618" s="10"/>
      <c r="M618" s="10"/>
      <c r="N618" s="5"/>
      <c r="O618" s="5"/>
      <c r="P618" s="27"/>
      <c r="Q618" s="27"/>
      <c r="R618" s="27"/>
      <c r="S618" s="27"/>
      <c r="T618" s="27"/>
      <c r="U618" s="27"/>
      <c r="V618" s="27"/>
      <c r="W618" s="27"/>
      <c r="X618" s="27"/>
      <c r="Y618" s="27"/>
      <c r="Z618" s="27"/>
      <c r="AA618" s="5"/>
      <c r="AB618" s="5"/>
      <c r="AC618" s="5"/>
      <c r="AD618" s="5"/>
      <c r="AE618" s="5"/>
      <c r="AF618" s="5"/>
      <c r="AG618" s="5"/>
      <c r="AH618" s="27"/>
      <c r="AI618" s="27"/>
      <c r="AJ618" s="27"/>
      <c r="AK618" s="27"/>
      <c r="AL618" s="6"/>
      <c r="AM618" s="27"/>
      <c r="AN618" s="27"/>
      <c r="AO618" s="27"/>
      <c r="AP618" s="27"/>
      <c r="AQ618" s="27"/>
      <c r="AR618" s="27"/>
      <c r="AS618" s="27"/>
      <c r="AT618" s="27"/>
      <c r="AU618" s="27"/>
      <c r="AV618" s="27"/>
      <c r="AW618" s="27"/>
      <c r="AX618" s="27"/>
      <c r="AY618" s="63"/>
    </row>
    <row r="619" spans="1:51">
      <c r="A619" s="1">
        <v>427</v>
      </c>
      <c r="B619" s="43"/>
      <c r="C619" s="10"/>
      <c r="D619" s="5"/>
      <c r="E619" s="10"/>
      <c r="F619" s="5"/>
      <c r="G619" s="5"/>
      <c r="H619" s="5"/>
      <c r="I619" s="5"/>
      <c r="J619" s="5"/>
      <c r="K619" s="10"/>
      <c r="L619" s="10"/>
      <c r="M619" s="10"/>
      <c r="N619" s="5"/>
      <c r="O619" s="5"/>
      <c r="P619" s="27"/>
      <c r="Q619" s="27"/>
      <c r="R619" s="27"/>
      <c r="S619" s="27"/>
      <c r="T619" s="27"/>
      <c r="U619" s="27"/>
      <c r="V619" s="27"/>
      <c r="W619" s="27"/>
      <c r="X619" s="27"/>
      <c r="Y619" s="27"/>
      <c r="Z619" s="27"/>
      <c r="AA619" s="5"/>
      <c r="AB619" s="5"/>
      <c r="AC619" s="5"/>
      <c r="AD619" s="5"/>
      <c r="AE619" s="5"/>
      <c r="AF619" s="5"/>
      <c r="AG619" s="5"/>
      <c r="AH619" s="27"/>
      <c r="AI619" s="27"/>
      <c r="AJ619" s="27"/>
      <c r="AK619" s="27"/>
      <c r="AL619" s="6"/>
      <c r="AM619" s="27"/>
      <c r="AN619" s="27"/>
      <c r="AO619" s="27"/>
      <c r="AP619" s="27"/>
      <c r="AQ619" s="27"/>
      <c r="AR619" s="27"/>
      <c r="AS619" s="27"/>
      <c r="AT619" s="27"/>
      <c r="AU619" s="27"/>
      <c r="AV619" s="27"/>
      <c r="AW619" s="27"/>
      <c r="AX619" s="27"/>
      <c r="AY619" s="63"/>
    </row>
    <row r="620" spans="1:51">
      <c r="A620" s="1">
        <v>428</v>
      </c>
      <c r="B620" s="43"/>
      <c r="C620" s="10"/>
      <c r="D620" s="5"/>
      <c r="E620" s="10"/>
      <c r="F620" s="5"/>
      <c r="G620" s="5"/>
      <c r="H620" s="5"/>
      <c r="I620" s="5"/>
      <c r="J620" s="5"/>
      <c r="K620" s="10"/>
      <c r="L620" s="10"/>
      <c r="M620" s="10"/>
      <c r="N620" s="5"/>
      <c r="O620" s="5"/>
      <c r="P620" s="27"/>
      <c r="Q620" s="27"/>
      <c r="R620" s="27"/>
      <c r="S620" s="27"/>
      <c r="T620" s="27"/>
      <c r="U620" s="27"/>
      <c r="V620" s="27"/>
      <c r="W620" s="27"/>
      <c r="X620" s="27"/>
      <c r="Y620" s="27"/>
      <c r="Z620" s="27"/>
      <c r="AA620" s="5"/>
      <c r="AB620" s="5"/>
      <c r="AC620" s="5"/>
      <c r="AD620" s="5"/>
      <c r="AE620" s="5"/>
      <c r="AF620" s="5"/>
      <c r="AG620" s="5"/>
      <c r="AH620" s="27"/>
      <c r="AI620" s="27"/>
      <c r="AJ620" s="27"/>
      <c r="AK620" s="27"/>
      <c r="AL620" s="6"/>
      <c r="AM620" s="27"/>
      <c r="AN620" s="27"/>
      <c r="AO620" s="27"/>
      <c r="AP620" s="27"/>
      <c r="AQ620" s="27"/>
      <c r="AR620" s="27"/>
      <c r="AS620" s="27"/>
      <c r="AT620" s="27"/>
      <c r="AU620" s="27"/>
      <c r="AV620" s="27"/>
      <c r="AW620" s="27"/>
      <c r="AX620" s="27"/>
      <c r="AY620" s="63"/>
    </row>
    <row r="621" spans="1:51">
      <c r="A621" s="1">
        <v>429</v>
      </c>
      <c r="B621" s="43"/>
      <c r="C621" s="10"/>
      <c r="D621" s="5"/>
      <c r="E621" s="10"/>
      <c r="F621" s="5"/>
      <c r="G621" s="5"/>
      <c r="H621" s="5"/>
      <c r="I621" s="5"/>
      <c r="J621" s="5"/>
      <c r="K621" s="10"/>
      <c r="L621" s="10"/>
      <c r="M621" s="10"/>
      <c r="N621" s="5"/>
      <c r="O621" s="5"/>
      <c r="P621" s="27"/>
      <c r="Q621" s="27"/>
      <c r="R621" s="27"/>
      <c r="S621" s="27"/>
      <c r="T621" s="27"/>
      <c r="U621" s="27"/>
      <c r="V621" s="27"/>
      <c r="W621" s="27"/>
      <c r="X621" s="27"/>
      <c r="Y621" s="27"/>
      <c r="Z621" s="27"/>
      <c r="AA621" s="5"/>
      <c r="AB621" s="5"/>
      <c r="AC621" s="5"/>
      <c r="AD621" s="5"/>
      <c r="AE621" s="5"/>
      <c r="AF621" s="5"/>
      <c r="AG621" s="5"/>
      <c r="AH621" s="27"/>
      <c r="AI621" s="27"/>
      <c r="AJ621" s="27"/>
      <c r="AK621" s="27"/>
      <c r="AL621" s="6"/>
      <c r="AM621" s="27"/>
      <c r="AN621" s="27"/>
      <c r="AO621" s="27"/>
      <c r="AP621" s="27"/>
      <c r="AQ621" s="27"/>
      <c r="AR621" s="27"/>
      <c r="AS621" s="27"/>
      <c r="AT621" s="27"/>
      <c r="AU621" s="27"/>
      <c r="AV621" s="27"/>
      <c r="AW621" s="27"/>
      <c r="AX621" s="27"/>
      <c r="AY621" s="63"/>
    </row>
    <row r="622" spans="1:51">
      <c r="A622" s="1">
        <v>430</v>
      </c>
      <c r="B622" s="43"/>
      <c r="C622" s="10"/>
      <c r="D622" s="5"/>
      <c r="E622" s="10"/>
      <c r="F622" s="5"/>
      <c r="G622" s="5"/>
      <c r="H622" s="5"/>
      <c r="I622" s="5"/>
      <c r="J622" s="5"/>
      <c r="K622" s="10"/>
      <c r="L622" s="10"/>
      <c r="M622" s="10"/>
      <c r="N622" s="5"/>
      <c r="O622" s="5"/>
      <c r="P622" s="27"/>
      <c r="Q622" s="27"/>
      <c r="R622" s="27"/>
      <c r="S622" s="27"/>
      <c r="T622" s="27"/>
      <c r="U622" s="27"/>
      <c r="V622" s="27"/>
      <c r="W622" s="27"/>
      <c r="X622" s="27"/>
      <c r="Y622" s="27"/>
      <c r="Z622" s="27"/>
      <c r="AA622" s="5"/>
      <c r="AB622" s="5"/>
      <c r="AC622" s="5"/>
      <c r="AD622" s="5"/>
      <c r="AE622" s="5"/>
      <c r="AF622" s="5"/>
      <c r="AG622" s="5"/>
      <c r="AH622" s="27"/>
      <c r="AI622" s="27"/>
      <c r="AJ622" s="27"/>
      <c r="AK622" s="27"/>
      <c r="AL622" s="6"/>
      <c r="AM622" s="27"/>
      <c r="AN622" s="27"/>
      <c r="AO622" s="27"/>
      <c r="AP622" s="27"/>
      <c r="AQ622" s="27"/>
      <c r="AR622" s="27"/>
      <c r="AS622" s="27"/>
      <c r="AT622" s="27"/>
      <c r="AU622" s="27"/>
      <c r="AV622" s="27"/>
      <c r="AW622" s="27"/>
      <c r="AX622" s="27"/>
      <c r="AY622" s="63"/>
    </row>
    <row r="623" spans="1:51">
      <c r="A623" s="1">
        <v>431</v>
      </c>
      <c r="B623" s="43"/>
      <c r="C623" s="10"/>
      <c r="D623" s="5"/>
      <c r="E623" s="10"/>
      <c r="F623" s="5"/>
      <c r="G623" s="5"/>
      <c r="H623" s="5"/>
      <c r="I623" s="5"/>
      <c r="J623" s="5"/>
      <c r="K623" s="10"/>
      <c r="L623" s="10"/>
      <c r="M623" s="10"/>
      <c r="N623" s="5"/>
      <c r="O623" s="5"/>
      <c r="P623" s="27"/>
      <c r="Q623" s="27"/>
      <c r="R623" s="27"/>
      <c r="S623" s="27"/>
      <c r="T623" s="27"/>
      <c r="U623" s="27"/>
      <c r="V623" s="27"/>
      <c r="W623" s="27"/>
      <c r="X623" s="27"/>
      <c r="Y623" s="27"/>
      <c r="Z623" s="27"/>
      <c r="AA623" s="5"/>
      <c r="AB623" s="5"/>
      <c r="AC623" s="5"/>
      <c r="AD623" s="5"/>
      <c r="AE623" s="5"/>
      <c r="AF623" s="5"/>
      <c r="AG623" s="5"/>
      <c r="AH623" s="27"/>
      <c r="AI623" s="27"/>
      <c r="AJ623" s="27"/>
      <c r="AK623" s="27"/>
      <c r="AL623" s="6"/>
      <c r="AM623" s="27"/>
      <c r="AN623" s="27"/>
      <c r="AO623" s="27"/>
      <c r="AP623" s="27"/>
      <c r="AQ623" s="27"/>
      <c r="AR623" s="27"/>
      <c r="AS623" s="27"/>
      <c r="AT623" s="27"/>
      <c r="AU623" s="27"/>
      <c r="AV623" s="27"/>
      <c r="AW623" s="27"/>
      <c r="AX623" s="27"/>
      <c r="AY623" s="63"/>
    </row>
    <row r="624" spans="1:51">
      <c r="A624" s="1">
        <v>432</v>
      </c>
      <c r="B624" s="43"/>
      <c r="C624" s="10"/>
      <c r="D624" s="5"/>
      <c r="E624" s="10"/>
      <c r="F624" s="5"/>
      <c r="G624" s="5"/>
      <c r="H624" s="5"/>
      <c r="I624" s="5"/>
      <c r="J624" s="5"/>
      <c r="K624" s="10"/>
      <c r="L624" s="10"/>
      <c r="M624" s="10"/>
      <c r="N624" s="5"/>
      <c r="O624" s="5"/>
      <c r="P624" s="27"/>
      <c r="Q624" s="27"/>
      <c r="R624" s="27"/>
      <c r="S624" s="27"/>
      <c r="T624" s="27"/>
      <c r="U624" s="27"/>
      <c r="V624" s="27"/>
      <c r="W624" s="27"/>
      <c r="X624" s="27"/>
      <c r="Y624" s="27"/>
      <c r="Z624" s="27"/>
      <c r="AA624" s="5"/>
      <c r="AB624" s="5"/>
      <c r="AC624" s="5"/>
      <c r="AD624" s="5"/>
      <c r="AE624" s="5"/>
      <c r="AF624" s="5"/>
      <c r="AG624" s="5"/>
      <c r="AH624" s="27"/>
      <c r="AI624" s="27"/>
      <c r="AJ624" s="27"/>
      <c r="AK624" s="27"/>
      <c r="AL624" s="6"/>
      <c r="AM624" s="27"/>
      <c r="AN624" s="27"/>
      <c r="AO624" s="27"/>
      <c r="AP624" s="27"/>
      <c r="AQ624" s="27"/>
      <c r="AR624" s="27"/>
      <c r="AS624" s="27"/>
      <c r="AT624" s="27"/>
      <c r="AU624" s="27"/>
      <c r="AV624" s="27"/>
      <c r="AW624" s="27"/>
      <c r="AX624" s="27"/>
      <c r="AY624" s="63"/>
    </row>
    <row r="625" spans="1:51">
      <c r="A625" s="1">
        <v>433</v>
      </c>
      <c r="B625" s="43"/>
      <c r="C625" s="10"/>
      <c r="D625" s="5"/>
      <c r="E625" s="10"/>
      <c r="F625" s="5"/>
      <c r="G625" s="5"/>
      <c r="H625" s="5"/>
      <c r="I625" s="5"/>
      <c r="J625" s="5"/>
      <c r="K625" s="10"/>
      <c r="L625" s="10"/>
      <c r="M625" s="10"/>
      <c r="N625" s="5"/>
      <c r="O625" s="5"/>
      <c r="P625" s="27"/>
      <c r="Q625" s="27"/>
      <c r="R625" s="27"/>
      <c r="S625" s="27"/>
      <c r="T625" s="27"/>
      <c r="U625" s="27"/>
      <c r="V625" s="27"/>
      <c r="W625" s="27"/>
      <c r="X625" s="27"/>
      <c r="Y625" s="27"/>
      <c r="Z625" s="27"/>
      <c r="AA625" s="5"/>
      <c r="AB625" s="5"/>
      <c r="AC625" s="5"/>
      <c r="AD625" s="5"/>
      <c r="AE625" s="5"/>
      <c r="AF625" s="5"/>
      <c r="AG625" s="5"/>
      <c r="AH625" s="27"/>
      <c r="AI625" s="27"/>
      <c r="AJ625" s="27"/>
      <c r="AK625" s="27"/>
      <c r="AL625" s="6"/>
      <c r="AM625" s="27"/>
      <c r="AN625" s="27"/>
      <c r="AO625" s="27"/>
      <c r="AP625" s="27"/>
      <c r="AQ625" s="27"/>
      <c r="AR625" s="27"/>
      <c r="AS625" s="27"/>
      <c r="AT625" s="27"/>
      <c r="AU625" s="27"/>
      <c r="AV625" s="27"/>
      <c r="AW625" s="27"/>
      <c r="AX625" s="27"/>
      <c r="AY625" s="63"/>
    </row>
    <row r="626" spans="1:51">
      <c r="A626" s="1">
        <v>434</v>
      </c>
      <c r="B626" s="43"/>
      <c r="C626" s="10"/>
      <c r="D626" s="5"/>
      <c r="E626" s="10"/>
      <c r="F626" s="5"/>
      <c r="G626" s="5"/>
      <c r="H626" s="5"/>
      <c r="I626" s="5"/>
      <c r="J626" s="5"/>
      <c r="K626" s="10"/>
      <c r="L626" s="10"/>
      <c r="M626" s="10"/>
      <c r="N626" s="5"/>
      <c r="O626" s="5"/>
      <c r="P626" s="27"/>
      <c r="Q626" s="27"/>
      <c r="R626" s="27"/>
      <c r="S626" s="27"/>
      <c r="T626" s="27"/>
      <c r="U626" s="27"/>
      <c r="V626" s="27"/>
      <c r="W626" s="27"/>
      <c r="X626" s="27"/>
      <c r="Y626" s="27"/>
      <c r="Z626" s="27"/>
      <c r="AA626" s="5"/>
      <c r="AB626" s="5"/>
      <c r="AC626" s="5"/>
      <c r="AD626" s="5"/>
      <c r="AE626" s="5"/>
      <c r="AF626" s="5"/>
      <c r="AG626" s="5"/>
      <c r="AH626" s="27"/>
      <c r="AI626" s="27"/>
      <c r="AJ626" s="27"/>
      <c r="AK626" s="27"/>
      <c r="AL626" s="6"/>
      <c r="AM626" s="27"/>
      <c r="AN626" s="27"/>
      <c r="AO626" s="27"/>
      <c r="AP626" s="27"/>
      <c r="AQ626" s="27"/>
      <c r="AR626" s="27"/>
      <c r="AS626" s="27"/>
      <c r="AT626" s="27"/>
      <c r="AU626" s="27"/>
      <c r="AV626" s="27"/>
      <c r="AW626" s="27"/>
      <c r="AX626" s="27"/>
      <c r="AY626" s="63"/>
    </row>
    <row r="627" spans="1:51">
      <c r="A627" s="1">
        <v>435</v>
      </c>
      <c r="B627" s="43"/>
      <c r="C627" s="10"/>
      <c r="D627" s="5"/>
      <c r="E627" s="10"/>
      <c r="F627" s="5"/>
      <c r="G627" s="5"/>
      <c r="H627" s="5"/>
      <c r="I627" s="5"/>
      <c r="J627" s="5"/>
      <c r="K627" s="10"/>
      <c r="L627" s="10"/>
      <c r="M627" s="10"/>
      <c r="N627" s="5"/>
      <c r="O627" s="5"/>
      <c r="P627" s="27"/>
      <c r="Q627" s="27"/>
      <c r="R627" s="27"/>
      <c r="S627" s="27"/>
      <c r="T627" s="27"/>
      <c r="U627" s="27"/>
      <c r="V627" s="27"/>
      <c r="W627" s="27"/>
      <c r="X627" s="27"/>
      <c r="Y627" s="27"/>
      <c r="Z627" s="27"/>
      <c r="AA627" s="5"/>
      <c r="AB627" s="5"/>
      <c r="AC627" s="5"/>
      <c r="AD627" s="5"/>
      <c r="AE627" s="5"/>
      <c r="AF627" s="5"/>
      <c r="AG627" s="5"/>
      <c r="AH627" s="27"/>
      <c r="AI627" s="27"/>
      <c r="AJ627" s="27"/>
      <c r="AK627" s="27"/>
      <c r="AL627" s="6"/>
      <c r="AM627" s="27"/>
      <c r="AN627" s="27"/>
      <c r="AO627" s="27"/>
      <c r="AP627" s="27"/>
      <c r="AQ627" s="27"/>
      <c r="AR627" s="27"/>
      <c r="AS627" s="27"/>
      <c r="AT627" s="27"/>
      <c r="AU627" s="27"/>
      <c r="AV627" s="27"/>
      <c r="AW627" s="27"/>
      <c r="AX627" s="27"/>
      <c r="AY627" s="63"/>
    </row>
    <row r="628" spans="1:51">
      <c r="A628" s="1">
        <v>436</v>
      </c>
      <c r="B628" s="43"/>
      <c r="C628" s="10"/>
      <c r="D628" s="5"/>
      <c r="E628" s="10"/>
      <c r="F628" s="5"/>
      <c r="G628" s="5"/>
      <c r="H628" s="5"/>
      <c r="I628" s="5"/>
      <c r="J628" s="5"/>
      <c r="K628" s="10"/>
      <c r="L628" s="10"/>
      <c r="M628" s="10"/>
      <c r="N628" s="5"/>
      <c r="O628" s="5"/>
      <c r="P628" s="27"/>
      <c r="Q628" s="27"/>
      <c r="R628" s="27"/>
      <c r="S628" s="27"/>
      <c r="T628" s="27"/>
      <c r="U628" s="27"/>
      <c r="V628" s="27"/>
      <c r="W628" s="27"/>
      <c r="X628" s="27"/>
      <c r="Y628" s="27"/>
      <c r="Z628" s="27"/>
      <c r="AA628" s="5"/>
      <c r="AB628" s="5"/>
      <c r="AC628" s="5"/>
      <c r="AD628" s="5"/>
      <c r="AE628" s="5"/>
      <c r="AF628" s="5"/>
      <c r="AG628" s="5"/>
      <c r="AH628" s="27"/>
      <c r="AI628" s="27"/>
      <c r="AJ628" s="27"/>
      <c r="AK628" s="27"/>
      <c r="AL628" s="6"/>
      <c r="AM628" s="27"/>
      <c r="AN628" s="27"/>
      <c r="AO628" s="27"/>
      <c r="AP628" s="27"/>
      <c r="AQ628" s="27"/>
      <c r="AR628" s="27"/>
      <c r="AS628" s="27"/>
      <c r="AT628" s="27"/>
      <c r="AU628" s="27"/>
      <c r="AV628" s="27"/>
      <c r="AW628" s="27"/>
      <c r="AX628" s="27"/>
      <c r="AY628" s="63"/>
    </row>
    <row r="629" spans="1:51">
      <c r="A629" s="1">
        <v>437</v>
      </c>
      <c r="B629" s="43"/>
      <c r="C629" s="10"/>
      <c r="D629" s="5"/>
      <c r="E629" s="10"/>
      <c r="F629" s="5"/>
      <c r="G629" s="5"/>
      <c r="H629" s="5"/>
      <c r="I629" s="5"/>
      <c r="J629" s="5"/>
      <c r="K629" s="10"/>
      <c r="L629" s="10"/>
      <c r="M629" s="10"/>
      <c r="N629" s="5"/>
      <c r="O629" s="5"/>
      <c r="P629" s="27"/>
      <c r="Q629" s="27"/>
      <c r="R629" s="27"/>
      <c r="S629" s="27"/>
      <c r="T629" s="27"/>
      <c r="U629" s="27"/>
      <c r="V629" s="27"/>
      <c r="W629" s="27"/>
      <c r="X629" s="27"/>
      <c r="Y629" s="27"/>
      <c r="Z629" s="27"/>
      <c r="AA629" s="5"/>
      <c r="AB629" s="5"/>
      <c r="AC629" s="5"/>
      <c r="AD629" s="5"/>
      <c r="AE629" s="5"/>
      <c r="AF629" s="5"/>
      <c r="AG629" s="5"/>
      <c r="AH629" s="27"/>
      <c r="AI629" s="27"/>
      <c r="AJ629" s="27"/>
      <c r="AK629" s="27"/>
      <c r="AL629" s="6"/>
      <c r="AM629" s="27"/>
      <c r="AN629" s="27"/>
      <c r="AO629" s="27"/>
      <c r="AP629" s="27"/>
      <c r="AQ629" s="27"/>
      <c r="AR629" s="27"/>
      <c r="AS629" s="27"/>
      <c r="AT629" s="27"/>
      <c r="AU629" s="27"/>
      <c r="AV629" s="27"/>
      <c r="AW629" s="27"/>
      <c r="AX629" s="27"/>
      <c r="AY629" s="63"/>
    </row>
    <row r="630" spans="1:51">
      <c r="A630" s="1">
        <v>438</v>
      </c>
      <c r="B630" s="43"/>
      <c r="C630" s="10"/>
      <c r="D630" s="5"/>
      <c r="E630" s="10"/>
      <c r="F630" s="5"/>
      <c r="G630" s="5"/>
      <c r="H630" s="5"/>
      <c r="I630" s="5"/>
      <c r="J630" s="5"/>
      <c r="K630" s="10"/>
      <c r="L630" s="10"/>
      <c r="M630" s="10"/>
      <c r="N630" s="5"/>
      <c r="O630" s="5"/>
      <c r="P630" s="27"/>
      <c r="Q630" s="27"/>
      <c r="R630" s="27"/>
      <c r="S630" s="27"/>
      <c r="T630" s="27"/>
      <c r="U630" s="27"/>
      <c r="V630" s="27"/>
      <c r="W630" s="27"/>
      <c r="X630" s="27"/>
      <c r="Y630" s="27"/>
      <c r="Z630" s="27"/>
      <c r="AA630" s="5"/>
      <c r="AB630" s="5"/>
      <c r="AC630" s="5"/>
      <c r="AD630" s="5"/>
      <c r="AE630" s="5"/>
      <c r="AF630" s="5"/>
      <c r="AG630" s="5"/>
      <c r="AH630" s="27"/>
      <c r="AI630" s="27"/>
      <c r="AJ630" s="27"/>
      <c r="AK630" s="27"/>
      <c r="AL630" s="6"/>
      <c r="AM630" s="27"/>
      <c r="AN630" s="27"/>
      <c r="AO630" s="27"/>
      <c r="AP630" s="27"/>
      <c r="AQ630" s="27"/>
      <c r="AR630" s="27"/>
      <c r="AS630" s="27"/>
      <c r="AT630" s="27"/>
      <c r="AU630" s="27"/>
      <c r="AV630" s="27"/>
      <c r="AW630" s="27"/>
      <c r="AX630" s="27"/>
      <c r="AY630" s="63"/>
    </row>
    <row r="631" spans="1:51">
      <c r="A631" s="1">
        <v>439</v>
      </c>
      <c r="B631" s="43"/>
      <c r="C631" s="10"/>
      <c r="D631" s="5"/>
      <c r="E631" s="10"/>
      <c r="F631" s="5"/>
      <c r="G631" s="5"/>
      <c r="H631" s="5"/>
      <c r="I631" s="5"/>
      <c r="J631" s="5"/>
      <c r="K631" s="10"/>
      <c r="L631" s="10"/>
      <c r="M631" s="10"/>
      <c r="N631" s="5"/>
      <c r="O631" s="5"/>
      <c r="P631" s="27"/>
      <c r="Q631" s="27"/>
      <c r="R631" s="27"/>
      <c r="S631" s="27"/>
      <c r="T631" s="27"/>
      <c r="U631" s="27"/>
      <c r="V631" s="27"/>
      <c r="W631" s="27"/>
      <c r="X631" s="27"/>
      <c r="Y631" s="27"/>
      <c r="Z631" s="27"/>
      <c r="AA631" s="5"/>
      <c r="AB631" s="5"/>
      <c r="AC631" s="5"/>
      <c r="AD631" s="5"/>
      <c r="AE631" s="5"/>
      <c r="AF631" s="5"/>
      <c r="AG631" s="5"/>
      <c r="AH631" s="27"/>
      <c r="AI631" s="27"/>
      <c r="AJ631" s="27"/>
      <c r="AK631" s="27"/>
      <c r="AL631" s="6"/>
      <c r="AM631" s="27"/>
      <c r="AN631" s="27"/>
      <c r="AO631" s="27"/>
      <c r="AP631" s="27"/>
      <c r="AQ631" s="27"/>
      <c r="AR631" s="27"/>
      <c r="AS631" s="27"/>
      <c r="AT631" s="27"/>
      <c r="AU631" s="27"/>
      <c r="AV631" s="27"/>
      <c r="AW631" s="27"/>
      <c r="AX631" s="27"/>
      <c r="AY631" s="63"/>
    </row>
    <row r="632" spans="1:51">
      <c r="A632" s="1">
        <v>440</v>
      </c>
      <c r="B632" s="43"/>
      <c r="C632" s="10"/>
      <c r="D632" s="5"/>
      <c r="E632" s="10"/>
      <c r="F632" s="5"/>
      <c r="G632" s="5"/>
      <c r="H632" s="5"/>
      <c r="I632" s="5"/>
      <c r="J632" s="5"/>
      <c r="K632" s="10"/>
      <c r="L632" s="10"/>
      <c r="M632" s="10"/>
      <c r="N632" s="5"/>
      <c r="O632" s="5"/>
      <c r="P632" s="27"/>
      <c r="Q632" s="27"/>
      <c r="R632" s="27"/>
      <c r="S632" s="27"/>
      <c r="T632" s="27"/>
      <c r="U632" s="27"/>
      <c r="V632" s="27"/>
      <c r="W632" s="27"/>
      <c r="X632" s="27"/>
      <c r="Y632" s="27"/>
      <c r="Z632" s="27"/>
      <c r="AA632" s="5"/>
      <c r="AB632" s="5"/>
      <c r="AC632" s="5"/>
      <c r="AD632" s="5"/>
      <c r="AE632" s="5"/>
      <c r="AF632" s="5"/>
      <c r="AG632" s="5"/>
      <c r="AH632" s="27"/>
      <c r="AI632" s="27"/>
      <c r="AJ632" s="27"/>
      <c r="AK632" s="27"/>
      <c r="AL632" s="6"/>
      <c r="AM632" s="27"/>
      <c r="AN632" s="27"/>
      <c r="AO632" s="27"/>
      <c r="AP632" s="27"/>
      <c r="AQ632" s="27"/>
      <c r="AR632" s="27"/>
      <c r="AS632" s="27"/>
      <c r="AT632" s="27"/>
      <c r="AU632" s="27"/>
      <c r="AV632" s="27"/>
      <c r="AW632" s="27"/>
      <c r="AX632" s="27"/>
      <c r="AY632" s="63"/>
    </row>
    <row r="633" spans="1:51">
      <c r="A633" s="1">
        <v>441</v>
      </c>
      <c r="B633" s="43"/>
      <c r="C633" s="10"/>
      <c r="D633" s="5"/>
      <c r="E633" s="10"/>
      <c r="F633" s="5"/>
      <c r="G633" s="5"/>
      <c r="H633" s="5"/>
      <c r="I633" s="5"/>
      <c r="J633" s="5"/>
      <c r="K633" s="10"/>
      <c r="L633" s="10"/>
      <c r="M633" s="10"/>
      <c r="N633" s="5"/>
      <c r="O633" s="5"/>
      <c r="P633" s="27"/>
      <c r="Q633" s="27"/>
      <c r="R633" s="27"/>
      <c r="S633" s="27"/>
      <c r="T633" s="27"/>
      <c r="U633" s="27"/>
      <c r="V633" s="27"/>
      <c r="W633" s="27"/>
      <c r="X633" s="27"/>
      <c r="Y633" s="27"/>
      <c r="Z633" s="27"/>
      <c r="AA633" s="5"/>
      <c r="AB633" s="5"/>
      <c r="AC633" s="5"/>
      <c r="AD633" s="5"/>
      <c r="AE633" s="5"/>
      <c r="AF633" s="5"/>
      <c r="AG633" s="5"/>
      <c r="AH633" s="27"/>
      <c r="AI633" s="27"/>
      <c r="AJ633" s="27"/>
      <c r="AK633" s="27"/>
      <c r="AL633" s="6"/>
      <c r="AM633" s="27"/>
      <c r="AN633" s="27"/>
      <c r="AO633" s="27"/>
      <c r="AP633" s="27"/>
      <c r="AQ633" s="27"/>
      <c r="AR633" s="27"/>
      <c r="AS633" s="27"/>
      <c r="AT633" s="27"/>
      <c r="AU633" s="27"/>
      <c r="AV633" s="27"/>
      <c r="AW633" s="27"/>
      <c r="AX633" s="27"/>
      <c r="AY633" s="63"/>
    </row>
    <row r="634" spans="1:51">
      <c r="A634" s="1">
        <v>442</v>
      </c>
      <c r="B634" s="43"/>
      <c r="C634" s="10"/>
      <c r="D634" s="5"/>
      <c r="E634" s="10"/>
      <c r="F634" s="5"/>
      <c r="G634" s="5"/>
      <c r="H634" s="5"/>
      <c r="I634" s="5"/>
      <c r="J634" s="5"/>
      <c r="K634" s="10"/>
      <c r="L634" s="10"/>
      <c r="M634" s="10"/>
      <c r="N634" s="5"/>
      <c r="O634" s="5"/>
      <c r="P634" s="27"/>
      <c r="Q634" s="27"/>
      <c r="R634" s="27"/>
      <c r="S634" s="27"/>
      <c r="T634" s="27"/>
      <c r="U634" s="27"/>
      <c r="V634" s="27"/>
      <c r="W634" s="27"/>
      <c r="X634" s="27"/>
      <c r="Y634" s="27"/>
      <c r="Z634" s="27"/>
      <c r="AA634" s="5"/>
      <c r="AB634" s="5"/>
      <c r="AC634" s="5"/>
      <c r="AD634" s="5"/>
      <c r="AE634" s="5"/>
      <c r="AF634" s="5"/>
      <c r="AG634" s="5"/>
      <c r="AH634" s="27"/>
      <c r="AI634" s="27"/>
      <c r="AJ634" s="27"/>
      <c r="AK634" s="27"/>
      <c r="AL634" s="6"/>
      <c r="AM634" s="27"/>
      <c r="AN634" s="27"/>
      <c r="AO634" s="27"/>
      <c r="AP634" s="27"/>
      <c r="AQ634" s="27"/>
      <c r="AR634" s="27"/>
      <c r="AS634" s="27"/>
      <c r="AT634" s="27"/>
      <c r="AU634" s="27"/>
      <c r="AV634" s="27"/>
      <c r="AW634" s="27"/>
      <c r="AX634" s="27"/>
      <c r="AY634" s="63"/>
    </row>
    <row r="635" spans="1:51">
      <c r="A635" s="1">
        <v>443</v>
      </c>
      <c r="B635" s="43"/>
      <c r="C635" s="10"/>
      <c r="D635" s="5"/>
      <c r="E635" s="10"/>
      <c r="F635" s="5"/>
      <c r="G635" s="5"/>
      <c r="H635" s="5"/>
      <c r="I635" s="5"/>
      <c r="J635" s="5"/>
      <c r="K635" s="10"/>
      <c r="L635" s="10"/>
      <c r="M635" s="10"/>
      <c r="N635" s="5"/>
      <c r="O635" s="5"/>
      <c r="P635" s="27"/>
      <c r="Q635" s="27"/>
      <c r="R635" s="27"/>
      <c r="S635" s="27"/>
      <c r="T635" s="27"/>
      <c r="U635" s="27"/>
      <c r="V635" s="27"/>
      <c r="W635" s="27"/>
      <c r="X635" s="27"/>
      <c r="Y635" s="27"/>
      <c r="Z635" s="27"/>
      <c r="AA635" s="5"/>
      <c r="AB635" s="5"/>
      <c r="AC635" s="5"/>
      <c r="AD635" s="5"/>
      <c r="AE635" s="5"/>
      <c r="AF635" s="5"/>
      <c r="AG635" s="5"/>
      <c r="AH635" s="27"/>
      <c r="AI635" s="27"/>
      <c r="AJ635" s="27"/>
      <c r="AK635" s="27"/>
      <c r="AL635" s="6"/>
      <c r="AM635" s="27"/>
      <c r="AN635" s="27"/>
      <c r="AO635" s="27"/>
      <c r="AP635" s="27"/>
      <c r="AQ635" s="27"/>
      <c r="AR635" s="27"/>
      <c r="AS635" s="27"/>
      <c r="AT635" s="27"/>
      <c r="AU635" s="27"/>
      <c r="AV635" s="27"/>
      <c r="AW635" s="27"/>
      <c r="AX635" s="27"/>
      <c r="AY635" s="63"/>
    </row>
    <row r="636" spans="1:51">
      <c r="A636" s="1">
        <v>444</v>
      </c>
      <c r="B636" s="43"/>
      <c r="C636" s="10"/>
      <c r="D636" s="5"/>
      <c r="E636" s="10"/>
      <c r="F636" s="5"/>
      <c r="G636" s="5"/>
      <c r="H636" s="5"/>
      <c r="I636" s="5"/>
      <c r="J636" s="5"/>
      <c r="K636" s="10"/>
      <c r="L636" s="10"/>
      <c r="M636" s="10"/>
      <c r="N636" s="5"/>
      <c r="O636" s="5"/>
      <c r="P636" s="27"/>
      <c r="Q636" s="27"/>
      <c r="R636" s="27"/>
      <c r="S636" s="27"/>
      <c r="T636" s="27"/>
      <c r="U636" s="27"/>
      <c r="V636" s="27"/>
      <c r="W636" s="27"/>
      <c r="X636" s="27"/>
      <c r="Y636" s="27"/>
      <c r="Z636" s="27"/>
      <c r="AA636" s="5"/>
      <c r="AB636" s="5"/>
      <c r="AC636" s="5"/>
      <c r="AD636" s="5"/>
      <c r="AE636" s="5"/>
      <c r="AF636" s="5"/>
      <c r="AG636" s="5"/>
      <c r="AH636" s="27"/>
      <c r="AI636" s="27"/>
      <c r="AJ636" s="27"/>
      <c r="AK636" s="27"/>
      <c r="AL636" s="6"/>
      <c r="AM636" s="27"/>
      <c r="AN636" s="27"/>
      <c r="AO636" s="27"/>
      <c r="AP636" s="27"/>
      <c r="AQ636" s="27"/>
      <c r="AR636" s="27"/>
      <c r="AS636" s="27"/>
      <c r="AT636" s="27"/>
      <c r="AU636" s="27"/>
      <c r="AV636" s="27"/>
      <c r="AW636" s="27"/>
      <c r="AX636" s="27"/>
      <c r="AY636" s="63"/>
    </row>
    <row r="637" spans="1:51">
      <c r="A637" s="1">
        <v>445</v>
      </c>
      <c r="B637" s="43"/>
      <c r="C637" s="10"/>
      <c r="D637" s="5"/>
      <c r="E637" s="10"/>
      <c r="F637" s="5"/>
      <c r="G637" s="5"/>
      <c r="H637" s="5"/>
      <c r="I637" s="5"/>
      <c r="J637" s="5"/>
      <c r="K637" s="10"/>
      <c r="L637" s="10"/>
      <c r="M637" s="10"/>
      <c r="N637" s="5"/>
      <c r="O637" s="5"/>
      <c r="P637" s="27"/>
      <c r="Q637" s="27"/>
      <c r="R637" s="27"/>
      <c r="S637" s="27"/>
      <c r="T637" s="27"/>
      <c r="U637" s="27"/>
      <c r="V637" s="27"/>
      <c r="W637" s="27"/>
      <c r="X637" s="27"/>
      <c r="Y637" s="27"/>
      <c r="Z637" s="27"/>
      <c r="AA637" s="5"/>
      <c r="AB637" s="5"/>
      <c r="AC637" s="5"/>
      <c r="AD637" s="5"/>
      <c r="AE637" s="5"/>
      <c r="AF637" s="5"/>
      <c r="AG637" s="5"/>
      <c r="AH637" s="27"/>
      <c r="AI637" s="27"/>
      <c r="AJ637" s="27"/>
      <c r="AK637" s="27"/>
      <c r="AL637" s="6"/>
      <c r="AM637" s="27"/>
      <c r="AN637" s="27"/>
      <c r="AO637" s="27"/>
      <c r="AP637" s="27"/>
      <c r="AQ637" s="27"/>
      <c r="AR637" s="27"/>
      <c r="AS637" s="27"/>
      <c r="AT637" s="27"/>
      <c r="AU637" s="27"/>
      <c r="AV637" s="27"/>
      <c r="AW637" s="27"/>
      <c r="AX637" s="27"/>
      <c r="AY637" s="63"/>
    </row>
    <row r="638" spans="1:51">
      <c r="A638" s="1">
        <v>446</v>
      </c>
      <c r="B638" s="43"/>
      <c r="C638" s="10"/>
      <c r="D638" s="5"/>
      <c r="E638" s="10"/>
      <c r="F638" s="5"/>
      <c r="G638" s="5"/>
      <c r="H638" s="5"/>
      <c r="I638" s="5"/>
      <c r="J638" s="5"/>
      <c r="K638" s="10"/>
      <c r="L638" s="10"/>
      <c r="M638" s="10"/>
      <c r="N638" s="5"/>
      <c r="O638" s="5"/>
      <c r="P638" s="27"/>
      <c r="Q638" s="27"/>
      <c r="R638" s="27"/>
      <c r="S638" s="27"/>
      <c r="T638" s="27"/>
      <c r="U638" s="27"/>
      <c r="V638" s="27"/>
      <c r="W638" s="27"/>
      <c r="X638" s="27"/>
      <c r="Y638" s="27"/>
      <c r="Z638" s="27"/>
      <c r="AA638" s="5"/>
      <c r="AB638" s="5"/>
      <c r="AC638" s="5"/>
      <c r="AD638" s="5"/>
      <c r="AE638" s="5"/>
      <c r="AF638" s="5"/>
      <c r="AG638" s="5"/>
      <c r="AH638" s="27"/>
      <c r="AI638" s="27"/>
      <c r="AJ638" s="27"/>
      <c r="AK638" s="27"/>
      <c r="AL638" s="6"/>
      <c r="AM638" s="27"/>
      <c r="AN638" s="27"/>
      <c r="AO638" s="27"/>
      <c r="AP638" s="27"/>
      <c r="AQ638" s="27"/>
      <c r="AR638" s="27"/>
      <c r="AS638" s="27"/>
      <c r="AT638" s="27"/>
      <c r="AU638" s="27"/>
      <c r="AV638" s="27"/>
      <c r="AW638" s="27"/>
      <c r="AX638" s="27"/>
      <c r="AY638" s="63"/>
    </row>
    <row r="639" spans="1:51">
      <c r="A639" s="1">
        <v>447</v>
      </c>
      <c r="B639" s="43"/>
      <c r="C639" s="10"/>
      <c r="D639" s="5"/>
      <c r="E639" s="10"/>
      <c r="F639" s="5"/>
      <c r="G639" s="5"/>
      <c r="H639" s="5"/>
      <c r="I639" s="5"/>
      <c r="J639" s="5"/>
      <c r="K639" s="10"/>
      <c r="L639" s="10"/>
      <c r="M639" s="10"/>
      <c r="N639" s="5"/>
      <c r="O639" s="5"/>
      <c r="P639" s="27"/>
      <c r="Q639" s="27"/>
      <c r="R639" s="27"/>
      <c r="S639" s="27"/>
      <c r="T639" s="27"/>
      <c r="U639" s="27"/>
      <c r="V639" s="27"/>
      <c r="W639" s="27"/>
      <c r="X639" s="27"/>
      <c r="Y639" s="27"/>
      <c r="Z639" s="27"/>
      <c r="AA639" s="5"/>
      <c r="AB639" s="5"/>
      <c r="AC639" s="5"/>
      <c r="AD639" s="5"/>
      <c r="AE639" s="5"/>
      <c r="AF639" s="5"/>
      <c r="AG639" s="5"/>
      <c r="AH639" s="27"/>
      <c r="AI639" s="27"/>
      <c r="AJ639" s="27"/>
      <c r="AK639" s="27"/>
      <c r="AL639" s="6"/>
      <c r="AM639" s="27"/>
      <c r="AN639" s="27"/>
      <c r="AO639" s="27"/>
      <c r="AP639" s="27"/>
      <c r="AQ639" s="27"/>
      <c r="AR639" s="27"/>
      <c r="AS639" s="27"/>
      <c r="AT639" s="27"/>
      <c r="AU639" s="27"/>
      <c r="AV639" s="27"/>
      <c r="AW639" s="27"/>
      <c r="AX639" s="27"/>
      <c r="AY639" s="63"/>
    </row>
    <row r="640" spans="1:51">
      <c r="A640" s="1">
        <v>448</v>
      </c>
      <c r="B640" s="43"/>
      <c r="C640" s="10"/>
      <c r="D640" s="5"/>
      <c r="E640" s="10"/>
      <c r="F640" s="5"/>
      <c r="G640" s="5"/>
      <c r="H640" s="5"/>
      <c r="I640" s="5"/>
      <c r="J640" s="5"/>
      <c r="K640" s="10"/>
      <c r="L640" s="10"/>
      <c r="M640" s="10"/>
      <c r="N640" s="5"/>
      <c r="O640" s="5"/>
      <c r="P640" s="27"/>
      <c r="Q640" s="27"/>
      <c r="R640" s="27"/>
      <c r="S640" s="27"/>
      <c r="T640" s="27"/>
      <c r="U640" s="27"/>
      <c r="V640" s="27"/>
      <c r="W640" s="27"/>
      <c r="X640" s="27"/>
      <c r="Y640" s="27"/>
      <c r="Z640" s="27"/>
      <c r="AA640" s="5"/>
      <c r="AB640" s="5"/>
      <c r="AC640" s="5"/>
      <c r="AD640" s="5"/>
      <c r="AE640" s="5"/>
      <c r="AF640" s="5"/>
      <c r="AG640" s="5"/>
      <c r="AH640" s="27"/>
      <c r="AI640" s="27"/>
      <c r="AJ640" s="27"/>
      <c r="AK640" s="27"/>
      <c r="AL640" s="6"/>
      <c r="AM640" s="27"/>
      <c r="AN640" s="27"/>
      <c r="AO640" s="27"/>
      <c r="AP640" s="27"/>
      <c r="AQ640" s="27"/>
      <c r="AR640" s="27"/>
      <c r="AS640" s="27"/>
      <c r="AT640" s="27"/>
      <c r="AU640" s="27"/>
      <c r="AV640" s="27"/>
      <c r="AW640" s="27"/>
      <c r="AX640" s="27"/>
      <c r="AY640" s="63"/>
    </row>
    <row r="641" spans="1:51">
      <c r="A641" s="1">
        <v>449</v>
      </c>
      <c r="B641" s="43"/>
      <c r="C641" s="10"/>
      <c r="D641" s="5"/>
      <c r="E641" s="10"/>
      <c r="F641" s="5"/>
      <c r="G641" s="5"/>
      <c r="H641" s="5"/>
      <c r="I641" s="5"/>
      <c r="J641" s="5"/>
      <c r="K641" s="10"/>
      <c r="L641" s="10"/>
      <c r="M641" s="10"/>
      <c r="N641" s="5"/>
      <c r="O641" s="5"/>
      <c r="P641" s="27"/>
      <c r="Q641" s="27"/>
      <c r="R641" s="27"/>
      <c r="S641" s="27"/>
      <c r="T641" s="27"/>
      <c r="U641" s="27"/>
      <c r="V641" s="27"/>
      <c r="W641" s="27"/>
      <c r="X641" s="27"/>
      <c r="Y641" s="27"/>
      <c r="Z641" s="27"/>
      <c r="AA641" s="5"/>
      <c r="AB641" s="5"/>
      <c r="AC641" s="5"/>
      <c r="AD641" s="5"/>
      <c r="AE641" s="5"/>
      <c r="AF641" s="5"/>
      <c r="AG641" s="5"/>
      <c r="AH641" s="27"/>
      <c r="AI641" s="27"/>
      <c r="AJ641" s="27"/>
      <c r="AK641" s="27"/>
      <c r="AL641" s="6"/>
      <c r="AM641" s="27"/>
      <c r="AN641" s="27"/>
      <c r="AO641" s="27"/>
      <c r="AP641" s="27"/>
      <c r="AQ641" s="27"/>
      <c r="AR641" s="27"/>
      <c r="AS641" s="27"/>
      <c r="AT641" s="27"/>
      <c r="AU641" s="27"/>
      <c r="AV641" s="27"/>
      <c r="AW641" s="27"/>
      <c r="AX641" s="27"/>
      <c r="AY641" s="63"/>
    </row>
    <row r="642" spans="1:51">
      <c r="A642" s="1">
        <v>450</v>
      </c>
      <c r="B642" s="43"/>
      <c r="C642" s="10"/>
      <c r="D642" s="5"/>
      <c r="E642" s="10"/>
      <c r="F642" s="5"/>
      <c r="G642" s="5"/>
      <c r="H642" s="5"/>
      <c r="I642" s="5"/>
      <c r="J642" s="5"/>
      <c r="K642" s="10"/>
      <c r="L642" s="10"/>
      <c r="M642" s="10"/>
      <c r="N642" s="5"/>
      <c r="O642" s="5"/>
      <c r="P642" s="27"/>
      <c r="Q642" s="27"/>
      <c r="R642" s="27"/>
      <c r="S642" s="27"/>
      <c r="T642" s="27"/>
      <c r="U642" s="27"/>
      <c r="V642" s="27"/>
      <c r="W642" s="27"/>
      <c r="X642" s="27"/>
      <c r="Y642" s="27"/>
      <c r="Z642" s="27"/>
      <c r="AA642" s="5"/>
      <c r="AB642" s="5"/>
      <c r="AC642" s="5"/>
      <c r="AD642" s="5"/>
      <c r="AE642" s="5"/>
      <c r="AF642" s="5"/>
      <c r="AG642" s="5"/>
      <c r="AH642" s="27"/>
      <c r="AI642" s="27"/>
      <c r="AJ642" s="27"/>
      <c r="AK642" s="27"/>
      <c r="AL642" s="6"/>
      <c r="AM642" s="27"/>
      <c r="AN642" s="27"/>
      <c r="AO642" s="27"/>
      <c r="AP642" s="27"/>
      <c r="AQ642" s="27"/>
      <c r="AR642" s="27"/>
      <c r="AS642" s="27"/>
      <c r="AT642" s="27"/>
      <c r="AU642" s="27"/>
      <c r="AV642" s="27"/>
      <c r="AW642" s="27"/>
      <c r="AX642" s="27"/>
      <c r="AY642" s="63"/>
    </row>
    <row r="643" spans="1:51">
      <c r="A643" s="1">
        <v>451</v>
      </c>
      <c r="B643" s="43"/>
      <c r="C643" s="10"/>
      <c r="D643" s="5"/>
      <c r="E643" s="10"/>
      <c r="F643" s="5"/>
      <c r="G643" s="5"/>
      <c r="H643" s="5"/>
      <c r="I643" s="5"/>
      <c r="J643" s="5"/>
      <c r="K643" s="10"/>
      <c r="L643" s="10"/>
      <c r="M643" s="10"/>
      <c r="N643" s="5"/>
      <c r="O643" s="5"/>
      <c r="P643" s="27"/>
      <c r="Q643" s="27"/>
      <c r="R643" s="27"/>
      <c r="S643" s="27"/>
      <c r="T643" s="27"/>
      <c r="U643" s="27"/>
      <c r="V643" s="27"/>
      <c r="W643" s="27"/>
      <c r="X643" s="27"/>
      <c r="Y643" s="27"/>
      <c r="Z643" s="27"/>
      <c r="AA643" s="5"/>
      <c r="AB643" s="5"/>
      <c r="AC643" s="5"/>
      <c r="AD643" s="5"/>
      <c r="AE643" s="5"/>
      <c r="AF643" s="5"/>
      <c r="AG643" s="5"/>
      <c r="AH643" s="27"/>
      <c r="AI643" s="27"/>
      <c r="AJ643" s="27"/>
      <c r="AK643" s="27"/>
      <c r="AL643" s="6"/>
      <c r="AM643" s="27"/>
      <c r="AN643" s="27"/>
      <c r="AO643" s="27"/>
      <c r="AP643" s="27"/>
      <c r="AQ643" s="27"/>
      <c r="AR643" s="27"/>
      <c r="AS643" s="27"/>
      <c r="AT643" s="27"/>
      <c r="AU643" s="27"/>
      <c r="AV643" s="27"/>
      <c r="AW643" s="27"/>
      <c r="AX643" s="27"/>
      <c r="AY643" s="63"/>
    </row>
    <row r="644" spans="1:51">
      <c r="A644" s="1">
        <v>452</v>
      </c>
      <c r="B644" s="43"/>
      <c r="C644" s="10"/>
      <c r="D644" s="5"/>
      <c r="E644" s="10"/>
      <c r="F644" s="5"/>
      <c r="G644" s="5"/>
      <c r="H644" s="5"/>
      <c r="I644" s="5"/>
      <c r="J644" s="5"/>
      <c r="K644" s="10"/>
      <c r="L644" s="10"/>
      <c r="M644" s="10"/>
      <c r="N644" s="5"/>
      <c r="O644" s="5"/>
      <c r="P644" s="27"/>
      <c r="Q644" s="27"/>
      <c r="R644" s="27"/>
      <c r="S644" s="27"/>
      <c r="T644" s="27"/>
      <c r="U644" s="27"/>
      <c r="V644" s="27"/>
      <c r="W644" s="27"/>
      <c r="X644" s="27"/>
      <c r="Y644" s="27"/>
      <c r="Z644" s="27"/>
      <c r="AA644" s="5"/>
      <c r="AB644" s="5"/>
      <c r="AC644" s="5"/>
      <c r="AD644" s="5"/>
      <c r="AE644" s="5"/>
      <c r="AF644" s="5"/>
      <c r="AG644" s="5"/>
      <c r="AH644" s="27"/>
      <c r="AI644" s="27"/>
      <c r="AJ644" s="27"/>
      <c r="AK644" s="27"/>
      <c r="AL644" s="6"/>
      <c r="AM644" s="27"/>
      <c r="AN644" s="27"/>
      <c r="AO644" s="27"/>
      <c r="AP644" s="27"/>
      <c r="AQ644" s="27"/>
      <c r="AR644" s="27"/>
      <c r="AS644" s="27"/>
      <c r="AT644" s="27"/>
      <c r="AU644" s="27"/>
      <c r="AV644" s="27"/>
      <c r="AW644" s="27"/>
      <c r="AX644" s="27"/>
      <c r="AY644" s="63"/>
    </row>
    <row r="645" spans="1:51">
      <c r="A645" s="1">
        <v>453</v>
      </c>
      <c r="B645" s="43"/>
      <c r="C645" s="10"/>
      <c r="D645" s="5"/>
      <c r="E645" s="10"/>
      <c r="F645" s="5"/>
      <c r="G645" s="5"/>
      <c r="H645" s="5"/>
      <c r="I645" s="5"/>
      <c r="J645" s="5"/>
      <c r="K645" s="10"/>
      <c r="L645" s="10"/>
      <c r="M645" s="10"/>
      <c r="N645" s="5"/>
      <c r="O645" s="5"/>
      <c r="P645" s="27"/>
      <c r="Q645" s="27"/>
      <c r="R645" s="27"/>
      <c r="S645" s="27"/>
      <c r="T645" s="27"/>
      <c r="U645" s="27"/>
      <c r="V645" s="27"/>
      <c r="W645" s="27"/>
      <c r="X645" s="27"/>
      <c r="Y645" s="27"/>
      <c r="Z645" s="27"/>
      <c r="AA645" s="5"/>
      <c r="AB645" s="5"/>
      <c r="AC645" s="5"/>
      <c r="AD645" s="5"/>
      <c r="AE645" s="5"/>
      <c r="AF645" s="5"/>
      <c r="AG645" s="5"/>
      <c r="AH645" s="27"/>
      <c r="AI645" s="27"/>
      <c r="AJ645" s="27"/>
      <c r="AK645" s="27"/>
      <c r="AL645" s="6"/>
      <c r="AM645" s="27"/>
      <c r="AN645" s="27"/>
      <c r="AO645" s="27"/>
      <c r="AP645" s="27"/>
      <c r="AQ645" s="27"/>
      <c r="AR645" s="27"/>
      <c r="AS645" s="27"/>
      <c r="AT645" s="27"/>
      <c r="AU645" s="27"/>
      <c r="AV645" s="27"/>
      <c r="AW645" s="27"/>
      <c r="AX645" s="27"/>
      <c r="AY645" s="63"/>
    </row>
    <row r="646" spans="1:51">
      <c r="A646" s="1">
        <v>454</v>
      </c>
      <c r="B646" s="43"/>
      <c r="C646" s="10"/>
      <c r="D646" s="5"/>
      <c r="E646" s="10"/>
      <c r="F646" s="5"/>
      <c r="G646" s="5"/>
      <c r="H646" s="5"/>
      <c r="I646" s="5"/>
      <c r="J646" s="5"/>
      <c r="K646" s="10"/>
      <c r="L646" s="10"/>
      <c r="M646" s="10"/>
      <c r="N646" s="5"/>
      <c r="O646" s="5"/>
      <c r="P646" s="27"/>
      <c r="Q646" s="27"/>
      <c r="R646" s="27"/>
      <c r="S646" s="27"/>
      <c r="T646" s="27"/>
      <c r="U646" s="27"/>
      <c r="V646" s="27"/>
      <c r="W646" s="27"/>
      <c r="X646" s="27"/>
      <c r="Y646" s="27"/>
      <c r="Z646" s="27"/>
      <c r="AA646" s="5"/>
      <c r="AB646" s="5"/>
      <c r="AC646" s="5"/>
      <c r="AD646" s="5"/>
      <c r="AE646" s="5"/>
      <c r="AF646" s="5"/>
      <c r="AG646" s="5"/>
      <c r="AH646" s="27"/>
      <c r="AI646" s="27"/>
      <c r="AJ646" s="27"/>
      <c r="AK646" s="27"/>
      <c r="AL646" s="6"/>
      <c r="AM646" s="27"/>
      <c r="AN646" s="27"/>
      <c r="AO646" s="27"/>
      <c r="AP646" s="27"/>
      <c r="AQ646" s="27"/>
      <c r="AR646" s="27"/>
      <c r="AS646" s="27"/>
      <c r="AT646" s="27"/>
      <c r="AU646" s="27"/>
      <c r="AV646" s="27"/>
      <c r="AW646" s="27"/>
      <c r="AX646" s="27"/>
      <c r="AY646" s="63"/>
    </row>
    <row r="647" spans="1:51">
      <c r="A647" s="1">
        <v>455</v>
      </c>
      <c r="B647" s="43"/>
      <c r="C647" s="10"/>
      <c r="D647" s="5"/>
      <c r="E647" s="10"/>
      <c r="F647" s="5"/>
      <c r="G647" s="5"/>
      <c r="H647" s="5"/>
      <c r="I647" s="5"/>
      <c r="J647" s="5"/>
      <c r="K647" s="10"/>
      <c r="L647" s="10"/>
      <c r="M647" s="10"/>
      <c r="N647" s="5"/>
      <c r="O647" s="5"/>
      <c r="P647" s="27"/>
      <c r="Q647" s="27"/>
      <c r="R647" s="27"/>
      <c r="S647" s="27"/>
      <c r="T647" s="27"/>
      <c r="U647" s="27"/>
      <c r="V647" s="27"/>
      <c r="W647" s="27"/>
      <c r="X647" s="27"/>
      <c r="Y647" s="27"/>
      <c r="Z647" s="27"/>
      <c r="AA647" s="5"/>
      <c r="AB647" s="5"/>
      <c r="AC647" s="5"/>
      <c r="AD647" s="5"/>
      <c r="AE647" s="5"/>
      <c r="AF647" s="5"/>
      <c r="AG647" s="5"/>
      <c r="AH647" s="27"/>
      <c r="AI647" s="27"/>
      <c r="AJ647" s="27"/>
      <c r="AK647" s="27"/>
      <c r="AL647" s="6"/>
      <c r="AM647" s="27"/>
      <c r="AN647" s="27"/>
      <c r="AO647" s="27"/>
      <c r="AP647" s="27"/>
      <c r="AQ647" s="27"/>
      <c r="AR647" s="27"/>
      <c r="AS647" s="27"/>
      <c r="AT647" s="27"/>
      <c r="AU647" s="27"/>
      <c r="AV647" s="27"/>
      <c r="AW647" s="27"/>
      <c r="AX647" s="27"/>
      <c r="AY647" s="63"/>
    </row>
    <row r="648" spans="1:51">
      <c r="A648" s="1">
        <v>456</v>
      </c>
      <c r="B648" s="43"/>
      <c r="C648" s="10"/>
      <c r="D648" s="5"/>
      <c r="E648" s="10"/>
      <c r="F648" s="5"/>
      <c r="G648" s="5"/>
      <c r="H648" s="5"/>
      <c r="I648" s="5"/>
      <c r="J648" s="5"/>
      <c r="K648" s="10"/>
      <c r="L648" s="10"/>
      <c r="M648" s="10"/>
      <c r="N648" s="5"/>
      <c r="O648" s="5"/>
      <c r="P648" s="27"/>
      <c r="Q648" s="27"/>
      <c r="R648" s="27"/>
      <c r="S648" s="27"/>
      <c r="T648" s="27"/>
      <c r="U648" s="27"/>
      <c r="V648" s="27"/>
      <c r="W648" s="27"/>
      <c r="X648" s="27"/>
      <c r="Y648" s="27"/>
      <c r="Z648" s="27"/>
      <c r="AA648" s="5"/>
      <c r="AB648" s="5"/>
      <c r="AC648" s="5"/>
      <c r="AD648" s="5"/>
      <c r="AE648" s="5"/>
      <c r="AF648" s="5"/>
      <c r="AG648" s="5"/>
      <c r="AH648" s="27"/>
      <c r="AI648" s="27"/>
      <c r="AJ648" s="27"/>
      <c r="AK648" s="27"/>
      <c r="AL648" s="6"/>
      <c r="AM648" s="27"/>
      <c r="AN648" s="27"/>
      <c r="AO648" s="27"/>
      <c r="AP648" s="27"/>
      <c r="AQ648" s="27"/>
      <c r="AR648" s="27"/>
      <c r="AS648" s="27"/>
      <c r="AT648" s="27"/>
      <c r="AU648" s="27"/>
      <c r="AV648" s="27"/>
      <c r="AW648" s="27"/>
      <c r="AX648" s="27"/>
      <c r="AY648" s="63"/>
    </row>
    <row r="649" spans="1:51">
      <c r="A649" s="1">
        <v>457</v>
      </c>
      <c r="B649" s="43"/>
      <c r="C649" s="10"/>
      <c r="D649" s="5"/>
      <c r="E649" s="10"/>
      <c r="F649" s="5"/>
      <c r="G649" s="5"/>
      <c r="H649" s="5"/>
      <c r="I649" s="5"/>
      <c r="J649" s="5"/>
      <c r="K649" s="10"/>
      <c r="L649" s="10"/>
      <c r="M649" s="10"/>
      <c r="N649" s="5"/>
      <c r="O649" s="5"/>
      <c r="P649" s="27"/>
      <c r="Q649" s="27"/>
      <c r="R649" s="27"/>
      <c r="S649" s="27"/>
      <c r="T649" s="27"/>
      <c r="U649" s="27"/>
      <c r="V649" s="27"/>
      <c r="W649" s="27"/>
      <c r="X649" s="27"/>
      <c r="Y649" s="27"/>
      <c r="Z649" s="27"/>
      <c r="AA649" s="5"/>
      <c r="AB649" s="5"/>
      <c r="AC649" s="5"/>
      <c r="AD649" s="5"/>
      <c r="AE649" s="5"/>
      <c r="AF649" s="5"/>
      <c r="AG649" s="5"/>
      <c r="AH649" s="27"/>
      <c r="AI649" s="27"/>
      <c r="AJ649" s="27"/>
      <c r="AK649" s="27"/>
      <c r="AL649" s="6"/>
      <c r="AM649" s="27"/>
      <c r="AN649" s="27"/>
      <c r="AO649" s="27"/>
      <c r="AP649" s="27"/>
      <c r="AQ649" s="27"/>
      <c r="AR649" s="27"/>
      <c r="AS649" s="27"/>
      <c r="AT649" s="27"/>
      <c r="AU649" s="27"/>
      <c r="AV649" s="27"/>
      <c r="AW649" s="27"/>
      <c r="AX649" s="27"/>
      <c r="AY649" s="63"/>
    </row>
    <row r="650" spans="1:51">
      <c r="A650" s="1">
        <v>458</v>
      </c>
      <c r="B650" s="43"/>
      <c r="C650" s="10"/>
      <c r="D650" s="5"/>
      <c r="E650" s="10"/>
      <c r="F650" s="5"/>
      <c r="G650" s="5"/>
      <c r="H650" s="5"/>
      <c r="I650" s="5"/>
      <c r="J650" s="5"/>
      <c r="K650" s="10"/>
      <c r="L650" s="10"/>
      <c r="M650" s="10"/>
      <c r="N650" s="5"/>
      <c r="O650" s="5"/>
      <c r="P650" s="27"/>
      <c r="Q650" s="27"/>
      <c r="R650" s="27"/>
      <c r="S650" s="27"/>
      <c r="T650" s="27"/>
      <c r="U650" s="27"/>
      <c r="V650" s="27"/>
      <c r="W650" s="27"/>
      <c r="X650" s="27"/>
      <c r="Y650" s="27"/>
      <c r="Z650" s="27"/>
      <c r="AA650" s="5"/>
      <c r="AB650" s="5"/>
      <c r="AC650" s="5"/>
      <c r="AD650" s="5"/>
      <c r="AE650" s="5"/>
      <c r="AF650" s="5"/>
      <c r="AG650" s="5"/>
      <c r="AH650" s="27"/>
      <c r="AI650" s="27"/>
      <c r="AJ650" s="27"/>
      <c r="AK650" s="27"/>
      <c r="AL650" s="6"/>
      <c r="AM650" s="27"/>
      <c r="AN650" s="27"/>
      <c r="AO650" s="27"/>
      <c r="AP650" s="27"/>
      <c r="AQ650" s="27"/>
      <c r="AR650" s="27"/>
      <c r="AS650" s="27"/>
      <c r="AT650" s="27"/>
      <c r="AU650" s="27"/>
      <c r="AV650" s="27"/>
      <c r="AW650" s="27"/>
      <c r="AX650" s="27"/>
      <c r="AY650" s="63"/>
    </row>
    <row r="651" spans="1:51">
      <c r="A651" s="1">
        <v>459</v>
      </c>
      <c r="B651" s="43"/>
      <c r="C651" s="10"/>
      <c r="D651" s="5"/>
      <c r="E651" s="10"/>
      <c r="F651" s="5"/>
      <c r="G651" s="5"/>
      <c r="H651" s="5"/>
      <c r="I651" s="5"/>
      <c r="J651" s="5"/>
      <c r="K651" s="10"/>
      <c r="L651" s="10"/>
      <c r="M651" s="10"/>
      <c r="N651" s="5"/>
      <c r="O651" s="5"/>
      <c r="P651" s="27"/>
      <c r="Q651" s="27"/>
      <c r="R651" s="27"/>
      <c r="S651" s="27"/>
      <c r="T651" s="27"/>
      <c r="U651" s="27"/>
      <c r="V651" s="27"/>
      <c r="W651" s="27"/>
      <c r="X651" s="27"/>
      <c r="Y651" s="27"/>
      <c r="Z651" s="27"/>
      <c r="AA651" s="5"/>
      <c r="AB651" s="5"/>
      <c r="AC651" s="5"/>
      <c r="AD651" s="5"/>
      <c r="AE651" s="5"/>
      <c r="AF651" s="5"/>
      <c r="AG651" s="5"/>
      <c r="AH651" s="27"/>
      <c r="AI651" s="27"/>
      <c r="AJ651" s="27"/>
      <c r="AK651" s="27"/>
      <c r="AL651" s="6"/>
      <c r="AM651" s="27"/>
      <c r="AN651" s="27"/>
      <c r="AO651" s="27"/>
      <c r="AP651" s="27"/>
      <c r="AQ651" s="27"/>
      <c r="AR651" s="27"/>
      <c r="AS651" s="27"/>
      <c r="AT651" s="27"/>
      <c r="AU651" s="27"/>
      <c r="AV651" s="27"/>
      <c r="AW651" s="27"/>
      <c r="AX651" s="27"/>
      <c r="AY651" s="63"/>
    </row>
    <row r="652" spans="1:51">
      <c r="A652" s="1">
        <v>460</v>
      </c>
      <c r="B652" s="43"/>
      <c r="C652" s="10"/>
      <c r="D652" s="5"/>
      <c r="E652" s="10"/>
      <c r="F652" s="5"/>
      <c r="G652" s="5"/>
      <c r="H652" s="5"/>
      <c r="I652" s="5"/>
      <c r="J652" s="5"/>
      <c r="K652" s="10"/>
      <c r="L652" s="10"/>
      <c r="M652" s="10"/>
      <c r="N652" s="5"/>
      <c r="O652" s="5"/>
      <c r="P652" s="27"/>
      <c r="Q652" s="27"/>
      <c r="R652" s="27"/>
      <c r="S652" s="27"/>
      <c r="T652" s="27"/>
      <c r="U652" s="27"/>
      <c r="V652" s="27"/>
      <c r="W652" s="27"/>
      <c r="X652" s="27"/>
      <c r="Y652" s="27"/>
      <c r="Z652" s="27"/>
      <c r="AA652" s="5"/>
      <c r="AB652" s="5"/>
      <c r="AC652" s="5"/>
      <c r="AD652" s="5"/>
      <c r="AE652" s="5"/>
      <c r="AF652" s="5"/>
      <c r="AG652" s="5"/>
      <c r="AH652" s="27"/>
      <c r="AI652" s="27"/>
      <c r="AJ652" s="27"/>
      <c r="AK652" s="27"/>
      <c r="AL652" s="6"/>
      <c r="AM652" s="27"/>
      <c r="AN652" s="27"/>
      <c r="AO652" s="27"/>
      <c r="AP652" s="27"/>
      <c r="AQ652" s="27"/>
      <c r="AR652" s="27"/>
      <c r="AS652" s="27"/>
      <c r="AT652" s="27"/>
      <c r="AU652" s="27"/>
      <c r="AV652" s="27"/>
      <c r="AW652" s="27"/>
      <c r="AX652" s="27"/>
      <c r="AY652" s="63"/>
    </row>
    <row r="653" spans="1:51">
      <c r="A653" s="1">
        <v>461</v>
      </c>
      <c r="B653" s="43"/>
      <c r="C653" s="10"/>
      <c r="D653" s="5"/>
      <c r="E653" s="10"/>
      <c r="F653" s="5"/>
      <c r="G653" s="5"/>
      <c r="H653" s="5"/>
      <c r="I653" s="5"/>
      <c r="J653" s="5"/>
      <c r="K653" s="10"/>
      <c r="L653" s="10"/>
      <c r="M653" s="10"/>
      <c r="N653" s="5"/>
      <c r="O653" s="5"/>
      <c r="P653" s="27"/>
      <c r="Q653" s="27"/>
      <c r="R653" s="27"/>
      <c r="S653" s="27"/>
      <c r="T653" s="27"/>
      <c r="U653" s="27"/>
      <c r="V653" s="27"/>
      <c r="W653" s="27"/>
      <c r="X653" s="27"/>
      <c r="Y653" s="27"/>
      <c r="Z653" s="27"/>
      <c r="AA653" s="5"/>
      <c r="AB653" s="5"/>
      <c r="AC653" s="5"/>
      <c r="AD653" s="5"/>
      <c r="AE653" s="5"/>
      <c r="AF653" s="5"/>
      <c r="AG653" s="5"/>
      <c r="AH653" s="27"/>
      <c r="AI653" s="27"/>
      <c r="AJ653" s="27"/>
      <c r="AK653" s="27"/>
      <c r="AL653" s="6"/>
      <c r="AM653" s="27"/>
      <c r="AN653" s="27"/>
      <c r="AO653" s="27"/>
      <c r="AP653" s="27"/>
      <c r="AQ653" s="27"/>
      <c r="AR653" s="27"/>
      <c r="AS653" s="27"/>
      <c r="AT653" s="27"/>
      <c r="AU653" s="27"/>
      <c r="AV653" s="27"/>
      <c r="AW653" s="27"/>
      <c r="AX653" s="27"/>
      <c r="AY653" s="63"/>
    </row>
    <row r="654" spans="1:51">
      <c r="A654" s="1">
        <v>462</v>
      </c>
      <c r="B654" s="43"/>
      <c r="C654" s="10"/>
      <c r="D654" s="5"/>
      <c r="E654" s="10"/>
      <c r="F654" s="5"/>
      <c r="G654" s="5"/>
      <c r="H654" s="5"/>
      <c r="I654" s="5"/>
      <c r="J654" s="5"/>
      <c r="K654" s="10"/>
      <c r="L654" s="10"/>
      <c r="M654" s="10"/>
      <c r="N654" s="5"/>
      <c r="O654" s="5"/>
      <c r="P654" s="27"/>
      <c r="Q654" s="27"/>
      <c r="R654" s="27"/>
      <c r="S654" s="27"/>
      <c r="T654" s="27"/>
      <c r="U654" s="27"/>
      <c r="V654" s="27"/>
      <c r="W654" s="27"/>
      <c r="X654" s="27"/>
      <c r="Y654" s="27"/>
      <c r="Z654" s="27"/>
      <c r="AA654" s="5"/>
      <c r="AB654" s="5"/>
      <c r="AC654" s="5"/>
      <c r="AD654" s="5"/>
      <c r="AE654" s="5"/>
      <c r="AF654" s="5"/>
      <c r="AG654" s="5"/>
      <c r="AH654" s="27"/>
      <c r="AI654" s="27"/>
      <c r="AJ654" s="27"/>
      <c r="AK654" s="27"/>
      <c r="AL654" s="6"/>
      <c r="AM654" s="27"/>
      <c r="AN654" s="27"/>
      <c r="AO654" s="27"/>
      <c r="AP654" s="27"/>
      <c r="AQ654" s="27"/>
      <c r="AR654" s="27"/>
      <c r="AS654" s="27"/>
      <c r="AT654" s="27"/>
      <c r="AU654" s="27"/>
      <c r="AV654" s="27"/>
      <c r="AW654" s="27"/>
      <c r="AX654" s="27"/>
      <c r="AY654" s="63"/>
    </row>
    <row r="655" spans="1:51">
      <c r="A655" s="1">
        <v>463</v>
      </c>
      <c r="B655" s="43"/>
      <c r="C655" s="10"/>
      <c r="D655" s="5"/>
      <c r="E655" s="10"/>
      <c r="F655" s="5"/>
      <c r="G655" s="5"/>
      <c r="H655" s="5"/>
      <c r="I655" s="5"/>
      <c r="J655" s="5"/>
      <c r="K655" s="10"/>
      <c r="L655" s="10"/>
      <c r="M655" s="10"/>
      <c r="N655" s="5"/>
      <c r="O655" s="5"/>
      <c r="P655" s="27"/>
      <c r="Q655" s="27"/>
      <c r="R655" s="27"/>
      <c r="S655" s="27"/>
      <c r="T655" s="27"/>
      <c r="U655" s="27"/>
      <c r="V655" s="27"/>
      <c r="W655" s="27"/>
      <c r="X655" s="27"/>
      <c r="Y655" s="27"/>
      <c r="Z655" s="27"/>
      <c r="AA655" s="5"/>
      <c r="AB655" s="5"/>
      <c r="AC655" s="5"/>
      <c r="AD655" s="5"/>
      <c r="AE655" s="5"/>
      <c r="AF655" s="5"/>
      <c r="AG655" s="5"/>
      <c r="AH655" s="27"/>
      <c r="AI655" s="27"/>
      <c r="AJ655" s="27"/>
      <c r="AK655" s="27"/>
      <c r="AL655" s="6"/>
      <c r="AM655" s="27"/>
      <c r="AN655" s="27"/>
      <c r="AO655" s="27"/>
      <c r="AP655" s="27"/>
      <c r="AQ655" s="27"/>
      <c r="AR655" s="27"/>
      <c r="AS655" s="27"/>
      <c r="AT655" s="27"/>
      <c r="AU655" s="27"/>
      <c r="AV655" s="27"/>
      <c r="AW655" s="27"/>
      <c r="AX655" s="27"/>
      <c r="AY655" s="63"/>
    </row>
    <row r="656" spans="1:51">
      <c r="A656" s="1">
        <v>464</v>
      </c>
      <c r="B656" s="43"/>
      <c r="C656" s="10"/>
      <c r="D656" s="5"/>
      <c r="E656" s="10"/>
      <c r="F656" s="5"/>
      <c r="G656" s="5"/>
      <c r="H656" s="5"/>
      <c r="I656" s="5"/>
      <c r="J656" s="5"/>
      <c r="K656" s="10"/>
      <c r="L656" s="10"/>
      <c r="M656" s="10"/>
      <c r="N656" s="5"/>
      <c r="O656" s="5"/>
      <c r="P656" s="27"/>
      <c r="Q656" s="27"/>
      <c r="R656" s="27"/>
      <c r="S656" s="27"/>
      <c r="T656" s="27"/>
      <c r="U656" s="27"/>
      <c r="V656" s="27"/>
      <c r="W656" s="27"/>
      <c r="X656" s="27"/>
      <c r="Y656" s="27"/>
      <c r="Z656" s="27"/>
      <c r="AA656" s="5"/>
      <c r="AB656" s="5"/>
      <c r="AC656" s="5"/>
      <c r="AD656" s="5"/>
      <c r="AE656" s="5"/>
      <c r="AF656" s="5"/>
      <c r="AG656" s="5"/>
      <c r="AH656" s="27"/>
      <c r="AI656" s="27"/>
      <c r="AJ656" s="27"/>
      <c r="AK656" s="27"/>
      <c r="AL656" s="6"/>
      <c r="AM656" s="27"/>
      <c r="AN656" s="27"/>
      <c r="AO656" s="27"/>
      <c r="AP656" s="27"/>
      <c r="AQ656" s="27"/>
      <c r="AR656" s="27"/>
      <c r="AS656" s="27"/>
      <c r="AT656" s="27"/>
      <c r="AU656" s="27"/>
      <c r="AV656" s="27"/>
      <c r="AW656" s="27"/>
      <c r="AX656" s="27"/>
      <c r="AY656" s="63"/>
    </row>
    <row r="657" spans="1:51">
      <c r="A657" s="1">
        <v>465</v>
      </c>
      <c r="B657" s="43"/>
      <c r="C657" s="10"/>
      <c r="D657" s="5"/>
      <c r="E657" s="10"/>
      <c r="F657" s="5"/>
      <c r="G657" s="5"/>
      <c r="H657" s="5"/>
      <c r="I657" s="5"/>
      <c r="J657" s="5"/>
      <c r="K657" s="10"/>
      <c r="L657" s="10"/>
      <c r="M657" s="10"/>
      <c r="N657" s="5"/>
      <c r="O657" s="5"/>
      <c r="P657" s="27"/>
      <c r="Q657" s="27"/>
      <c r="R657" s="27"/>
      <c r="S657" s="27"/>
      <c r="T657" s="27"/>
      <c r="U657" s="27"/>
      <c r="V657" s="27"/>
      <c r="W657" s="27"/>
      <c r="X657" s="27"/>
      <c r="Y657" s="27"/>
      <c r="Z657" s="27"/>
      <c r="AA657" s="5"/>
      <c r="AB657" s="5"/>
      <c r="AC657" s="5"/>
      <c r="AD657" s="5"/>
      <c r="AE657" s="5"/>
      <c r="AF657" s="5"/>
      <c r="AG657" s="5"/>
      <c r="AH657" s="27"/>
      <c r="AI657" s="27"/>
      <c r="AJ657" s="27"/>
      <c r="AK657" s="27"/>
      <c r="AL657" s="6"/>
      <c r="AM657" s="27"/>
      <c r="AN657" s="27"/>
      <c r="AO657" s="27"/>
      <c r="AP657" s="27"/>
      <c r="AQ657" s="27"/>
      <c r="AR657" s="27"/>
      <c r="AS657" s="27"/>
      <c r="AT657" s="27"/>
      <c r="AU657" s="27"/>
      <c r="AV657" s="27"/>
      <c r="AW657" s="27"/>
      <c r="AX657" s="27"/>
      <c r="AY657" s="63"/>
    </row>
    <row r="658" spans="1:51">
      <c r="A658" s="1">
        <v>466</v>
      </c>
      <c r="B658" s="43"/>
      <c r="C658" s="10"/>
      <c r="D658" s="5"/>
      <c r="E658" s="10"/>
      <c r="F658" s="5"/>
      <c r="G658" s="5"/>
      <c r="H658" s="5"/>
      <c r="I658" s="5"/>
      <c r="J658" s="5"/>
      <c r="K658" s="10"/>
      <c r="L658" s="10"/>
      <c r="M658" s="10"/>
      <c r="N658" s="5"/>
      <c r="O658" s="5"/>
      <c r="P658" s="27"/>
      <c r="Q658" s="27"/>
      <c r="R658" s="27"/>
      <c r="S658" s="27"/>
      <c r="T658" s="27"/>
      <c r="U658" s="27"/>
      <c r="V658" s="27"/>
      <c r="W658" s="27"/>
      <c r="X658" s="27"/>
      <c r="Y658" s="27"/>
      <c r="Z658" s="27"/>
      <c r="AA658" s="5"/>
      <c r="AB658" s="5"/>
      <c r="AC658" s="5"/>
      <c r="AD658" s="5"/>
      <c r="AE658" s="5"/>
      <c r="AF658" s="5"/>
      <c r="AG658" s="5"/>
      <c r="AH658" s="27"/>
      <c r="AI658" s="27"/>
      <c r="AJ658" s="27"/>
      <c r="AK658" s="27"/>
      <c r="AL658" s="6"/>
      <c r="AM658" s="27"/>
      <c r="AN658" s="27"/>
      <c r="AO658" s="27"/>
      <c r="AP658" s="27"/>
      <c r="AQ658" s="27"/>
      <c r="AR658" s="27"/>
      <c r="AS658" s="27"/>
      <c r="AT658" s="27"/>
      <c r="AU658" s="27"/>
      <c r="AV658" s="27"/>
      <c r="AW658" s="27"/>
      <c r="AX658" s="27"/>
      <c r="AY658" s="63"/>
    </row>
    <row r="659" spans="1:51">
      <c r="A659" s="1">
        <v>467</v>
      </c>
      <c r="B659" s="43"/>
      <c r="C659" s="10"/>
      <c r="D659" s="5"/>
      <c r="E659" s="10"/>
      <c r="F659" s="5"/>
      <c r="G659" s="5"/>
      <c r="H659" s="5"/>
      <c r="I659" s="5"/>
      <c r="J659" s="5"/>
      <c r="K659" s="10"/>
      <c r="L659" s="10"/>
      <c r="M659" s="10"/>
      <c r="N659" s="5"/>
      <c r="O659" s="5"/>
      <c r="P659" s="27"/>
      <c r="Q659" s="27"/>
      <c r="R659" s="27"/>
      <c r="S659" s="27"/>
      <c r="T659" s="27"/>
      <c r="U659" s="27"/>
      <c r="V659" s="27"/>
      <c r="W659" s="27"/>
      <c r="X659" s="27"/>
      <c r="Y659" s="27"/>
      <c r="Z659" s="27"/>
      <c r="AA659" s="5"/>
      <c r="AB659" s="5"/>
      <c r="AC659" s="5"/>
      <c r="AD659" s="5"/>
      <c r="AE659" s="5"/>
      <c r="AF659" s="5"/>
      <c r="AG659" s="5"/>
      <c r="AH659" s="27"/>
      <c r="AI659" s="27"/>
      <c r="AJ659" s="27"/>
      <c r="AK659" s="27"/>
      <c r="AL659" s="6"/>
      <c r="AM659" s="27"/>
      <c r="AN659" s="27"/>
      <c r="AO659" s="27"/>
      <c r="AP659" s="27"/>
      <c r="AQ659" s="27"/>
      <c r="AR659" s="27"/>
      <c r="AS659" s="27"/>
      <c r="AT659" s="27"/>
      <c r="AU659" s="27"/>
      <c r="AV659" s="27"/>
      <c r="AW659" s="27"/>
      <c r="AX659" s="27"/>
      <c r="AY659" s="63"/>
    </row>
    <row r="660" spans="1:51">
      <c r="A660" s="1">
        <v>468</v>
      </c>
      <c r="B660" s="43"/>
      <c r="C660" s="10"/>
      <c r="D660" s="5"/>
      <c r="E660" s="10"/>
      <c r="F660" s="5"/>
      <c r="G660" s="5"/>
      <c r="H660" s="5"/>
      <c r="I660" s="5"/>
      <c r="J660" s="5"/>
      <c r="K660" s="10"/>
      <c r="L660" s="10"/>
      <c r="M660" s="10"/>
      <c r="N660" s="5"/>
      <c r="O660" s="5"/>
      <c r="P660" s="27"/>
      <c r="Q660" s="27"/>
      <c r="R660" s="27"/>
      <c r="S660" s="27"/>
      <c r="T660" s="27"/>
      <c r="U660" s="27"/>
      <c r="V660" s="27"/>
      <c r="W660" s="27"/>
      <c r="X660" s="27"/>
      <c r="Y660" s="27"/>
      <c r="Z660" s="27"/>
      <c r="AA660" s="5"/>
      <c r="AB660" s="5"/>
      <c r="AC660" s="5"/>
      <c r="AD660" s="5"/>
      <c r="AE660" s="5"/>
      <c r="AF660" s="5"/>
      <c r="AG660" s="5"/>
      <c r="AH660" s="27"/>
      <c r="AI660" s="27"/>
      <c r="AJ660" s="27"/>
      <c r="AK660" s="27"/>
      <c r="AL660" s="6"/>
      <c r="AM660" s="27"/>
      <c r="AN660" s="27"/>
      <c r="AO660" s="27"/>
      <c r="AP660" s="27"/>
      <c r="AQ660" s="27"/>
      <c r="AR660" s="27"/>
      <c r="AS660" s="27"/>
      <c r="AT660" s="27"/>
      <c r="AU660" s="27"/>
      <c r="AV660" s="27"/>
      <c r="AW660" s="27"/>
      <c r="AX660" s="27"/>
      <c r="AY660" s="63"/>
    </row>
    <row r="661" spans="1:51">
      <c r="A661" s="1">
        <v>469</v>
      </c>
      <c r="B661" s="43"/>
      <c r="C661" s="10"/>
      <c r="D661" s="5"/>
      <c r="E661" s="10"/>
      <c r="F661" s="5"/>
      <c r="G661" s="5"/>
      <c r="H661" s="5"/>
      <c r="I661" s="5"/>
      <c r="J661" s="5"/>
      <c r="K661" s="10"/>
      <c r="L661" s="10"/>
      <c r="M661" s="10"/>
      <c r="N661" s="5"/>
      <c r="O661" s="5"/>
      <c r="P661" s="27"/>
      <c r="Q661" s="27"/>
      <c r="R661" s="27"/>
      <c r="S661" s="27"/>
      <c r="T661" s="27"/>
      <c r="U661" s="27"/>
      <c r="V661" s="27"/>
      <c r="W661" s="27"/>
      <c r="X661" s="27"/>
      <c r="Y661" s="27"/>
      <c r="Z661" s="27"/>
      <c r="AA661" s="5"/>
      <c r="AB661" s="5"/>
      <c r="AC661" s="5"/>
      <c r="AD661" s="5"/>
      <c r="AE661" s="5"/>
      <c r="AF661" s="5"/>
      <c r="AG661" s="5"/>
      <c r="AH661" s="27"/>
      <c r="AI661" s="27"/>
      <c r="AJ661" s="27"/>
      <c r="AK661" s="27"/>
      <c r="AL661" s="6"/>
      <c r="AM661" s="27"/>
      <c r="AN661" s="27"/>
      <c r="AO661" s="27"/>
      <c r="AP661" s="27"/>
      <c r="AQ661" s="27"/>
      <c r="AR661" s="27"/>
      <c r="AS661" s="27"/>
      <c r="AT661" s="27"/>
      <c r="AU661" s="27"/>
      <c r="AV661" s="27"/>
      <c r="AW661" s="27"/>
      <c r="AX661" s="27"/>
      <c r="AY661" s="63"/>
    </row>
    <row r="662" spans="1:51">
      <c r="A662" s="1">
        <v>470</v>
      </c>
      <c r="B662" s="43"/>
      <c r="C662" s="10"/>
      <c r="D662" s="5"/>
      <c r="E662" s="10"/>
      <c r="F662" s="5"/>
      <c r="G662" s="5"/>
      <c r="H662" s="5"/>
      <c r="I662" s="5"/>
      <c r="J662" s="5"/>
      <c r="K662" s="10"/>
      <c r="L662" s="10"/>
      <c r="M662" s="10"/>
      <c r="N662" s="5"/>
      <c r="O662" s="5"/>
      <c r="P662" s="27"/>
      <c r="Q662" s="27"/>
      <c r="R662" s="27"/>
      <c r="S662" s="27"/>
      <c r="T662" s="27"/>
      <c r="U662" s="27"/>
      <c r="V662" s="27"/>
      <c r="W662" s="27"/>
      <c r="X662" s="27"/>
      <c r="Y662" s="27"/>
      <c r="Z662" s="27"/>
      <c r="AA662" s="5"/>
      <c r="AB662" s="5"/>
      <c r="AC662" s="5"/>
      <c r="AD662" s="5"/>
      <c r="AE662" s="5"/>
      <c r="AF662" s="5"/>
      <c r="AG662" s="5"/>
      <c r="AH662" s="27"/>
      <c r="AI662" s="27"/>
      <c r="AJ662" s="27"/>
      <c r="AK662" s="27"/>
      <c r="AL662" s="6"/>
      <c r="AM662" s="27"/>
      <c r="AN662" s="27"/>
      <c r="AO662" s="27"/>
      <c r="AP662" s="27"/>
      <c r="AQ662" s="27"/>
      <c r="AR662" s="27"/>
      <c r="AS662" s="27"/>
      <c r="AT662" s="27"/>
      <c r="AU662" s="27"/>
      <c r="AV662" s="27"/>
      <c r="AW662" s="27"/>
      <c r="AX662" s="27"/>
      <c r="AY662" s="63"/>
    </row>
    <row r="663" spans="1:51">
      <c r="A663" s="1">
        <v>471</v>
      </c>
      <c r="B663" s="43"/>
      <c r="C663" s="10"/>
      <c r="D663" s="5"/>
      <c r="E663" s="10"/>
      <c r="F663" s="5"/>
      <c r="G663" s="5"/>
      <c r="H663" s="5"/>
      <c r="I663" s="5"/>
      <c r="J663" s="5"/>
      <c r="K663" s="10"/>
      <c r="L663" s="10"/>
      <c r="M663" s="10"/>
      <c r="N663" s="5"/>
      <c r="O663" s="5"/>
      <c r="P663" s="27"/>
      <c r="Q663" s="27"/>
      <c r="R663" s="27"/>
      <c r="S663" s="27"/>
      <c r="T663" s="27"/>
      <c r="U663" s="27"/>
      <c r="V663" s="27"/>
      <c r="W663" s="27"/>
      <c r="X663" s="27"/>
      <c r="Y663" s="27"/>
      <c r="Z663" s="27"/>
      <c r="AA663" s="5"/>
      <c r="AB663" s="5"/>
      <c r="AC663" s="5"/>
      <c r="AD663" s="5"/>
      <c r="AE663" s="5"/>
      <c r="AF663" s="5"/>
      <c r="AG663" s="5"/>
      <c r="AH663" s="27"/>
      <c r="AI663" s="27"/>
      <c r="AJ663" s="27"/>
      <c r="AK663" s="27"/>
      <c r="AL663" s="6"/>
      <c r="AM663" s="27"/>
      <c r="AN663" s="27"/>
      <c r="AO663" s="27"/>
      <c r="AP663" s="27"/>
      <c r="AQ663" s="27"/>
      <c r="AR663" s="27"/>
      <c r="AS663" s="27"/>
      <c r="AT663" s="27"/>
      <c r="AU663" s="27"/>
      <c r="AV663" s="27"/>
      <c r="AW663" s="27"/>
      <c r="AX663" s="27"/>
      <c r="AY663" s="63"/>
    </row>
    <row r="664" spans="1:51">
      <c r="A664" s="1">
        <v>472</v>
      </c>
      <c r="B664" s="43"/>
      <c r="C664" s="10"/>
      <c r="D664" s="5"/>
      <c r="E664" s="10"/>
      <c r="F664" s="5"/>
      <c r="G664" s="5"/>
      <c r="H664" s="5"/>
      <c r="I664" s="5"/>
      <c r="J664" s="5"/>
      <c r="K664" s="10"/>
      <c r="L664" s="10"/>
      <c r="M664" s="10"/>
      <c r="N664" s="5"/>
      <c r="O664" s="5"/>
      <c r="P664" s="27"/>
      <c r="Q664" s="27"/>
      <c r="R664" s="27"/>
      <c r="S664" s="27"/>
      <c r="T664" s="27"/>
      <c r="U664" s="27"/>
      <c r="V664" s="27"/>
      <c r="W664" s="27"/>
      <c r="X664" s="27"/>
      <c r="Y664" s="27"/>
      <c r="Z664" s="27"/>
      <c r="AA664" s="5"/>
      <c r="AB664" s="5"/>
      <c r="AC664" s="5"/>
      <c r="AD664" s="5"/>
      <c r="AE664" s="5"/>
      <c r="AF664" s="5"/>
      <c r="AG664" s="5"/>
      <c r="AH664" s="27"/>
      <c r="AI664" s="27"/>
      <c r="AJ664" s="27"/>
      <c r="AK664" s="27"/>
      <c r="AL664" s="6"/>
      <c r="AM664" s="27"/>
      <c r="AN664" s="27"/>
      <c r="AO664" s="27"/>
      <c r="AP664" s="27"/>
      <c r="AQ664" s="27"/>
      <c r="AR664" s="27"/>
      <c r="AS664" s="27"/>
      <c r="AT664" s="27"/>
      <c r="AU664" s="27"/>
      <c r="AV664" s="27"/>
      <c r="AW664" s="27"/>
      <c r="AX664" s="27"/>
      <c r="AY664" s="63"/>
    </row>
    <row r="665" spans="1:51">
      <c r="A665" s="1">
        <v>473</v>
      </c>
      <c r="B665" s="43"/>
      <c r="C665" s="10"/>
      <c r="D665" s="5"/>
      <c r="E665" s="10"/>
      <c r="F665" s="5"/>
      <c r="G665" s="5"/>
      <c r="H665" s="5"/>
      <c r="I665" s="5"/>
      <c r="J665" s="5"/>
      <c r="K665" s="10"/>
      <c r="L665" s="10"/>
      <c r="M665" s="10"/>
      <c r="N665" s="5"/>
      <c r="O665" s="5"/>
      <c r="P665" s="27"/>
      <c r="Q665" s="27"/>
      <c r="R665" s="27"/>
      <c r="S665" s="27"/>
      <c r="T665" s="27"/>
      <c r="U665" s="27"/>
      <c r="V665" s="27"/>
      <c r="W665" s="27"/>
      <c r="X665" s="27"/>
      <c r="Y665" s="27"/>
      <c r="Z665" s="27"/>
      <c r="AA665" s="5"/>
      <c r="AB665" s="5"/>
      <c r="AC665" s="5"/>
      <c r="AD665" s="5"/>
      <c r="AE665" s="5"/>
      <c r="AF665" s="5"/>
      <c r="AG665" s="5"/>
      <c r="AH665" s="27"/>
      <c r="AI665" s="27"/>
      <c r="AJ665" s="27"/>
      <c r="AK665" s="27"/>
      <c r="AL665" s="6"/>
      <c r="AM665" s="27"/>
      <c r="AN665" s="27"/>
      <c r="AO665" s="27"/>
      <c r="AP665" s="27"/>
      <c r="AQ665" s="27"/>
      <c r="AR665" s="27"/>
      <c r="AS665" s="27"/>
      <c r="AT665" s="27"/>
      <c r="AU665" s="27"/>
      <c r="AV665" s="27"/>
      <c r="AW665" s="27"/>
      <c r="AX665" s="27"/>
      <c r="AY665" s="63"/>
    </row>
    <row r="666" spans="1:51">
      <c r="A666" s="1">
        <v>474</v>
      </c>
      <c r="B666" s="43"/>
      <c r="C666" s="10"/>
      <c r="D666" s="5"/>
      <c r="E666" s="10"/>
      <c r="F666" s="5"/>
      <c r="G666" s="5"/>
      <c r="H666" s="5"/>
      <c r="I666" s="5"/>
      <c r="J666" s="5"/>
      <c r="K666" s="10"/>
      <c r="L666" s="10"/>
      <c r="M666" s="10"/>
      <c r="N666" s="5"/>
      <c r="O666" s="5"/>
      <c r="P666" s="27"/>
      <c r="Q666" s="27"/>
      <c r="R666" s="27"/>
      <c r="S666" s="27"/>
      <c r="T666" s="27"/>
      <c r="U666" s="27"/>
      <c r="V666" s="27"/>
      <c r="W666" s="27"/>
      <c r="X666" s="27"/>
      <c r="Y666" s="27"/>
      <c r="Z666" s="27"/>
      <c r="AA666" s="5"/>
      <c r="AB666" s="5"/>
      <c r="AC666" s="5"/>
      <c r="AD666" s="5"/>
      <c r="AE666" s="5"/>
      <c r="AF666" s="5"/>
      <c r="AG666" s="5"/>
      <c r="AH666" s="27"/>
      <c r="AI666" s="27"/>
      <c r="AJ666" s="27"/>
      <c r="AK666" s="27"/>
      <c r="AL666" s="6"/>
      <c r="AM666" s="27"/>
      <c r="AN666" s="27"/>
      <c r="AO666" s="27"/>
      <c r="AP666" s="27"/>
      <c r="AQ666" s="27"/>
      <c r="AR666" s="27"/>
      <c r="AS666" s="27"/>
      <c r="AT666" s="27"/>
      <c r="AU666" s="27"/>
      <c r="AV666" s="27"/>
      <c r="AW666" s="27"/>
      <c r="AX666" s="27"/>
      <c r="AY666" s="63"/>
    </row>
    <row r="667" spans="1:51">
      <c r="A667" s="1">
        <v>475</v>
      </c>
      <c r="B667" s="43"/>
      <c r="C667" s="10"/>
      <c r="D667" s="5"/>
      <c r="E667" s="10"/>
      <c r="F667" s="5"/>
      <c r="G667" s="5"/>
      <c r="H667" s="5"/>
      <c r="I667" s="5"/>
      <c r="J667" s="5"/>
      <c r="K667" s="10"/>
      <c r="L667" s="10"/>
      <c r="M667" s="10"/>
      <c r="N667" s="5"/>
      <c r="O667" s="5"/>
      <c r="P667" s="27"/>
      <c r="Q667" s="27"/>
      <c r="R667" s="27"/>
      <c r="S667" s="27"/>
      <c r="T667" s="27"/>
      <c r="U667" s="27"/>
      <c r="V667" s="27"/>
      <c r="W667" s="27"/>
      <c r="X667" s="27"/>
      <c r="Y667" s="27"/>
      <c r="Z667" s="27"/>
      <c r="AA667" s="5"/>
      <c r="AB667" s="5"/>
      <c r="AC667" s="5"/>
      <c r="AD667" s="5"/>
      <c r="AE667" s="5"/>
      <c r="AF667" s="5"/>
      <c r="AG667" s="5"/>
      <c r="AH667" s="27"/>
      <c r="AI667" s="27"/>
      <c r="AJ667" s="27"/>
      <c r="AK667" s="27"/>
      <c r="AL667" s="6"/>
      <c r="AM667" s="27"/>
      <c r="AN667" s="27"/>
      <c r="AO667" s="27"/>
      <c r="AP667" s="27"/>
      <c r="AQ667" s="27"/>
      <c r="AR667" s="27"/>
      <c r="AS667" s="27"/>
      <c r="AT667" s="27"/>
      <c r="AU667" s="27"/>
      <c r="AV667" s="27"/>
      <c r="AW667" s="27"/>
      <c r="AX667" s="27"/>
      <c r="AY667" s="63"/>
    </row>
    <row r="668" spans="1:51">
      <c r="A668" s="1">
        <v>476</v>
      </c>
      <c r="B668" s="43"/>
      <c r="C668" s="10"/>
      <c r="D668" s="5"/>
      <c r="E668" s="10"/>
      <c r="F668" s="5"/>
      <c r="G668" s="5"/>
      <c r="H668" s="5"/>
      <c r="I668" s="5"/>
      <c r="J668" s="5"/>
      <c r="K668" s="10"/>
      <c r="L668" s="10"/>
      <c r="M668" s="10"/>
      <c r="N668" s="5"/>
      <c r="O668" s="5"/>
      <c r="P668" s="27"/>
      <c r="Q668" s="27"/>
      <c r="R668" s="27"/>
      <c r="S668" s="27"/>
      <c r="T668" s="27"/>
      <c r="U668" s="27"/>
      <c r="V668" s="27"/>
      <c r="W668" s="27"/>
      <c r="X668" s="27"/>
      <c r="Y668" s="27"/>
      <c r="Z668" s="27"/>
      <c r="AA668" s="5"/>
      <c r="AB668" s="5"/>
      <c r="AC668" s="5"/>
      <c r="AD668" s="5"/>
      <c r="AE668" s="5"/>
      <c r="AF668" s="5"/>
      <c r="AG668" s="5"/>
      <c r="AH668" s="27"/>
      <c r="AI668" s="27"/>
      <c r="AJ668" s="27"/>
      <c r="AK668" s="27"/>
      <c r="AL668" s="6"/>
      <c r="AM668" s="27"/>
      <c r="AN668" s="27"/>
      <c r="AO668" s="27"/>
      <c r="AP668" s="27"/>
      <c r="AQ668" s="27"/>
      <c r="AR668" s="27"/>
      <c r="AS668" s="27"/>
      <c r="AT668" s="27"/>
      <c r="AU668" s="27"/>
      <c r="AV668" s="27"/>
      <c r="AW668" s="27"/>
      <c r="AX668" s="27"/>
      <c r="AY668" s="63"/>
    </row>
    <row r="669" spans="1:51">
      <c r="A669" s="1">
        <v>477</v>
      </c>
      <c r="B669" s="43"/>
      <c r="C669" s="10"/>
      <c r="D669" s="5"/>
      <c r="E669" s="10"/>
      <c r="F669" s="5"/>
      <c r="G669" s="5"/>
      <c r="H669" s="5"/>
      <c r="I669" s="5"/>
      <c r="J669" s="5"/>
      <c r="K669" s="10"/>
      <c r="L669" s="10"/>
      <c r="M669" s="10"/>
      <c r="N669" s="5"/>
      <c r="O669" s="5"/>
      <c r="P669" s="27"/>
      <c r="Q669" s="27"/>
      <c r="R669" s="27"/>
      <c r="S669" s="27"/>
      <c r="T669" s="27"/>
      <c r="U669" s="27"/>
      <c r="V669" s="27"/>
      <c r="W669" s="27"/>
      <c r="X669" s="27"/>
      <c r="Y669" s="27"/>
      <c r="Z669" s="27"/>
      <c r="AA669" s="5"/>
      <c r="AB669" s="5"/>
      <c r="AC669" s="5"/>
      <c r="AD669" s="5"/>
      <c r="AE669" s="5"/>
      <c r="AF669" s="5"/>
      <c r="AG669" s="5"/>
      <c r="AH669" s="27"/>
      <c r="AI669" s="27"/>
      <c r="AJ669" s="27"/>
      <c r="AK669" s="27"/>
      <c r="AL669" s="6"/>
      <c r="AM669" s="27"/>
      <c r="AN669" s="27"/>
      <c r="AO669" s="27"/>
      <c r="AP669" s="27"/>
      <c r="AQ669" s="27"/>
      <c r="AR669" s="27"/>
      <c r="AS669" s="27"/>
      <c r="AT669" s="27"/>
      <c r="AU669" s="27"/>
      <c r="AV669" s="27"/>
      <c r="AW669" s="27"/>
      <c r="AX669" s="27"/>
      <c r="AY669" s="63"/>
    </row>
    <row r="670" spans="1:51">
      <c r="A670" s="1">
        <v>478</v>
      </c>
      <c r="B670" s="43"/>
      <c r="C670" s="10"/>
      <c r="D670" s="5"/>
      <c r="E670" s="10"/>
      <c r="F670" s="5"/>
      <c r="G670" s="5"/>
      <c r="H670" s="5"/>
      <c r="I670" s="5"/>
      <c r="J670" s="5"/>
      <c r="K670" s="10"/>
      <c r="L670" s="10"/>
      <c r="M670" s="10"/>
      <c r="N670" s="5"/>
      <c r="O670" s="5"/>
      <c r="P670" s="27"/>
      <c r="Q670" s="27"/>
      <c r="R670" s="27"/>
      <c r="S670" s="27"/>
      <c r="T670" s="27"/>
      <c r="U670" s="27"/>
      <c r="V670" s="27"/>
      <c r="W670" s="27"/>
      <c r="X670" s="27"/>
      <c r="Y670" s="27"/>
      <c r="Z670" s="27"/>
      <c r="AA670" s="5"/>
      <c r="AB670" s="5"/>
      <c r="AC670" s="5"/>
      <c r="AD670" s="5"/>
      <c r="AE670" s="5"/>
      <c r="AF670" s="5"/>
      <c r="AG670" s="5"/>
      <c r="AH670" s="27"/>
      <c r="AI670" s="27"/>
      <c r="AJ670" s="27"/>
      <c r="AK670" s="27"/>
      <c r="AL670" s="6"/>
      <c r="AM670" s="27"/>
      <c r="AN670" s="27"/>
      <c r="AO670" s="27"/>
      <c r="AP670" s="27"/>
      <c r="AQ670" s="27"/>
      <c r="AR670" s="27"/>
      <c r="AS670" s="27"/>
      <c r="AT670" s="27"/>
      <c r="AU670" s="27"/>
      <c r="AV670" s="27"/>
      <c r="AW670" s="27"/>
      <c r="AX670" s="27"/>
      <c r="AY670" s="63"/>
    </row>
    <row r="671" spans="1:51">
      <c r="A671" s="1">
        <v>479</v>
      </c>
      <c r="B671" s="43"/>
      <c r="C671" s="10"/>
      <c r="D671" s="5"/>
      <c r="E671" s="10"/>
      <c r="F671" s="5"/>
      <c r="G671" s="5"/>
      <c r="H671" s="5"/>
      <c r="I671" s="5"/>
      <c r="J671" s="5"/>
      <c r="K671" s="10"/>
      <c r="L671" s="10"/>
      <c r="M671" s="10"/>
      <c r="N671" s="5"/>
      <c r="O671" s="5"/>
      <c r="P671" s="27"/>
      <c r="Q671" s="27"/>
      <c r="R671" s="27"/>
      <c r="S671" s="27"/>
      <c r="T671" s="27"/>
      <c r="U671" s="27"/>
      <c r="V671" s="27"/>
      <c r="W671" s="27"/>
      <c r="X671" s="27"/>
      <c r="Y671" s="27"/>
      <c r="Z671" s="27"/>
      <c r="AA671" s="5"/>
      <c r="AB671" s="5"/>
      <c r="AC671" s="5"/>
      <c r="AD671" s="5"/>
      <c r="AE671" s="5"/>
      <c r="AF671" s="5"/>
      <c r="AG671" s="5"/>
      <c r="AH671" s="27"/>
      <c r="AI671" s="27"/>
      <c r="AJ671" s="27"/>
      <c r="AK671" s="27"/>
      <c r="AL671" s="6"/>
      <c r="AM671" s="27"/>
      <c r="AN671" s="27"/>
      <c r="AO671" s="27"/>
      <c r="AP671" s="27"/>
      <c r="AQ671" s="27"/>
      <c r="AR671" s="27"/>
      <c r="AS671" s="27"/>
      <c r="AT671" s="27"/>
      <c r="AU671" s="27"/>
      <c r="AV671" s="27"/>
      <c r="AW671" s="27"/>
      <c r="AX671" s="27"/>
      <c r="AY671" s="63"/>
    </row>
    <row r="672" spans="1:51">
      <c r="A672" s="1">
        <v>480</v>
      </c>
      <c r="B672" s="43"/>
      <c r="C672" s="10"/>
      <c r="D672" s="5"/>
      <c r="E672" s="10"/>
      <c r="F672" s="5"/>
      <c r="G672" s="5"/>
      <c r="H672" s="5"/>
      <c r="I672" s="5"/>
      <c r="J672" s="5"/>
      <c r="K672" s="10"/>
      <c r="L672" s="10"/>
      <c r="M672" s="10"/>
      <c r="N672" s="5"/>
      <c r="O672" s="5"/>
      <c r="P672" s="27"/>
      <c r="Q672" s="27"/>
      <c r="R672" s="27"/>
      <c r="S672" s="27"/>
      <c r="T672" s="27"/>
      <c r="U672" s="27"/>
      <c r="V672" s="27"/>
      <c r="W672" s="27"/>
      <c r="X672" s="27"/>
      <c r="Y672" s="27"/>
      <c r="Z672" s="27"/>
      <c r="AA672" s="5"/>
      <c r="AB672" s="5"/>
      <c r="AC672" s="5"/>
      <c r="AD672" s="5"/>
      <c r="AE672" s="5"/>
      <c r="AF672" s="5"/>
      <c r="AG672" s="5"/>
      <c r="AH672" s="27"/>
      <c r="AI672" s="27"/>
      <c r="AJ672" s="27"/>
      <c r="AK672" s="27"/>
      <c r="AL672" s="6"/>
      <c r="AM672" s="27"/>
      <c r="AN672" s="27"/>
      <c r="AO672" s="27"/>
      <c r="AP672" s="27"/>
      <c r="AQ672" s="27"/>
      <c r="AR672" s="27"/>
      <c r="AS672" s="27"/>
      <c r="AT672" s="27"/>
      <c r="AU672" s="27"/>
      <c r="AV672" s="27"/>
      <c r="AW672" s="27"/>
      <c r="AX672" s="27"/>
      <c r="AY672" s="63"/>
    </row>
    <row r="673" spans="1:51">
      <c r="A673" s="1">
        <v>481</v>
      </c>
      <c r="B673" s="43"/>
      <c r="C673" s="10"/>
      <c r="D673" s="5"/>
      <c r="E673" s="10"/>
      <c r="F673" s="5"/>
      <c r="G673" s="5"/>
      <c r="H673" s="5"/>
      <c r="I673" s="5"/>
      <c r="J673" s="5"/>
      <c r="K673" s="10"/>
      <c r="L673" s="10"/>
      <c r="M673" s="10"/>
      <c r="N673" s="5"/>
      <c r="O673" s="5"/>
      <c r="P673" s="27"/>
      <c r="Q673" s="27"/>
      <c r="R673" s="27"/>
      <c r="S673" s="27"/>
      <c r="T673" s="27"/>
      <c r="U673" s="27"/>
      <c r="V673" s="27"/>
      <c r="W673" s="27"/>
      <c r="X673" s="27"/>
      <c r="Y673" s="27"/>
      <c r="Z673" s="27"/>
      <c r="AA673" s="5"/>
      <c r="AB673" s="5"/>
      <c r="AC673" s="5"/>
      <c r="AD673" s="5"/>
      <c r="AE673" s="5"/>
      <c r="AF673" s="5"/>
      <c r="AG673" s="5"/>
      <c r="AH673" s="27"/>
      <c r="AI673" s="27"/>
      <c r="AJ673" s="27"/>
      <c r="AK673" s="27"/>
      <c r="AL673" s="6"/>
      <c r="AM673" s="27"/>
      <c r="AN673" s="27"/>
      <c r="AO673" s="27"/>
      <c r="AP673" s="27"/>
      <c r="AQ673" s="27"/>
      <c r="AR673" s="27"/>
      <c r="AS673" s="27"/>
      <c r="AT673" s="27"/>
      <c r="AU673" s="27"/>
      <c r="AV673" s="27"/>
      <c r="AW673" s="27"/>
      <c r="AX673" s="27"/>
      <c r="AY673" s="63"/>
    </row>
    <row r="674" spans="1:51">
      <c r="A674" s="1">
        <v>482</v>
      </c>
      <c r="B674" s="43"/>
      <c r="C674" s="10"/>
      <c r="D674" s="5"/>
      <c r="E674" s="10"/>
      <c r="F674" s="5"/>
      <c r="G674" s="5"/>
      <c r="H674" s="5"/>
      <c r="I674" s="5"/>
      <c r="J674" s="5"/>
      <c r="K674" s="10"/>
      <c r="L674" s="10"/>
      <c r="M674" s="10"/>
      <c r="N674" s="5"/>
      <c r="O674" s="5"/>
      <c r="P674" s="27"/>
      <c r="Q674" s="27"/>
      <c r="R674" s="27"/>
      <c r="S674" s="27"/>
      <c r="T674" s="27"/>
      <c r="U674" s="27"/>
      <c r="V674" s="27"/>
      <c r="W674" s="27"/>
      <c r="X674" s="27"/>
      <c r="Y674" s="27"/>
      <c r="Z674" s="27"/>
      <c r="AA674" s="5"/>
      <c r="AB674" s="5"/>
      <c r="AC674" s="5"/>
      <c r="AD674" s="5"/>
      <c r="AE674" s="5"/>
      <c r="AF674" s="5"/>
      <c r="AG674" s="5"/>
      <c r="AH674" s="27"/>
      <c r="AI674" s="27"/>
      <c r="AJ674" s="27"/>
      <c r="AK674" s="27"/>
      <c r="AL674" s="6"/>
      <c r="AM674" s="27"/>
      <c r="AN674" s="27"/>
      <c r="AO674" s="27"/>
      <c r="AP674" s="27"/>
      <c r="AQ674" s="27"/>
      <c r="AR674" s="27"/>
      <c r="AS674" s="27"/>
      <c r="AT674" s="27"/>
      <c r="AU674" s="27"/>
      <c r="AV674" s="27"/>
      <c r="AW674" s="27"/>
      <c r="AX674" s="27"/>
      <c r="AY674" s="63"/>
    </row>
    <row r="675" spans="1:51">
      <c r="A675" s="1">
        <v>483</v>
      </c>
      <c r="B675" s="43"/>
      <c r="C675" s="10"/>
      <c r="D675" s="5"/>
      <c r="E675" s="10"/>
      <c r="F675" s="5"/>
      <c r="G675" s="5"/>
      <c r="H675" s="5"/>
      <c r="I675" s="5"/>
      <c r="J675" s="5"/>
      <c r="K675" s="10"/>
      <c r="L675" s="10"/>
      <c r="M675" s="10"/>
      <c r="N675" s="5"/>
      <c r="O675" s="5"/>
      <c r="P675" s="27"/>
      <c r="Q675" s="27"/>
      <c r="R675" s="27"/>
      <c r="S675" s="27"/>
      <c r="T675" s="27"/>
      <c r="U675" s="27"/>
      <c r="V675" s="27"/>
      <c r="W675" s="27"/>
      <c r="X675" s="27"/>
      <c r="Y675" s="27"/>
      <c r="Z675" s="27"/>
      <c r="AA675" s="5"/>
      <c r="AB675" s="5"/>
      <c r="AC675" s="5"/>
      <c r="AD675" s="5"/>
      <c r="AE675" s="5"/>
      <c r="AF675" s="5"/>
      <c r="AG675" s="5"/>
      <c r="AH675" s="27"/>
      <c r="AI675" s="27"/>
      <c r="AJ675" s="27"/>
      <c r="AK675" s="27"/>
      <c r="AL675" s="6"/>
      <c r="AM675" s="27"/>
      <c r="AN675" s="27"/>
      <c r="AO675" s="27"/>
      <c r="AP675" s="27"/>
      <c r="AQ675" s="27"/>
      <c r="AR675" s="27"/>
      <c r="AS675" s="27"/>
      <c r="AT675" s="27"/>
      <c r="AU675" s="27"/>
      <c r="AV675" s="27"/>
      <c r="AW675" s="27"/>
      <c r="AX675" s="27"/>
      <c r="AY675" s="63"/>
    </row>
    <row r="676" spans="1:51">
      <c r="A676" s="1">
        <v>484</v>
      </c>
      <c r="B676" s="43"/>
      <c r="C676" s="10"/>
      <c r="D676" s="5"/>
      <c r="E676" s="10"/>
      <c r="F676" s="5"/>
      <c r="G676" s="5"/>
      <c r="H676" s="5"/>
      <c r="I676" s="5"/>
      <c r="J676" s="5"/>
      <c r="K676" s="10"/>
      <c r="L676" s="10"/>
      <c r="M676" s="10"/>
      <c r="N676" s="5"/>
      <c r="O676" s="5"/>
      <c r="P676" s="27"/>
      <c r="Q676" s="27"/>
      <c r="R676" s="27"/>
      <c r="S676" s="27"/>
      <c r="T676" s="27"/>
      <c r="U676" s="27"/>
      <c r="V676" s="27"/>
      <c r="W676" s="27"/>
      <c r="X676" s="27"/>
      <c r="Y676" s="27"/>
      <c r="Z676" s="27"/>
      <c r="AA676" s="5"/>
      <c r="AB676" s="5"/>
      <c r="AC676" s="5"/>
      <c r="AD676" s="5"/>
      <c r="AE676" s="5"/>
      <c r="AF676" s="5"/>
      <c r="AG676" s="5"/>
      <c r="AH676" s="27"/>
      <c r="AI676" s="27"/>
      <c r="AJ676" s="27"/>
      <c r="AK676" s="27"/>
      <c r="AL676" s="6"/>
      <c r="AM676" s="27"/>
      <c r="AN676" s="27"/>
      <c r="AO676" s="27"/>
      <c r="AP676" s="27"/>
      <c r="AQ676" s="27"/>
      <c r="AR676" s="27"/>
      <c r="AS676" s="27"/>
      <c r="AT676" s="27"/>
      <c r="AU676" s="27"/>
      <c r="AV676" s="27"/>
      <c r="AW676" s="27"/>
      <c r="AX676" s="27"/>
      <c r="AY676" s="63"/>
    </row>
    <row r="677" spans="1:51">
      <c r="A677" s="1">
        <v>485</v>
      </c>
      <c r="B677" s="43"/>
      <c r="C677" s="10"/>
      <c r="D677" s="5"/>
      <c r="E677" s="10"/>
      <c r="F677" s="5"/>
      <c r="G677" s="5"/>
      <c r="H677" s="5"/>
      <c r="I677" s="5"/>
      <c r="J677" s="5"/>
      <c r="K677" s="10"/>
      <c r="L677" s="10"/>
      <c r="M677" s="10"/>
      <c r="N677" s="5"/>
      <c r="O677" s="5"/>
      <c r="P677" s="27"/>
      <c r="Q677" s="27"/>
      <c r="R677" s="27"/>
      <c r="S677" s="27"/>
      <c r="T677" s="27"/>
      <c r="U677" s="27"/>
      <c r="V677" s="27"/>
      <c r="W677" s="27"/>
      <c r="X677" s="27"/>
      <c r="Y677" s="27"/>
      <c r="Z677" s="27"/>
      <c r="AA677" s="5"/>
      <c r="AB677" s="5"/>
      <c r="AC677" s="5"/>
      <c r="AD677" s="5"/>
      <c r="AE677" s="5"/>
      <c r="AF677" s="5"/>
      <c r="AG677" s="5"/>
      <c r="AH677" s="27"/>
      <c r="AI677" s="27"/>
      <c r="AJ677" s="27"/>
      <c r="AK677" s="27"/>
      <c r="AL677" s="6"/>
      <c r="AM677" s="27"/>
      <c r="AN677" s="27"/>
      <c r="AO677" s="27"/>
      <c r="AP677" s="27"/>
      <c r="AQ677" s="27"/>
      <c r="AR677" s="27"/>
      <c r="AS677" s="27"/>
      <c r="AT677" s="27"/>
      <c r="AU677" s="27"/>
      <c r="AV677" s="27"/>
      <c r="AW677" s="27"/>
      <c r="AX677" s="27"/>
      <c r="AY677" s="63"/>
    </row>
    <row r="678" spans="1:51">
      <c r="A678" s="1">
        <v>486</v>
      </c>
      <c r="B678" s="43"/>
      <c r="C678" s="10"/>
      <c r="D678" s="5"/>
      <c r="E678" s="10"/>
      <c r="F678" s="5"/>
      <c r="G678" s="5"/>
      <c r="H678" s="5"/>
      <c r="I678" s="5"/>
      <c r="J678" s="5"/>
      <c r="K678" s="10"/>
      <c r="L678" s="10"/>
      <c r="M678" s="10"/>
      <c r="N678" s="5"/>
      <c r="O678" s="5"/>
      <c r="P678" s="27"/>
      <c r="Q678" s="27"/>
      <c r="R678" s="27"/>
      <c r="S678" s="27"/>
      <c r="T678" s="27"/>
      <c r="U678" s="27"/>
      <c r="V678" s="27"/>
      <c r="W678" s="27"/>
      <c r="X678" s="27"/>
      <c r="Y678" s="27"/>
      <c r="Z678" s="27"/>
      <c r="AA678" s="5"/>
      <c r="AB678" s="5"/>
      <c r="AC678" s="5"/>
      <c r="AD678" s="5"/>
      <c r="AE678" s="5"/>
      <c r="AF678" s="5"/>
      <c r="AG678" s="5"/>
      <c r="AH678" s="27"/>
      <c r="AI678" s="27"/>
      <c r="AJ678" s="27"/>
      <c r="AK678" s="27"/>
      <c r="AL678" s="6"/>
      <c r="AM678" s="27"/>
      <c r="AN678" s="27"/>
      <c r="AO678" s="27"/>
      <c r="AP678" s="27"/>
      <c r="AQ678" s="27"/>
      <c r="AR678" s="27"/>
      <c r="AS678" s="27"/>
      <c r="AT678" s="27"/>
      <c r="AU678" s="27"/>
      <c r="AV678" s="27"/>
      <c r="AW678" s="27"/>
      <c r="AX678" s="27"/>
      <c r="AY678" s="63"/>
    </row>
    <row r="679" spans="1:51">
      <c r="A679" s="1">
        <v>487</v>
      </c>
      <c r="B679" s="43"/>
      <c r="C679" s="10"/>
      <c r="D679" s="5"/>
      <c r="E679" s="10"/>
      <c r="F679" s="5"/>
      <c r="G679" s="5"/>
      <c r="H679" s="5"/>
      <c r="I679" s="5"/>
      <c r="J679" s="5"/>
      <c r="K679" s="10"/>
      <c r="L679" s="10"/>
      <c r="M679" s="10"/>
      <c r="N679" s="5"/>
      <c r="O679" s="5"/>
      <c r="P679" s="27"/>
      <c r="Q679" s="27"/>
      <c r="R679" s="27"/>
      <c r="S679" s="27"/>
      <c r="T679" s="27"/>
      <c r="U679" s="27"/>
      <c r="V679" s="27"/>
      <c r="W679" s="27"/>
      <c r="X679" s="27"/>
      <c r="Y679" s="27"/>
      <c r="Z679" s="27"/>
      <c r="AA679" s="5"/>
      <c r="AB679" s="5"/>
      <c r="AC679" s="5"/>
      <c r="AD679" s="5"/>
      <c r="AE679" s="5"/>
      <c r="AF679" s="5"/>
      <c r="AG679" s="5"/>
      <c r="AH679" s="27"/>
      <c r="AI679" s="27"/>
      <c r="AJ679" s="27"/>
      <c r="AK679" s="27"/>
      <c r="AL679" s="6"/>
      <c r="AM679" s="27"/>
      <c r="AN679" s="27"/>
      <c r="AO679" s="27"/>
      <c r="AP679" s="27"/>
      <c r="AQ679" s="27"/>
      <c r="AR679" s="27"/>
      <c r="AS679" s="27"/>
      <c r="AT679" s="27"/>
      <c r="AU679" s="27"/>
      <c r="AV679" s="27"/>
      <c r="AW679" s="27"/>
      <c r="AX679" s="27"/>
      <c r="AY679" s="63"/>
    </row>
    <row r="680" spans="1:51">
      <c r="A680" s="1">
        <v>488</v>
      </c>
      <c r="B680" s="43"/>
      <c r="C680" s="10"/>
      <c r="D680" s="5"/>
      <c r="E680" s="10"/>
      <c r="F680" s="5"/>
      <c r="G680" s="5"/>
      <c r="H680" s="5"/>
      <c r="I680" s="5"/>
      <c r="J680" s="5"/>
      <c r="K680" s="10"/>
      <c r="L680" s="10"/>
      <c r="M680" s="10"/>
      <c r="N680" s="5"/>
      <c r="O680" s="5"/>
      <c r="P680" s="27"/>
      <c r="Q680" s="27"/>
      <c r="R680" s="27"/>
      <c r="S680" s="27"/>
      <c r="T680" s="27"/>
      <c r="U680" s="27"/>
      <c r="V680" s="27"/>
      <c r="W680" s="27"/>
      <c r="X680" s="27"/>
      <c r="Y680" s="27"/>
      <c r="Z680" s="27"/>
      <c r="AA680" s="5"/>
      <c r="AB680" s="5"/>
      <c r="AC680" s="5"/>
      <c r="AD680" s="5"/>
      <c r="AE680" s="5"/>
      <c r="AF680" s="5"/>
      <c r="AG680" s="5"/>
      <c r="AH680" s="27"/>
      <c r="AI680" s="27"/>
      <c r="AJ680" s="27"/>
      <c r="AK680" s="27"/>
      <c r="AL680" s="6"/>
      <c r="AM680" s="27"/>
      <c r="AN680" s="27"/>
      <c r="AO680" s="27"/>
      <c r="AP680" s="27"/>
      <c r="AQ680" s="27"/>
      <c r="AR680" s="27"/>
      <c r="AS680" s="27"/>
      <c r="AT680" s="27"/>
      <c r="AU680" s="27"/>
      <c r="AV680" s="27"/>
      <c r="AW680" s="27"/>
      <c r="AX680" s="27"/>
      <c r="AY680" s="63"/>
    </row>
  </sheetData>
  <sortState xmlns:xlrd2="http://schemas.microsoft.com/office/spreadsheetml/2017/richdata2" ref="A1:BA661">
    <sortCondition ref="A1:A661"/>
  </sortState>
  <mergeCells count="1">
    <mergeCell ref="BC2:BD2"/>
  </mergeCells>
  <phoneticPr fontId="1" type="noConversion"/>
  <conditionalFormatting sqref="E349">
    <cfRule type="duplicateValues" dxfId="850" priority="2177"/>
  </conditionalFormatting>
  <conditionalFormatting sqref="E349">
    <cfRule type="duplicateValues" dxfId="849" priority="2176"/>
  </conditionalFormatting>
  <conditionalFormatting sqref="E108">
    <cfRule type="duplicateValues" dxfId="848" priority="2174"/>
  </conditionalFormatting>
  <conditionalFormatting sqref="E108">
    <cfRule type="duplicateValues" dxfId="847" priority="2173"/>
  </conditionalFormatting>
  <conditionalFormatting sqref="E279 E253:E255 E250 E272:E273 E229 E231 E233 E235 E237">
    <cfRule type="duplicateValues" dxfId="846" priority="2168"/>
  </conditionalFormatting>
  <conditionalFormatting sqref="E272">
    <cfRule type="duplicateValues" dxfId="845" priority="2167"/>
  </conditionalFormatting>
  <conditionalFormatting sqref="E272">
    <cfRule type="duplicateValues" dxfId="844" priority="2166"/>
  </conditionalFormatting>
  <conditionalFormatting sqref="E82 E79 E84 E86 E88 E90">
    <cfRule type="duplicateValues" dxfId="843" priority="2143"/>
  </conditionalFormatting>
  <conditionalFormatting sqref="E79">
    <cfRule type="duplicateValues" dxfId="842" priority="2142"/>
  </conditionalFormatting>
  <conditionalFormatting sqref="E79">
    <cfRule type="duplicateValues" dxfId="841" priority="2141"/>
  </conditionalFormatting>
  <conditionalFormatting sqref="E82 E79 E84 E86 E88 E90">
    <cfRule type="duplicateValues" dxfId="840" priority="2139"/>
    <cfRule type="duplicateValues" dxfId="839" priority="2140"/>
  </conditionalFormatting>
  <conditionalFormatting sqref="E327">
    <cfRule type="duplicateValues" dxfId="838" priority="2093"/>
  </conditionalFormatting>
  <conditionalFormatting sqref="E327">
    <cfRule type="duplicateValues" dxfId="837" priority="2092"/>
  </conditionalFormatting>
  <conditionalFormatting sqref="E385 E387 E389 E391:E392 E394 E396 E398 E400 E402 E404 E406 E408 E410 E412 E414">
    <cfRule type="duplicateValues" dxfId="836" priority="2084"/>
  </conditionalFormatting>
  <conditionalFormatting sqref="E385">
    <cfRule type="duplicateValues" dxfId="835" priority="2083"/>
  </conditionalFormatting>
  <conditionalFormatting sqref="E385">
    <cfRule type="duplicateValues" dxfId="834" priority="2082"/>
  </conditionalFormatting>
  <conditionalFormatting sqref="E385 E387 E389 E391:E392 E394 E396 E398 E400 E402 E404 E406 E408 E410 E412 E414">
    <cfRule type="duplicateValues" dxfId="833" priority="2080"/>
    <cfRule type="duplicateValues" dxfId="832" priority="2081"/>
  </conditionalFormatting>
  <conditionalFormatting sqref="E57 E59 E61 E63">
    <cfRule type="duplicateValues" dxfId="831" priority="2000"/>
  </conditionalFormatting>
  <conditionalFormatting sqref="E57">
    <cfRule type="duplicateValues" dxfId="830" priority="1999"/>
  </conditionalFormatting>
  <conditionalFormatting sqref="E57">
    <cfRule type="duplicateValues" dxfId="829" priority="1998"/>
  </conditionalFormatting>
  <conditionalFormatting sqref="E57 E59 E61 E63">
    <cfRule type="duplicateValues" dxfId="828" priority="1996"/>
    <cfRule type="duplicateValues" dxfId="827" priority="1997"/>
  </conditionalFormatting>
  <conditionalFormatting sqref="E57">
    <cfRule type="duplicateValues" dxfId="826" priority="1995"/>
  </conditionalFormatting>
  <conditionalFormatting sqref="E57">
    <cfRule type="duplicateValues" dxfId="825" priority="1994"/>
  </conditionalFormatting>
  <conditionalFormatting sqref="E57">
    <cfRule type="duplicateValues" dxfId="824" priority="1993"/>
  </conditionalFormatting>
  <conditionalFormatting sqref="E386 E388">
    <cfRule type="duplicateValues" dxfId="823" priority="1979"/>
  </conditionalFormatting>
  <conditionalFormatting sqref="E386">
    <cfRule type="duplicateValues" dxfId="822" priority="1978"/>
  </conditionalFormatting>
  <conditionalFormatting sqref="E386">
    <cfRule type="duplicateValues" dxfId="821" priority="1977"/>
  </conditionalFormatting>
  <conditionalFormatting sqref="E386">
    <cfRule type="duplicateValues" dxfId="820" priority="1976"/>
  </conditionalFormatting>
  <conditionalFormatting sqref="E386 E388">
    <cfRule type="duplicateValues" dxfId="819" priority="1974"/>
    <cfRule type="duplicateValues" dxfId="818" priority="1975"/>
  </conditionalFormatting>
  <conditionalFormatting sqref="E386">
    <cfRule type="duplicateValues" dxfId="817" priority="1973"/>
  </conditionalFormatting>
  <conditionalFormatting sqref="E386">
    <cfRule type="duplicateValues" dxfId="816" priority="1972"/>
  </conditionalFormatting>
  <conditionalFormatting sqref="E386">
    <cfRule type="duplicateValues" dxfId="815" priority="1971"/>
  </conditionalFormatting>
  <conditionalFormatting sqref="E175 E187 E177 E179:E181 E183 E185">
    <cfRule type="duplicateValues" dxfId="814" priority="1946"/>
  </conditionalFormatting>
  <conditionalFormatting sqref="E175 E187 E177 E179:E181 E183 E185">
    <cfRule type="duplicateValues" dxfId="813" priority="1942"/>
    <cfRule type="duplicateValues" dxfId="812" priority="1943"/>
  </conditionalFormatting>
  <conditionalFormatting sqref="E257">
    <cfRule type="duplicateValues" dxfId="811" priority="1929"/>
  </conditionalFormatting>
  <conditionalFormatting sqref="E19">
    <cfRule type="duplicateValues" dxfId="810" priority="1889"/>
  </conditionalFormatting>
  <conditionalFormatting sqref="E19">
    <cfRule type="duplicateValues" dxfId="809" priority="1888"/>
  </conditionalFormatting>
  <conditionalFormatting sqref="E19">
    <cfRule type="duplicateValues" dxfId="808" priority="1887"/>
  </conditionalFormatting>
  <conditionalFormatting sqref="E19">
    <cfRule type="duplicateValues" dxfId="807" priority="1885"/>
    <cfRule type="duplicateValues" dxfId="806" priority="1886"/>
  </conditionalFormatting>
  <conditionalFormatting sqref="E19">
    <cfRule type="duplicateValues" dxfId="805" priority="1884"/>
  </conditionalFormatting>
  <conditionalFormatting sqref="E19">
    <cfRule type="duplicateValues" dxfId="804" priority="1883"/>
  </conditionalFormatting>
  <conditionalFormatting sqref="E19">
    <cfRule type="duplicateValues" dxfId="803" priority="1882"/>
  </conditionalFormatting>
  <conditionalFormatting sqref="E393 E390 E395 E397 E399 E401 E403 E405 E407 E409 E411 E413 E415">
    <cfRule type="duplicateValues" dxfId="802" priority="1881"/>
  </conditionalFormatting>
  <conditionalFormatting sqref="E393 E390 E395 E397 E399 E401 E403 E405 E407 E409 E411 E413 E415">
    <cfRule type="duplicateValues" dxfId="801" priority="1879"/>
    <cfRule type="duplicateValues" dxfId="800" priority="1880"/>
  </conditionalFormatting>
  <conditionalFormatting sqref="E390">
    <cfRule type="duplicateValues" dxfId="799" priority="1878"/>
  </conditionalFormatting>
  <conditionalFormatting sqref="E390">
    <cfRule type="duplicateValues" dxfId="798" priority="1877"/>
  </conditionalFormatting>
  <conditionalFormatting sqref="E390">
    <cfRule type="duplicateValues" dxfId="797" priority="1876"/>
  </conditionalFormatting>
  <conditionalFormatting sqref="E75">
    <cfRule type="duplicateValues" dxfId="796" priority="1768"/>
  </conditionalFormatting>
  <conditionalFormatting sqref="E75">
    <cfRule type="duplicateValues" dxfId="795" priority="1767"/>
  </conditionalFormatting>
  <conditionalFormatting sqref="E75">
    <cfRule type="duplicateValues" dxfId="794" priority="1764"/>
  </conditionalFormatting>
  <conditionalFormatting sqref="E75">
    <cfRule type="duplicateValues" dxfId="793" priority="1763"/>
  </conditionalFormatting>
  <conditionalFormatting sqref="E75">
    <cfRule type="duplicateValues" dxfId="792" priority="1762"/>
  </conditionalFormatting>
  <conditionalFormatting sqref="E288 E290 E292">
    <cfRule type="duplicateValues" dxfId="791" priority="1486"/>
  </conditionalFormatting>
  <conditionalFormatting sqref="E288 E290 E292">
    <cfRule type="duplicateValues" dxfId="790" priority="1488"/>
    <cfRule type="duplicateValues" dxfId="789" priority="1489"/>
  </conditionalFormatting>
  <conditionalFormatting sqref="E432:E433">
    <cfRule type="duplicateValues" dxfId="788" priority="1433"/>
  </conditionalFormatting>
  <conditionalFormatting sqref="E432:E433">
    <cfRule type="duplicateValues" dxfId="787" priority="1432"/>
  </conditionalFormatting>
  <conditionalFormatting sqref="E432:E433">
    <cfRule type="duplicateValues" dxfId="786" priority="1434"/>
  </conditionalFormatting>
  <conditionalFormatting sqref="E432:E433">
    <cfRule type="duplicateValues" dxfId="785" priority="1435"/>
    <cfRule type="duplicateValues" dxfId="784" priority="1436"/>
  </conditionalFormatting>
  <conditionalFormatting sqref="E432:E433">
    <cfRule type="duplicateValues" dxfId="783" priority="1431"/>
  </conditionalFormatting>
  <conditionalFormatting sqref="E432:E433">
    <cfRule type="duplicateValues" dxfId="782" priority="1437"/>
  </conditionalFormatting>
  <conditionalFormatting sqref="E432:E433">
    <cfRule type="duplicateValues" dxfId="781" priority="1438"/>
  </conditionalFormatting>
  <conditionalFormatting sqref="E432:E433">
    <cfRule type="duplicateValues" dxfId="780" priority="1439"/>
  </conditionalFormatting>
  <conditionalFormatting sqref="E48 E46 E43">
    <cfRule type="duplicateValues" dxfId="779" priority="1423"/>
  </conditionalFormatting>
  <conditionalFormatting sqref="E46">
    <cfRule type="duplicateValues" dxfId="778" priority="1424"/>
  </conditionalFormatting>
  <conditionalFormatting sqref="E48 E46 E43">
    <cfRule type="duplicateValues" dxfId="777" priority="1425"/>
    <cfRule type="duplicateValues" dxfId="776" priority="1426"/>
  </conditionalFormatting>
  <conditionalFormatting sqref="E46">
    <cfRule type="duplicateValues" dxfId="775" priority="1427"/>
  </conditionalFormatting>
  <conditionalFormatting sqref="E46">
    <cfRule type="duplicateValues" dxfId="774" priority="1422"/>
  </conditionalFormatting>
  <conditionalFormatting sqref="E46">
    <cfRule type="duplicateValues" dxfId="773" priority="1428"/>
  </conditionalFormatting>
  <conditionalFormatting sqref="E46">
    <cfRule type="duplicateValues" dxfId="772" priority="1429"/>
  </conditionalFormatting>
  <conditionalFormatting sqref="E46">
    <cfRule type="duplicateValues" dxfId="771" priority="1430"/>
  </conditionalFormatting>
  <conditionalFormatting sqref="E165">
    <cfRule type="duplicateValues" dxfId="770" priority="1224"/>
  </conditionalFormatting>
  <conditionalFormatting sqref="E165">
    <cfRule type="duplicateValues" dxfId="769" priority="1225"/>
  </conditionalFormatting>
  <conditionalFormatting sqref="E165">
    <cfRule type="duplicateValues" dxfId="768" priority="1226"/>
    <cfRule type="duplicateValues" dxfId="767" priority="1227"/>
  </conditionalFormatting>
  <conditionalFormatting sqref="E165">
    <cfRule type="duplicateValues" dxfId="766" priority="1228"/>
  </conditionalFormatting>
  <conditionalFormatting sqref="E165">
    <cfRule type="duplicateValues" dxfId="765" priority="1223"/>
  </conditionalFormatting>
  <conditionalFormatting sqref="E165">
    <cfRule type="duplicateValues" dxfId="764" priority="1229"/>
  </conditionalFormatting>
  <conditionalFormatting sqref="E165">
    <cfRule type="duplicateValues" dxfId="763" priority="1230"/>
  </conditionalFormatting>
  <conditionalFormatting sqref="E165">
    <cfRule type="duplicateValues" dxfId="762" priority="1231"/>
  </conditionalFormatting>
  <conditionalFormatting sqref="E166">
    <cfRule type="duplicateValues" dxfId="761" priority="1215"/>
  </conditionalFormatting>
  <conditionalFormatting sqref="E166">
    <cfRule type="duplicateValues" dxfId="760" priority="1216"/>
  </conditionalFormatting>
  <conditionalFormatting sqref="E166">
    <cfRule type="duplicateValues" dxfId="759" priority="1217"/>
    <cfRule type="duplicateValues" dxfId="758" priority="1218"/>
  </conditionalFormatting>
  <conditionalFormatting sqref="E166">
    <cfRule type="duplicateValues" dxfId="757" priority="1219"/>
  </conditionalFormatting>
  <conditionalFormatting sqref="E166">
    <cfRule type="duplicateValues" dxfId="756" priority="1214"/>
  </conditionalFormatting>
  <conditionalFormatting sqref="E166">
    <cfRule type="duplicateValues" dxfId="755" priority="1220"/>
  </conditionalFormatting>
  <conditionalFormatting sqref="E166">
    <cfRule type="duplicateValues" dxfId="754" priority="1221"/>
  </conditionalFormatting>
  <conditionalFormatting sqref="E166">
    <cfRule type="duplicateValues" dxfId="753" priority="1222"/>
  </conditionalFormatting>
  <conditionalFormatting sqref="E167">
    <cfRule type="duplicateValues" dxfId="752" priority="1206"/>
  </conditionalFormatting>
  <conditionalFormatting sqref="E167">
    <cfRule type="duplicateValues" dxfId="751" priority="1207"/>
  </conditionalFormatting>
  <conditionalFormatting sqref="E167">
    <cfRule type="duplicateValues" dxfId="750" priority="1208"/>
    <cfRule type="duplicateValues" dxfId="749" priority="1209"/>
  </conditionalFormatting>
  <conditionalFormatting sqref="E167">
    <cfRule type="duplicateValues" dxfId="748" priority="1210"/>
  </conditionalFormatting>
  <conditionalFormatting sqref="E167">
    <cfRule type="duplicateValues" dxfId="747" priority="1205"/>
  </conditionalFormatting>
  <conditionalFormatting sqref="E167">
    <cfRule type="duplicateValues" dxfId="746" priority="1211"/>
  </conditionalFormatting>
  <conditionalFormatting sqref="E167">
    <cfRule type="duplicateValues" dxfId="745" priority="1212"/>
  </conditionalFormatting>
  <conditionalFormatting sqref="E167">
    <cfRule type="duplicateValues" dxfId="744" priority="1213"/>
  </conditionalFormatting>
  <conditionalFormatting sqref="E168">
    <cfRule type="duplicateValues" dxfId="743" priority="1197"/>
  </conditionalFormatting>
  <conditionalFormatting sqref="E168">
    <cfRule type="duplicateValues" dxfId="742" priority="1198"/>
  </conditionalFormatting>
  <conditionalFormatting sqref="E168">
    <cfRule type="duplicateValues" dxfId="741" priority="1199"/>
    <cfRule type="duplicateValues" dxfId="740" priority="1200"/>
  </conditionalFormatting>
  <conditionalFormatting sqref="E168">
    <cfRule type="duplicateValues" dxfId="739" priority="1201"/>
  </conditionalFormatting>
  <conditionalFormatting sqref="E168">
    <cfRule type="duplicateValues" dxfId="738" priority="1196"/>
  </conditionalFormatting>
  <conditionalFormatting sqref="E168">
    <cfRule type="duplicateValues" dxfId="737" priority="1202"/>
  </conditionalFormatting>
  <conditionalFormatting sqref="E168">
    <cfRule type="duplicateValues" dxfId="736" priority="1203"/>
  </conditionalFormatting>
  <conditionalFormatting sqref="E168">
    <cfRule type="duplicateValues" dxfId="735" priority="1204"/>
  </conditionalFormatting>
  <conditionalFormatting sqref="E169">
    <cfRule type="duplicateValues" dxfId="734" priority="1188"/>
  </conditionalFormatting>
  <conditionalFormatting sqref="E169">
    <cfRule type="duplicateValues" dxfId="733" priority="1189"/>
  </conditionalFormatting>
  <conditionalFormatting sqref="E169">
    <cfRule type="duplicateValues" dxfId="732" priority="1190"/>
    <cfRule type="duplicateValues" dxfId="731" priority="1191"/>
  </conditionalFormatting>
  <conditionalFormatting sqref="E169">
    <cfRule type="duplicateValues" dxfId="730" priority="1192"/>
  </conditionalFormatting>
  <conditionalFormatting sqref="E169">
    <cfRule type="duplicateValues" dxfId="729" priority="1187"/>
  </conditionalFormatting>
  <conditionalFormatting sqref="E169">
    <cfRule type="duplicateValues" dxfId="728" priority="1193"/>
  </conditionalFormatting>
  <conditionalFormatting sqref="E169">
    <cfRule type="duplicateValues" dxfId="727" priority="1194"/>
  </conditionalFormatting>
  <conditionalFormatting sqref="E169">
    <cfRule type="duplicateValues" dxfId="726" priority="1195"/>
  </conditionalFormatting>
  <conditionalFormatting sqref="E170">
    <cfRule type="duplicateValues" dxfId="725" priority="1179"/>
  </conditionalFormatting>
  <conditionalFormatting sqref="E170">
    <cfRule type="duplicateValues" dxfId="724" priority="1180"/>
  </conditionalFormatting>
  <conditionalFormatting sqref="E170">
    <cfRule type="duplicateValues" dxfId="723" priority="1181"/>
    <cfRule type="duplicateValues" dxfId="722" priority="1182"/>
  </conditionalFormatting>
  <conditionalFormatting sqref="E170">
    <cfRule type="duplicateValues" dxfId="721" priority="1183"/>
  </conditionalFormatting>
  <conditionalFormatting sqref="E170">
    <cfRule type="duplicateValues" dxfId="720" priority="1178"/>
  </conditionalFormatting>
  <conditionalFormatting sqref="E170">
    <cfRule type="duplicateValues" dxfId="719" priority="1184"/>
  </conditionalFormatting>
  <conditionalFormatting sqref="E170">
    <cfRule type="duplicateValues" dxfId="718" priority="1185"/>
  </conditionalFormatting>
  <conditionalFormatting sqref="E170">
    <cfRule type="duplicateValues" dxfId="717" priority="1186"/>
  </conditionalFormatting>
  <conditionalFormatting sqref="E171">
    <cfRule type="duplicateValues" dxfId="716" priority="1170"/>
  </conditionalFormatting>
  <conditionalFormatting sqref="E171">
    <cfRule type="duplicateValues" dxfId="715" priority="1171"/>
  </conditionalFormatting>
  <conditionalFormatting sqref="E171">
    <cfRule type="duplicateValues" dxfId="714" priority="1172"/>
    <cfRule type="duplicateValues" dxfId="713" priority="1173"/>
  </conditionalFormatting>
  <conditionalFormatting sqref="E171">
    <cfRule type="duplicateValues" dxfId="712" priority="1174"/>
  </conditionalFormatting>
  <conditionalFormatting sqref="E171">
    <cfRule type="duplicateValues" dxfId="711" priority="1169"/>
  </conditionalFormatting>
  <conditionalFormatting sqref="E171">
    <cfRule type="duplicateValues" dxfId="710" priority="1175"/>
  </conditionalFormatting>
  <conditionalFormatting sqref="E171">
    <cfRule type="duplicateValues" dxfId="709" priority="1176"/>
  </conditionalFormatting>
  <conditionalFormatting sqref="E171">
    <cfRule type="duplicateValues" dxfId="708" priority="1177"/>
  </conditionalFormatting>
  <conditionalFormatting sqref="E133">
    <cfRule type="duplicateValues" dxfId="707" priority="997"/>
  </conditionalFormatting>
  <conditionalFormatting sqref="E133">
    <cfRule type="duplicateValues" dxfId="706" priority="996"/>
  </conditionalFormatting>
  <conditionalFormatting sqref="E139">
    <cfRule type="duplicateValues" dxfId="705" priority="995"/>
  </conditionalFormatting>
  <conditionalFormatting sqref="E139">
    <cfRule type="duplicateValues" dxfId="704" priority="991"/>
    <cfRule type="duplicateValues" dxfId="703" priority="992"/>
  </conditionalFormatting>
  <conditionalFormatting sqref="E141">
    <cfRule type="duplicateValues" dxfId="702" priority="990"/>
  </conditionalFormatting>
  <conditionalFormatting sqref="E141">
    <cfRule type="duplicateValues" dxfId="701" priority="986"/>
    <cfRule type="duplicateValues" dxfId="700" priority="987"/>
  </conditionalFormatting>
  <conditionalFormatting sqref="E138">
    <cfRule type="duplicateValues" dxfId="699" priority="969"/>
  </conditionalFormatting>
  <conditionalFormatting sqref="E138">
    <cfRule type="duplicateValues" dxfId="698" priority="968"/>
  </conditionalFormatting>
  <conditionalFormatting sqref="E138">
    <cfRule type="duplicateValues" dxfId="697" priority="967"/>
  </conditionalFormatting>
  <conditionalFormatting sqref="E138">
    <cfRule type="duplicateValues" dxfId="696" priority="965"/>
    <cfRule type="duplicateValues" dxfId="695" priority="966"/>
  </conditionalFormatting>
  <conditionalFormatting sqref="E138">
    <cfRule type="duplicateValues" dxfId="694" priority="964"/>
  </conditionalFormatting>
  <conditionalFormatting sqref="E138">
    <cfRule type="duplicateValues" dxfId="693" priority="963"/>
  </conditionalFormatting>
  <conditionalFormatting sqref="E138">
    <cfRule type="duplicateValues" dxfId="692" priority="962"/>
  </conditionalFormatting>
  <conditionalFormatting sqref="E216">
    <cfRule type="duplicateValues" dxfId="691" priority="878"/>
  </conditionalFormatting>
  <conditionalFormatting sqref="E216">
    <cfRule type="duplicateValues" dxfId="690" priority="879"/>
  </conditionalFormatting>
  <conditionalFormatting sqref="E216">
    <cfRule type="duplicateValues" dxfId="689" priority="880"/>
    <cfRule type="duplicateValues" dxfId="688" priority="881"/>
  </conditionalFormatting>
  <conditionalFormatting sqref="E216">
    <cfRule type="duplicateValues" dxfId="687" priority="882"/>
  </conditionalFormatting>
  <conditionalFormatting sqref="E216">
    <cfRule type="duplicateValues" dxfId="686" priority="877"/>
  </conditionalFormatting>
  <conditionalFormatting sqref="E216">
    <cfRule type="duplicateValues" dxfId="685" priority="883"/>
  </conditionalFormatting>
  <conditionalFormatting sqref="E216">
    <cfRule type="duplicateValues" dxfId="684" priority="884"/>
  </conditionalFormatting>
  <conditionalFormatting sqref="E216">
    <cfRule type="duplicateValues" dxfId="683" priority="885"/>
  </conditionalFormatting>
  <conditionalFormatting sqref="E70">
    <cfRule type="duplicateValues" dxfId="682" priority="875"/>
  </conditionalFormatting>
  <conditionalFormatting sqref="E70">
    <cfRule type="duplicateValues" dxfId="681" priority="873"/>
    <cfRule type="duplicateValues" dxfId="680" priority="874"/>
  </conditionalFormatting>
  <conditionalFormatting sqref="E70">
    <cfRule type="duplicateValues" dxfId="679" priority="872"/>
  </conditionalFormatting>
  <conditionalFormatting sqref="E189 E200 E214 E191 E193 E195 E197:E198 E202 E204 E206 E208 E210 E212">
    <cfRule type="duplicateValues" dxfId="678" priority="786"/>
  </conditionalFormatting>
  <conditionalFormatting sqref="E189 E200 E214 E191 E193 E195 E197:E198 E202 E204 E206 E208 E210 E212">
    <cfRule type="duplicateValues" dxfId="677" priority="784"/>
    <cfRule type="duplicateValues" dxfId="676" priority="785"/>
  </conditionalFormatting>
  <conditionalFormatting sqref="E188">
    <cfRule type="duplicateValues" dxfId="675" priority="763"/>
  </conditionalFormatting>
  <conditionalFormatting sqref="E188">
    <cfRule type="duplicateValues" dxfId="674" priority="764"/>
  </conditionalFormatting>
  <conditionalFormatting sqref="E188">
    <cfRule type="duplicateValues" dxfId="673" priority="765"/>
    <cfRule type="duplicateValues" dxfId="672" priority="766"/>
  </conditionalFormatting>
  <conditionalFormatting sqref="E188">
    <cfRule type="duplicateValues" dxfId="671" priority="767"/>
  </conditionalFormatting>
  <conditionalFormatting sqref="E188">
    <cfRule type="duplicateValues" dxfId="670" priority="762"/>
  </conditionalFormatting>
  <conditionalFormatting sqref="E188">
    <cfRule type="duplicateValues" dxfId="669" priority="768"/>
  </conditionalFormatting>
  <conditionalFormatting sqref="E188">
    <cfRule type="duplicateValues" dxfId="668" priority="769"/>
  </conditionalFormatting>
  <conditionalFormatting sqref="E188">
    <cfRule type="duplicateValues" dxfId="667" priority="770"/>
  </conditionalFormatting>
  <conditionalFormatting sqref="E157:E160 E132:E141 E143:E155">
    <cfRule type="duplicateValues" dxfId="666" priority="8904"/>
  </conditionalFormatting>
  <conditionalFormatting sqref="E157:E160 E132:E141 E143:E155">
    <cfRule type="duplicateValues" dxfId="665" priority="8908"/>
    <cfRule type="duplicateValues" dxfId="664" priority="8909"/>
  </conditionalFormatting>
  <conditionalFormatting sqref="E156:AK156 AM156">
    <cfRule type="duplicateValues" dxfId="663" priority="704"/>
  </conditionalFormatting>
  <conditionalFormatting sqref="E156:AK156 AM156">
    <cfRule type="duplicateValues" dxfId="662" priority="702"/>
    <cfRule type="duplicateValues" dxfId="661" priority="703"/>
  </conditionalFormatting>
  <conditionalFormatting sqref="E156:AK156">
    <cfRule type="duplicateValues" dxfId="660" priority="705"/>
  </conditionalFormatting>
  <conditionalFormatting sqref="E156:AK156">
    <cfRule type="duplicateValues" dxfId="659" priority="706"/>
  </conditionalFormatting>
  <conditionalFormatting sqref="E156:AK156">
    <cfRule type="duplicateValues" dxfId="658" priority="707"/>
    <cfRule type="duplicateValues" dxfId="657" priority="708"/>
  </conditionalFormatting>
  <conditionalFormatting sqref="E117">
    <cfRule type="duplicateValues" dxfId="656" priority="134"/>
  </conditionalFormatting>
  <conditionalFormatting sqref="E117">
    <cfRule type="duplicateValues" dxfId="655" priority="132"/>
    <cfRule type="duplicateValues" dxfId="654" priority="133"/>
  </conditionalFormatting>
  <conditionalFormatting sqref="E251">
    <cfRule type="duplicateValues" dxfId="653" priority="125"/>
  </conditionalFormatting>
  <conditionalFormatting sqref="E251">
    <cfRule type="duplicateValues" dxfId="652" priority="126"/>
  </conditionalFormatting>
  <conditionalFormatting sqref="E251">
    <cfRule type="duplicateValues" dxfId="651" priority="127"/>
  </conditionalFormatting>
  <conditionalFormatting sqref="E115 E111:E112">
    <cfRule type="duplicateValues" dxfId="650" priority="11600"/>
  </conditionalFormatting>
  <conditionalFormatting sqref="E115 E111:E112">
    <cfRule type="duplicateValues" dxfId="649" priority="11604"/>
    <cfRule type="duplicateValues" dxfId="648" priority="11605"/>
  </conditionalFormatting>
  <conditionalFormatting sqref="E115 E112">
    <cfRule type="duplicateValues" dxfId="647" priority="11742"/>
  </conditionalFormatting>
  <conditionalFormatting sqref="E115 E112">
    <cfRule type="duplicateValues" dxfId="646" priority="11744"/>
    <cfRule type="duplicateValues" dxfId="645" priority="11745"/>
  </conditionalFormatting>
  <conditionalFormatting sqref="E418:E430">
    <cfRule type="duplicateValues" dxfId="644" priority="14176"/>
  </conditionalFormatting>
  <conditionalFormatting sqref="E418:E430">
    <cfRule type="duplicateValues" dxfId="643" priority="14178"/>
    <cfRule type="duplicateValues" dxfId="642" priority="14179"/>
  </conditionalFormatting>
  <conditionalFormatting sqref="E380:E384">
    <cfRule type="duplicateValues" dxfId="641" priority="14180"/>
  </conditionalFormatting>
  <conditionalFormatting sqref="E75:E76">
    <cfRule type="duplicateValues" dxfId="640" priority="15550"/>
  </conditionalFormatting>
  <conditionalFormatting sqref="E75:E76">
    <cfRule type="duplicateValues" dxfId="639" priority="15552"/>
    <cfRule type="duplicateValues" dxfId="638" priority="15553"/>
  </conditionalFormatting>
  <conditionalFormatting sqref="E157:E160 E140 E135">
    <cfRule type="duplicateValues" dxfId="637" priority="16322"/>
  </conditionalFormatting>
  <conditionalFormatting sqref="E157:E160 E140 E135">
    <cfRule type="duplicateValues" dxfId="636" priority="16326"/>
    <cfRule type="duplicateValues" dxfId="635" priority="16327"/>
  </conditionalFormatting>
  <conditionalFormatting sqref="E157:E160 E143 E140 E135 E151 E154:E155 E149">
    <cfRule type="duplicateValues" dxfId="634" priority="16334"/>
  </conditionalFormatting>
  <conditionalFormatting sqref="E227">
    <cfRule type="duplicateValues" dxfId="633" priority="117"/>
  </conditionalFormatting>
  <conditionalFormatting sqref="E227">
    <cfRule type="duplicateValues" dxfId="632" priority="119"/>
    <cfRule type="duplicateValues" dxfId="631" priority="120"/>
  </conditionalFormatting>
  <conditionalFormatting sqref="E259:E267 E174 E190 E230:E238 E241:E245 E217:E226 E192 E194 E196 E176 E178 E180:E182 E184 E186">
    <cfRule type="duplicateValues" dxfId="630" priority="18011"/>
  </conditionalFormatting>
  <conditionalFormatting sqref="E259:E267 E174 E190 E230:E238 E241:E245 E217:E226 E192 E194 E196 E176 E178 E180:E182 E184 E186">
    <cfRule type="duplicateValues" dxfId="629" priority="18027"/>
    <cfRule type="duplicateValues" dxfId="628" priority="18028"/>
  </conditionalFormatting>
  <conditionalFormatting sqref="E259:E267 E190 E230:E238 E241:E245 E217:E226 E192 E194 E196">
    <cfRule type="duplicateValues" dxfId="627" priority="18059"/>
  </conditionalFormatting>
  <conditionalFormatting sqref="E259:E267 E190 E230:E238 E241:E245 E217:E226 E192 E194 E196">
    <cfRule type="duplicateValues" dxfId="626" priority="18070"/>
    <cfRule type="duplicateValues" dxfId="625" priority="18071"/>
  </conditionalFormatting>
  <conditionalFormatting sqref="E239">
    <cfRule type="duplicateValues" dxfId="624" priority="108"/>
  </conditionalFormatting>
  <conditionalFormatting sqref="E239">
    <cfRule type="duplicateValues" dxfId="623" priority="110"/>
    <cfRule type="duplicateValues" dxfId="622" priority="111"/>
  </conditionalFormatting>
  <conditionalFormatting sqref="E246">
    <cfRule type="duplicateValues" dxfId="621" priority="99"/>
  </conditionalFormatting>
  <conditionalFormatting sqref="E246">
    <cfRule type="duplicateValues" dxfId="620" priority="101"/>
    <cfRule type="duplicateValues" dxfId="619" priority="102"/>
  </conditionalFormatting>
  <conditionalFormatting sqref="E318">
    <cfRule type="duplicateValues" dxfId="618" priority="94"/>
  </conditionalFormatting>
  <conditionalFormatting sqref="E315:E318">
    <cfRule type="duplicateValues" dxfId="617" priority="19047"/>
  </conditionalFormatting>
  <conditionalFormatting sqref="E315:E318">
    <cfRule type="duplicateValues" dxfId="616" priority="19049"/>
    <cfRule type="duplicateValues" dxfId="615" priority="19050"/>
  </conditionalFormatting>
  <conditionalFormatting sqref="E274 E278 E247 E221 E240 E249 E251:E253 E255:E259 E261 E263 E265 E267">
    <cfRule type="duplicateValues" dxfId="614" priority="19580"/>
  </conditionalFormatting>
  <conditionalFormatting sqref="E274 E278 E247 E221 E240 E249 E251:E253 E255:E259 E261 E263 E265 E267">
    <cfRule type="duplicateValues" dxfId="613" priority="19593"/>
    <cfRule type="duplicateValues" dxfId="612" priority="19594"/>
  </conditionalFormatting>
  <conditionalFormatting sqref="E142">
    <cfRule type="duplicateValues" dxfId="611" priority="85"/>
  </conditionalFormatting>
  <conditionalFormatting sqref="E142">
    <cfRule type="duplicateValues" dxfId="610" priority="83"/>
    <cfRule type="duplicateValues" dxfId="609" priority="84"/>
  </conditionalFormatting>
  <conditionalFormatting sqref="E142">
    <cfRule type="duplicateValues" dxfId="608" priority="86"/>
  </conditionalFormatting>
  <conditionalFormatting sqref="E142">
    <cfRule type="duplicateValues" dxfId="607" priority="82"/>
  </conditionalFormatting>
  <conditionalFormatting sqref="E142">
    <cfRule type="duplicateValues" dxfId="606" priority="80"/>
    <cfRule type="duplicateValues" dxfId="605" priority="81"/>
  </conditionalFormatting>
  <conditionalFormatting sqref="E153">
    <cfRule type="duplicateValues" dxfId="604" priority="67"/>
  </conditionalFormatting>
  <conditionalFormatting sqref="E153">
    <cfRule type="duplicateValues" dxfId="603" priority="66"/>
  </conditionalFormatting>
  <conditionalFormatting sqref="E153">
    <cfRule type="duplicateValues" dxfId="602" priority="65"/>
  </conditionalFormatting>
  <conditionalFormatting sqref="E153">
    <cfRule type="duplicateValues" dxfId="601" priority="63"/>
    <cfRule type="duplicateValues" dxfId="600" priority="64"/>
  </conditionalFormatting>
  <conditionalFormatting sqref="E153">
    <cfRule type="duplicateValues" dxfId="599" priority="62"/>
  </conditionalFormatting>
  <conditionalFormatting sqref="E153">
    <cfRule type="duplicateValues" dxfId="598" priority="61"/>
  </conditionalFormatting>
  <conditionalFormatting sqref="E149">
    <cfRule type="duplicateValues" dxfId="597" priority="52"/>
  </conditionalFormatting>
  <conditionalFormatting sqref="E149">
    <cfRule type="duplicateValues" dxfId="596" priority="51"/>
  </conditionalFormatting>
  <conditionalFormatting sqref="E149">
    <cfRule type="duplicateValues" dxfId="595" priority="50"/>
  </conditionalFormatting>
  <conditionalFormatting sqref="E149">
    <cfRule type="duplicateValues" dxfId="594" priority="49"/>
  </conditionalFormatting>
  <conditionalFormatting sqref="E154 E151">
    <cfRule type="duplicateValues" dxfId="593" priority="87"/>
  </conditionalFormatting>
  <conditionalFormatting sqref="E154 E151">
    <cfRule type="duplicateValues" dxfId="592" priority="88"/>
    <cfRule type="duplicateValues" dxfId="591" priority="89"/>
  </conditionalFormatting>
  <conditionalFormatting sqref="E154">
    <cfRule type="duplicateValues" dxfId="590" priority="90"/>
  </conditionalFormatting>
  <conditionalFormatting sqref="E142">
    <cfRule type="duplicateValues" dxfId="589" priority="91"/>
  </conditionalFormatting>
  <conditionalFormatting sqref="E116:E131 E113:E114">
    <cfRule type="duplicateValues" dxfId="588" priority="19717"/>
  </conditionalFormatting>
  <conditionalFormatting sqref="E116:E131 E113:E114">
    <cfRule type="duplicateValues" dxfId="587" priority="19719"/>
    <cfRule type="duplicateValues" dxfId="586" priority="19720"/>
  </conditionalFormatting>
  <conditionalFormatting sqref="E111:E131">
    <cfRule type="duplicateValues" dxfId="585" priority="19729"/>
  </conditionalFormatting>
  <conditionalFormatting sqref="E140 E135">
    <cfRule type="duplicateValues" dxfId="584" priority="20176"/>
  </conditionalFormatting>
  <conditionalFormatting sqref="E155 E149 E143">
    <cfRule type="duplicateValues" dxfId="583" priority="20549"/>
  </conditionalFormatting>
  <conditionalFormatting sqref="E155 E149 E143">
    <cfRule type="duplicateValues" dxfId="582" priority="20552"/>
    <cfRule type="duplicateValues" dxfId="581" priority="20553"/>
  </conditionalFormatting>
  <conditionalFormatting sqref="E199">
    <cfRule type="duplicateValues" dxfId="580" priority="30"/>
  </conditionalFormatting>
  <conditionalFormatting sqref="E199">
    <cfRule type="duplicateValues" dxfId="579" priority="31"/>
  </conditionalFormatting>
  <conditionalFormatting sqref="E199">
    <cfRule type="duplicateValues" dxfId="578" priority="32"/>
    <cfRule type="duplicateValues" dxfId="577" priority="33"/>
  </conditionalFormatting>
  <conditionalFormatting sqref="E199">
    <cfRule type="duplicateValues" dxfId="576" priority="34"/>
  </conditionalFormatting>
  <conditionalFormatting sqref="E199">
    <cfRule type="duplicateValues" dxfId="575" priority="29"/>
  </conditionalFormatting>
  <conditionalFormatting sqref="E199">
    <cfRule type="duplicateValues" dxfId="574" priority="35"/>
  </conditionalFormatting>
  <conditionalFormatting sqref="E199">
    <cfRule type="duplicateValues" dxfId="573" priority="36"/>
  </conditionalFormatting>
  <conditionalFormatting sqref="E199">
    <cfRule type="duplicateValues" dxfId="572" priority="37"/>
  </conditionalFormatting>
  <conditionalFormatting sqref="E200 E202 E204 E206 E208 E210 E212">
    <cfRule type="duplicateValues" dxfId="571" priority="38"/>
  </conditionalFormatting>
  <conditionalFormatting sqref="E200 E202 E204 E206 E208 E210 E212">
    <cfRule type="duplicateValues" dxfId="570" priority="39"/>
    <cfRule type="duplicateValues" dxfId="569" priority="40"/>
  </conditionalFormatting>
  <conditionalFormatting sqref="E200 E202 E204 E206 E208 E210 E212">
    <cfRule type="duplicateValues" dxfId="568" priority="41"/>
  </conditionalFormatting>
  <conditionalFormatting sqref="E201 E203 E205 E207 E209 E211 E213">
    <cfRule type="duplicateValues" dxfId="567" priority="42"/>
  </conditionalFormatting>
  <conditionalFormatting sqref="E201 E203 E205 E207 E209 E211 E213">
    <cfRule type="duplicateValues" dxfId="566" priority="43"/>
  </conditionalFormatting>
  <conditionalFormatting sqref="E201 E203 E205 E207 E209 E211 E213">
    <cfRule type="duplicateValues" dxfId="565" priority="44"/>
    <cfRule type="duplicateValues" dxfId="564" priority="45"/>
  </conditionalFormatting>
  <conditionalFormatting sqref="E201 E203 E205 E207 E209 E211 E213">
    <cfRule type="duplicateValues" dxfId="563" priority="46"/>
  </conditionalFormatting>
  <conditionalFormatting sqref="E201 E203 E205 E207 E209 E211 E213">
    <cfRule type="duplicateValues" dxfId="562" priority="47"/>
    <cfRule type="duplicateValues" dxfId="561" priority="48"/>
  </conditionalFormatting>
  <conditionalFormatting sqref="E360">
    <cfRule type="duplicateValues" dxfId="560" priority="19"/>
  </conditionalFormatting>
  <conditionalFormatting sqref="E360">
    <cfRule type="duplicateValues" dxfId="559" priority="18"/>
  </conditionalFormatting>
  <conditionalFormatting sqref="E360">
    <cfRule type="duplicateValues" dxfId="558" priority="17"/>
  </conditionalFormatting>
  <conditionalFormatting sqref="E360">
    <cfRule type="duplicateValues" dxfId="557" priority="16"/>
  </conditionalFormatting>
  <conditionalFormatting sqref="E360">
    <cfRule type="duplicateValues" dxfId="556" priority="14"/>
    <cfRule type="duplicateValues" dxfId="555" priority="15"/>
  </conditionalFormatting>
  <conditionalFormatting sqref="E365">
    <cfRule type="duplicateValues" dxfId="554" priority="13"/>
  </conditionalFormatting>
  <conditionalFormatting sqref="E365">
    <cfRule type="duplicateValues" dxfId="553" priority="11"/>
    <cfRule type="duplicateValues" dxfId="552" priority="12"/>
  </conditionalFormatting>
  <conditionalFormatting sqref="E357 E359 E361 E363 E365 E367 E369 E371 E373">
    <cfRule type="duplicateValues" dxfId="551" priority="10"/>
  </conditionalFormatting>
  <conditionalFormatting sqref="E357 E359 E361 E363 E365 E367 E369 E371 E373">
    <cfRule type="duplicateValues" dxfId="550" priority="8"/>
    <cfRule type="duplicateValues" dxfId="549" priority="9"/>
  </conditionalFormatting>
  <conditionalFormatting sqref="E370">
    <cfRule type="duplicateValues" dxfId="548" priority="6"/>
  </conditionalFormatting>
  <conditionalFormatting sqref="E370">
    <cfRule type="duplicateValues" dxfId="547" priority="5"/>
  </conditionalFormatting>
  <conditionalFormatting sqref="E370">
    <cfRule type="duplicateValues" dxfId="546" priority="7"/>
  </conditionalFormatting>
  <conditionalFormatting sqref="E370">
    <cfRule type="duplicateValues" dxfId="545" priority="4"/>
  </conditionalFormatting>
  <conditionalFormatting sqref="E370">
    <cfRule type="duplicateValues" dxfId="544" priority="3"/>
  </conditionalFormatting>
  <conditionalFormatting sqref="E370">
    <cfRule type="duplicateValues" dxfId="543" priority="2"/>
  </conditionalFormatting>
  <conditionalFormatting sqref="E358">
    <cfRule type="duplicateValues" dxfId="542" priority="1"/>
  </conditionalFormatting>
  <conditionalFormatting sqref="E355:E356 E358 E360:E362 E364 E366 E368:E372">
    <cfRule type="duplicateValues" dxfId="541" priority="22"/>
  </conditionalFormatting>
  <conditionalFormatting sqref="E370 E359 E367 E363 E373:E374">
    <cfRule type="duplicateValues" dxfId="540" priority="23"/>
  </conditionalFormatting>
  <conditionalFormatting sqref="E370 E359 E367 E363 E373:E374">
    <cfRule type="duplicateValues" dxfId="539" priority="24"/>
    <cfRule type="duplicateValues" dxfId="538" priority="25"/>
  </conditionalFormatting>
  <conditionalFormatting sqref="E372 E358 E366">
    <cfRule type="duplicateValues" dxfId="537" priority="26"/>
  </conditionalFormatting>
  <conditionalFormatting sqref="E372 E358 E366">
    <cfRule type="duplicateValues" dxfId="536" priority="27"/>
    <cfRule type="duplicateValues" dxfId="535" priority="28"/>
  </conditionalFormatting>
  <conditionalFormatting sqref="E345:E352 E336 E338 E340 E342">
    <cfRule type="duplicateValues" dxfId="534" priority="20635"/>
  </conditionalFormatting>
  <conditionalFormatting sqref="E352:E353 E277 E275">
    <cfRule type="duplicateValues" dxfId="533" priority="20995"/>
  </conditionalFormatting>
  <conditionalFormatting sqref="E352:E353 E277 E275">
    <cfRule type="duplicateValues" dxfId="532" priority="20999"/>
    <cfRule type="duplicateValues" dxfId="531" priority="21000"/>
  </conditionalFormatting>
  <conditionalFormatting sqref="E348 E276 E351">
    <cfRule type="duplicateValues" dxfId="530" priority="21499"/>
  </conditionalFormatting>
  <conditionalFormatting sqref="E348 E276 E351">
    <cfRule type="duplicateValues" dxfId="529" priority="21502"/>
    <cfRule type="duplicateValues" dxfId="528" priority="21503"/>
  </conditionalFormatting>
  <conditionalFormatting sqref="E327 E329 E331 E333">
    <cfRule type="duplicateValues" dxfId="527" priority="21504"/>
  </conditionalFormatting>
  <conditionalFormatting sqref="E327 E329 E331 E333">
    <cfRule type="duplicateValues" dxfId="526" priority="21508"/>
    <cfRule type="duplicateValues" dxfId="525" priority="21509"/>
  </conditionalFormatting>
  <conditionalFormatting sqref="E340:E343">
    <cfRule type="duplicateValues" dxfId="524" priority="21872"/>
  </conditionalFormatting>
  <conditionalFormatting sqref="E340:E343">
    <cfRule type="duplicateValues" dxfId="523" priority="21873"/>
    <cfRule type="duplicateValues" dxfId="522" priority="21874"/>
  </conditionalFormatting>
  <conditionalFormatting sqref="E434:E1048576 E431 E416:E417 E109:E110 E161:E164 E228 E215 E20:E42 E328 E330 E332 E1:E18 E49:E56 E44:E45 E47 E58 E60 E62 E71:E74 E80:E81 E83 E85 E87 E89 E91:E107 E172:E173 E178:E179 E77:E78 E64:E69 E230 E232 E234 E236 E238 E248:E250 E252 E254 E256 E258 E260 E262 E264 E266 E354:E356 E375:E379 E268:E326 E358 E360:E362 E364 E366 E368:E372 E334:E352">
    <cfRule type="duplicateValues" dxfId="521" priority="21875"/>
  </conditionalFormatting>
  <conditionalFormatting sqref="E438:E1048576">
    <cfRule type="duplicateValues" dxfId="520" priority="21929"/>
  </conditionalFormatting>
  <conditionalFormatting sqref="E434:E1048576 E431 E416:E417 E161:E164 E228 E215 E20:E42 E328 E330 E332 E1:E18 E49:E56 E44:E45 E47 E58 E60 E62 E71:E74 E80:E81 E83 E85 E87 E89 E91:E110 E172:E173 E178:E179 E77:E78 E64:E69 E230 E232 E234 E236 E238 E248:E250 E252 E254 E256 E258 E260 E262 E264 E266 E354:E356 E375:E379 E268:E326 E358 E360:E362 E364 E366 E368:E372 E334:E352">
    <cfRule type="duplicateValues" dxfId="519" priority="21931"/>
  </conditionalFormatting>
  <conditionalFormatting sqref="E434:E1048576 E431 E161:E164 E416:E417 E215 E20:E42 E328 E330 E332 E1:E18 E49:E56 E44:E45 E47 E58 E60 E62 E71:E74 E80:E81 E83 E85 E87 E89 E91:E110 E172:E173 E178:E179 E77:E78 E64:E69 E228:E238 E248:E256 E258 E260 E262 E264 E266 E354:E356 E375:E384 E268:E326 E358 E360:E362 E364 E366 E368:E372 E334:E352">
    <cfRule type="duplicateValues" dxfId="518" priority="21984"/>
    <cfRule type="duplicateValues" dxfId="517" priority="21985"/>
  </conditionalFormatting>
  <conditionalFormatting sqref="E434:E1048576 E387 E161:E164 E389 E215 E20:E42 E1:E18 E49:E56 E391:E392 E416:E431 E44:E45 E47 E58 E60 E62 E71:E74 E172:E173 E178:E179 E394 E396 E398 E400 E402 E404 E406 E408 E410 E412 E414 E77:E110 E64:E69 E228:E238 E248:E256 E258 E260 E262 E264 E266 E354:E356 E375:E385 E358 E360:E362 E364:E366 E368:E372 E268:E352">
    <cfRule type="duplicateValues" dxfId="516" priority="22074"/>
  </conditionalFormatting>
  <conditionalFormatting sqref="E434:E1048576 E387 E389 E215 E161:E164 E20:E42 E1:E18 E49:E56 E391:E392 E416:E431 E44:E45 E47 E58 E60 E62 E71:E74 E172:E173 E178:E179 E394 E396 E398 E400 E402 E404 E406 E408 E410 E412 E414 E77:E110 E64:E69 E228:E238 E248:E256 E258 E260 E262 E264 E266 E375:E385 E354:E373 E268:E352">
    <cfRule type="duplicateValues" dxfId="515" priority="22123"/>
  </conditionalFormatting>
  <conditionalFormatting sqref="E434:E1048576 E1:E42 E44:E45 E47 E161:E164 E215 E71:E131 E49:E69 E190 E240:E245 E217:E226 E228:E238 E192 E194 E196 E172:E187 E247:E431">
    <cfRule type="duplicateValues" dxfId="514" priority="22166"/>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EA439-6030-4C8B-9AE2-23C9ADF2213D}">
  <sheetPr codeName="Sheet3"/>
  <dimension ref="A1:L260"/>
  <sheetViews>
    <sheetView workbookViewId="0">
      <pane xSplit="3" ySplit="2" topLeftCell="D219" activePane="bottomRight" state="frozen"/>
      <selection pane="topRight" activeCell="B1" sqref="B1"/>
      <selection pane="bottomLeft" activeCell="A3" sqref="A3"/>
      <selection pane="bottomRight" activeCell="D3" sqref="D3"/>
    </sheetView>
  </sheetViews>
  <sheetFormatPr defaultColWidth="9.1796875" defaultRowHeight="16"/>
  <cols>
    <col min="1" max="1" width="4" style="1" bestFit="1" customWidth="1"/>
    <col min="2" max="2" width="8.7265625" style="20" bestFit="1" customWidth="1"/>
    <col min="3" max="3" width="31" style="74" bestFit="1" customWidth="1"/>
    <col min="4" max="4" width="22.1796875" style="74" bestFit="1" customWidth="1"/>
    <col min="5" max="5" width="13.26953125" style="74" bestFit="1" customWidth="1"/>
    <col min="6" max="6" width="15.26953125" style="74" bestFit="1" customWidth="1"/>
    <col min="7" max="7" width="4.81640625" style="64" bestFit="1" customWidth="1"/>
    <col min="8" max="8" width="8.54296875" style="64" bestFit="1" customWidth="1"/>
    <col min="9" max="9" width="10.453125" style="82" bestFit="1" customWidth="1"/>
    <col min="10" max="10" width="6.7265625" style="82" bestFit="1" customWidth="1"/>
    <col min="11" max="11" width="90.54296875" style="82" customWidth="1"/>
    <col min="12" max="12" width="73.54296875" style="83" customWidth="1"/>
    <col min="13" max="16384" width="9.1796875" style="1"/>
  </cols>
  <sheetData>
    <row r="1" spans="1:12" ht="16.5" thickBot="1">
      <c r="A1" s="1">
        <v>1</v>
      </c>
    </row>
    <row r="2" spans="1:12" ht="16.5" thickTop="1">
      <c r="A2" s="1">
        <v>2</v>
      </c>
      <c r="B2" s="65" t="s">
        <v>2</v>
      </c>
      <c r="C2" s="75"/>
      <c r="D2" s="75" t="s">
        <v>3</v>
      </c>
      <c r="E2" s="75" t="s">
        <v>11</v>
      </c>
      <c r="F2" s="75" t="s">
        <v>12</v>
      </c>
      <c r="G2" s="90" t="s">
        <v>1947</v>
      </c>
      <c r="H2" s="90" t="s">
        <v>1946</v>
      </c>
      <c r="I2" s="91" t="s">
        <v>1956</v>
      </c>
      <c r="J2" s="91" t="s">
        <v>1948</v>
      </c>
      <c r="K2" s="84" t="s">
        <v>1830</v>
      </c>
      <c r="L2" s="85" t="s">
        <v>1953</v>
      </c>
    </row>
    <row r="3" spans="1:12" ht="13">
      <c r="A3" s="1">
        <v>3</v>
      </c>
      <c r="B3" s="66"/>
      <c r="C3" s="76" t="str" cm="1">
        <f t="array" ref="C3">IF(B3="","",_xlfn.XLOOKUP(B3,'MES System'!E:E,'MES System'!B:B))</f>
        <v/>
      </c>
      <c r="D3" s="76"/>
      <c r="E3" s="76"/>
      <c r="F3" s="76"/>
      <c r="G3" s="97"/>
      <c r="H3" s="97"/>
      <c r="I3" s="97"/>
      <c r="J3" s="76"/>
      <c r="K3" s="76"/>
      <c r="L3" s="101"/>
    </row>
    <row r="4" spans="1:12" ht="13">
      <c r="A4" s="1">
        <v>4</v>
      </c>
      <c r="B4" s="67" t="s">
        <v>114</v>
      </c>
      <c r="C4" s="77" t="str">
        <f>IF(B4="","",_xlfn.XLOOKUP(B4,'MES System'!E:E,'MES System'!B:B))</f>
        <v>→관제센터</v>
      </c>
      <c r="D4" s="77" t="str" cm="1">
        <f t="array" ref="D4">IF(IF(B4="","",_xlfn.XLOOKUP(B4,'MES System'!E:E,'MES System'!F:F))=0,"",IF(B4="","",_xlfn.XLOOKUP(B4,'MES System'!E:E,'MES System'!F:F)))</f>
        <v>관제센터</v>
      </c>
      <c r="E4" s="77" t="str" cm="1">
        <f t="array" ref="E4">IF(IF(B4="","",_xlfn.XLOOKUP(B4,'MES System'!E:E,'MES System'!N:N))=0,"",IF(B4="","",_xlfn.XLOOKUP(B4,'MES System'!E:E,'MES System'!N:N)))</f>
        <v/>
      </c>
      <c r="F4" s="77" t="str" cm="1">
        <f t="array" ref="F4">IF(IF(B4="","",_xlfn.XLOOKUP(B4,'MES System'!E:E,'MES System'!O:O))=0,"",IF(B4="","",_xlfn.XLOOKUP(B4,'MES System'!E:E,'MES System'!O:O)))</f>
        <v/>
      </c>
      <c r="G4" s="98" t="e" cm="1">
        <f t="array" ref="G4">IF(IF(B4="","",_xlfn.XLOOKUP(B4,'MES System'!E:E,'MES System'!#REF!))=0,"",IF(B4="","",_xlfn.XLOOKUP(B4,'MES System'!E:E,'MES System'!#REF!)))</f>
        <v>#REF!</v>
      </c>
      <c r="H4" s="98" t="e" cm="1">
        <f t="array" ref="H4">IF(IF(B4="","",_xlfn.XLOOKUP(B4,'MES System'!E:E,'MES System'!#REF!))=0,"",IF(B4="","",_xlfn.XLOOKUP(B4,'MES System'!E:E,'MES System'!#REF!)))</f>
        <v>#REF!</v>
      </c>
      <c r="I4" s="98"/>
      <c r="J4" s="77"/>
      <c r="K4" s="77"/>
      <c r="L4" s="102"/>
    </row>
    <row r="5" spans="1:12" ht="13">
      <c r="A5" s="1">
        <v>5</v>
      </c>
      <c r="B5" s="68" t="s">
        <v>115</v>
      </c>
      <c r="C5" s="78" t="str" cm="1">
        <f t="array" ref="C5">IF(B5="","",_xlfn.XLOOKUP(B5,'MES System'!E:E,'MES System'!B:B))</f>
        <v xml:space="preserve">  └ (관제)고객사 정보관리</v>
      </c>
      <c r="D5" s="78" t="str" cm="1">
        <f t="array" ref="D5">IF(IF(B5="","",_xlfn.XLOOKUP(B5,'MES System'!E:E,'MES System'!F:F))=0,"",IF(B5="","",_xlfn.XLOOKUP(B5,'MES System'!E:E,'MES System'!F:F)))</f>
        <v>고객사 정보관리</v>
      </c>
      <c r="E5" s="78" t="str" cm="1">
        <f t="array" ref="E5">IF(IF(B5="","",_xlfn.XLOOKUP(B5,'MES System'!E:E,'MES System'!N:N))=0,"",IF(B5="","",_xlfn.XLOOKUP(B5,'MES System'!E:E,'MES System'!N:N)))</f>
        <v/>
      </c>
      <c r="F5" s="78" t="str" cm="1">
        <f t="array" ref="F5">IF(IF(B5="","",_xlfn.XLOOKUP(B5,'MES System'!E:E,'MES System'!O:O))=0,"",IF(B5="","",_xlfn.XLOOKUP(B5,'MES System'!E:E,'MES System'!O:O)))</f>
        <v/>
      </c>
      <c r="G5" s="99" t="e" cm="1">
        <f t="array" ref="G5">IF(IF(B5="","",_xlfn.XLOOKUP(B5,'MES System'!E:E,'MES System'!#REF!))=0,"",IF(B5="","",_xlfn.XLOOKUP(B5,'MES System'!E:E,'MES System'!#REF!)))</f>
        <v>#REF!</v>
      </c>
      <c r="H5" s="99" t="e" cm="1">
        <f t="array" ref="H5">IF(IF(B5="","",_xlfn.XLOOKUP(B5,'MES System'!E:E,'MES System'!#REF!))=0,"",IF(B5="","",_xlfn.XLOOKUP(B5,'MES System'!E:E,'MES System'!#REF!)))</f>
        <v>#REF!</v>
      </c>
      <c r="I5" s="99"/>
      <c r="J5" s="78"/>
      <c r="K5" s="78"/>
      <c r="L5" s="103"/>
    </row>
    <row r="6" spans="1:12" ht="13">
      <c r="A6" s="1">
        <v>7</v>
      </c>
      <c r="B6" s="69">
        <v>110001</v>
      </c>
      <c r="C6" s="79" t="str" cm="1">
        <f t="array" ref="C6">IF(B6="","",_xlfn.XLOOKUP(B6,'MES System'!E:E,'MES System'!B:B))</f>
        <v xml:space="preserve">    └ (관제)고객 본사 정보 관리</v>
      </c>
      <c r="D6" s="79" t="str" cm="1">
        <f t="array" ref="D6">IF(IF(B6="","",_xlfn.XLOOKUP(B6,'MES System'!E:E,'MES System'!F:F))=0,"",IF(B6="","",_xlfn.XLOOKUP(B6,'MES System'!E:E,'MES System'!F:F)))</f>
        <v>고객 본사 정보 관리</v>
      </c>
      <c r="E6" s="79" t="str" cm="1">
        <f t="array" ref="E6">IF(IF(B6="","",_xlfn.XLOOKUP(B6,'MES System'!E:E,'MES System'!N:N))=0,"",IF(B6="","",_xlfn.XLOOKUP(B6,'MES System'!E:E,'MES System'!N:N)))</f>
        <v>project</v>
      </c>
      <c r="F6" s="79" t="str" cm="1">
        <f t="array" ref="F6">IF(IF(B6="","",_xlfn.XLOOKUP(B6,'MES System'!E:E,'MES System'!O:O))=0,"",IF(B6="","",_xlfn.XLOOKUP(B6,'MES System'!E:E,'MES System'!O:O)))</f>
        <v>ProjSite</v>
      </c>
      <c r="G6" s="100" t="e" cm="1">
        <f t="array" ref="G6">IF(IF(B6="","",_xlfn.XLOOKUP(B6,'MES System'!E:E,'MES System'!#REF!))=0,"",IF(B6="","",_xlfn.XLOOKUP(B6,'MES System'!E:E,'MES System'!#REF!)))</f>
        <v>#REF!</v>
      </c>
      <c r="H6" s="100" t="e" cm="1">
        <f t="array" ref="H6">IF(IF(B6="","",_xlfn.XLOOKUP(B6,'MES System'!E:E,'MES System'!#REF!))=0,"",IF(B6="","",_xlfn.XLOOKUP(B6,'MES System'!E:E,'MES System'!#REF!)))</f>
        <v>#REF!</v>
      </c>
      <c r="I6" s="100"/>
      <c r="J6" s="79"/>
      <c r="K6" s="79"/>
      <c r="L6" s="104"/>
    </row>
    <row r="7" spans="1:12" ht="13">
      <c r="A7" s="1">
        <v>6</v>
      </c>
      <c r="B7" s="69">
        <v>110002</v>
      </c>
      <c r="C7" s="79" t="str" cm="1">
        <f t="array" ref="C7">IF(B7="","",_xlfn.XLOOKUP(B7,'MES System'!E:E,'MES System'!B:B))</f>
        <v xml:space="preserve">    └ (관제)고객사 연동 정보 관리</v>
      </c>
      <c r="D7" s="79" t="str" cm="1">
        <f t="array" ref="D7">IF(IF(B7="","",_xlfn.XLOOKUP(B7,'MES System'!E:E,'MES System'!F:F))=0,"",IF(B7="","",_xlfn.XLOOKUP(B7,'MES System'!E:E,'MES System'!F:F)))</f>
        <v>고객사 연동 정보 관리</v>
      </c>
      <c r="E7" s="79" t="str" cm="1">
        <f t="array" ref="E7">IF(IF(B7="","",_xlfn.XLOOKUP(B7,'MES System'!E:E,'MES System'!N:N))=0,"",IF(B7="","",_xlfn.XLOOKUP(B7,'MES System'!E:E,'MES System'!N:N)))</f>
        <v>project</v>
      </c>
      <c r="F7" s="79" t="str" cm="1">
        <f t="array" ref="F7">IF(IF(B7="","",_xlfn.XLOOKUP(B7,'MES System'!E:E,'MES System'!O:O))=0,"",IF(B7="","",_xlfn.XLOOKUP(B7,'MES System'!E:E,'MES System'!O:O)))</f>
        <v>BonsaInfo</v>
      </c>
      <c r="G7" s="100" t="e" cm="1">
        <f t="array" ref="G7">IF(IF(B7="","",_xlfn.XLOOKUP(B7,'MES System'!E:E,'MES System'!#REF!))=0,"",IF(B7="","",_xlfn.XLOOKUP(B7,'MES System'!E:E,'MES System'!#REF!)))</f>
        <v>#REF!</v>
      </c>
      <c r="H7" s="100" t="e" cm="1">
        <f t="array" ref="H7">IF(IF(B7="","",_xlfn.XLOOKUP(B7,'MES System'!E:E,'MES System'!#REF!))=0,"",IF(B7="","",_xlfn.XLOOKUP(B7,'MES System'!E:E,'MES System'!#REF!)))</f>
        <v>#REF!</v>
      </c>
      <c r="I7" s="100"/>
      <c r="J7" s="79"/>
      <c r="K7" s="79"/>
      <c r="L7" s="104"/>
    </row>
    <row r="8" spans="1:12" ht="13">
      <c r="A8" s="1">
        <v>8</v>
      </c>
      <c r="B8" s="69">
        <v>110003</v>
      </c>
      <c r="C8" s="79" t="str" cm="1">
        <f t="array" ref="C8">IF(B8="","",_xlfn.XLOOKUP(B8,'MES System'!E:E,'MES System'!B:B))</f>
        <v xml:space="preserve">    └ (관제)고객 매장 정보관리</v>
      </c>
      <c r="D8" s="79" t="str" cm="1">
        <f t="array" ref="D8">IF(IF(B8="","",_xlfn.XLOOKUP(B8,'MES System'!E:E,'MES System'!F:F))=0,"",IF(B8="","",_xlfn.XLOOKUP(B8,'MES System'!E:E,'MES System'!F:F)))</f>
        <v>고객 매장 정보관리</v>
      </c>
      <c r="E8" s="79" t="str" cm="1">
        <f t="array" ref="E8">IF(IF(B8="","",_xlfn.XLOOKUP(B8,'MES System'!E:E,'MES System'!N:N))=0,"",IF(B8="","",_xlfn.XLOOKUP(B8,'MES System'!E:E,'MES System'!N:N)))</f>
        <v>project</v>
      </c>
      <c r="F8" s="79" t="str" cm="1">
        <f t="array" ref="F8">IF(IF(B8="","",_xlfn.XLOOKUP(B8,'MES System'!E:E,'MES System'!O:O))=0,"",IF(B8="","",_xlfn.XLOOKUP(B8,'MES System'!E:E,'MES System'!O:O)))</f>
        <v>StoreInfo</v>
      </c>
      <c r="G8" s="100" t="e" cm="1">
        <f t="array" ref="G8">IF(IF(B8="","",_xlfn.XLOOKUP(B8,'MES System'!E:E,'MES System'!#REF!))=0,"",IF(B8="","",_xlfn.XLOOKUP(B8,'MES System'!E:E,'MES System'!#REF!)))</f>
        <v>#REF!</v>
      </c>
      <c r="H8" s="100" t="e" cm="1">
        <f t="array" ref="H8">IF(IF(B8="","",_xlfn.XLOOKUP(B8,'MES System'!E:E,'MES System'!#REF!))=0,"",IF(B8="","",_xlfn.XLOOKUP(B8,'MES System'!E:E,'MES System'!#REF!)))</f>
        <v>#REF!</v>
      </c>
      <c r="I8" s="100"/>
      <c r="J8" s="79"/>
      <c r="K8" s="79"/>
      <c r="L8" s="104"/>
    </row>
    <row r="9" spans="1:12" ht="13">
      <c r="A9" s="1">
        <v>9</v>
      </c>
      <c r="B9" s="70"/>
      <c r="C9" s="80" t="str" cm="1">
        <f t="array" ref="C9">IF(B9="","",_xlfn.XLOOKUP(B9,'MES System'!E:E,'MES System'!B:B))</f>
        <v/>
      </c>
      <c r="D9" s="80" t="str" cm="1">
        <f t="array" ref="D9">IF(IF(B9="","",_xlfn.XLOOKUP(B9,'MES System'!E:E,'MES System'!F:F))=0,"",IF(B9="","",_xlfn.XLOOKUP(B9,'MES System'!E:E,'MES System'!F:F)))</f>
        <v/>
      </c>
      <c r="E9" s="80" t="str" cm="1">
        <f t="array" ref="E9">IF(IF(B9="","",_xlfn.XLOOKUP(B9,'MES System'!E:E,'MES System'!N:N))=0,"",IF(B9="","",_xlfn.XLOOKUP(B9,'MES System'!E:E,'MES System'!N:N)))</f>
        <v/>
      </c>
      <c r="F9" s="80" t="str" cm="1">
        <f t="array" ref="F9">IF(IF(B9="","",_xlfn.XLOOKUP(B9,'MES System'!E:E,'MES System'!O:O))=0,"",IF(B9="","",_xlfn.XLOOKUP(B9,'MES System'!E:E,'MES System'!O:O)))</f>
        <v/>
      </c>
      <c r="G9" s="92" t="str" cm="1">
        <f t="array" ref="G9">IF(IF(B9="","",_xlfn.XLOOKUP(B9,'MES System'!E:E,'MES System'!#REF!))=0,"",IF(B9="","",_xlfn.XLOOKUP(B9,'MES System'!E:E,'MES System'!#REF!)))</f>
        <v/>
      </c>
      <c r="H9" s="92" t="str" cm="1">
        <f t="array" ref="H9">IF(IF(B9="","",_xlfn.XLOOKUP(B9,'MES System'!E:E,'MES System'!#REF!))=0,"",IF(B9="","",_xlfn.XLOOKUP(B9,'MES System'!E:E,'MES System'!#REF!)))</f>
        <v/>
      </c>
      <c r="I9" s="92"/>
      <c r="J9" s="80"/>
      <c r="K9" s="80"/>
      <c r="L9" s="105"/>
    </row>
    <row r="10" spans="1:12" ht="13">
      <c r="A10" s="1">
        <v>10</v>
      </c>
      <c r="B10" s="71" t="s">
        <v>116</v>
      </c>
      <c r="C10" s="78" t="str" cm="1">
        <f t="array" ref="C10">IF(B10="","",_xlfn.XLOOKUP(B10,'MES System'!E:E,'MES System'!B:B))</f>
        <v xml:space="preserve">  └ (관제)Module 관리</v>
      </c>
      <c r="D10" s="78" t="str" cm="1">
        <f t="array" ref="D10">IF(IF(B10="","",_xlfn.XLOOKUP(B10,'MES System'!E:E,'MES System'!F:F))=0,"",IF(B10="","",_xlfn.XLOOKUP(B10,'MES System'!E:E,'MES System'!F:F)))</f>
        <v>Module 관리</v>
      </c>
      <c r="E10" s="78" t="str" cm="1">
        <f t="array" ref="E10">IF(IF(B10="","",_xlfn.XLOOKUP(B10,'MES System'!E:E,'MES System'!N:N))=0,"",IF(B10="","",_xlfn.XLOOKUP(B10,'MES System'!E:E,'MES System'!N:N)))</f>
        <v/>
      </c>
      <c r="F10" s="78" t="str" cm="1">
        <f t="array" ref="F10">IF(IF(B10="","",_xlfn.XLOOKUP(B10,'MES System'!E:E,'MES System'!O:O))=0,"",IF(B10="","",_xlfn.XLOOKUP(B10,'MES System'!E:E,'MES System'!O:O)))</f>
        <v/>
      </c>
      <c r="G10" s="99" t="e" cm="1">
        <f t="array" ref="G10">IF(IF(B10="","",_xlfn.XLOOKUP(B10,'MES System'!E:E,'MES System'!#REF!))=0,"",IF(B10="","",_xlfn.XLOOKUP(B10,'MES System'!E:E,'MES System'!#REF!)))</f>
        <v>#REF!</v>
      </c>
      <c r="H10" s="99" t="e" cm="1">
        <f t="array" ref="H10">IF(IF(B10="","",_xlfn.XLOOKUP(B10,'MES System'!E:E,'MES System'!#REF!))=0,"",IF(B10="","",_xlfn.XLOOKUP(B10,'MES System'!E:E,'MES System'!#REF!)))</f>
        <v>#REF!</v>
      </c>
      <c r="I10" s="99"/>
      <c r="J10" s="78"/>
      <c r="K10" s="78"/>
      <c r="L10" s="103"/>
    </row>
    <row r="11" spans="1:12" ht="13">
      <c r="A11" s="1">
        <v>11</v>
      </c>
      <c r="B11" s="72">
        <v>120001</v>
      </c>
      <c r="C11" s="79" t="str" cm="1">
        <f t="array" ref="C11">IF(B11="","",_xlfn.XLOOKUP(B11,'MES System'!E:E,'MES System'!B:B))</f>
        <v xml:space="preserve">    └ (관제)Module 정보 관리</v>
      </c>
      <c r="D11" s="79" t="str" cm="1">
        <f t="array" ref="D11">IF(IF(B11="","",_xlfn.XLOOKUP(B11,'MES System'!E:E,'MES System'!F:F))=0,"",IF(B11="","",_xlfn.XLOOKUP(B11,'MES System'!E:E,'MES System'!F:F)))</f>
        <v>Module 정보 관리</v>
      </c>
      <c r="E11" s="79" t="str" cm="1">
        <f t="array" ref="E11">IF(IF(B11="","",_xlfn.XLOOKUP(B11,'MES System'!E:E,'MES System'!N:N))=0,"",IF(B11="","",_xlfn.XLOOKUP(B11,'MES System'!E:E,'MES System'!N:N)))</f>
        <v>project</v>
      </c>
      <c r="F11" s="79" t="str" cm="1">
        <f t="array" ref="F11">IF(IF(B11="","",_xlfn.XLOOKUP(B11,'MES System'!E:E,'MES System'!O:O))=0,"",IF(B11="","",_xlfn.XLOOKUP(B11,'MES System'!E:E,'MES System'!O:O)))</f>
        <v>ModuleInfo</v>
      </c>
      <c r="G11" s="100" t="e" cm="1">
        <f t="array" ref="G11">IF(IF(B11="","",_xlfn.XLOOKUP(B11,'MES System'!E:E,'MES System'!#REF!))=0,"",IF(B11="","",_xlfn.XLOOKUP(B11,'MES System'!E:E,'MES System'!#REF!)))</f>
        <v>#REF!</v>
      </c>
      <c r="H11" s="100" t="e" cm="1">
        <f t="array" ref="H11">IF(IF(B11="","",_xlfn.XLOOKUP(B11,'MES System'!E:E,'MES System'!#REF!))=0,"",IF(B11="","",_xlfn.XLOOKUP(B11,'MES System'!E:E,'MES System'!#REF!)))</f>
        <v>#REF!</v>
      </c>
      <c r="I11" s="100"/>
      <c r="J11" s="79"/>
      <c r="K11" s="79"/>
      <c r="L11" s="104"/>
    </row>
    <row r="12" spans="1:12" ht="13">
      <c r="A12" s="1">
        <v>12</v>
      </c>
      <c r="B12" s="72">
        <v>120002</v>
      </c>
      <c r="C12" s="79" t="str" cm="1">
        <f t="array" ref="C12">IF(B12="","",_xlfn.XLOOKUP(B12,'MES System'!E:E,'MES System'!B:B))</f>
        <v xml:space="preserve">    └ (관제)고객사 Module 등록</v>
      </c>
      <c r="D12" s="79" t="str" cm="1">
        <f t="array" ref="D12">IF(IF(B12="","",_xlfn.XLOOKUP(B12,'MES System'!E:E,'MES System'!F:F))=0,"",IF(B12="","",_xlfn.XLOOKUP(B12,'MES System'!E:E,'MES System'!F:F)))</f>
        <v>고객사 Module 등록</v>
      </c>
      <c r="E12" s="79" t="str" cm="1">
        <f t="array" ref="E12">IF(IF(B12="","",_xlfn.XLOOKUP(B12,'MES System'!E:E,'MES System'!N:N))=0,"",IF(B12="","",_xlfn.XLOOKUP(B12,'MES System'!E:E,'MES System'!N:N)))</f>
        <v>project</v>
      </c>
      <c r="F12" s="79" t="str" cm="1">
        <f t="array" ref="F12">IF(IF(B12="","",_xlfn.XLOOKUP(B12,'MES System'!E:E,'MES System'!O:O))=0,"",IF(B12="","",_xlfn.XLOOKUP(B12,'MES System'!E:E,'MES System'!O:O)))</f>
        <v>BonsaMenu</v>
      </c>
      <c r="G12" s="100" t="e" cm="1">
        <f t="array" ref="G12">IF(IF(B12="","",_xlfn.XLOOKUP(B12,'MES System'!E:E,'MES System'!#REF!))=0,"",IF(B12="","",_xlfn.XLOOKUP(B12,'MES System'!E:E,'MES System'!#REF!)))</f>
        <v>#REF!</v>
      </c>
      <c r="H12" s="100" t="e" cm="1">
        <f t="array" ref="H12">IF(IF(B12="","",_xlfn.XLOOKUP(B12,'MES System'!E:E,'MES System'!#REF!))=0,"",IF(B12="","",_xlfn.XLOOKUP(B12,'MES System'!E:E,'MES System'!#REF!)))</f>
        <v>#REF!</v>
      </c>
      <c r="I12" s="100"/>
      <c r="J12" s="79"/>
      <c r="K12" s="79"/>
      <c r="L12" s="104"/>
    </row>
    <row r="13" spans="1:12" ht="13">
      <c r="A13" s="1">
        <v>13</v>
      </c>
      <c r="B13" s="72">
        <v>120003</v>
      </c>
      <c r="C13" s="79" t="str" cm="1">
        <f t="array" ref="C13">IF(B13="","",_xlfn.XLOOKUP(B13,'MES System'!E:E,'MES System'!B:B))</f>
        <v xml:space="preserve">    └ (관제)고객사 메뉴 관리</v>
      </c>
      <c r="D13" s="79" t="str" cm="1">
        <f t="array" ref="D13">IF(IF(B13="","",_xlfn.XLOOKUP(B13,'MES System'!E:E,'MES System'!F:F))=0,"",IF(B13="","",_xlfn.XLOOKUP(B13,'MES System'!E:E,'MES System'!F:F)))</f>
        <v>고객사 메뉴 관리</v>
      </c>
      <c r="E13" s="79" t="str" cm="1">
        <f t="array" ref="E13">IF(IF(B13="","",_xlfn.XLOOKUP(B13,'MES System'!E:E,'MES System'!N:N))=0,"",IF(B13="","",_xlfn.XLOOKUP(B13,'MES System'!E:E,'MES System'!N:N)))</f>
        <v>project</v>
      </c>
      <c r="F13" s="79" t="str" cm="1">
        <f t="array" ref="F13">IF(IF(B13="","",_xlfn.XLOOKUP(B13,'MES System'!E:E,'MES System'!O:O))=0,"",IF(B13="","",_xlfn.XLOOKUP(B13,'MES System'!E:E,'MES System'!O:O)))</f>
        <v>ProjMenu</v>
      </c>
      <c r="G13" s="100" t="e" cm="1">
        <f t="array" ref="G13">IF(IF(B13="","",_xlfn.XLOOKUP(B13,'MES System'!E:E,'MES System'!#REF!))=0,"",IF(B13="","",_xlfn.XLOOKUP(B13,'MES System'!E:E,'MES System'!#REF!)))</f>
        <v>#REF!</v>
      </c>
      <c r="H13" s="100" t="e" cm="1">
        <f t="array" ref="H13">IF(IF(B13="","",_xlfn.XLOOKUP(B13,'MES System'!E:E,'MES System'!#REF!))=0,"",IF(B13="","",_xlfn.XLOOKUP(B13,'MES System'!E:E,'MES System'!#REF!)))</f>
        <v>#REF!</v>
      </c>
      <c r="I13" s="100"/>
      <c r="J13" s="79"/>
      <c r="K13" s="79"/>
      <c r="L13" s="104"/>
    </row>
    <row r="14" spans="1:12" ht="13">
      <c r="A14" s="1">
        <v>14</v>
      </c>
      <c r="B14" s="72">
        <v>120004</v>
      </c>
      <c r="C14" s="79" t="str" cm="1">
        <f t="array" ref="C14">IF(B14="","",_xlfn.XLOOKUP(B14,'MES System'!E:E,'MES System'!B:B))</f>
        <v xml:space="preserve">    └ (관제)테이블 내역 관리</v>
      </c>
      <c r="D14" s="79" t="str" cm="1">
        <f t="array" ref="D14">IF(IF(B14="","",_xlfn.XLOOKUP(B14,'MES System'!E:E,'MES System'!F:F))=0,"",IF(B14="","",_xlfn.XLOOKUP(B14,'MES System'!E:E,'MES System'!F:F)))</f>
        <v>테이블 내역 관리</v>
      </c>
      <c r="E14" s="79" t="str" cm="1">
        <f t="array" ref="E14">IF(IF(B14="","",_xlfn.XLOOKUP(B14,'MES System'!E:E,'MES System'!N:N))=0,"",IF(B14="","",_xlfn.XLOOKUP(B14,'MES System'!E:E,'MES System'!N:N)))</f>
        <v>project</v>
      </c>
      <c r="F14" s="79" t="str" cm="1">
        <f t="array" ref="F14">IF(IF(B14="","",_xlfn.XLOOKUP(B14,'MES System'!E:E,'MES System'!O:O))=0,"",IF(B14="","",_xlfn.XLOOKUP(B14,'MES System'!E:E,'MES System'!O:O)))</f>
        <v>TableManager</v>
      </c>
      <c r="G14" s="100" t="e" cm="1">
        <f t="array" ref="G14">IF(IF(B14="","",_xlfn.XLOOKUP(B14,'MES System'!E:E,'MES System'!#REF!))=0,"",IF(B14="","",_xlfn.XLOOKUP(B14,'MES System'!E:E,'MES System'!#REF!)))</f>
        <v>#REF!</v>
      </c>
      <c r="H14" s="100" t="e" cm="1">
        <f t="array" ref="H14">IF(IF(B14="","",_xlfn.XLOOKUP(B14,'MES System'!E:E,'MES System'!#REF!))=0,"",IF(B14="","",_xlfn.XLOOKUP(B14,'MES System'!E:E,'MES System'!#REF!)))</f>
        <v>#REF!</v>
      </c>
      <c r="I14" s="100"/>
      <c r="J14" s="79"/>
      <c r="K14" s="79"/>
      <c r="L14" s="104"/>
    </row>
    <row r="15" spans="1:12" ht="13">
      <c r="A15" s="1">
        <v>15</v>
      </c>
      <c r="B15" s="72">
        <v>120005</v>
      </c>
      <c r="C15" s="79" t="str" cm="1">
        <f t="array" ref="C15">IF(B15="","",_xlfn.XLOOKUP(B15,'MES System'!E:E,'MES System'!B:B))</f>
        <v xml:space="preserve">    └ (관제)스크립트 작성</v>
      </c>
      <c r="D15" s="79" t="str" cm="1">
        <f t="array" ref="D15">IF(IF(B15="","",_xlfn.XLOOKUP(B15,'MES System'!E:E,'MES System'!F:F))=0,"",IF(B15="","",_xlfn.XLOOKUP(B15,'MES System'!E:E,'MES System'!F:F)))</f>
        <v>스크립트 작성</v>
      </c>
      <c r="E15" s="79" t="str" cm="1">
        <f t="array" ref="E15">IF(IF(B15="","",_xlfn.XLOOKUP(B15,'MES System'!E:E,'MES System'!N:N))=0,"",IF(B15="","",_xlfn.XLOOKUP(B15,'MES System'!E:E,'MES System'!N:N)))</f>
        <v>project</v>
      </c>
      <c r="F15" s="79" t="str" cm="1">
        <f t="array" ref="F15">IF(IF(B15="","",_xlfn.XLOOKUP(B15,'MES System'!E:E,'MES System'!O:O))=0,"",IF(B15="","",_xlfn.XLOOKUP(B15,'MES System'!E:E,'MES System'!O:O)))</f>
        <v>RndTool</v>
      </c>
      <c r="G15" s="100" t="e" cm="1">
        <f t="array" ref="G15">IF(IF(B15="","",_xlfn.XLOOKUP(B15,'MES System'!E:E,'MES System'!#REF!))=0,"",IF(B15="","",_xlfn.XLOOKUP(B15,'MES System'!E:E,'MES System'!#REF!)))</f>
        <v>#REF!</v>
      </c>
      <c r="H15" s="100" t="e" cm="1">
        <f t="array" ref="H15">IF(IF(B15="","",_xlfn.XLOOKUP(B15,'MES System'!E:E,'MES System'!#REF!))=0,"",IF(B15="","",_xlfn.XLOOKUP(B15,'MES System'!E:E,'MES System'!#REF!)))</f>
        <v>#REF!</v>
      </c>
      <c r="I15" s="100"/>
      <c r="J15" s="79"/>
      <c r="K15" s="79"/>
      <c r="L15" s="104"/>
    </row>
    <row r="16" spans="1:12" ht="13">
      <c r="A16" s="1">
        <v>16</v>
      </c>
      <c r="B16" s="72">
        <v>120006</v>
      </c>
      <c r="C16" s="79" t="str" cm="1">
        <f t="array" ref="C16">IF(B16="","",_xlfn.XLOOKUP(B16,'MES System'!E:E,'MES System'!B:B))</f>
        <v xml:space="preserve">    └ (관제)Domain 관리</v>
      </c>
      <c r="D16" s="79" t="str" cm="1">
        <f t="array" ref="D16">IF(IF(B16="","",_xlfn.XLOOKUP(B16,'MES System'!E:E,'MES System'!F:F))=0,"",IF(B16="","",_xlfn.XLOOKUP(B16,'MES System'!E:E,'MES System'!F:F)))</f>
        <v>Domain 관리</v>
      </c>
      <c r="E16" s="79" t="str" cm="1">
        <f t="array" ref="E16">IF(IF(B16="","",_xlfn.XLOOKUP(B16,'MES System'!E:E,'MES System'!N:N))=0,"",IF(B16="","",_xlfn.XLOOKUP(B16,'MES System'!E:E,'MES System'!N:N)))</f>
        <v>project</v>
      </c>
      <c r="F16" s="79" t="str" cm="1">
        <f t="array" ref="F16">IF(IF(B16="","",_xlfn.XLOOKUP(B16,'MES System'!E:E,'MES System'!O:O))=0,"",IF(B16="","",_xlfn.XLOOKUP(B16,'MES System'!E:E,'MES System'!O:O)))</f>
        <v>DomainManager</v>
      </c>
      <c r="G16" s="100" t="e" cm="1">
        <f t="array" ref="G16">IF(IF(B16="","",_xlfn.XLOOKUP(B16,'MES System'!E:E,'MES System'!#REF!))=0,"",IF(B16="","",_xlfn.XLOOKUP(B16,'MES System'!E:E,'MES System'!#REF!)))</f>
        <v>#REF!</v>
      </c>
      <c r="H16" s="100" t="e" cm="1">
        <f t="array" ref="H16">IF(IF(B16="","",_xlfn.XLOOKUP(B16,'MES System'!E:E,'MES System'!#REF!))=0,"",IF(B16="","",_xlfn.XLOOKUP(B16,'MES System'!E:E,'MES System'!#REF!)))</f>
        <v>#REF!</v>
      </c>
      <c r="I16" s="100"/>
      <c r="J16" s="79"/>
      <c r="K16" s="79"/>
      <c r="L16" s="104"/>
    </row>
    <row r="17" spans="1:12" ht="13">
      <c r="A17" s="1">
        <v>17</v>
      </c>
      <c r="B17" s="72">
        <v>120007</v>
      </c>
      <c r="C17" s="79" t="str" cm="1">
        <f t="array" ref="C17">IF(B17="","",_xlfn.XLOOKUP(B17,'MES System'!E:E,'MES System'!B:B))</f>
        <v xml:space="preserve">    └ (관제)쿼리 관리자</v>
      </c>
      <c r="D17" s="79" t="str" cm="1">
        <f t="array" ref="D17">IF(IF(B17="","",_xlfn.XLOOKUP(B17,'MES System'!E:E,'MES System'!F:F))=0,"",IF(B17="","",_xlfn.XLOOKUP(B17,'MES System'!E:E,'MES System'!F:F)))</f>
        <v>쿼리 관리자</v>
      </c>
      <c r="E17" s="79" t="str" cm="1">
        <f t="array" ref="E17">IF(IF(B17="","",_xlfn.XLOOKUP(B17,'MES System'!E:E,'MES System'!N:N))=0,"",IF(B17="","",_xlfn.XLOOKUP(B17,'MES System'!E:E,'MES System'!N:N)))</f>
        <v>project</v>
      </c>
      <c r="F17" s="79" t="str" cm="1">
        <f t="array" ref="F17">IF(IF(B17="","",_xlfn.XLOOKUP(B17,'MES System'!E:E,'MES System'!O:O))=0,"",IF(B17="","",_xlfn.XLOOKUP(B17,'MES System'!E:E,'MES System'!O:O)))</f>
        <v>QueryMaker</v>
      </c>
      <c r="G17" s="100" t="e" cm="1">
        <f t="array" ref="G17">IF(IF(B17="","",_xlfn.XLOOKUP(B17,'MES System'!E:E,'MES System'!#REF!))=0,"",IF(B17="","",_xlfn.XLOOKUP(B17,'MES System'!E:E,'MES System'!#REF!)))</f>
        <v>#REF!</v>
      </c>
      <c r="H17" s="100" t="e" cm="1">
        <f t="array" ref="H17">IF(IF(B17="","",_xlfn.XLOOKUP(B17,'MES System'!E:E,'MES System'!#REF!))=0,"",IF(B17="","",_xlfn.XLOOKUP(B17,'MES System'!E:E,'MES System'!#REF!)))</f>
        <v>#REF!</v>
      </c>
      <c r="I17" s="100"/>
      <c r="J17" s="79"/>
      <c r="K17" s="79"/>
      <c r="L17" s="104"/>
    </row>
    <row r="18" spans="1:12" ht="13">
      <c r="A18" s="1">
        <v>18</v>
      </c>
      <c r="B18" s="70"/>
      <c r="C18" s="80" t="str" cm="1">
        <f t="array" ref="C18">IF(B18="","",_xlfn.XLOOKUP(B18,'MES System'!E:E,'MES System'!B:B))</f>
        <v/>
      </c>
      <c r="D18" s="80" t="str" cm="1">
        <f t="array" ref="D18">IF(IF(B18="","",_xlfn.XLOOKUP(B18,'MES System'!E:E,'MES System'!F:F))=0,"",IF(B18="","",_xlfn.XLOOKUP(B18,'MES System'!E:E,'MES System'!F:F)))</f>
        <v/>
      </c>
      <c r="E18" s="80" t="str" cm="1">
        <f t="array" ref="E18">IF(IF(B18="","",_xlfn.XLOOKUP(B18,'MES System'!E:E,'MES System'!N:N))=0,"",IF(B18="","",_xlfn.XLOOKUP(B18,'MES System'!E:E,'MES System'!N:N)))</f>
        <v/>
      </c>
      <c r="F18" s="80" t="str" cm="1">
        <f t="array" ref="F18">IF(IF(B18="","",_xlfn.XLOOKUP(B18,'MES System'!E:E,'MES System'!O:O))=0,"",IF(B18="","",_xlfn.XLOOKUP(B18,'MES System'!E:E,'MES System'!O:O)))</f>
        <v/>
      </c>
      <c r="G18" s="92" t="str" cm="1">
        <f t="array" ref="G18">IF(IF(B18="","",_xlfn.XLOOKUP(B18,'MES System'!E:E,'MES System'!#REF!))=0,"",IF(B18="","",_xlfn.XLOOKUP(B18,'MES System'!E:E,'MES System'!#REF!)))</f>
        <v/>
      </c>
      <c r="H18" s="92" t="str" cm="1">
        <f t="array" ref="H18">IF(IF(B18="","",_xlfn.XLOOKUP(B18,'MES System'!E:E,'MES System'!#REF!))=0,"",IF(B18="","",_xlfn.XLOOKUP(B18,'MES System'!E:E,'MES System'!#REF!)))</f>
        <v/>
      </c>
      <c r="I18" s="92"/>
      <c r="J18" s="80"/>
      <c r="K18" s="80"/>
      <c r="L18" s="105"/>
    </row>
    <row r="19" spans="1:12" ht="13">
      <c r="A19" s="1">
        <v>19</v>
      </c>
      <c r="B19" s="71" t="s">
        <v>117</v>
      </c>
      <c r="C19" s="78" t="str" cm="1">
        <f t="array" ref="C19">IF(B19="","",_xlfn.XLOOKUP(B19,'MES System'!E:E,'MES System'!B:B))</f>
        <v xml:space="preserve">  └ (관제)Server Manage</v>
      </c>
      <c r="D19" s="78" t="str" cm="1">
        <f t="array" ref="D19">IF(IF(B19="","",_xlfn.XLOOKUP(B19,'MES System'!E:E,'MES System'!F:F))=0,"",IF(B19="","",_xlfn.XLOOKUP(B19,'MES System'!E:E,'MES System'!F:F)))</f>
        <v>Server Manage</v>
      </c>
      <c r="E19" s="78" t="str" cm="1">
        <f t="array" ref="E19">IF(IF(B19="","",_xlfn.XLOOKUP(B19,'MES System'!E:E,'MES System'!N:N))=0,"",IF(B19="","",_xlfn.XLOOKUP(B19,'MES System'!E:E,'MES System'!N:N)))</f>
        <v/>
      </c>
      <c r="F19" s="78" t="str" cm="1">
        <f t="array" ref="F19">IF(IF(B19="","",_xlfn.XLOOKUP(B19,'MES System'!E:E,'MES System'!O:O))=0,"",IF(B19="","",_xlfn.XLOOKUP(B19,'MES System'!E:E,'MES System'!O:O)))</f>
        <v/>
      </c>
      <c r="G19" s="99" t="e" cm="1">
        <f t="array" ref="G19">IF(IF(B19="","",_xlfn.XLOOKUP(B19,'MES System'!E:E,'MES System'!#REF!))=0,"",IF(B19="","",_xlfn.XLOOKUP(B19,'MES System'!E:E,'MES System'!#REF!)))</f>
        <v>#REF!</v>
      </c>
      <c r="H19" s="99" t="e" cm="1">
        <f t="array" ref="H19">IF(IF(B19="","",_xlfn.XLOOKUP(B19,'MES System'!E:E,'MES System'!#REF!))=0,"",IF(B19="","",_xlfn.XLOOKUP(B19,'MES System'!E:E,'MES System'!#REF!)))</f>
        <v>#REF!</v>
      </c>
      <c r="I19" s="99"/>
      <c r="J19" s="78"/>
      <c r="K19" s="78"/>
      <c r="L19" s="103"/>
    </row>
    <row r="20" spans="1:12" ht="13">
      <c r="A20" s="1">
        <v>20</v>
      </c>
      <c r="B20" s="72">
        <v>130001</v>
      </c>
      <c r="C20" s="79" t="str" cm="1">
        <f t="array" ref="C20">IF(B20="","",_xlfn.XLOOKUP(B20,'MES System'!E:E,'MES System'!B:B))</f>
        <v xml:space="preserve">    └ (관제)Server Network </v>
      </c>
      <c r="D20" s="79" t="str" cm="1">
        <f t="array" ref="D20">IF(IF(B20="","",_xlfn.XLOOKUP(B20,'MES System'!E:E,'MES System'!F:F))=0,"",IF(B20="","",_xlfn.XLOOKUP(B20,'MES System'!E:E,'MES System'!F:F)))</f>
        <v xml:space="preserve">Server Network </v>
      </c>
      <c r="E20" s="79" t="str" cm="1">
        <f t="array" ref="E20">IF(IF(B20="","",_xlfn.XLOOKUP(B20,'MES System'!E:E,'MES System'!N:N))=0,"",IF(B20="","",_xlfn.XLOOKUP(B20,'MES System'!E:E,'MES System'!N:N)))</f>
        <v>project</v>
      </c>
      <c r="F20" s="79" t="str" cm="1">
        <f t="array" ref="F20">IF(IF(B20="","",_xlfn.XLOOKUP(B20,'MES System'!E:E,'MES System'!O:O))=0,"",IF(B20="","",_xlfn.XLOOKUP(B20,'MES System'!E:E,'MES System'!O:O)))</f>
        <v>HostInfo</v>
      </c>
      <c r="G20" s="100" t="e" cm="1">
        <f t="array" ref="G20">IF(IF(B20="","",_xlfn.XLOOKUP(B20,'MES System'!E:E,'MES System'!#REF!))=0,"",IF(B20="","",_xlfn.XLOOKUP(B20,'MES System'!E:E,'MES System'!#REF!)))</f>
        <v>#REF!</v>
      </c>
      <c r="H20" s="100" t="e" cm="1">
        <f t="array" ref="H20">IF(IF(B20="","",_xlfn.XLOOKUP(B20,'MES System'!E:E,'MES System'!#REF!))=0,"",IF(B20="","",_xlfn.XLOOKUP(B20,'MES System'!E:E,'MES System'!#REF!)))</f>
        <v>#REF!</v>
      </c>
      <c r="I20" s="100"/>
      <c r="J20" s="79"/>
      <c r="K20" s="79"/>
      <c r="L20" s="104"/>
    </row>
    <row r="21" spans="1:12" ht="13">
      <c r="A21" s="1">
        <v>21</v>
      </c>
      <c r="B21" s="72">
        <v>130002</v>
      </c>
      <c r="C21" s="79" t="str" cm="1">
        <f t="array" ref="C21">IF(B21="","",_xlfn.XLOOKUP(B21,'MES System'!E:E,'MES System'!B:B))</f>
        <v xml:space="preserve">    └ (관제)Server Daemon</v>
      </c>
      <c r="D21" s="79" t="str" cm="1">
        <f t="array" ref="D21">IF(IF(B21="","",_xlfn.XLOOKUP(B21,'MES System'!E:E,'MES System'!F:F))=0,"",IF(B21="","",_xlfn.XLOOKUP(B21,'MES System'!E:E,'MES System'!F:F)))</f>
        <v>Server Daemon</v>
      </c>
      <c r="E21" s="79" t="str" cm="1">
        <f t="array" ref="E21">IF(IF(B21="","",_xlfn.XLOOKUP(B21,'MES System'!E:E,'MES System'!N:N))=0,"",IF(B21="","",_xlfn.XLOOKUP(B21,'MES System'!E:E,'MES System'!N:N)))</f>
        <v>project</v>
      </c>
      <c r="F21" s="79" t="str" cm="1">
        <f t="array" ref="F21">IF(IF(B21="","",_xlfn.XLOOKUP(B21,'MES System'!E:E,'MES System'!O:O))=0,"",IF(B21="","",_xlfn.XLOOKUP(B21,'MES System'!E:E,'MES System'!O:O)))</f>
        <v>DaemonInfo</v>
      </c>
      <c r="G21" s="100" t="e" cm="1">
        <f t="array" ref="G21">IF(IF(B21="","",_xlfn.XLOOKUP(B21,'MES System'!E:E,'MES System'!#REF!))=0,"",IF(B21="","",_xlfn.XLOOKUP(B21,'MES System'!E:E,'MES System'!#REF!)))</f>
        <v>#REF!</v>
      </c>
      <c r="H21" s="100" t="e" cm="1">
        <f t="array" ref="H21">IF(IF(B21="","",_xlfn.XLOOKUP(B21,'MES System'!E:E,'MES System'!#REF!))=0,"",IF(B21="","",_xlfn.XLOOKUP(B21,'MES System'!E:E,'MES System'!#REF!)))</f>
        <v>#REF!</v>
      </c>
      <c r="I21" s="100"/>
      <c r="J21" s="79"/>
      <c r="K21" s="79"/>
      <c r="L21" s="104"/>
    </row>
    <row r="22" spans="1:12" ht="13">
      <c r="A22" s="1">
        <v>22</v>
      </c>
      <c r="B22" s="72">
        <v>130003</v>
      </c>
      <c r="C22" s="79" t="str" cm="1">
        <f t="array" ref="C22">IF(B22="","",_xlfn.XLOOKUP(B22,'MES System'!E:E,'MES System'!B:B))</f>
        <v xml:space="preserve">    └ (관제)Data Base Connection</v>
      </c>
      <c r="D22" s="79" t="str" cm="1">
        <f t="array" ref="D22">IF(IF(B22="","",_xlfn.XLOOKUP(B22,'MES System'!E:E,'MES System'!F:F))=0,"",IF(B22="","",_xlfn.XLOOKUP(B22,'MES System'!E:E,'MES System'!F:F)))</f>
        <v>Data Base Connection</v>
      </c>
      <c r="E22" s="79" t="str" cm="1">
        <f t="array" ref="E22">IF(IF(B22="","",_xlfn.XLOOKUP(B22,'MES System'!E:E,'MES System'!N:N))=0,"",IF(B22="","",_xlfn.XLOOKUP(B22,'MES System'!E:E,'MES System'!N:N)))</f>
        <v>project</v>
      </c>
      <c r="F22" s="79" t="str" cm="1">
        <f t="array" ref="F22">IF(IF(B22="","",_xlfn.XLOOKUP(B22,'MES System'!E:E,'MES System'!O:O))=0,"",IF(B22="","",_xlfn.XLOOKUP(B22,'MES System'!E:E,'MES System'!O:O)))</f>
        <v>HostDdns</v>
      </c>
      <c r="G22" s="100" t="e" cm="1">
        <f t="array" ref="G22">IF(IF(B22="","",_xlfn.XLOOKUP(B22,'MES System'!E:E,'MES System'!#REF!))=0,"",IF(B22="","",_xlfn.XLOOKUP(B22,'MES System'!E:E,'MES System'!#REF!)))</f>
        <v>#REF!</v>
      </c>
      <c r="H22" s="100" t="e" cm="1">
        <f t="array" ref="H22">IF(IF(B22="","",_xlfn.XLOOKUP(B22,'MES System'!E:E,'MES System'!#REF!))=0,"",IF(B22="","",_xlfn.XLOOKUP(B22,'MES System'!E:E,'MES System'!#REF!)))</f>
        <v>#REF!</v>
      </c>
      <c r="I22" s="100"/>
      <c r="J22" s="79"/>
      <c r="K22" s="79"/>
      <c r="L22" s="104"/>
    </row>
    <row r="23" spans="1:12" ht="13">
      <c r="A23" s="1">
        <v>23</v>
      </c>
      <c r="B23" s="70"/>
      <c r="C23" s="80" t="str" cm="1">
        <f t="array" ref="C23">IF(B23="","",_xlfn.XLOOKUP(B23,'MES System'!E:E,'MES System'!B:B))</f>
        <v/>
      </c>
      <c r="D23" s="80" t="str" cm="1">
        <f t="array" ref="D23">IF(IF(B23="","",_xlfn.XLOOKUP(B23,'MES System'!E:E,'MES System'!F:F))=0,"",IF(B23="","",_xlfn.XLOOKUP(B23,'MES System'!E:E,'MES System'!F:F)))</f>
        <v/>
      </c>
      <c r="E23" s="80" t="str" cm="1">
        <f t="array" ref="E23">IF(IF(B23="","",_xlfn.XLOOKUP(B23,'MES System'!E:E,'MES System'!N:N))=0,"",IF(B23="","",_xlfn.XLOOKUP(B23,'MES System'!E:E,'MES System'!N:N)))</f>
        <v/>
      </c>
      <c r="F23" s="80" t="str" cm="1">
        <f t="array" ref="F23">IF(IF(B23="","",_xlfn.XLOOKUP(B23,'MES System'!E:E,'MES System'!O:O))=0,"",IF(B23="","",_xlfn.XLOOKUP(B23,'MES System'!E:E,'MES System'!O:O)))</f>
        <v/>
      </c>
      <c r="G23" s="92" t="str" cm="1">
        <f t="array" ref="G23">IF(IF(B23="","",_xlfn.XLOOKUP(B23,'MES System'!E:E,'MES System'!#REF!))=0,"",IF(B23="","",_xlfn.XLOOKUP(B23,'MES System'!E:E,'MES System'!#REF!)))</f>
        <v/>
      </c>
      <c r="H23" s="92" t="str" cm="1">
        <f t="array" ref="H23">IF(IF(B23="","",_xlfn.XLOOKUP(B23,'MES System'!E:E,'MES System'!#REF!))=0,"",IF(B23="","",_xlfn.XLOOKUP(B23,'MES System'!E:E,'MES System'!#REF!)))</f>
        <v/>
      </c>
      <c r="I23" s="92"/>
      <c r="J23" s="80"/>
      <c r="K23" s="80"/>
      <c r="L23" s="105"/>
    </row>
    <row r="24" spans="1:12" ht="13">
      <c r="A24" s="1">
        <v>24</v>
      </c>
      <c r="B24" s="71" t="s">
        <v>118</v>
      </c>
      <c r="C24" s="78" t="str" cm="1">
        <f t="array" ref="C24">IF(B24="","",_xlfn.XLOOKUP(B24,'MES System'!E:E,'MES System'!B:B))</f>
        <v xml:space="preserve">  └ (관제)기초 코드 관리(System)</v>
      </c>
      <c r="D24" s="78" t="str" cm="1">
        <f t="array" ref="D24">IF(IF(B24="","",_xlfn.XLOOKUP(B24,'MES System'!E:E,'MES System'!F:F))=0,"",IF(B24="","",_xlfn.XLOOKUP(B24,'MES System'!E:E,'MES System'!F:F)))</f>
        <v>기초 코드 관리(System)</v>
      </c>
      <c r="E24" s="78" t="str" cm="1">
        <f t="array" ref="E24">IF(IF(B24="","",_xlfn.XLOOKUP(B24,'MES System'!E:E,'MES System'!N:N))=0,"",IF(B24="","",_xlfn.XLOOKUP(B24,'MES System'!E:E,'MES System'!N:N)))</f>
        <v>project</v>
      </c>
      <c r="F24" s="78" t="str" cm="1">
        <f t="array" ref="F24">IF(IF(B24="","",_xlfn.XLOOKUP(B24,'MES System'!E:E,'MES System'!O:O))=0,"",IF(B24="","",_xlfn.XLOOKUP(B24,'MES System'!E:E,'MES System'!O:O)))</f>
        <v>SscdMast</v>
      </c>
      <c r="G24" s="99" t="e" cm="1">
        <f t="array" ref="G24">IF(IF(B24="","",_xlfn.XLOOKUP(B24,'MES System'!E:E,'MES System'!#REF!))=0,"",IF(B24="","",_xlfn.XLOOKUP(B24,'MES System'!E:E,'MES System'!#REF!)))</f>
        <v>#REF!</v>
      </c>
      <c r="H24" s="99" t="e" cm="1">
        <f t="array" ref="H24">IF(IF(B24="","",_xlfn.XLOOKUP(B24,'MES System'!E:E,'MES System'!#REF!))=0,"",IF(B24="","",_xlfn.XLOOKUP(B24,'MES System'!E:E,'MES System'!#REF!)))</f>
        <v>#REF!</v>
      </c>
      <c r="I24" s="99"/>
      <c r="J24" s="78"/>
      <c r="K24" s="78"/>
      <c r="L24" s="103"/>
    </row>
    <row r="25" spans="1:12" ht="13">
      <c r="A25" s="1">
        <v>25</v>
      </c>
      <c r="B25" s="70"/>
      <c r="C25" s="80" t="str" cm="1">
        <f t="array" ref="C25">IF(B25="","",_xlfn.XLOOKUP(B25,'MES System'!E:E,'MES System'!B:B))</f>
        <v/>
      </c>
      <c r="D25" s="80" t="str" cm="1">
        <f t="array" ref="D25">IF(IF(B25="","",_xlfn.XLOOKUP(B25,'MES System'!E:E,'MES System'!F:F))=0,"",IF(B25="","",_xlfn.XLOOKUP(B25,'MES System'!E:E,'MES System'!F:F)))</f>
        <v/>
      </c>
      <c r="E25" s="80" t="str" cm="1">
        <f t="array" ref="E25">IF(IF(B25="","",_xlfn.XLOOKUP(B25,'MES System'!E:E,'MES System'!N:N))=0,"",IF(B25="","",_xlfn.XLOOKUP(B25,'MES System'!E:E,'MES System'!N:N)))</f>
        <v/>
      </c>
      <c r="F25" s="80" t="str" cm="1">
        <f t="array" ref="F25">IF(IF(B25="","",_xlfn.XLOOKUP(B25,'MES System'!E:E,'MES System'!O:O))=0,"",IF(B25="","",_xlfn.XLOOKUP(B25,'MES System'!E:E,'MES System'!O:O)))</f>
        <v/>
      </c>
      <c r="G25" s="92" t="str" cm="1">
        <f t="array" ref="G25">IF(IF(B25="","",_xlfn.XLOOKUP(B25,'MES System'!E:E,'MES System'!#REF!))=0,"",IF(B25="","",_xlfn.XLOOKUP(B25,'MES System'!E:E,'MES System'!#REF!)))</f>
        <v/>
      </c>
      <c r="H25" s="92" t="str" cm="1">
        <f t="array" ref="H25">IF(IF(B25="","",_xlfn.XLOOKUP(B25,'MES System'!E:E,'MES System'!#REF!))=0,"",IF(B25="","",_xlfn.XLOOKUP(B25,'MES System'!E:E,'MES System'!#REF!)))</f>
        <v/>
      </c>
      <c r="I25" s="92"/>
      <c r="J25" s="80"/>
      <c r="K25" s="80"/>
      <c r="L25" s="105"/>
    </row>
    <row r="26" spans="1:12" ht="13">
      <c r="A26" s="1">
        <v>26</v>
      </c>
      <c r="B26" s="68" t="s">
        <v>119</v>
      </c>
      <c r="C26" s="78" t="str" cm="1">
        <f t="array" ref="C26">IF(B26="","",_xlfn.XLOOKUP(B26,'MES System'!E:E,'MES System'!B:B))</f>
        <v xml:space="preserve">  └ (관제)계정 관리</v>
      </c>
      <c r="D26" s="78" t="str" cm="1">
        <f t="array" ref="D26">IF(IF(B26="","",_xlfn.XLOOKUP(B26,'MES System'!E:E,'MES System'!F:F))=0,"",IF(B26="","",_xlfn.XLOOKUP(B26,'MES System'!E:E,'MES System'!F:F)))</f>
        <v>계정 관리</v>
      </c>
      <c r="E26" s="78" t="str" cm="1">
        <f t="array" ref="E26">IF(IF(B26="","",_xlfn.XLOOKUP(B26,'MES System'!E:E,'MES System'!N:N))=0,"",IF(B26="","",_xlfn.XLOOKUP(B26,'MES System'!E:E,'MES System'!N:N)))</f>
        <v/>
      </c>
      <c r="F26" s="78" t="str" cm="1">
        <f t="array" ref="F26">IF(IF(B26="","",_xlfn.XLOOKUP(B26,'MES System'!E:E,'MES System'!O:O))=0,"",IF(B26="","",_xlfn.XLOOKUP(B26,'MES System'!E:E,'MES System'!O:O)))</f>
        <v/>
      </c>
      <c r="G26" s="99" t="e" cm="1">
        <f t="array" ref="G26">IF(IF(B26="","",_xlfn.XLOOKUP(B26,'MES System'!E:E,'MES System'!#REF!))=0,"",IF(B26="","",_xlfn.XLOOKUP(B26,'MES System'!E:E,'MES System'!#REF!)))</f>
        <v>#REF!</v>
      </c>
      <c r="H26" s="99" t="e" cm="1">
        <f t="array" ref="H26">IF(IF(B26="","",_xlfn.XLOOKUP(B26,'MES System'!E:E,'MES System'!#REF!))=0,"",IF(B26="","",_xlfn.XLOOKUP(B26,'MES System'!E:E,'MES System'!#REF!)))</f>
        <v>#REF!</v>
      </c>
      <c r="I26" s="99"/>
      <c r="J26" s="78"/>
      <c r="K26" s="78"/>
      <c r="L26" s="103"/>
    </row>
    <row r="27" spans="1:12" ht="13">
      <c r="A27" s="1">
        <v>27</v>
      </c>
      <c r="B27" s="72">
        <v>150001</v>
      </c>
      <c r="C27" s="79" t="str" cm="1">
        <f t="array" ref="C27">IF(B27="","",_xlfn.XLOOKUP(B27,'MES System'!E:E,'MES System'!B:B))</f>
        <v xml:space="preserve">    └ (관제)사용자 계정 관리</v>
      </c>
      <c r="D27" s="79" t="str" cm="1">
        <f t="array" ref="D27">IF(IF(B27="","",_xlfn.XLOOKUP(B27,'MES System'!E:E,'MES System'!F:F))=0,"",IF(B27="","",_xlfn.XLOOKUP(B27,'MES System'!E:E,'MES System'!F:F)))</f>
        <v>사용자 계정 관리</v>
      </c>
      <c r="E27" s="79" t="str" cm="1">
        <f t="array" ref="E27">IF(IF(B27="","",_xlfn.XLOOKUP(B27,'MES System'!E:E,'MES System'!N:N))=0,"",IF(B27="","",_xlfn.XLOOKUP(B27,'MES System'!E:E,'MES System'!N:N)))</f>
        <v>contr</v>
      </c>
      <c r="F27" s="79" t="str" cm="1">
        <f t="array" ref="F27">IF(IF(B27="","",_xlfn.XLOOKUP(B27,'MES System'!E:E,'MES System'!O:O))=0,"",IF(B27="","",_xlfn.XLOOKUP(B27,'MES System'!E:E,'MES System'!O:O)))</f>
        <v>UserInfo</v>
      </c>
      <c r="G27" s="100" t="e" cm="1">
        <f t="array" ref="G27">IF(IF(B27="","",_xlfn.XLOOKUP(B27,'MES System'!E:E,'MES System'!#REF!))=0,"",IF(B27="","",_xlfn.XLOOKUP(B27,'MES System'!E:E,'MES System'!#REF!)))</f>
        <v>#REF!</v>
      </c>
      <c r="H27" s="100" t="e" cm="1">
        <f t="array" ref="H27">IF(IF(B27="","",_xlfn.XLOOKUP(B27,'MES System'!E:E,'MES System'!#REF!))=0,"",IF(B27="","",_xlfn.XLOOKUP(B27,'MES System'!E:E,'MES System'!#REF!)))</f>
        <v>#REF!</v>
      </c>
      <c r="I27" s="100"/>
      <c r="J27" s="79"/>
      <c r="K27" s="79"/>
      <c r="L27" s="104"/>
    </row>
    <row r="28" spans="1:12" ht="13">
      <c r="A28" s="1">
        <v>28</v>
      </c>
      <c r="B28" s="72">
        <v>150002</v>
      </c>
      <c r="C28" s="79" t="str" cm="1">
        <f t="array" ref="C28">IF(B28="","",_xlfn.XLOOKUP(B28,'MES System'!E:E,'MES System'!B:B))</f>
        <v xml:space="preserve">    └ (관제)사용자 부서 관리</v>
      </c>
      <c r="D28" s="79" t="str" cm="1">
        <f t="array" ref="D28">IF(IF(B28="","",_xlfn.XLOOKUP(B28,'MES System'!E:E,'MES System'!F:F))=0,"",IF(B28="","",_xlfn.XLOOKUP(B28,'MES System'!E:E,'MES System'!F:F)))</f>
        <v>사용자 부서 관리</v>
      </c>
      <c r="E28" s="79" t="str" cm="1">
        <f t="array" ref="E28">IF(IF(B28="","",_xlfn.XLOOKUP(B28,'MES System'!E:E,'MES System'!N:N))=0,"",IF(B28="","",_xlfn.XLOOKUP(B28,'MES System'!E:E,'MES System'!N:N)))</f>
        <v>contr</v>
      </c>
      <c r="F28" s="79" t="str" cm="1">
        <f t="array" ref="F28">IF(IF(B28="","",_xlfn.XLOOKUP(B28,'MES System'!E:E,'MES System'!O:O))=0,"",IF(B28="","",_xlfn.XLOOKUP(B28,'MES System'!E:E,'MES System'!O:O)))</f>
        <v>DeptInfo</v>
      </c>
      <c r="G28" s="100" t="e" cm="1">
        <f t="array" ref="G28">IF(IF(B28="","",_xlfn.XLOOKUP(B28,'MES System'!E:E,'MES System'!#REF!))=0,"",IF(B28="","",_xlfn.XLOOKUP(B28,'MES System'!E:E,'MES System'!#REF!)))</f>
        <v>#REF!</v>
      </c>
      <c r="H28" s="100" t="e" cm="1">
        <f t="array" ref="H28">IF(IF(B28="","",_xlfn.XLOOKUP(B28,'MES System'!E:E,'MES System'!#REF!))=0,"",IF(B28="","",_xlfn.XLOOKUP(B28,'MES System'!E:E,'MES System'!#REF!)))</f>
        <v>#REF!</v>
      </c>
      <c r="I28" s="100"/>
      <c r="J28" s="79"/>
      <c r="K28" s="79"/>
      <c r="L28" s="104"/>
    </row>
    <row r="29" spans="1:12" ht="13">
      <c r="A29" s="1">
        <v>29</v>
      </c>
      <c r="B29" s="72">
        <v>150003</v>
      </c>
      <c r="C29" s="79" t="str" cm="1">
        <f t="array" ref="C29">IF(B29="","",_xlfn.XLOOKUP(B29,'MES System'!E:E,'MES System'!B:B))</f>
        <v xml:space="preserve">    └ (관제)사용자 권한 관리</v>
      </c>
      <c r="D29" s="79" t="str" cm="1">
        <f t="array" ref="D29">IF(IF(B29="","",_xlfn.XLOOKUP(B29,'MES System'!E:E,'MES System'!F:F))=0,"",IF(B29="","",_xlfn.XLOOKUP(B29,'MES System'!E:E,'MES System'!F:F)))</f>
        <v>사용자 권한 관리</v>
      </c>
      <c r="E29" s="79" t="str" cm="1">
        <f t="array" ref="E29">IF(IF(B29="","",_xlfn.XLOOKUP(B29,'MES System'!E:E,'MES System'!N:N))=0,"",IF(B29="","",_xlfn.XLOOKUP(B29,'MES System'!E:E,'MES System'!N:N)))</f>
        <v>user</v>
      </c>
      <c r="F29" s="79" t="str" cm="1">
        <f t="array" ref="F29">IF(IF(B29="","",_xlfn.XLOOKUP(B29,'MES System'!E:E,'MES System'!O:O))=0,"",IF(B29="","",_xlfn.XLOOKUP(B29,'MES System'!E:E,'MES System'!O:O)))</f>
        <v>UserAuth</v>
      </c>
      <c r="G29" s="100" t="e" cm="1">
        <f t="array" ref="G29">IF(IF(B29="","",_xlfn.XLOOKUP(B29,'MES System'!E:E,'MES System'!#REF!))=0,"",IF(B29="","",_xlfn.XLOOKUP(B29,'MES System'!E:E,'MES System'!#REF!)))</f>
        <v>#REF!</v>
      </c>
      <c r="H29" s="100" t="e" cm="1">
        <f t="array" ref="H29">IF(IF(B29="","",_xlfn.XLOOKUP(B29,'MES System'!E:E,'MES System'!#REF!))=0,"",IF(B29="","",_xlfn.XLOOKUP(B29,'MES System'!E:E,'MES System'!#REF!)))</f>
        <v>#REF!</v>
      </c>
      <c r="I29" s="100"/>
      <c r="J29" s="79"/>
      <c r="K29" s="79"/>
      <c r="L29" s="104"/>
    </row>
    <row r="30" spans="1:12" ht="13">
      <c r="A30" s="1">
        <v>30</v>
      </c>
      <c r="B30" s="70"/>
      <c r="C30" s="80" t="str" cm="1">
        <f t="array" ref="C30">IF(B30="","",_xlfn.XLOOKUP(B30,'MES System'!E:E,'MES System'!B:B))</f>
        <v/>
      </c>
      <c r="D30" s="80" t="str" cm="1">
        <f t="array" ref="D30">IF(IF(B30="","",_xlfn.XLOOKUP(B30,'MES System'!E:E,'MES System'!F:F))=0,"",IF(B30="","",_xlfn.XLOOKUP(B30,'MES System'!E:E,'MES System'!F:F)))</f>
        <v/>
      </c>
      <c r="E30" s="80" t="str" cm="1">
        <f t="array" ref="E30">IF(IF(B30="","",_xlfn.XLOOKUP(B30,'MES System'!E:E,'MES System'!N:N))=0,"",IF(B30="","",_xlfn.XLOOKUP(B30,'MES System'!E:E,'MES System'!N:N)))</f>
        <v/>
      </c>
      <c r="F30" s="80" t="str" cm="1">
        <f t="array" ref="F30">IF(IF(B30="","",_xlfn.XLOOKUP(B30,'MES System'!E:E,'MES System'!O:O))=0,"",IF(B30="","",_xlfn.XLOOKUP(B30,'MES System'!E:E,'MES System'!O:O)))</f>
        <v/>
      </c>
      <c r="G30" s="92" t="str" cm="1">
        <f t="array" ref="G30">IF(IF(B30="","",_xlfn.XLOOKUP(B30,'MES System'!E:E,'MES System'!#REF!))=0,"",IF(B30="","",_xlfn.XLOOKUP(B30,'MES System'!E:E,'MES System'!#REF!)))</f>
        <v/>
      </c>
      <c r="H30" s="92" t="str" cm="1">
        <f t="array" ref="H30">IF(IF(B30="","",_xlfn.XLOOKUP(B30,'MES System'!E:E,'MES System'!#REF!))=0,"",IF(B30="","",_xlfn.XLOOKUP(B30,'MES System'!E:E,'MES System'!#REF!)))</f>
        <v/>
      </c>
      <c r="I30" s="92"/>
      <c r="J30" s="80"/>
      <c r="K30" s="80"/>
      <c r="L30" s="105"/>
    </row>
    <row r="31" spans="1:12" ht="13">
      <c r="A31" s="1">
        <v>31</v>
      </c>
      <c r="B31" s="67" t="s">
        <v>120</v>
      </c>
      <c r="C31" s="77" t="str" cm="1">
        <f t="array" ref="C31">IF(B31="","",_xlfn.XLOOKUP(B31,'MES System'!E:E,'MES System'!B:B))</f>
        <v>└ WIS MES System</v>
      </c>
      <c r="D31" s="77" t="str" cm="1">
        <f t="array" ref="D31">IF(IF(B31="","",_xlfn.XLOOKUP(B31,'MES System'!E:E,'MES System'!F:F))=0,"",IF(B31="","",_xlfn.XLOOKUP(B31,'MES System'!E:E,'MES System'!F:F)))</f>
        <v>WIS MES System</v>
      </c>
      <c r="E31" s="77" t="str" cm="1">
        <f t="array" ref="E31">IF(IF(B31="","",_xlfn.XLOOKUP(B31,'MES System'!E:E,'MES System'!N:N))=0,"",IF(B31="","",_xlfn.XLOOKUP(B31,'MES System'!E:E,'MES System'!N:N)))</f>
        <v/>
      </c>
      <c r="F31" s="77" t="str" cm="1">
        <f t="array" ref="F31">IF(IF(B31="","",_xlfn.XLOOKUP(B31,'MES System'!E:E,'MES System'!O:O))=0,"",IF(B31="","",_xlfn.XLOOKUP(B31,'MES System'!E:E,'MES System'!O:O)))</f>
        <v/>
      </c>
      <c r="G31" s="98" t="e" cm="1">
        <f t="array" ref="G31">IF(IF(B31="","",_xlfn.XLOOKUP(B31,'MES System'!E:E,'MES System'!#REF!))=0,"",IF(B31="","",_xlfn.XLOOKUP(B31,'MES System'!E:E,'MES System'!#REF!)))</f>
        <v>#REF!</v>
      </c>
      <c r="H31" s="98" t="e" cm="1">
        <f t="array" ref="H31">IF(IF(B31="","",_xlfn.XLOOKUP(B31,'MES System'!E:E,'MES System'!#REF!))=0,"",IF(B31="","",_xlfn.XLOOKUP(B31,'MES System'!E:E,'MES System'!#REF!)))</f>
        <v>#REF!</v>
      </c>
      <c r="I31" s="98"/>
      <c r="J31" s="77"/>
      <c r="K31" s="77"/>
      <c r="L31" s="102"/>
    </row>
    <row r="32" spans="1:12" ht="13">
      <c r="A32" s="1">
        <v>32</v>
      </c>
      <c r="B32" s="68" t="s">
        <v>121</v>
      </c>
      <c r="C32" s="78" t="str" cm="1">
        <f t="array" ref="C32">IF(B32="","",_xlfn.XLOOKUP(B32,'MES System'!E:E,'MES System'!B:B))</f>
        <v xml:space="preserve">  └ 기준정보관리</v>
      </c>
      <c r="D32" s="78" t="str" cm="1">
        <f t="array" ref="D32">IF(IF(B32="","",_xlfn.XLOOKUP(B32,'MES System'!E:E,'MES System'!F:F))=0,"",IF(B32="","",_xlfn.XLOOKUP(B32,'MES System'!E:E,'MES System'!F:F)))</f>
        <v>기준정보관리</v>
      </c>
      <c r="E32" s="78" t="str" cm="1">
        <f t="array" ref="E32">IF(IF(B32="","",_xlfn.XLOOKUP(B32,'MES System'!E:E,'MES System'!N:N))=0,"",IF(B32="","",_xlfn.XLOOKUP(B32,'MES System'!E:E,'MES System'!N:N)))</f>
        <v/>
      </c>
      <c r="F32" s="78" t="str" cm="1">
        <f t="array" ref="F32">IF(IF(B32="","",_xlfn.XLOOKUP(B32,'MES System'!E:E,'MES System'!O:O))=0,"",IF(B32="","",_xlfn.XLOOKUP(B32,'MES System'!E:E,'MES System'!O:O)))</f>
        <v/>
      </c>
      <c r="G32" s="99" t="e" cm="1">
        <f t="array" ref="G32">IF(IF(B32="","",_xlfn.XLOOKUP(B32,'MES System'!E:E,'MES System'!#REF!))=0,"",IF(B32="","",_xlfn.XLOOKUP(B32,'MES System'!E:E,'MES System'!#REF!)))</f>
        <v>#REF!</v>
      </c>
      <c r="H32" s="99" t="e" cm="1">
        <f t="array" ref="H32">IF(IF(B32="","",_xlfn.XLOOKUP(B32,'MES System'!E:E,'MES System'!#REF!))=0,"",IF(B32="","",_xlfn.XLOOKUP(B32,'MES System'!E:E,'MES System'!#REF!)))</f>
        <v>#REF!</v>
      </c>
      <c r="I32" s="99"/>
      <c r="J32" s="78"/>
      <c r="K32" s="78"/>
      <c r="L32" s="103"/>
    </row>
    <row r="33" spans="1:12" ht="13">
      <c r="A33" s="1">
        <v>33</v>
      </c>
      <c r="B33" s="72">
        <v>210001</v>
      </c>
      <c r="C33" s="79" t="str" cm="1">
        <f t="array" ref="C33">IF(B33="","",_xlfn.XLOOKUP(B33,'MES System'!E:E,'MES System'!B:B))</f>
        <v xml:space="preserve">    └ (공통)기초코드관리</v>
      </c>
      <c r="D33" s="79" t="str" cm="1">
        <f t="array" ref="D33">IF(IF(B33="","",_xlfn.XLOOKUP(B33,'MES System'!E:E,'MES System'!F:F))=0,"",IF(B33="","",_xlfn.XLOOKUP(B33,'MES System'!E:E,'MES System'!F:F)))</f>
        <v>기초코드관리</v>
      </c>
      <c r="E33" s="79" t="str" cm="1">
        <f t="array" ref="E33">IF(IF(B33="","",_xlfn.XLOOKUP(B33,'MES System'!E:E,'MES System'!N:N))=0,"",IF(B33="","",_xlfn.XLOOKUP(B33,'MES System'!E:E,'MES System'!N:N)))</f>
        <v>basic</v>
      </c>
      <c r="F33" s="79" t="str" cm="1">
        <f t="array" ref="F33">IF(IF(B33="","",_xlfn.XLOOKUP(B33,'MES System'!E:E,'MES System'!O:O))=0,"",IF(B33="","",_xlfn.XLOOKUP(B33,'MES System'!E:E,'MES System'!O:O)))</f>
        <v>BaseMast</v>
      </c>
      <c r="G33" s="100" t="e" cm="1">
        <f t="array" ref="G33">IF(IF(B33="","",_xlfn.XLOOKUP(B33,'MES System'!E:E,'MES System'!#REF!))=0,"",IF(B33="","",_xlfn.XLOOKUP(B33,'MES System'!E:E,'MES System'!#REF!)))</f>
        <v>#REF!</v>
      </c>
      <c r="H33" s="100" t="e" cm="1">
        <f t="array" ref="H33">IF(IF(B33="","",_xlfn.XLOOKUP(B33,'MES System'!E:E,'MES System'!#REF!))=0,"",IF(B33="","",_xlfn.XLOOKUP(B33,'MES System'!E:E,'MES System'!#REF!)))</f>
        <v>#REF!</v>
      </c>
      <c r="I33" s="100"/>
      <c r="J33" s="79"/>
      <c r="K33" s="79" t="s">
        <v>1868</v>
      </c>
      <c r="L33" s="104"/>
    </row>
    <row r="34" spans="1:12" ht="13">
      <c r="A34" s="1">
        <v>34</v>
      </c>
      <c r="B34" s="72">
        <v>210002</v>
      </c>
      <c r="C34" s="79" t="str" cm="1">
        <f t="array" ref="C34">IF(B34="","",_xlfn.XLOOKUP(B34,'MES System'!E:E,'MES System'!B:B))</f>
        <v xml:space="preserve">    └ (공통)명칭코드 관리</v>
      </c>
      <c r="D34" s="79" t="str" cm="1">
        <f t="array" ref="D34">IF(IF(B34="","",_xlfn.XLOOKUP(B34,'MES System'!E:E,'MES System'!F:F))=0,"",IF(B34="","",_xlfn.XLOOKUP(B34,'MES System'!E:E,'MES System'!F:F)))</f>
        <v>명칭코드 관리</v>
      </c>
      <c r="E34" s="79" t="str" cm="1">
        <f t="array" ref="E34">IF(IF(B34="","",_xlfn.XLOOKUP(B34,'MES System'!E:E,'MES System'!N:N))=0,"",IF(B34="","",_xlfn.XLOOKUP(B34,'MES System'!E:E,'MES System'!N:N)))</f>
        <v>basic</v>
      </c>
      <c r="F34" s="79" t="str" cm="1">
        <f t="array" ref="F34">IF(IF(B34="","",_xlfn.XLOOKUP(B34,'MES System'!E:E,'MES System'!O:O))=0,"",IF(B34="","",_xlfn.XLOOKUP(B34,'MES System'!E:E,'MES System'!O:O)))</f>
        <v>CSscdMast</v>
      </c>
      <c r="G34" s="100" t="e" cm="1">
        <f t="array" ref="G34">IF(IF(B34="","",_xlfn.XLOOKUP(B34,'MES System'!E:E,'MES System'!#REF!))=0,"",IF(B34="","",_xlfn.XLOOKUP(B34,'MES System'!E:E,'MES System'!#REF!)))</f>
        <v>#REF!</v>
      </c>
      <c r="H34" s="100" t="e" cm="1">
        <f t="array" ref="H34">IF(IF(B34="","",_xlfn.XLOOKUP(B34,'MES System'!E:E,'MES System'!#REF!))=0,"",IF(B34="","",_xlfn.XLOOKUP(B34,'MES System'!E:E,'MES System'!#REF!)))</f>
        <v>#REF!</v>
      </c>
      <c r="I34" s="100"/>
      <c r="J34" s="79"/>
      <c r="K34" s="79" t="s">
        <v>1869</v>
      </c>
      <c r="L34" s="104"/>
    </row>
    <row r="35" spans="1:12" ht="13">
      <c r="A35" s="1">
        <v>35</v>
      </c>
      <c r="B35" s="72">
        <v>210003</v>
      </c>
      <c r="C35" s="79" t="str" cm="1">
        <f t="array" ref="C35">IF(B35="","",_xlfn.XLOOKUP(B35,'MES System'!E:E,'MES System'!B:B))</f>
        <v xml:space="preserve">    └ (공통)창고코드 관리</v>
      </c>
      <c r="D35" s="79" t="str" cm="1">
        <f t="array" ref="D35">IF(IF(B35="","",_xlfn.XLOOKUP(B35,'MES System'!E:E,'MES System'!F:F))=0,"",IF(B35="","",_xlfn.XLOOKUP(B35,'MES System'!E:E,'MES System'!F:F)))</f>
        <v>창고코드 관리</v>
      </c>
      <c r="E35" s="79" t="str" cm="1">
        <f t="array" ref="E35">IF(IF(B35="","",_xlfn.XLOOKUP(B35,'MES System'!E:E,'MES System'!N:N))=0,"",IF(B35="","",_xlfn.XLOOKUP(B35,'MES System'!E:E,'MES System'!N:N)))</f>
        <v>basic</v>
      </c>
      <c r="F35" s="79" t="str" cm="1">
        <f t="array" ref="F35">IF(IF(B35="","",_xlfn.XLOOKUP(B35,'MES System'!E:E,'MES System'!O:O))=0,"",IF(B35="","",_xlfn.XLOOKUP(B35,'MES System'!E:E,'MES System'!O:O)))</f>
        <v>WrhsMast</v>
      </c>
      <c r="G35" s="100" t="e" cm="1">
        <f t="array" ref="G35">IF(IF(B35="","",_xlfn.XLOOKUP(B35,'MES System'!E:E,'MES System'!#REF!))=0,"",IF(B35="","",_xlfn.XLOOKUP(B35,'MES System'!E:E,'MES System'!#REF!)))</f>
        <v>#REF!</v>
      </c>
      <c r="H35" s="100" t="e" cm="1">
        <f t="array" ref="H35">IF(IF(B35="","",_xlfn.XLOOKUP(B35,'MES System'!E:E,'MES System'!#REF!))=0,"",IF(B35="","",_xlfn.XLOOKUP(B35,'MES System'!E:E,'MES System'!#REF!)))</f>
        <v>#REF!</v>
      </c>
      <c r="I35" s="100"/>
      <c r="J35" s="79"/>
      <c r="K35" s="79" t="s">
        <v>1870</v>
      </c>
      <c r="L35" s="104"/>
    </row>
    <row r="36" spans="1:12" ht="13">
      <c r="A36" s="1">
        <v>36</v>
      </c>
      <c r="B36" s="72">
        <v>210004</v>
      </c>
      <c r="C36" s="79" t="str" cm="1">
        <f t="array" ref="C36">IF(B36="","",_xlfn.XLOOKUP(B36,'MES System'!E:E,'MES System'!B:B))</f>
        <v xml:space="preserve">    └ (공통)기능창고 관리</v>
      </c>
      <c r="D36" s="79" t="str" cm="1">
        <f t="array" ref="D36">IF(IF(B36="","",_xlfn.XLOOKUP(B36,'MES System'!E:E,'MES System'!F:F))=0,"",IF(B36="","",_xlfn.XLOOKUP(B36,'MES System'!E:E,'MES System'!F:F)))</f>
        <v>기능창고 관리</v>
      </c>
      <c r="E36" s="79" t="str" cm="1">
        <f t="array" ref="E36">IF(IF(B36="","",_xlfn.XLOOKUP(B36,'MES System'!E:E,'MES System'!N:N))=0,"",IF(B36="","",_xlfn.XLOOKUP(B36,'MES System'!E:E,'MES System'!N:N)))</f>
        <v>basic</v>
      </c>
      <c r="F36" s="79" t="str" cm="1">
        <f t="array" ref="F36">IF(IF(B36="","",_xlfn.XLOOKUP(B36,'MES System'!E:E,'MES System'!O:O))=0,"",IF(B36="","",_xlfn.XLOOKUP(B36,'MES System'!E:E,'MES System'!O:O)))</f>
        <v>FuncWrhsMast</v>
      </c>
      <c r="G36" s="100" t="e" cm="1">
        <f t="array" ref="G36">IF(IF(B36="","",_xlfn.XLOOKUP(B36,'MES System'!E:E,'MES System'!#REF!))=0,"",IF(B36="","",_xlfn.XLOOKUP(B36,'MES System'!E:E,'MES System'!#REF!)))</f>
        <v>#REF!</v>
      </c>
      <c r="H36" s="100" t="e" cm="1">
        <f t="array" ref="H36">IF(IF(B36="","",_xlfn.XLOOKUP(B36,'MES System'!E:E,'MES System'!#REF!))=0,"",IF(B36="","",_xlfn.XLOOKUP(B36,'MES System'!E:E,'MES System'!#REF!)))</f>
        <v>#REF!</v>
      </c>
      <c r="I36" s="100"/>
      <c r="J36" s="79"/>
      <c r="K36" s="79" t="s">
        <v>1871</v>
      </c>
      <c r="L36" s="104"/>
    </row>
    <row r="37" spans="1:12" ht="13">
      <c r="A37" s="1">
        <v>37</v>
      </c>
      <c r="B37" s="72">
        <v>210005</v>
      </c>
      <c r="C37" s="79" t="str" cm="1">
        <f t="array" ref="C37">IF(B37="","",_xlfn.XLOOKUP(B37,'MES System'!E:E,'MES System'!B:B))</f>
        <v xml:space="preserve">    └ (공통)보관위치 정보</v>
      </c>
      <c r="D37" s="79" t="str" cm="1">
        <f t="array" ref="D37">IF(IF(B37="","",_xlfn.XLOOKUP(B37,'MES System'!E:E,'MES System'!F:F))=0,"",IF(B37="","",_xlfn.XLOOKUP(B37,'MES System'!E:E,'MES System'!F:F)))</f>
        <v>보관위치 정보</v>
      </c>
      <c r="E37" s="79" t="str" cm="1">
        <f t="array" ref="E37">IF(IF(B37="","",_xlfn.XLOOKUP(B37,'MES System'!E:E,'MES System'!N:N))=0,"",IF(B37="","",_xlfn.XLOOKUP(B37,'MES System'!E:E,'MES System'!N:N)))</f>
        <v>basic</v>
      </c>
      <c r="F37" s="79" t="str" cm="1">
        <f t="array" ref="F37">IF(IF(B37="","",_xlfn.XLOOKUP(B37,'MES System'!E:E,'MES System'!O:O))=0,"",IF(B37="","",_xlfn.XLOOKUP(B37,'MES System'!E:E,'MES System'!O:O)))</f>
        <v>WrhsZone</v>
      </c>
      <c r="G37" s="100" t="e" cm="1">
        <f t="array" ref="G37">IF(IF(B37="","",_xlfn.XLOOKUP(B37,'MES System'!E:E,'MES System'!#REF!))=0,"",IF(B37="","",_xlfn.XLOOKUP(B37,'MES System'!E:E,'MES System'!#REF!)))</f>
        <v>#REF!</v>
      </c>
      <c r="H37" s="100" t="e" cm="1">
        <f t="array" ref="H37">IF(IF(B37="","",_xlfn.XLOOKUP(B37,'MES System'!E:E,'MES System'!#REF!))=0,"",IF(B37="","",_xlfn.XLOOKUP(B37,'MES System'!E:E,'MES System'!#REF!)))</f>
        <v>#REF!</v>
      </c>
      <c r="I37" s="100"/>
      <c r="J37" s="79" t="s">
        <v>1951</v>
      </c>
      <c r="K37" s="79" t="s">
        <v>2010</v>
      </c>
      <c r="L37" s="104"/>
    </row>
    <row r="38" spans="1:12" ht="13">
      <c r="A38" s="1">
        <v>37</v>
      </c>
      <c r="B38" s="72">
        <v>210006</v>
      </c>
      <c r="C38" s="79" t="str" cm="1">
        <f t="array" ref="C38">IF(B38="","",_xlfn.XLOOKUP(B38,'MES System'!E:E,'MES System'!B:B))</f>
        <v xml:space="preserve">    └ (공통)사업장 정보 관리</v>
      </c>
      <c r="D38" s="79" t="str" cm="1">
        <f t="array" ref="D38">IF(IF(B38="","",_xlfn.XLOOKUP(B38,'MES System'!E:E,'MES System'!F:F))=0,"",IF(B38="","",_xlfn.XLOOKUP(B38,'MES System'!E:E,'MES System'!F:F)))</f>
        <v>사업장 정보 관리</v>
      </c>
      <c r="E38" s="79" t="str" cm="1">
        <f t="array" ref="E38">IF(IF(B38="","",_xlfn.XLOOKUP(B38,'MES System'!E:E,'MES System'!N:N))=0,"",IF(B38="","",_xlfn.XLOOKUP(B38,'MES System'!E:E,'MES System'!N:N)))</f>
        <v>basic</v>
      </c>
      <c r="F38" s="79" t="str" cm="1">
        <f t="array" ref="F38">IF(IF(B38="","",_xlfn.XLOOKUP(B38,'MES System'!E:E,'MES System'!O:O))=0,"",IF(B38="","",_xlfn.XLOOKUP(B38,'MES System'!E:E,'MES System'!O:O)))</f>
        <v>BzplMast</v>
      </c>
      <c r="G38" s="100" t="e" cm="1">
        <f t="array" ref="G38">IF(IF(B38="","",_xlfn.XLOOKUP(B38,'MES System'!E:E,'MES System'!#REF!))=0,"",IF(B38="","",_xlfn.XLOOKUP(B38,'MES System'!E:E,'MES System'!#REF!)))</f>
        <v>#REF!</v>
      </c>
      <c r="H38" s="100" t="e" cm="1">
        <f t="array" ref="H38">IF(IF(B38="","",_xlfn.XLOOKUP(B38,'MES System'!E:E,'MES System'!#REF!))=0,"",IF(B38="","",_xlfn.XLOOKUP(B38,'MES System'!E:E,'MES System'!#REF!)))</f>
        <v>#REF!</v>
      </c>
      <c r="I38" s="100"/>
      <c r="J38" s="79"/>
      <c r="K38" s="79" t="s">
        <v>1872</v>
      </c>
      <c r="L38" s="104"/>
    </row>
    <row r="39" spans="1:12" ht="13">
      <c r="A39" s="1">
        <v>38</v>
      </c>
      <c r="B39" s="72">
        <v>210007</v>
      </c>
      <c r="C39" s="79" t="str" cm="1">
        <f t="array" ref="C39">IF(B39="","",_xlfn.XLOOKUP(B39,'MES System'!E:E,'MES System'!B:B))</f>
        <v xml:space="preserve">    └ (공통)휴일정보 관리</v>
      </c>
      <c r="D39" s="79" t="str" cm="1">
        <f t="array" ref="D39">IF(IF(B39="","",_xlfn.XLOOKUP(B39,'MES System'!E:E,'MES System'!F:F))=0,"",IF(B39="","",_xlfn.XLOOKUP(B39,'MES System'!E:E,'MES System'!F:F)))</f>
        <v>휴일정보 관리</v>
      </c>
      <c r="E39" s="79" t="str" cm="1">
        <f t="array" ref="E39">IF(IF(B39="","",_xlfn.XLOOKUP(B39,'MES System'!E:E,'MES System'!N:N))=0,"",IF(B39="","",_xlfn.XLOOKUP(B39,'MES System'!E:E,'MES System'!N:N)))</f>
        <v>basic</v>
      </c>
      <c r="F39" s="79" t="str" cm="1">
        <f t="array" ref="F39">IF(IF(B39="","",_xlfn.XLOOKUP(B39,'MES System'!E:E,'MES System'!O:O))=0,"",IF(B39="","",_xlfn.XLOOKUP(B39,'MES System'!E:E,'MES System'!O:O)))</f>
        <v>HldyMast</v>
      </c>
      <c r="G39" s="100" t="e" cm="1">
        <f t="array" ref="G39">IF(IF(B39="","",_xlfn.XLOOKUP(B39,'MES System'!E:E,'MES System'!#REF!))=0,"",IF(B39="","",_xlfn.XLOOKUP(B39,'MES System'!E:E,'MES System'!#REF!)))</f>
        <v>#REF!</v>
      </c>
      <c r="H39" s="100" t="e" cm="1">
        <f t="array" ref="H39">IF(IF(B39="","",_xlfn.XLOOKUP(B39,'MES System'!E:E,'MES System'!#REF!))=0,"",IF(B39="","",_xlfn.XLOOKUP(B39,'MES System'!E:E,'MES System'!#REF!)))</f>
        <v>#REF!</v>
      </c>
      <c r="I39" s="100"/>
      <c r="J39" s="79"/>
      <c r="K39" s="79" t="s">
        <v>1873</v>
      </c>
      <c r="L39" s="104"/>
    </row>
    <row r="40" spans="1:12" ht="13">
      <c r="A40" s="1">
        <v>38</v>
      </c>
      <c r="B40" s="72">
        <v>210008</v>
      </c>
      <c r="C40" s="79" t="str" cm="1">
        <f t="array" ref="C40">IF(B40="","",_xlfn.XLOOKUP(B40,'MES System'!E:E,'MES System'!B:B))</f>
        <v xml:space="preserve">    └ (공통)시스템환경설정</v>
      </c>
      <c r="D40" s="79" t="str" cm="1">
        <f t="array" ref="D40">IF(IF(B40="","",_xlfn.XLOOKUP(B40,'MES System'!E:E,'MES System'!F:F))=0,"",IF(B40="","",_xlfn.XLOOKUP(B40,'MES System'!E:E,'MES System'!F:F)))</f>
        <v>시스템환경설정</v>
      </c>
      <c r="E40" s="79" t="str" cm="1">
        <f t="array" ref="E40">IF(IF(B40="","",_xlfn.XLOOKUP(B40,'MES System'!E:E,'MES System'!N:N))=0,"",IF(B40="","",_xlfn.XLOOKUP(B40,'MES System'!E:E,'MES System'!N:N)))</f>
        <v>basic</v>
      </c>
      <c r="F40" s="79" t="str" cm="1">
        <f t="array" ref="F40">IF(IF(B40="","",_xlfn.XLOOKUP(B40,'MES System'!E:E,'MES System'!O:O))=0,"",IF(B40="","",_xlfn.XLOOKUP(B40,'MES System'!E:E,'MES System'!O:O)))</f>
        <v>SystemOption</v>
      </c>
      <c r="G40" s="100" t="e" cm="1">
        <f t="array" ref="G40">IF(IF(B40="","",_xlfn.XLOOKUP(B40,'MES System'!E:E,'MES System'!#REF!))=0,"",IF(B40="","",_xlfn.XLOOKUP(B40,'MES System'!E:E,'MES System'!#REF!)))</f>
        <v>#REF!</v>
      </c>
      <c r="H40" s="100" t="e" cm="1">
        <f t="array" ref="H40">IF(IF(B40="","",_xlfn.XLOOKUP(B40,'MES System'!E:E,'MES System'!#REF!))=0,"",IF(B40="","",_xlfn.XLOOKUP(B40,'MES System'!E:E,'MES System'!#REF!)))</f>
        <v>#REF!</v>
      </c>
      <c r="I40" s="100"/>
      <c r="J40" s="79" t="s">
        <v>1951</v>
      </c>
      <c r="K40" s="79" t="s">
        <v>1874</v>
      </c>
      <c r="L40" s="104"/>
    </row>
    <row r="41" spans="1:12" ht="13">
      <c r="A41" s="1">
        <v>39</v>
      </c>
      <c r="B41" s="70"/>
      <c r="C41" s="80" t="str" cm="1">
        <f t="array" ref="C41">IF(B41="","",_xlfn.XLOOKUP(B41,'MES System'!E:E,'MES System'!B:B))</f>
        <v/>
      </c>
      <c r="D41" s="80" t="str" cm="1">
        <f t="array" ref="D41">IF(IF(B41="","",_xlfn.XLOOKUP(B41,'MES System'!E:E,'MES System'!F:F))=0,"",IF(B41="","",_xlfn.XLOOKUP(B41,'MES System'!E:E,'MES System'!F:F)))</f>
        <v/>
      </c>
      <c r="E41" s="80" t="str" cm="1">
        <f t="array" ref="E41">IF(IF(B41="","",_xlfn.XLOOKUP(B41,'MES System'!E:E,'MES System'!N:N))=0,"",IF(B41="","",_xlfn.XLOOKUP(B41,'MES System'!E:E,'MES System'!N:N)))</f>
        <v/>
      </c>
      <c r="F41" s="80" t="str" cm="1">
        <f t="array" ref="F41">IF(IF(B41="","",_xlfn.XLOOKUP(B41,'MES System'!E:E,'MES System'!O:O))=0,"",IF(B41="","",_xlfn.XLOOKUP(B41,'MES System'!E:E,'MES System'!O:O)))</f>
        <v/>
      </c>
      <c r="G41" s="92" t="str" cm="1">
        <f t="array" ref="G41">IF(IF(B41="","",_xlfn.XLOOKUP(B41,'MES System'!E:E,'MES System'!#REF!))=0,"",IF(B41="","",_xlfn.XLOOKUP(B41,'MES System'!E:E,'MES System'!#REF!)))</f>
        <v/>
      </c>
      <c r="H41" s="92" t="str" cm="1">
        <f t="array" ref="H41">IF(IF(B41="","",_xlfn.XLOOKUP(B41,'MES System'!E:E,'MES System'!#REF!))=0,"",IF(B41="","",_xlfn.XLOOKUP(B41,'MES System'!E:E,'MES System'!#REF!)))</f>
        <v/>
      </c>
      <c r="I41" s="92"/>
      <c r="J41" s="80"/>
      <c r="K41" s="80"/>
      <c r="L41" s="105"/>
    </row>
    <row r="42" spans="1:12" ht="13">
      <c r="A42" s="1">
        <v>40</v>
      </c>
      <c r="B42" s="68" t="s">
        <v>122</v>
      </c>
      <c r="C42" s="78" t="str" cm="1">
        <f t="array" ref="C42">IF(B42="","",_xlfn.XLOOKUP(B42,'MES System'!E:E,'MES System'!B:B))</f>
        <v xml:space="preserve">    └ 사용자관리</v>
      </c>
      <c r="D42" s="78" t="str" cm="1">
        <f t="array" ref="D42">IF(IF(B42="","",_xlfn.XLOOKUP(B42,'MES System'!E:E,'MES System'!F:F))=0,"",IF(B42="","",_xlfn.XLOOKUP(B42,'MES System'!E:E,'MES System'!F:F)))</f>
        <v>사용자관리</v>
      </c>
      <c r="E42" s="78" t="str" cm="1">
        <f t="array" ref="E42">IF(IF(B42="","",_xlfn.XLOOKUP(B42,'MES System'!E:E,'MES System'!N:N))=0,"",IF(B42="","",_xlfn.XLOOKUP(B42,'MES System'!E:E,'MES System'!N:N)))</f>
        <v/>
      </c>
      <c r="F42" s="78" t="str" cm="1">
        <f t="array" ref="F42">IF(IF(B42="","",_xlfn.XLOOKUP(B42,'MES System'!E:E,'MES System'!O:O))=0,"",IF(B42="","",_xlfn.XLOOKUP(B42,'MES System'!E:E,'MES System'!O:O)))</f>
        <v/>
      </c>
      <c r="G42" s="99" t="e" cm="1">
        <f t="array" ref="G42">IF(IF(B42="","",_xlfn.XLOOKUP(B42,'MES System'!E:E,'MES System'!#REF!))=0,"",IF(B42="","",_xlfn.XLOOKUP(B42,'MES System'!E:E,'MES System'!#REF!)))</f>
        <v>#REF!</v>
      </c>
      <c r="H42" s="99" t="e" cm="1">
        <f t="array" ref="H42">IF(IF(B42="","",_xlfn.XLOOKUP(B42,'MES System'!E:E,'MES System'!#REF!))=0,"",IF(B42="","",_xlfn.XLOOKUP(B42,'MES System'!E:E,'MES System'!#REF!)))</f>
        <v>#REF!</v>
      </c>
      <c r="I42" s="99"/>
      <c r="J42" s="78"/>
      <c r="K42" s="78"/>
      <c r="L42" s="103"/>
    </row>
    <row r="43" spans="1:12" ht="13">
      <c r="A43" s="1">
        <v>41</v>
      </c>
      <c r="B43" s="72">
        <v>220001</v>
      </c>
      <c r="C43" s="79" t="str" cm="1">
        <f t="array" ref="C43">IF(B43="","",_xlfn.XLOOKUP(B43,'MES System'!E:E,'MES System'!B:B))</f>
        <v xml:space="preserve">        └ (공통)부서 코드 관리</v>
      </c>
      <c r="D43" s="79" t="str" cm="1">
        <f t="array" ref="D43">IF(IF(B43="","",_xlfn.XLOOKUP(B43,'MES System'!E:E,'MES System'!F:F))=0,"",IF(B43="","",_xlfn.XLOOKUP(B43,'MES System'!E:E,'MES System'!F:F)))</f>
        <v>부서 코드 관리</v>
      </c>
      <c r="E43" s="79" t="str" cm="1">
        <f t="array" ref="E43">IF(IF(B43="","",_xlfn.XLOOKUP(B43,'MES System'!E:E,'MES System'!N:N))=0,"",IF(B43="","",_xlfn.XLOOKUP(B43,'MES System'!E:E,'MES System'!N:N)))</f>
        <v>basic</v>
      </c>
      <c r="F43" s="79" t="str" cm="1">
        <f t="array" ref="F43">IF(IF(B43="","",_xlfn.XLOOKUP(B43,'MES System'!E:E,'MES System'!O:O))=0,"",IF(B43="","",_xlfn.XLOOKUP(B43,'MES System'!E:E,'MES System'!O:O)))</f>
        <v>DeptMast</v>
      </c>
      <c r="G43" s="100" t="e" cm="1">
        <f t="array" ref="G43">IF(IF(B43="","",_xlfn.XLOOKUP(B43,'MES System'!E:E,'MES System'!#REF!))=0,"",IF(B43="","",_xlfn.XLOOKUP(B43,'MES System'!E:E,'MES System'!#REF!)))</f>
        <v>#REF!</v>
      </c>
      <c r="H43" s="100" t="e" cm="1">
        <f t="array" ref="H43">IF(IF(B43="","",_xlfn.XLOOKUP(B43,'MES System'!E:E,'MES System'!#REF!))=0,"",IF(B43="","",_xlfn.XLOOKUP(B43,'MES System'!E:E,'MES System'!#REF!)))</f>
        <v>#REF!</v>
      </c>
      <c r="I43" s="100"/>
      <c r="J43" s="79" t="s">
        <v>1949</v>
      </c>
      <c r="K43" s="79" t="s">
        <v>1866</v>
      </c>
      <c r="L43" s="111" t="s">
        <v>2024</v>
      </c>
    </row>
    <row r="44" spans="1:12" ht="13">
      <c r="A44" s="1">
        <v>42</v>
      </c>
      <c r="B44" s="72">
        <v>220002</v>
      </c>
      <c r="C44" s="79" t="str" cm="1">
        <f t="array" ref="C44">IF(B44="","",_xlfn.XLOOKUP(B44,'MES System'!E:E,'MES System'!B:B))</f>
        <v xml:space="preserve">        └ (공통)직급 코드 관리</v>
      </c>
      <c r="D44" s="79" t="str" cm="1">
        <f t="array" ref="D44">IF(IF(B44="","",_xlfn.XLOOKUP(B44,'MES System'!E:E,'MES System'!F:F))=0,"",IF(B44="","",_xlfn.XLOOKUP(B44,'MES System'!E:E,'MES System'!F:F)))</f>
        <v>직급 코드 관리</v>
      </c>
      <c r="E44" s="79" t="str" cm="1">
        <f t="array" ref="E44">IF(IF(B44="","",_xlfn.XLOOKUP(B44,'MES System'!E:E,'MES System'!N:N))=0,"",IF(B44="","",_xlfn.XLOOKUP(B44,'MES System'!E:E,'MES System'!N:N)))</f>
        <v>user</v>
      </c>
      <c r="F44" s="79" t="str" cm="1">
        <f t="array" ref="F44">IF(IF(B44="","",_xlfn.XLOOKUP(B44,'MES System'!E:E,'MES System'!O:O))=0,"",IF(B44="","",_xlfn.XLOOKUP(B44,'MES System'!E:E,'MES System'!O:O)))</f>
        <v>WkrnMast</v>
      </c>
      <c r="G44" s="100" t="e" cm="1">
        <f t="array" ref="G44">IF(IF(B44="","",_xlfn.XLOOKUP(B44,'MES System'!E:E,'MES System'!#REF!))=0,"",IF(B44="","",_xlfn.XLOOKUP(B44,'MES System'!E:E,'MES System'!#REF!)))</f>
        <v>#REF!</v>
      </c>
      <c r="H44" s="100" t="e" cm="1">
        <f t="array" ref="H44">IF(IF(B44="","",_xlfn.XLOOKUP(B44,'MES System'!E:E,'MES System'!#REF!))=0,"",IF(B44="","",_xlfn.XLOOKUP(B44,'MES System'!E:E,'MES System'!#REF!)))</f>
        <v>#REF!</v>
      </c>
      <c r="I44" s="100"/>
      <c r="J44" s="79" t="s">
        <v>1964</v>
      </c>
      <c r="K44" s="79" t="s">
        <v>1867</v>
      </c>
      <c r="L44" s="111" t="s">
        <v>2024</v>
      </c>
    </row>
    <row r="45" spans="1:12" ht="13">
      <c r="A45" s="1">
        <v>43</v>
      </c>
      <c r="B45" s="72">
        <v>220003</v>
      </c>
      <c r="C45" s="79" t="str" cm="1">
        <f t="array" ref="C45">IF(B45="","",_xlfn.XLOOKUP(B45,'MES System'!E:E,'MES System'!B:B))</f>
        <v xml:space="preserve">        └ (공통)사용자 코드 관리</v>
      </c>
      <c r="D45" s="79" t="str" cm="1">
        <f t="array" ref="D45">IF(IF(B45="","",_xlfn.XLOOKUP(B45,'MES System'!E:E,'MES System'!F:F))=0,"",IF(B45="","",_xlfn.XLOOKUP(B45,'MES System'!E:E,'MES System'!F:F)))</f>
        <v>사용자 코드 관리</v>
      </c>
      <c r="E45" s="79" t="str" cm="1">
        <f t="array" ref="E45">IF(IF(B45="","",_xlfn.XLOOKUP(B45,'MES System'!E:E,'MES System'!N:N))=0,"",IF(B45="","",_xlfn.XLOOKUP(B45,'MES System'!E:E,'MES System'!N:N)))</f>
        <v>user</v>
      </c>
      <c r="F45" s="79" t="str" cm="1">
        <f t="array" ref="F45">IF(IF(B45="","",_xlfn.XLOOKUP(B45,'MES System'!E:E,'MES System'!O:O))=0,"",IF(B45="","",_xlfn.XLOOKUP(B45,'MES System'!E:E,'MES System'!O:O)))</f>
        <v>UserMast</v>
      </c>
      <c r="G45" s="100" t="e" cm="1">
        <f t="array" ref="G45">IF(IF(B45="","",_xlfn.XLOOKUP(B45,'MES System'!E:E,'MES System'!#REF!))=0,"",IF(B45="","",_xlfn.XLOOKUP(B45,'MES System'!E:E,'MES System'!#REF!)))</f>
        <v>#REF!</v>
      </c>
      <c r="H45" s="100" t="e" cm="1">
        <f t="array" ref="H45">IF(IF(B45="","",_xlfn.XLOOKUP(B45,'MES System'!E:E,'MES System'!#REF!))=0,"",IF(B45="","",_xlfn.XLOOKUP(B45,'MES System'!E:E,'MES System'!#REF!)))</f>
        <v>#REF!</v>
      </c>
      <c r="I45" s="100"/>
      <c r="J45" s="79" t="s">
        <v>1964</v>
      </c>
      <c r="K45" s="79" t="s">
        <v>1863</v>
      </c>
      <c r="L45" s="111" t="s">
        <v>2024</v>
      </c>
    </row>
    <row r="46" spans="1:12" ht="13">
      <c r="A46" s="1">
        <v>44</v>
      </c>
      <c r="B46" s="72">
        <v>220004</v>
      </c>
      <c r="C46" s="79" t="str" cm="1">
        <f t="array" ref="C46">IF(B46="","",_xlfn.XLOOKUP(B46,'MES System'!E:E,'MES System'!B:B))</f>
        <v xml:space="preserve">        └ (공통)메뉴별 사용 권한 관리</v>
      </c>
      <c r="D46" s="79" t="str" cm="1">
        <f t="array" ref="D46">IF(IF(B46="","",_xlfn.XLOOKUP(B46,'MES System'!E:E,'MES System'!F:F))=0,"",IF(B46="","",_xlfn.XLOOKUP(B46,'MES System'!E:E,'MES System'!F:F)))</f>
        <v>메뉴별 사용 권한 관리</v>
      </c>
      <c r="E46" s="79" t="str" cm="1">
        <f t="array" ref="E46">IF(IF(B46="","",_xlfn.XLOOKUP(B46,'MES System'!E:E,'MES System'!N:N))=0,"",IF(B46="","",_xlfn.XLOOKUP(B46,'MES System'!E:E,'MES System'!N:N)))</f>
        <v>user</v>
      </c>
      <c r="F46" s="79" t="str" cm="1">
        <f t="array" ref="F46">IF(IF(B46="","",_xlfn.XLOOKUP(B46,'MES System'!E:E,'MES System'!O:O))=0,"",IF(B46="","",_xlfn.XLOOKUP(B46,'MES System'!E:E,'MES System'!O:O)))</f>
        <v>MenuAuth</v>
      </c>
      <c r="G46" s="100" t="e" cm="1">
        <f t="array" ref="G46">IF(IF(B46="","",_xlfn.XLOOKUP(B46,'MES System'!E:E,'MES System'!#REF!))=0,"",IF(B46="","",_xlfn.XLOOKUP(B46,'MES System'!E:E,'MES System'!#REF!)))</f>
        <v>#REF!</v>
      </c>
      <c r="H46" s="100" t="e" cm="1">
        <f t="array" ref="H46">IF(IF(B46="","",_xlfn.XLOOKUP(B46,'MES System'!E:E,'MES System'!#REF!))=0,"",IF(B46="","",_xlfn.XLOOKUP(B46,'MES System'!E:E,'MES System'!#REF!)))</f>
        <v>#REF!</v>
      </c>
      <c r="I46" s="100"/>
      <c r="J46" s="79" t="s">
        <v>1964</v>
      </c>
      <c r="K46" s="79" t="s">
        <v>1865</v>
      </c>
      <c r="L46" s="104"/>
    </row>
    <row r="47" spans="1:12" ht="13">
      <c r="A47" s="1">
        <v>45</v>
      </c>
      <c r="B47" s="72">
        <v>220005</v>
      </c>
      <c r="C47" s="79" t="str" cm="1">
        <f t="array" ref="C47">IF(B47="","",_xlfn.XLOOKUP(B47,'MES System'!E:E,'MES System'!B:B))</f>
        <v xml:space="preserve">        └ (공통)사용자 메뉴 권한 관리</v>
      </c>
      <c r="D47" s="79" t="str" cm="1">
        <f t="array" ref="D47">IF(IF(B47="","",_xlfn.XLOOKUP(B47,'MES System'!E:E,'MES System'!F:F))=0,"",IF(B47="","",_xlfn.XLOOKUP(B47,'MES System'!E:E,'MES System'!F:F)))</f>
        <v>사용자 메뉴 권한 관리</v>
      </c>
      <c r="E47" s="79" t="str" cm="1">
        <f t="array" ref="E47">IF(IF(B47="","",_xlfn.XLOOKUP(B47,'MES System'!E:E,'MES System'!N:N))=0,"",IF(B47="","",_xlfn.XLOOKUP(B47,'MES System'!E:E,'MES System'!N:N)))</f>
        <v>user</v>
      </c>
      <c r="F47" s="79" t="str" cm="1">
        <f t="array" ref="F47">IF(IF(B47="","",_xlfn.XLOOKUP(B47,'MES System'!E:E,'MES System'!O:O))=0,"",IF(B47="","",_xlfn.XLOOKUP(B47,'MES System'!E:E,'MES System'!O:O)))</f>
        <v>UserAuth</v>
      </c>
      <c r="G47" s="100" t="e" cm="1">
        <f t="array" ref="G47">IF(IF(B47="","",_xlfn.XLOOKUP(B47,'MES System'!E:E,'MES System'!#REF!))=0,"",IF(B47="","",_xlfn.XLOOKUP(B47,'MES System'!E:E,'MES System'!#REF!)))</f>
        <v>#REF!</v>
      </c>
      <c r="H47" s="100" t="e" cm="1">
        <f t="array" ref="H47">IF(IF(B47="","",_xlfn.XLOOKUP(B47,'MES System'!E:E,'MES System'!#REF!))=0,"",IF(B47="","",_xlfn.XLOOKUP(B47,'MES System'!E:E,'MES System'!#REF!)))</f>
        <v>#REF!</v>
      </c>
      <c r="I47" s="100"/>
      <c r="J47" s="79" t="s">
        <v>1964</v>
      </c>
      <c r="K47" s="79" t="s">
        <v>1864</v>
      </c>
      <c r="L47" s="104"/>
    </row>
    <row r="48" spans="1:12" ht="13">
      <c r="A48" s="1">
        <v>45</v>
      </c>
      <c r="B48" s="72">
        <v>220006</v>
      </c>
      <c r="C48" s="79" t="str" cm="1">
        <f t="array" ref="C48">IF(B48="","",_xlfn.XLOOKUP(B48,'MES System'!E:E,'MES System'!B:B))</f>
        <v xml:space="preserve">        └ (공통)임율정보 관리</v>
      </c>
      <c r="D48" s="79" t="str" cm="1">
        <f t="array" ref="D48">IF(IF(B48="","",_xlfn.XLOOKUP(B48,'MES System'!E:E,'MES System'!F:F))=0,"",IF(B48="","",_xlfn.XLOOKUP(B48,'MES System'!E:E,'MES System'!F:F)))</f>
        <v>임율정보 관리</v>
      </c>
      <c r="E48" s="79" t="str" cm="1">
        <f t="array" ref="E48">IF(IF(B48="","",_xlfn.XLOOKUP(B48,'MES System'!E:E,'MES System'!N:N))=0,"",IF(B48="","",_xlfn.XLOOKUP(B48,'MES System'!E:E,'MES System'!N:N)))</f>
        <v>user</v>
      </c>
      <c r="F48" s="79" t="str" cm="1">
        <f t="array" ref="F48">IF(IF(B48="","",_xlfn.XLOOKUP(B48,'MES System'!E:E,'MES System'!O:O))=0,"",IF(B48="","",_xlfn.XLOOKUP(B48,'MES System'!E:E,'MES System'!O:O)))</f>
        <v>LaboRate</v>
      </c>
      <c r="G48" s="100" t="e" cm="1">
        <f t="array" ref="G48">IF(IF(B48="","",_xlfn.XLOOKUP(B48,'MES System'!E:E,'MES System'!#REF!))=0,"",IF(B48="","",_xlfn.XLOOKUP(B48,'MES System'!E:E,'MES System'!#REF!)))</f>
        <v>#REF!</v>
      </c>
      <c r="H48" s="100" t="e" cm="1">
        <f t="array" ref="H48">IF(IF(B48="","",_xlfn.XLOOKUP(B48,'MES System'!E:E,'MES System'!#REF!))=0,"",IF(B48="","",_xlfn.XLOOKUP(B48,'MES System'!E:E,'MES System'!#REF!)))</f>
        <v>#REF!</v>
      </c>
      <c r="I48" s="100"/>
      <c r="J48" s="79" t="s">
        <v>1951</v>
      </c>
      <c r="K48" s="79" t="s">
        <v>1860</v>
      </c>
      <c r="L48" s="111" t="s">
        <v>2023</v>
      </c>
    </row>
    <row r="49" spans="1:12" ht="13">
      <c r="A49" s="1">
        <v>46</v>
      </c>
      <c r="B49" s="70"/>
      <c r="C49" s="80" t="str" cm="1">
        <f t="array" ref="C49">IF(B49="","",_xlfn.XLOOKUP(B49,'MES System'!E:E,'MES System'!B:B))</f>
        <v/>
      </c>
      <c r="D49" s="80" t="str" cm="1">
        <f t="array" ref="D49">IF(IF(B49="","",_xlfn.XLOOKUP(B49,'MES System'!E:E,'MES System'!F:F))=0,"",IF(B49="","",_xlfn.XLOOKUP(B49,'MES System'!E:E,'MES System'!F:F)))</f>
        <v/>
      </c>
      <c r="E49" s="80" t="str" cm="1">
        <f t="array" ref="E49">IF(IF(B49="","",_xlfn.XLOOKUP(B49,'MES System'!E:E,'MES System'!N:N))=0,"",IF(B49="","",_xlfn.XLOOKUP(B49,'MES System'!E:E,'MES System'!N:N)))</f>
        <v/>
      </c>
      <c r="F49" s="80" t="str" cm="1">
        <f t="array" ref="F49">IF(IF(B49="","",_xlfn.XLOOKUP(B49,'MES System'!E:E,'MES System'!O:O))=0,"",IF(B49="","",_xlfn.XLOOKUP(B49,'MES System'!E:E,'MES System'!O:O)))</f>
        <v/>
      </c>
      <c r="G49" s="92" t="str" cm="1">
        <f t="array" ref="G49">IF(IF(B49="","",_xlfn.XLOOKUP(B49,'MES System'!E:E,'MES System'!#REF!))=0,"",IF(B49="","",_xlfn.XLOOKUP(B49,'MES System'!E:E,'MES System'!#REF!)))</f>
        <v/>
      </c>
      <c r="H49" s="92" t="str" cm="1">
        <f t="array" ref="H49">IF(IF(B49="","",_xlfn.XLOOKUP(B49,'MES System'!E:E,'MES System'!#REF!))=0,"",IF(B49="","",_xlfn.XLOOKUP(B49,'MES System'!E:E,'MES System'!#REF!)))</f>
        <v/>
      </c>
      <c r="I49" s="92"/>
      <c r="J49" s="80"/>
      <c r="K49" s="80"/>
      <c r="L49" s="105"/>
    </row>
    <row r="50" spans="1:12" ht="13">
      <c r="A50" s="1">
        <v>47</v>
      </c>
      <c r="B50" s="68" t="s">
        <v>124</v>
      </c>
      <c r="C50" s="78" t="str" cm="1">
        <f t="array" ref="C50">IF(B50="","",_xlfn.XLOOKUP(B50,'MES System'!E:E,'MES System'!B:B))</f>
        <v xml:space="preserve">    └ 품목정보관리</v>
      </c>
      <c r="D50" s="78" t="str" cm="1">
        <f t="array" ref="D50">IF(IF(B50="","",_xlfn.XLOOKUP(B50,'MES System'!E:E,'MES System'!F:F))=0,"",IF(B50="","",_xlfn.XLOOKUP(B50,'MES System'!E:E,'MES System'!F:F)))</f>
        <v>품목정보관리</v>
      </c>
      <c r="E50" s="78" t="str" cm="1">
        <f t="array" ref="E50">IF(IF(B50="","",_xlfn.XLOOKUP(B50,'MES System'!E:E,'MES System'!N:N))=0,"",IF(B50="","",_xlfn.XLOOKUP(B50,'MES System'!E:E,'MES System'!N:N)))</f>
        <v/>
      </c>
      <c r="F50" s="78" t="str" cm="1">
        <f t="array" ref="F50">IF(IF(B50="","",_xlfn.XLOOKUP(B50,'MES System'!E:E,'MES System'!O:O))=0,"",IF(B50="","",_xlfn.XLOOKUP(B50,'MES System'!E:E,'MES System'!O:O)))</f>
        <v/>
      </c>
      <c r="G50" s="99" t="e" cm="1">
        <f t="array" ref="G50">IF(IF(B50="","",_xlfn.XLOOKUP(B50,'MES System'!E:E,'MES System'!#REF!))=0,"",IF(B50="","",_xlfn.XLOOKUP(B50,'MES System'!E:E,'MES System'!#REF!)))</f>
        <v>#REF!</v>
      </c>
      <c r="H50" s="99" t="e" cm="1">
        <f t="array" ref="H50">IF(IF(B50="","",_xlfn.XLOOKUP(B50,'MES System'!E:E,'MES System'!#REF!))=0,"",IF(B50="","",_xlfn.XLOOKUP(B50,'MES System'!E:E,'MES System'!#REF!)))</f>
        <v>#REF!</v>
      </c>
      <c r="I50" s="99"/>
      <c r="J50" s="78"/>
      <c r="K50" s="78"/>
      <c r="L50" s="103"/>
    </row>
    <row r="51" spans="1:12" ht="13">
      <c r="A51" s="1">
        <v>48</v>
      </c>
      <c r="B51" s="72">
        <v>230001</v>
      </c>
      <c r="C51" s="79" t="str" cm="1">
        <f t="array" ref="C51">IF(B51="","",_xlfn.XLOOKUP(B51,'MES System'!E:E,'MES System'!B:B))</f>
        <v xml:space="preserve">        └ (공통)단위코드관리</v>
      </c>
      <c r="D51" s="79" t="str" cm="1">
        <f t="array" ref="D51">IF(IF(B51="","",_xlfn.XLOOKUP(B51,'MES System'!E:E,'MES System'!F:F))=0,"",IF(B51="","",_xlfn.XLOOKUP(B51,'MES System'!E:E,'MES System'!F:F)))</f>
        <v>단위코드관리</v>
      </c>
      <c r="E51" s="79" t="str" cm="1">
        <f t="array" ref="E51">IF(IF(B51="","",_xlfn.XLOOKUP(B51,'MES System'!E:E,'MES System'!N:N))=0,"",IF(B51="","",_xlfn.XLOOKUP(B51,'MES System'!E:E,'MES System'!N:N)))</f>
        <v>basic</v>
      </c>
      <c r="F51" s="79" t="str" cm="1">
        <f t="array" ref="F51">IF(IF(B51="","",_xlfn.XLOOKUP(B51,'MES System'!E:E,'MES System'!O:O))=0,"",IF(B51="","",_xlfn.XLOOKUP(B51,'MES System'!E:E,'MES System'!O:O)))</f>
        <v>UnitMast</v>
      </c>
      <c r="G51" s="100" t="e" cm="1">
        <f t="array" ref="G51">IF(IF(B51="","",_xlfn.XLOOKUP(B51,'MES System'!E:E,'MES System'!#REF!))=0,"",IF(B51="","",_xlfn.XLOOKUP(B51,'MES System'!E:E,'MES System'!#REF!)))</f>
        <v>#REF!</v>
      </c>
      <c r="H51" s="100" t="e" cm="1">
        <f t="array" ref="H51">IF(IF(B51="","",_xlfn.XLOOKUP(B51,'MES System'!E:E,'MES System'!#REF!))=0,"",IF(B51="","",_xlfn.XLOOKUP(B51,'MES System'!E:E,'MES System'!#REF!)))</f>
        <v>#REF!</v>
      </c>
      <c r="I51" s="100"/>
      <c r="J51" s="79" t="s">
        <v>1949</v>
      </c>
      <c r="K51" s="79" t="s">
        <v>1875</v>
      </c>
      <c r="L51" s="111" t="s">
        <v>2024</v>
      </c>
    </row>
    <row r="52" spans="1:12" ht="13">
      <c r="A52" s="1">
        <v>49</v>
      </c>
      <c r="B52" s="72">
        <v>230002</v>
      </c>
      <c r="C52" s="79" t="str" cm="1">
        <f t="array" ref="C52">IF(B52="","",_xlfn.XLOOKUP(B52,'MES System'!E:E,'MES System'!B:B))</f>
        <v xml:space="preserve">        └ (공통)품목분류코드관리</v>
      </c>
      <c r="D52" s="79" t="str" cm="1">
        <f t="array" ref="D52">IF(IF(B52="","",_xlfn.XLOOKUP(B52,'MES System'!E:E,'MES System'!F:F))=0,"",IF(B52="","",_xlfn.XLOOKUP(B52,'MES System'!E:E,'MES System'!F:F)))</f>
        <v>품목분류코드관리</v>
      </c>
      <c r="E52" s="79" t="str" cm="1">
        <f t="array" ref="E52">IF(IF(B52="","",_xlfn.XLOOKUP(B52,'MES System'!E:E,'MES System'!N:N))=0,"",IF(B52="","",_xlfn.XLOOKUP(B52,'MES System'!E:E,'MES System'!N:N)))</f>
        <v>item</v>
      </c>
      <c r="F52" s="79" t="str" cm="1">
        <f t="array" ref="F52">IF(IF(B52="","",_xlfn.XLOOKUP(B52,'MES System'!E:E,'MES System'!O:O))=0,"",IF(B52="","",_xlfn.XLOOKUP(B52,'MES System'!E:E,'MES System'!O:O)))</f>
        <v>ItemClass</v>
      </c>
      <c r="G52" s="100" t="e" cm="1">
        <f t="array" ref="G52">IF(IF(B52="","",_xlfn.XLOOKUP(B52,'MES System'!E:E,'MES System'!#REF!))=0,"",IF(B52="","",_xlfn.XLOOKUP(B52,'MES System'!E:E,'MES System'!#REF!)))</f>
        <v>#REF!</v>
      </c>
      <c r="H52" s="100" t="e" cm="1">
        <f t="array" ref="H52">IF(IF(B52="","",_xlfn.XLOOKUP(B52,'MES System'!E:E,'MES System'!#REF!))=0,"",IF(B52="","",_xlfn.XLOOKUP(B52,'MES System'!E:E,'MES System'!#REF!)))</f>
        <v>#REF!</v>
      </c>
      <c r="I52" s="100"/>
      <c r="J52" s="79" t="s">
        <v>1964</v>
      </c>
      <c r="K52" s="79" t="s">
        <v>1876</v>
      </c>
      <c r="L52" s="104"/>
    </row>
    <row r="53" spans="1:12" ht="13">
      <c r="A53" s="1">
        <v>50</v>
      </c>
      <c r="B53" s="72">
        <v>230003</v>
      </c>
      <c r="C53" s="79" t="str" cm="1">
        <f t="array" ref="C53">IF(B53="","",_xlfn.XLOOKUP(B53,'MES System'!E:E,'MES System'!B:B))</f>
        <v xml:space="preserve">        └ (공통)품목코드관리</v>
      </c>
      <c r="D53" s="79" t="str" cm="1">
        <f t="array" ref="D53">IF(IF(B53="","",_xlfn.XLOOKUP(B53,'MES System'!E:E,'MES System'!F:F))=0,"",IF(B53="","",_xlfn.XLOOKUP(B53,'MES System'!E:E,'MES System'!F:F)))</f>
        <v>품목코드관리</v>
      </c>
      <c r="E53" s="79" t="str" cm="1">
        <f t="array" ref="E53">IF(IF(B53="","",_xlfn.XLOOKUP(B53,'MES System'!E:E,'MES System'!N:N))=0,"",IF(B53="","",_xlfn.XLOOKUP(B53,'MES System'!E:E,'MES System'!N:N)))</f>
        <v>item</v>
      </c>
      <c r="F53" s="79" t="str" cm="1">
        <f t="array" ref="F53">IF(IF(B53="","",_xlfn.XLOOKUP(B53,'MES System'!E:E,'MES System'!O:O))=0,"",IF(B53="","",_xlfn.XLOOKUP(B53,'MES System'!E:E,'MES System'!O:O)))</f>
        <v>ItemMast</v>
      </c>
      <c r="G53" s="100" t="e" cm="1">
        <f t="array" ref="G53">IF(IF(B53="","",_xlfn.XLOOKUP(B53,'MES System'!E:E,'MES System'!#REF!))=0,"",IF(B53="","",_xlfn.XLOOKUP(B53,'MES System'!E:E,'MES System'!#REF!)))</f>
        <v>#REF!</v>
      </c>
      <c r="H53" s="100" t="e" cm="1">
        <f t="array" ref="H53">IF(IF(B53="","",_xlfn.XLOOKUP(B53,'MES System'!E:E,'MES System'!#REF!))=0,"",IF(B53="","",_xlfn.XLOOKUP(B53,'MES System'!E:E,'MES System'!#REF!)))</f>
        <v>#REF!</v>
      </c>
      <c r="I53" s="100"/>
      <c r="J53" s="79" t="s">
        <v>1949</v>
      </c>
      <c r="K53" s="79" t="s">
        <v>1877</v>
      </c>
      <c r="L53" s="111" t="s">
        <v>2023</v>
      </c>
    </row>
    <row r="54" spans="1:12" ht="13">
      <c r="A54" s="1">
        <v>51</v>
      </c>
      <c r="B54" s="72">
        <v>230004</v>
      </c>
      <c r="C54" s="79" t="str" cm="1">
        <f t="array" ref="C54">IF(B54="","",_xlfn.XLOOKUP(B54,'MES System'!E:E,'MES System'!B:B))</f>
        <v xml:space="preserve">        └ (공통)품목리스트</v>
      </c>
      <c r="D54" s="79" t="str" cm="1">
        <f t="array" ref="D54">IF(IF(B54="","",_xlfn.XLOOKUP(B54,'MES System'!E:E,'MES System'!F:F))=0,"",IF(B54="","",_xlfn.XLOOKUP(B54,'MES System'!E:E,'MES System'!F:F)))</f>
        <v>품목리스트</v>
      </c>
      <c r="E54" s="79" t="str" cm="1">
        <f t="array" ref="E54">IF(IF(B54="","",_xlfn.XLOOKUP(B54,'MES System'!E:E,'MES System'!N:N))=0,"",IF(B54="","",_xlfn.XLOOKUP(B54,'MES System'!E:E,'MES System'!N:N)))</f>
        <v>item</v>
      </c>
      <c r="F54" s="79" t="str" cm="1">
        <f t="array" ref="F54">IF(IF(B54="","",_xlfn.XLOOKUP(B54,'MES System'!E:E,'MES System'!O:O))=0,"",IF(B54="","",_xlfn.XLOOKUP(B54,'MES System'!E:E,'MES System'!O:O)))</f>
        <v>ItemList</v>
      </c>
      <c r="G54" s="100" t="e" cm="1">
        <f t="array" ref="G54">IF(IF(B54="","",_xlfn.XLOOKUP(B54,'MES System'!E:E,'MES System'!#REF!))=0,"",IF(B54="","",_xlfn.XLOOKUP(B54,'MES System'!E:E,'MES System'!#REF!)))</f>
        <v>#REF!</v>
      </c>
      <c r="H54" s="100" t="e" cm="1">
        <f t="array" ref="H54">IF(IF(B54="","",_xlfn.XLOOKUP(B54,'MES System'!E:E,'MES System'!#REF!))=0,"",IF(B54="","",_xlfn.XLOOKUP(B54,'MES System'!E:E,'MES System'!#REF!)))</f>
        <v>#REF!</v>
      </c>
      <c r="I54" s="100"/>
      <c r="J54" s="79" t="s">
        <v>1949</v>
      </c>
      <c r="K54" s="79" t="s">
        <v>1878</v>
      </c>
      <c r="L54" s="111" t="s">
        <v>2023</v>
      </c>
    </row>
    <row r="55" spans="1:12" ht="13">
      <c r="A55" s="1">
        <v>52</v>
      </c>
      <c r="B55" s="72">
        <v>230005</v>
      </c>
      <c r="C55" s="79" t="str" cm="1">
        <f t="array" ref="C55">IF(B55="","",_xlfn.XLOOKUP(B55,'MES System'!E:E,'MES System'!B:B))</f>
        <v xml:space="preserve">        └ (공통)가공품 변경 관리</v>
      </c>
      <c r="D55" s="79" t="str" cm="1">
        <f t="array" ref="D55">IF(IF(B55="","",_xlfn.XLOOKUP(B55,'MES System'!E:E,'MES System'!F:F))=0,"",IF(B55="","",_xlfn.XLOOKUP(B55,'MES System'!E:E,'MES System'!F:F)))</f>
        <v>가공품 변경 관리</v>
      </c>
      <c r="E55" s="79" t="str" cm="1">
        <f t="array" ref="E55">IF(IF(B55="","",_xlfn.XLOOKUP(B55,'MES System'!E:E,'MES System'!N:N))=0,"",IF(B55="","",_xlfn.XLOOKUP(B55,'MES System'!E:E,'MES System'!N:N)))</f>
        <v>item</v>
      </c>
      <c r="F55" s="79" t="str" cm="1">
        <f t="array" ref="F55">IF(IF(B55="","",_xlfn.XLOOKUP(B55,'MES System'!E:E,'MES System'!O:O))=0,"",IF(B55="","",_xlfn.XLOOKUP(B55,'MES System'!E:E,'MES System'!O:O)))</f>
        <v>EcoMast</v>
      </c>
      <c r="G55" s="100" t="e" cm="1">
        <f t="array" ref="G55">IF(IF(B55="","",_xlfn.XLOOKUP(B55,'MES System'!E:E,'MES System'!#REF!))=0,"",IF(B55="","",_xlfn.XLOOKUP(B55,'MES System'!E:E,'MES System'!#REF!)))</f>
        <v>#REF!</v>
      </c>
      <c r="H55" s="100" t="e" cm="1">
        <f t="array" ref="H55">IF(IF(B55="","",_xlfn.XLOOKUP(B55,'MES System'!E:E,'MES System'!#REF!))=0,"",IF(B55="","",_xlfn.XLOOKUP(B55,'MES System'!E:E,'MES System'!#REF!)))</f>
        <v>#REF!</v>
      </c>
      <c r="I55" s="100"/>
      <c r="J55" s="79" t="s">
        <v>1950</v>
      </c>
      <c r="K55" s="79" t="s">
        <v>1879</v>
      </c>
      <c r="L55" s="104"/>
    </row>
    <row r="56" spans="1:12" ht="13">
      <c r="A56" s="1">
        <v>53</v>
      </c>
      <c r="B56" s="72">
        <v>230006</v>
      </c>
      <c r="C56" s="79" t="str" cm="1">
        <f t="array" ref="C56">IF(B56="","",_xlfn.XLOOKUP(B56,'MES System'!E:E,'MES System'!B:B))</f>
        <v xml:space="preserve">        └ (공통)가공품 구성도 조회</v>
      </c>
      <c r="D56" s="79" t="str" cm="1">
        <f t="array" ref="D56">IF(IF(B56="","",_xlfn.XLOOKUP(B56,'MES System'!E:E,'MES System'!F:F))=0,"",IF(B56="","",_xlfn.XLOOKUP(B56,'MES System'!E:E,'MES System'!F:F)))</f>
        <v>가공품 구성도 조회</v>
      </c>
      <c r="E56" s="79" t="str" cm="1">
        <f t="array" ref="E56">IF(IF(B56="","",_xlfn.XLOOKUP(B56,'MES System'!E:E,'MES System'!N:N))=0,"",IF(B56="","",_xlfn.XLOOKUP(B56,'MES System'!E:E,'MES System'!N:N)))</f>
        <v>item</v>
      </c>
      <c r="F56" s="79" t="str" cm="1">
        <f t="array" ref="F56">IF(IF(B56="","",_xlfn.XLOOKUP(B56,'MES System'!E:E,'MES System'!O:O))=0,"",IF(B56="","",_xlfn.XLOOKUP(B56,'MES System'!E:E,'MES System'!O:O)))</f>
        <v>BomList</v>
      </c>
      <c r="G56" s="100" t="e" cm="1">
        <f t="array" ref="G56">IF(IF(B56="","",_xlfn.XLOOKUP(B56,'MES System'!E:E,'MES System'!#REF!))=0,"",IF(B56="","",_xlfn.XLOOKUP(B56,'MES System'!E:E,'MES System'!#REF!)))</f>
        <v>#REF!</v>
      </c>
      <c r="H56" s="100" t="e" cm="1">
        <f t="array" ref="H56">IF(IF(B56="","",_xlfn.XLOOKUP(B56,'MES System'!E:E,'MES System'!#REF!))=0,"",IF(B56="","",_xlfn.XLOOKUP(B56,'MES System'!E:E,'MES System'!#REF!)))</f>
        <v>#REF!</v>
      </c>
      <c r="I56" s="100"/>
      <c r="J56" s="79" t="s">
        <v>1964</v>
      </c>
      <c r="K56" s="79" t="s">
        <v>1880</v>
      </c>
      <c r="L56" s="104"/>
    </row>
    <row r="57" spans="1:12" ht="13">
      <c r="A57" s="1">
        <v>54</v>
      </c>
      <c r="B57" s="70"/>
      <c r="C57" s="80" t="str" cm="1">
        <f t="array" ref="C57">IF(B57="","",_xlfn.XLOOKUP(B57,'MES System'!E:E,'MES System'!B:B))</f>
        <v/>
      </c>
      <c r="D57" s="80" t="str" cm="1">
        <f t="array" ref="D57">IF(IF(B57="","",_xlfn.XLOOKUP(B57,'MES System'!E:E,'MES System'!F:F))=0,"",IF(B57="","",_xlfn.XLOOKUP(B57,'MES System'!E:E,'MES System'!F:F)))</f>
        <v/>
      </c>
      <c r="E57" s="80" t="str" cm="1">
        <f t="array" ref="E57">IF(IF(B57="","",_xlfn.XLOOKUP(B57,'MES System'!E:E,'MES System'!N:N))=0,"",IF(B57="","",_xlfn.XLOOKUP(B57,'MES System'!E:E,'MES System'!N:N)))</f>
        <v/>
      </c>
      <c r="F57" s="80" t="str" cm="1">
        <f t="array" ref="F57">IF(IF(B57="","",_xlfn.XLOOKUP(B57,'MES System'!E:E,'MES System'!O:O))=0,"",IF(B57="","",_xlfn.XLOOKUP(B57,'MES System'!E:E,'MES System'!O:O)))</f>
        <v/>
      </c>
      <c r="G57" s="92" t="str" cm="1">
        <f t="array" ref="G57">IF(IF(B57="","",_xlfn.XLOOKUP(B57,'MES System'!E:E,'MES System'!#REF!))=0,"",IF(B57="","",_xlfn.XLOOKUP(B57,'MES System'!E:E,'MES System'!#REF!)))</f>
        <v/>
      </c>
      <c r="H57" s="92" t="str" cm="1">
        <f t="array" ref="H57">IF(IF(B57="","",_xlfn.XLOOKUP(B57,'MES System'!E:E,'MES System'!#REF!))=0,"",IF(B57="","",_xlfn.XLOOKUP(B57,'MES System'!E:E,'MES System'!#REF!)))</f>
        <v/>
      </c>
      <c r="I57" s="92"/>
      <c r="J57" s="80"/>
      <c r="K57" s="80"/>
      <c r="L57" s="105"/>
    </row>
    <row r="58" spans="1:12" ht="13">
      <c r="A58" s="1">
        <v>55</v>
      </c>
      <c r="B58" s="68" t="s">
        <v>136</v>
      </c>
      <c r="C58" s="78" t="str" cm="1">
        <f t="array" ref="C58">IF(B58="","",_xlfn.XLOOKUP(B58,'MES System'!E:E,'MES System'!B:B))</f>
        <v xml:space="preserve">    └ 거래처정보관리</v>
      </c>
      <c r="D58" s="78" t="str" cm="1">
        <f t="array" ref="D58">IF(IF(B58="","",_xlfn.XLOOKUP(B58,'MES System'!E:E,'MES System'!F:F))=0,"",IF(B58="","",_xlfn.XLOOKUP(B58,'MES System'!E:E,'MES System'!F:F)))</f>
        <v>거래처정보관리</v>
      </c>
      <c r="E58" s="78" t="str" cm="1">
        <f t="array" ref="E58">IF(IF(B58="","",_xlfn.XLOOKUP(B58,'MES System'!E:E,'MES System'!N:N))=0,"",IF(B58="","",_xlfn.XLOOKUP(B58,'MES System'!E:E,'MES System'!N:N)))</f>
        <v/>
      </c>
      <c r="F58" s="78" t="str" cm="1">
        <f t="array" ref="F58">IF(IF(B58="","",_xlfn.XLOOKUP(B58,'MES System'!E:E,'MES System'!O:O))=0,"",IF(B58="","",_xlfn.XLOOKUP(B58,'MES System'!E:E,'MES System'!O:O)))</f>
        <v/>
      </c>
      <c r="G58" s="99" t="e" cm="1">
        <f t="array" ref="G58">IF(IF(B58="","",_xlfn.XLOOKUP(B58,'MES System'!E:E,'MES System'!#REF!))=0,"",IF(B58="","",_xlfn.XLOOKUP(B58,'MES System'!E:E,'MES System'!#REF!)))</f>
        <v>#REF!</v>
      </c>
      <c r="H58" s="99" t="e" cm="1">
        <f t="array" ref="H58">IF(IF(B58="","",_xlfn.XLOOKUP(B58,'MES System'!E:E,'MES System'!#REF!))=0,"",IF(B58="","",_xlfn.XLOOKUP(B58,'MES System'!E:E,'MES System'!#REF!)))</f>
        <v>#REF!</v>
      </c>
      <c r="I58" s="99"/>
      <c r="J58" s="78"/>
      <c r="K58" s="78"/>
      <c r="L58" s="103"/>
    </row>
    <row r="59" spans="1:12" ht="13">
      <c r="A59" s="1">
        <v>56</v>
      </c>
      <c r="B59" s="72">
        <v>240001</v>
      </c>
      <c r="C59" s="79" t="str" cm="1">
        <f t="array" ref="C59">IF(B59="","",_xlfn.XLOOKUP(B59,'MES System'!E:E,'MES System'!B:B))</f>
        <v xml:space="preserve">        └ (공통)거래처분류기준</v>
      </c>
      <c r="D59" s="79" t="str" cm="1">
        <f t="array" ref="D59">IF(IF(B59="","",_xlfn.XLOOKUP(B59,'MES System'!E:E,'MES System'!F:F))=0,"",IF(B59="","",_xlfn.XLOOKUP(B59,'MES System'!E:E,'MES System'!F:F)))</f>
        <v>거래처분류기준</v>
      </c>
      <c r="E59" s="79" t="str" cm="1">
        <f t="array" ref="E59">IF(IF(B59="","",_xlfn.XLOOKUP(B59,'MES System'!E:E,'MES System'!N:N))=0,"",IF(B59="","",_xlfn.XLOOKUP(B59,'MES System'!E:E,'MES System'!N:N)))</f>
        <v>cust</v>
      </c>
      <c r="F59" s="79" t="str" cm="1">
        <f t="array" ref="F59">IF(IF(B59="","",_xlfn.XLOOKUP(B59,'MES System'!E:E,'MES System'!O:O))=0,"",IF(B59="","",_xlfn.XLOOKUP(B59,'MES System'!E:E,'MES System'!O:O)))</f>
        <v>CstmClass</v>
      </c>
      <c r="G59" s="100" t="e" cm="1">
        <f t="array" ref="G59">IF(IF(B59="","",_xlfn.XLOOKUP(B59,'MES System'!E:E,'MES System'!#REF!))=0,"",IF(B59="","",_xlfn.XLOOKUP(B59,'MES System'!E:E,'MES System'!#REF!)))</f>
        <v>#REF!</v>
      </c>
      <c r="H59" s="100" t="e" cm="1">
        <f t="array" ref="H59">IF(IF(B59="","",_xlfn.XLOOKUP(B59,'MES System'!E:E,'MES System'!#REF!))=0,"",IF(B59="","",_xlfn.XLOOKUP(B59,'MES System'!E:E,'MES System'!#REF!)))</f>
        <v>#REF!</v>
      </c>
      <c r="I59" s="100"/>
      <c r="J59" s="79"/>
      <c r="K59" s="79"/>
      <c r="L59" s="115"/>
    </row>
    <row r="60" spans="1:12" ht="78">
      <c r="A60" s="1">
        <v>56</v>
      </c>
      <c r="B60" s="72">
        <v>240002</v>
      </c>
      <c r="C60" s="79" t="str" cm="1">
        <f t="array" ref="C60">IF(B60="","",_xlfn.XLOOKUP(B60,'MES System'!E:E,'MES System'!B:B))</f>
        <v xml:space="preserve">        └ (공통)거래처코드관리</v>
      </c>
      <c r="D60" s="79" t="str" cm="1">
        <f t="array" ref="D60">IF(IF(B60="","",_xlfn.XLOOKUP(B60,'MES System'!E:E,'MES System'!F:F))=0,"",IF(B60="","",_xlfn.XLOOKUP(B60,'MES System'!E:E,'MES System'!F:F)))</f>
        <v>거래처코드관리</v>
      </c>
      <c r="E60" s="79" t="str" cm="1">
        <f t="array" ref="E60">IF(IF(B60="","",_xlfn.XLOOKUP(B60,'MES System'!E:E,'MES System'!N:N))=0,"",IF(B60="","",_xlfn.XLOOKUP(B60,'MES System'!E:E,'MES System'!N:N)))</f>
        <v>cust</v>
      </c>
      <c r="F60" s="79" t="str" cm="1">
        <f t="array" ref="F60">IF(IF(B60="","",_xlfn.XLOOKUP(B60,'MES System'!E:E,'MES System'!O:O))=0,"",IF(B60="","",_xlfn.XLOOKUP(B60,'MES System'!E:E,'MES System'!O:O)))</f>
        <v>CstmMast</v>
      </c>
      <c r="G60" s="100" t="e" cm="1">
        <f t="array" ref="G60">IF(IF(B60="","",_xlfn.XLOOKUP(B60,'MES System'!E:E,'MES System'!#REF!))=0,"",IF(B60="","",_xlfn.XLOOKUP(B60,'MES System'!E:E,'MES System'!#REF!)))</f>
        <v>#REF!</v>
      </c>
      <c r="H60" s="100" t="e" cm="1">
        <f t="array" ref="H60">IF(IF(B60="","",_xlfn.XLOOKUP(B60,'MES System'!E:E,'MES System'!#REF!))=0,"",IF(B60="","",_xlfn.XLOOKUP(B60,'MES System'!E:E,'MES System'!#REF!)))</f>
        <v>#REF!</v>
      </c>
      <c r="I60" s="100"/>
      <c r="J60" s="79"/>
      <c r="K60" s="79" t="s">
        <v>1861</v>
      </c>
      <c r="L60" s="110" t="s">
        <v>2020</v>
      </c>
    </row>
    <row r="61" spans="1:12" ht="78">
      <c r="A61" s="1">
        <v>57</v>
      </c>
      <c r="B61" s="72">
        <v>240003</v>
      </c>
      <c r="C61" s="79" t="str" cm="1">
        <f t="array" ref="C61">IF(B61="","",_xlfn.XLOOKUP(B61,'MES System'!E:E,'MES System'!B:B))</f>
        <v xml:space="preserve">        └ (공통)거래처리스트</v>
      </c>
      <c r="D61" s="79" t="str" cm="1">
        <f t="array" ref="D61">IF(IF(B61="","",_xlfn.XLOOKUP(B61,'MES System'!E:E,'MES System'!F:F))=0,"",IF(B61="","",_xlfn.XLOOKUP(B61,'MES System'!E:E,'MES System'!F:F)))</f>
        <v>거래처리스트</v>
      </c>
      <c r="E61" s="79" t="str" cm="1">
        <f t="array" ref="E61">IF(IF(B61="","",_xlfn.XLOOKUP(B61,'MES System'!E:E,'MES System'!N:N))=0,"",IF(B61="","",_xlfn.XLOOKUP(B61,'MES System'!E:E,'MES System'!N:N)))</f>
        <v>cust</v>
      </c>
      <c r="F61" s="79" t="str" cm="1">
        <f t="array" ref="F61">IF(IF(B61="","",_xlfn.XLOOKUP(B61,'MES System'!E:E,'MES System'!O:O))=0,"",IF(B61="","",_xlfn.XLOOKUP(B61,'MES System'!E:E,'MES System'!O:O)))</f>
        <v>CstmList</v>
      </c>
      <c r="G61" s="100" t="e" cm="1">
        <f t="array" ref="G61">IF(IF(B61="","",_xlfn.XLOOKUP(B61,'MES System'!E:E,'MES System'!#REF!))=0,"",IF(B61="","",_xlfn.XLOOKUP(B61,'MES System'!E:E,'MES System'!#REF!)))</f>
        <v>#REF!</v>
      </c>
      <c r="H61" s="100" t="e" cm="1">
        <f t="array" ref="H61">IF(IF(B61="","",_xlfn.XLOOKUP(B61,'MES System'!E:E,'MES System'!#REF!))=0,"",IF(B61="","",_xlfn.XLOOKUP(B61,'MES System'!E:E,'MES System'!#REF!)))</f>
        <v>#REF!</v>
      </c>
      <c r="I61" s="100"/>
      <c r="J61" s="79"/>
      <c r="K61" s="79" t="s">
        <v>1862</v>
      </c>
      <c r="L61" s="110" t="s">
        <v>2022</v>
      </c>
    </row>
    <row r="62" spans="1:12" ht="13">
      <c r="A62" s="1">
        <v>58</v>
      </c>
      <c r="B62" s="70"/>
      <c r="C62" s="80" t="str" cm="1">
        <f t="array" ref="C62">IF(B62="","",_xlfn.XLOOKUP(B62,'MES System'!E:E,'MES System'!B:B))</f>
        <v/>
      </c>
      <c r="D62" s="80" t="str" cm="1">
        <f t="array" ref="D62">IF(IF(B62="","",_xlfn.XLOOKUP(B62,'MES System'!E:E,'MES System'!F:F))=0,"",IF(B62="","",_xlfn.XLOOKUP(B62,'MES System'!E:E,'MES System'!F:F)))</f>
        <v/>
      </c>
      <c r="E62" s="80" t="str" cm="1">
        <f t="array" ref="E62">IF(IF(B62="","",_xlfn.XLOOKUP(B62,'MES System'!E:E,'MES System'!N:N))=0,"",IF(B62="","",_xlfn.XLOOKUP(B62,'MES System'!E:E,'MES System'!N:N)))</f>
        <v/>
      </c>
      <c r="F62" s="80" t="str" cm="1">
        <f t="array" ref="F62">IF(IF(B62="","",_xlfn.XLOOKUP(B62,'MES System'!E:E,'MES System'!O:O))=0,"",IF(B62="","",_xlfn.XLOOKUP(B62,'MES System'!E:E,'MES System'!O:O)))</f>
        <v/>
      </c>
      <c r="G62" s="92" t="str" cm="1">
        <f t="array" ref="G62">IF(IF(B62="","",_xlfn.XLOOKUP(B62,'MES System'!E:E,'MES System'!#REF!))=0,"",IF(B62="","",_xlfn.XLOOKUP(B62,'MES System'!E:E,'MES System'!#REF!)))</f>
        <v/>
      </c>
      <c r="H62" s="92" t="str" cm="1">
        <f t="array" ref="H62">IF(IF(B62="","",_xlfn.XLOOKUP(B62,'MES System'!E:E,'MES System'!#REF!))=0,"",IF(B62="","",_xlfn.XLOOKUP(B62,'MES System'!E:E,'MES System'!#REF!)))</f>
        <v/>
      </c>
      <c r="I62" s="92"/>
      <c r="J62" s="80"/>
      <c r="K62" s="80"/>
      <c r="L62" s="105"/>
    </row>
    <row r="63" spans="1:12" ht="13">
      <c r="A63" s="1">
        <v>59</v>
      </c>
      <c r="B63" s="68" t="s">
        <v>163</v>
      </c>
      <c r="C63" s="78" t="str" cm="1">
        <f t="array" ref="C63">IF(B63="","",_xlfn.XLOOKUP(B63,'MES System'!E:E,'MES System'!B:B))</f>
        <v xml:space="preserve">  └ 영업관리</v>
      </c>
      <c r="D63" s="78" t="str" cm="1">
        <f t="array" ref="D63">IF(IF(B63="","",_xlfn.XLOOKUP(B63,'MES System'!E:E,'MES System'!F:F))=0,"",IF(B63="","",_xlfn.XLOOKUP(B63,'MES System'!E:E,'MES System'!F:F)))</f>
        <v>영업관리</v>
      </c>
      <c r="E63" s="78" t="str" cm="1">
        <f t="array" ref="E63">IF(IF(B63="","",_xlfn.XLOOKUP(B63,'MES System'!E:E,'MES System'!N:N))=0,"",IF(B63="","",_xlfn.XLOOKUP(B63,'MES System'!E:E,'MES System'!N:N)))</f>
        <v/>
      </c>
      <c r="F63" s="78" t="str" cm="1">
        <f t="array" ref="F63">IF(IF(B63="","",_xlfn.XLOOKUP(B63,'MES System'!E:E,'MES System'!O:O))=0,"",IF(B63="","",_xlfn.XLOOKUP(B63,'MES System'!E:E,'MES System'!O:O)))</f>
        <v/>
      </c>
      <c r="G63" s="99" t="e" cm="1">
        <f t="array" ref="G63">IF(IF(B63="","",_xlfn.XLOOKUP(B63,'MES System'!E:E,'MES System'!#REF!))=0,"",IF(B63="","",_xlfn.XLOOKUP(B63,'MES System'!E:E,'MES System'!#REF!)))</f>
        <v>#REF!</v>
      </c>
      <c r="H63" s="99" t="e" cm="1">
        <f t="array" ref="H63">IF(IF(B63="","",_xlfn.XLOOKUP(B63,'MES System'!E:E,'MES System'!#REF!))=0,"",IF(B63="","",_xlfn.XLOOKUP(B63,'MES System'!E:E,'MES System'!#REF!)))</f>
        <v>#REF!</v>
      </c>
      <c r="I63" s="99"/>
      <c r="J63" s="78"/>
      <c r="K63" s="78"/>
      <c r="L63" s="103"/>
    </row>
    <row r="64" spans="1:12" ht="13">
      <c r="A64" s="1">
        <v>60</v>
      </c>
      <c r="B64" s="72">
        <v>251000</v>
      </c>
      <c r="C64" s="79" t="str" cm="1">
        <f t="array" ref="C64">IF(B64="","",_xlfn.XLOOKUP(B64,'MES System'!E:E,'MES System'!B:B))</f>
        <v xml:space="preserve">    └ 영업기초</v>
      </c>
      <c r="D64" s="79" t="str" cm="1">
        <f t="array" ref="D64">IF(IF(B64="","",_xlfn.XLOOKUP(B64,'MES System'!E:E,'MES System'!F:F))=0,"",IF(B64="","",_xlfn.XLOOKUP(B64,'MES System'!E:E,'MES System'!F:F)))</f>
        <v>영업기초</v>
      </c>
      <c r="E64" s="79" t="str" cm="1">
        <f t="array" ref="E64">IF(IF(B64="","",_xlfn.XLOOKUP(B64,'MES System'!E:E,'MES System'!N:N))=0,"",IF(B64="","",_xlfn.XLOOKUP(B64,'MES System'!E:E,'MES System'!N:N)))</f>
        <v/>
      </c>
      <c r="F64" s="79" t="str" cm="1">
        <f t="array" ref="F64">IF(IF(B64="","",_xlfn.XLOOKUP(B64,'MES System'!E:E,'MES System'!O:O))=0,"",IF(B64="","",_xlfn.XLOOKUP(B64,'MES System'!E:E,'MES System'!O:O)))</f>
        <v/>
      </c>
      <c r="G64" s="100" t="e" cm="1">
        <f t="array" ref="G64">IF(IF(B64="","",_xlfn.XLOOKUP(B64,'MES System'!E:E,'MES System'!#REF!))=0,"",IF(B64="","",_xlfn.XLOOKUP(B64,'MES System'!E:E,'MES System'!#REF!)))</f>
        <v>#REF!</v>
      </c>
      <c r="H64" s="100" t="e" cm="1">
        <f t="array" ref="H64">IF(IF(B64="","",_xlfn.XLOOKUP(B64,'MES System'!E:E,'MES System'!#REF!))=0,"",IF(B64="","",_xlfn.XLOOKUP(B64,'MES System'!E:E,'MES System'!#REF!)))</f>
        <v>#REF!</v>
      </c>
      <c r="I64" s="100"/>
      <c r="J64" s="79"/>
      <c r="K64" s="79"/>
      <c r="L64" s="104"/>
    </row>
    <row r="65" spans="1:12" ht="13">
      <c r="A65" s="1">
        <v>61</v>
      </c>
      <c r="B65" s="70">
        <v>250001</v>
      </c>
      <c r="C65" s="80" t="str" cm="1">
        <f t="array" ref="C65">IF(B65="","",_xlfn.XLOOKUP(B65,'MES System'!E:E,'MES System'!B:B))</f>
        <v xml:space="preserve">        └ (공통)계약사항 관리</v>
      </c>
      <c r="D65" s="80" t="str" cm="1">
        <f t="array" ref="D65">IF(IF(B65="","",_xlfn.XLOOKUP(B65,'MES System'!E:E,'MES System'!F:F))=0,"",IF(B65="","",_xlfn.XLOOKUP(B65,'MES System'!E:E,'MES System'!F:F)))</f>
        <v>계약사항 관리</v>
      </c>
      <c r="E65" s="80" t="str" cm="1">
        <f t="array" ref="E65">IF(IF(B65="","",_xlfn.XLOOKUP(B65,'MES System'!E:E,'MES System'!N:N))=0,"",IF(B65="","",_xlfn.XLOOKUP(B65,'MES System'!E:E,'MES System'!N:N)))</f>
        <v>sale.basic</v>
      </c>
      <c r="F65" s="80" t="str" cm="1">
        <f t="array" ref="F65">IF(IF(B65="","",_xlfn.XLOOKUP(B65,'MES System'!E:E,'MES System'!O:O))=0,"",IF(B65="","",_xlfn.XLOOKUP(B65,'MES System'!E:E,'MES System'!O:O)))</f>
        <v>ItemSales</v>
      </c>
      <c r="G65" s="92" t="e" cm="1">
        <f t="array" ref="G65">IF(IF(B65="","",_xlfn.XLOOKUP(B65,'MES System'!E:E,'MES System'!#REF!))=0,"",IF(B65="","",_xlfn.XLOOKUP(B65,'MES System'!E:E,'MES System'!#REF!)))</f>
        <v>#REF!</v>
      </c>
      <c r="H65" s="92" t="e" cm="1">
        <f t="array" ref="H65">IF(IF(B65="","",_xlfn.XLOOKUP(B65,'MES System'!E:E,'MES System'!#REF!))=0,"",IF(B65="","",_xlfn.XLOOKUP(B65,'MES System'!E:E,'MES System'!#REF!)))</f>
        <v>#REF!</v>
      </c>
      <c r="I65" s="92"/>
      <c r="J65" s="80"/>
      <c r="K65" s="80" t="s">
        <v>1881</v>
      </c>
      <c r="L65" s="105"/>
    </row>
    <row r="66" spans="1:12" ht="52">
      <c r="A66" s="1">
        <v>61</v>
      </c>
      <c r="B66" s="70">
        <v>250002</v>
      </c>
      <c r="C66" s="80" t="str" cm="1">
        <f t="array" ref="C66">IF(B66="","",_xlfn.XLOOKUP(B66,'MES System'!E:E,'MES System'!B:B))</f>
        <v xml:space="preserve">        └ (공통)거래처 방문일지</v>
      </c>
      <c r="D66" s="80" t="str" cm="1">
        <f t="array" ref="D66">IF(IF(B66="","",_xlfn.XLOOKUP(B66,'MES System'!E:E,'MES System'!F:F))=0,"",IF(B66="","",_xlfn.XLOOKUP(B66,'MES System'!E:E,'MES System'!F:F)))</f>
        <v>거래처 방문일지</v>
      </c>
      <c r="E66" s="80" t="str" cm="1">
        <f t="array" ref="E66">IF(IF(B66="","",_xlfn.XLOOKUP(B66,'MES System'!E:E,'MES System'!N:N))=0,"",IF(B66="","",_xlfn.XLOOKUP(B66,'MES System'!E:E,'MES System'!N:N)))</f>
        <v>cust</v>
      </c>
      <c r="F66" s="80" t="str" cm="1">
        <f t="array" ref="F66">IF(IF(B66="","",_xlfn.XLOOKUP(B66,'MES System'!E:E,'MES System'!O:O))=0,"",IF(B66="","",_xlfn.XLOOKUP(B66,'MES System'!E:E,'MES System'!O:O)))</f>
        <v>CstmVist</v>
      </c>
      <c r="G66" s="92" t="e" cm="1">
        <f t="array" ref="G66">IF(IF(B66="","",_xlfn.XLOOKUP(B66,'MES System'!E:E,'MES System'!#REF!))=0,"",IF(B66="","",_xlfn.XLOOKUP(B66,'MES System'!E:E,'MES System'!#REF!)))</f>
        <v>#REF!</v>
      </c>
      <c r="H66" s="92" t="e" cm="1">
        <f t="array" ref="H66">IF(IF(B66="","",_xlfn.XLOOKUP(B66,'MES System'!E:E,'MES System'!#REF!))=0,"",IF(B66="","",_xlfn.XLOOKUP(B66,'MES System'!E:E,'MES System'!#REF!)))</f>
        <v>#REF!</v>
      </c>
      <c r="I66" s="92"/>
      <c r="J66" s="80" t="s">
        <v>1949</v>
      </c>
      <c r="K66" s="96" t="s">
        <v>1971</v>
      </c>
      <c r="L66" s="108" t="s">
        <v>2021</v>
      </c>
    </row>
    <row r="67" spans="1:12" ht="13">
      <c r="A67" s="1">
        <v>62</v>
      </c>
      <c r="B67" s="70"/>
      <c r="C67" s="80" t="str" cm="1">
        <f t="array" ref="C67">IF(B67="","",_xlfn.XLOOKUP(B67,'MES System'!E:E,'MES System'!B:B))</f>
        <v/>
      </c>
      <c r="D67" s="80" t="str" cm="1">
        <f t="array" ref="D67">IF(IF(B67="","",_xlfn.XLOOKUP(B67,'MES System'!E:E,'MES System'!F:F))=0,"",IF(B67="","",_xlfn.XLOOKUP(B67,'MES System'!E:E,'MES System'!F:F)))</f>
        <v/>
      </c>
      <c r="E67" s="80" t="str" cm="1">
        <f t="array" ref="E67">IF(IF(B67="","",_xlfn.XLOOKUP(B67,'MES System'!E:E,'MES System'!N:N))=0,"",IF(B67="","",_xlfn.XLOOKUP(B67,'MES System'!E:E,'MES System'!N:N)))</f>
        <v/>
      </c>
      <c r="F67" s="80" t="str" cm="1">
        <f t="array" ref="F67">IF(IF(B67="","",_xlfn.XLOOKUP(B67,'MES System'!E:E,'MES System'!O:O))=0,"",IF(B67="","",_xlfn.XLOOKUP(B67,'MES System'!E:E,'MES System'!O:O)))</f>
        <v/>
      </c>
      <c r="G67" s="92" t="str" cm="1">
        <f t="array" ref="G67">IF(IF(B67="","",_xlfn.XLOOKUP(B67,'MES System'!E:E,'MES System'!#REF!))=0,"",IF(B67="","",_xlfn.XLOOKUP(B67,'MES System'!E:E,'MES System'!#REF!)))</f>
        <v/>
      </c>
      <c r="H67" s="92" t="str" cm="1">
        <f t="array" ref="H67">IF(IF(B67="","",_xlfn.XLOOKUP(B67,'MES System'!E:E,'MES System'!#REF!))=0,"",IF(B67="","",_xlfn.XLOOKUP(B67,'MES System'!E:E,'MES System'!#REF!)))</f>
        <v/>
      </c>
      <c r="I67" s="92"/>
      <c r="J67" s="80"/>
      <c r="K67" s="80"/>
      <c r="L67" s="105"/>
    </row>
    <row r="68" spans="1:12" ht="13">
      <c r="A68" s="1">
        <v>63</v>
      </c>
      <c r="B68" s="72" t="s">
        <v>167</v>
      </c>
      <c r="C68" s="79" t="str" cm="1">
        <f t="array" ref="C68">IF(B68="","",_xlfn.XLOOKUP(B68,'MES System'!E:E,'MES System'!B:B))</f>
        <v xml:space="preserve">    └ 영업오더관리</v>
      </c>
      <c r="D68" s="79" t="str" cm="1">
        <f t="array" ref="D68">IF(IF(B68="","",_xlfn.XLOOKUP(B68,'MES System'!E:E,'MES System'!F:F))=0,"",IF(B68="","",_xlfn.XLOOKUP(B68,'MES System'!E:E,'MES System'!F:F)))</f>
        <v>영업오더관리</v>
      </c>
      <c r="E68" s="79" t="str" cm="1">
        <f t="array" ref="E68">IF(IF(B68="","",_xlfn.XLOOKUP(B68,'MES System'!E:E,'MES System'!N:N))=0,"",IF(B68="","",_xlfn.XLOOKUP(B68,'MES System'!E:E,'MES System'!N:N)))</f>
        <v/>
      </c>
      <c r="F68" s="79" t="str" cm="1">
        <f t="array" ref="F68">IF(IF(B68="","",_xlfn.XLOOKUP(B68,'MES System'!E:E,'MES System'!O:O))=0,"",IF(B68="","",_xlfn.XLOOKUP(B68,'MES System'!E:E,'MES System'!O:O)))</f>
        <v/>
      </c>
      <c r="G68" s="100" t="e" cm="1">
        <f t="array" ref="G68">IF(IF(B68="","",_xlfn.XLOOKUP(B68,'MES System'!E:E,'MES System'!#REF!))=0,"",IF(B68="","",_xlfn.XLOOKUP(B68,'MES System'!E:E,'MES System'!#REF!)))</f>
        <v>#REF!</v>
      </c>
      <c r="H68" s="100" t="e" cm="1">
        <f t="array" ref="H68">IF(IF(B68="","",_xlfn.XLOOKUP(B68,'MES System'!E:E,'MES System'!#REF!))=0,"",IF(B68="","",_xlfn.XLOOKUP(B68,'MES System'!E:E,'MES System'!#REF!)))</f>
        <v>#REF!</v>
      </c>
      <c r="I68" s="100"/>
      <c r="J68" s="79"/>
      <c r="K68" s="79"/>
      <c r="L68" s="104"/>
    </row>
    <row r="69" spans="1:12" ht="13">
      <c r="A69" s="1">
        <v>64</v>
      </c>
      <c r="B69" s="70">
        <v>252001</v>
      </c>
      <c r="C69" s="80" t="str" cm="1">
        <f t="array" ref="C69">IF(B69="","",_xlfn.XLOOKUP(B69,'MES System'!E:E,'MES System'!B:B))</f>
        <v xml:space="preserve">        └ (공통)견적서관리</v>
      </c>
      <c r="D69" s="80" t="str" cm="1">
        <f t="array" ref="D69">IF(IF(B69="","",_xlfn.XLOOKUP(B69,'MES System'!E:E,'MES System'!F:F))=0,"",IF(B69="","",_xlfn.XLOOKUP(B69,'MES System'!E:E,'MES System'!F:F)))</f>
        <v>견적서관리</v>
      </c>
      <c r="E69" s="80" t="str" cm="1">
        <f t="array" ref="E69">IF(IF(B69="","",_xlfn.XLOOKUP(B69,'MES System'!E:E,'MES System'!N:N))=0,"",IF(B69="","",_xlfn.XLOOKUP(B69,'MES System'!E:E,'MES System'!N:N)))</f>
        <v>sale.order</v>
      </c>
      <c r="F69" s="80" t="str" cm="1">
        <f t="array" ref="F69">IF(IF(B69="","",_xlfn.XLOOKUP(B69,'MES System'!E:E,'MES System'!O:O))=0,"",IF(B69="","",_xlfn.XLOOKUP(B69,'MES System'!E:E,'MES System'!O:O)))</f>
        <v>EstiMast</v>
      </c>
      <c r="G69" s="92" t="e" cm="1">
        <f t="array" ref="G69">IF(IF(B69="","",_xlfn.XLOOKUP(B69,'MES System'!E:E,'MES System'!#REF!))=0,"",IF(B69="","",_xlfn.XLOOKUP(B69,'MES System'!E:E,'MES System'!#REF!)))</f>
        <v>#REF!</v>
      </c>
      <c r="H69" s="92" t="e" cm="1">
        <f t="array" ref="H69">IF(IF(B69="","",_xlfn.XLOOKUP(B69,'MES System'!E:E,'MES System'!#REF!))=0,"",IF(B69="","",_xlfn.XLOOKUP(B69,'MES System'!E:E,'MES System'!#REF!)))</f>
        <v>#REF!</v>
      </c>
      <c r="I69" s="92"/>
      <c r="J69" s="80"/>
      <c r="K69" s="80" t="s">
        <v>1835</v>
      </c>
      <c r="L69" s="105"/>
    </row>
    <row r="70" spans="1:12" ht="26">
      <c r="A70" s="1">
        <v>64</v>
      </c>
      <c r="B70" s="70">
        <v>252002</v>
      </c>
      <c r="C70" s="80" t="e" cm="1">
        <f t="array" ref="C70">IF(B70="","",_xlfn.XLOOKUP(B70,'MES System'!E:E,'MES System'!B:B))</f>
        <v>#N/A</v>
      </c>
      <c r="D70" s="80" t="e" cm="1">
        <f t="array" ref="D70">IF(IF(B70="","",_xlfn.XLOOKUP(B70,'MES System'!E:E,'MES System'!F:F))=0,"",IF(B70="","",_xlfn.XLOOKUP(B70,'MES System'!E:E,'MES System'!F:F)))</f>
        <v>#N/A</v>
      </c>
      <c r="E70" s="80" t="e" cm="1">
        <f t="array" ref="E70">IF(IF(B70="","",_xlfn.XLOOKUP(B70,'MES System'!E:E,'MES System'!N:N))=0,"",IF(B70="","",_xlfn.XLOOKUP(B70,'MES System'!E:E,'MES System'!N:N)))</f>
        <v>#N/A</v>
      </c>
      <c r="F70" s="80" t="e" cm="1">
        <f t="array" ref="F70">IF(IF(B70="","",_xlfn.XLOOKUP(B70,'MES System'!E:E,'MES System'!O:O))=0,"",IF(B70="","",_xlfn.XLOOKUP(B70,'MES System'!E:E,'MES System'!O:O)))</f>
        <v>#N/A</v>
      </c>
      <c r="G70" s="92" t="e" cm="1">
        <f t="array" ref="G70">IF(IF(B70="","",_xlfn.XLOOKUP(B70,'MES System'!E:E,'MES System'!#REF!))=0,"",IF(B70="","",_xlfn.XLOOKUP(B70,'MES System'!E:E,'MES System'!#REF!)))</f>
        <v>#REF!</v>
      </c>
      <c r="H70" s="92" t="e" cm="1">
        <f t="array" ref="H70">IF(IF(B70="","",_xlfn.XLOOKUP(B70,'MES System'!E:E,'MES System'!#REF!))=0,"",IF(B70="","",_xlfn.XLOOKUP(B70,'MES System'!E:E,'MES System'!#REF!)))</f>
        <v>#REF!</v>
      </c>
      <c r="I70" s="92"/>
      <c r="J70" s="80" t="s">
        <v>1951</v>
      </c>
      <c r="K70" s="96" t="s">
        <v>1997</v>
      </c>
      <c r="L70" s="105"/>
    </row>
    <row r="71" spans="1:12" ht="68">
      <c r="A71" s="1">
        <v>64</v>
      </c>
      <c r="B71" s="70">
        <v>252003</v>
      </c>
      <c r="C71" s="80" t="e" cm="1">
        <f t="array" ref="C71">IF(B71="","",_xlfn.XLOOKUP(B71,'MES System'!E:E,'MES System'!B:B))</f>
        <v>#N/A</v>
      </c>
      <c r="D71" s="80" t="e" cm="1">
        <f t="array" ref="D71">IF(IF(B71="","",_xlfn.XLOOKUP(B71,'MES System'!E:E,'MES System'!F:F))=0,"",IF(B71="","",_xlfn.XLOOKUP(B71,'MES System'!E:E,'MES System'!F:F)))</f>
        <v>#N/A</v>
      </c>
      <c r="E71" s="80" t="e" cm="1">
        <f t="array" ref="E71">IF(IF(B71="","",_xlfn.XLOOKUP(B71,'MES System'!E:E,'MES System'!N:N))=0,"",IF(B71="","",_xlfn.XLOOKUP(B71,'MES System'!E:E,'MES System'!N:N)))</f>
        <v>#N/A</v>
      </c>
      <c r="F71" s="80" t="e" cm="1">
        <f t="array" ref="F71">IF(IF(B71="","",_xlfn.XLOOKUP(B71,'MES System'!E:E,'MES System'!O:O))=0,"",IF(B71="","",_xlfn.XLOOKUP(B71,'MES System'!E:E,'MES System'!O:O)))</f>
        <v>#N/A</v>
      </c>
      <c r="G71" s="92" t="e" cm="1">
        <f t="array" ref="G71">IF(IF(B71="","",_xlfn.XLOOKUP(B71,'MES System'!E:E,'MES System'!#REF!))=0,"",IF(B71="","",_xlfn.XLOOKUP(B71,'MES System'!E:E,'MES System'!#REF!)))</f>
        <v>#REF!</v>
      </c>
      <c r="H71" s="92" t="e" cm="1">
        <f t="array" ref="H71">IF(IF(B71="","",_xlfn.XLOOKUP(B71,'MES System'!E:E,'MES System'!#REF!))=0,"",IF(B71="","",_xlfn.XLOOKUP(B71,'MES System'!E:E,'MES System'!#REF!)))</f>
        <v>#REF!</v>
      </c>
      <c r="I71" s="92"/>
      <c r="J71" s="80" t="s">
        <v>1949</v>
      </c>
      <c r="K71" s="96" t="s">
        <v>2004</v>
      </c>
      <c r="L71" s="106" t="s">
        <v>1976</v>
      </c>
    </row>
    <row r="72" spans="1:12" ht="39">
      <c r="A72" s="1">
        <v>64</v>
      </c>
      <c r="B72" s="70">
        <v>252004</v>
      </c>
      <c r="C72" s="80" t="e" cm="1">
        <f t="array" ref="C72">IF(B72="","",_xlfn.XLOOKUP(B72,'MES System'!E:E,'MES System'!B:B))</f>
        <v>#N/A</v>
      </c>
      <c r="D72" s="80" t="e" cm="1">
        <f t="array" ref="D72">IF(IF(B72="","",_xlfn.XLOOKUP(B72,'MES System'!E:E,'MES System'!F:F))=0,"",IF(B72="","",_xlfn.XLOOKUP(B72,'MES System'!E:E,'MES System'!F:F)))</f>
        <v>#N/A</v>
      </c>
      <c r="E72" s="80" t="e" cm="1">
        <f t="array" ref="E72">IF(IF(B72="","",_xlfn.XLOOKUP(B72,'MES System'!E:E,'MES System'!N:N))=0,"",IF(B72="","",_xlfn.XLOOKUP(B72,'MES System'!E:E,'MES System'!N:N)))</f>
        <v>#N/A</v>
      </c>
      <c r="F72" s="80" t="e" cm="1">
        <f t="array" ref="F72">IF(IF(B72="","",_xlfn.XLOOKUP(B72,'MES System'!E:E,'MES System'!O:O))=0,"",IF(B72="","",_xlfn.XLOOKUP(B72,'MES System'!E:E,'MES System'!O:O)))</f>
        <v>#N/A</v>
      </c>
      <c r="G72" s="92" t="e" cm="1">
        <f t="array" ref="G72">IF(IF(B72="","",_xlfn.XLOOKUP(B72,'MES System'!E:E,'MES System'!#REF!))=0,"",IF(B72="","",_xlfn.XLOOKUP(B72,'MES System'!E:E,'MES System'!#REF!)))</f>
        <v>#REF!</v>
      </c>
      <c r="H72" s="92" t="e" cm="1">
        <f t="array" ref="H72">IF(IF(B72="","",_xlfn.XLOOKUP(B72,'MES System'!E:E,'MES System'!#REF!))=0,"",IF(B72="","",_xlfn.XLOOKUP(B72,'MES System'!E:E,'MES System'!#REF!)))</f>
        <v>#REF!</v>
      </c>
      <c r="I72" s="92"/>
      <c r="J72" s="80" t="s">
        <v>1950</v>
      </c>
      <c r="K72" s="80" t="s">
        <v>1833</v>
      </c>
      <c r="L72" s="108" t="s">
        <v>1952</v>
      </c>
    </row>
    <row r="73" spans="1:12" ht="13">
      <c r="A73" s="1">
        <v>64</v>
      </c>
      <c r="B73" s="70">
        <v>252005</v>
      </c>
      <c r="C73" s="80" t="str" cm="1">
        <f t="array" ref="C73">IF(B73="","",_xlfn.XLOOKUP(B73,'MES System'!E:E,'MES System'!B:B))</f>
        <v xml:space="preserve">        └ (선택)진행관리</v>
      </c>
      <c r="D73" s="80" t="str" cm="1">
        <f t="array" ref="D73">IF(IF(B73="","",_xlfn.XLOOKUP(B73,'MES System'!E:E,'MES System'!F:F))=0,"",IF(B73="","",_xlfn.XLOOKUP(B73,'MES System'!E:E,'MES System'!F:F)))</f>
        <v>진행관리</v>
      </c>
      <c r="E73" s="80" t="str" cm="1">
        <f t="array" ref="E73">IF(IF(B73="","",_xlfn.XLOOKUP(B73,'MES System'!E:E,'MES System'!N:N))=0,"",IF(B73="","",_xlfn.XLOOKUP(B73,'MES System'!E:E,'MES System'!N:N)))</f>
        <v>sale.project</v>
      </c>
      <c r="F73" s="80" t="str" cm="1">
        <f t="array" ref="F73">IF(IF(B73="","",_xlfn.XLOOKUP(B73,'MES System'!E:E,'MES System'!O:O))=0,"",IF(B73="","",_xlfn.XLOOKUP(B73,'MES System'!E:E,'MES System'!O:O)))</f>
        <v>PrjtProcess</v>
      </c>
      <c r="G73" s="92" t="e" cm="1">
        <f t="array" ref="G73">IF(IF(B73="","",_xlfn.XLOOKUP(B73,'MES System'!E:E,'MES System'!#REF!))=0,"",IF(B73="","",_xlfn.XLOOKUP(B73,'MES System'!E:E,'MES System'!#REF!)))</f>
        <v>#REF!</v>
      </c>
      <c r="H73" s="92" t="e" cm="1">
        <f t="array" ref="H73">IF(IF(B73="","",_xlfn.XLOOKUP(B73,'MES System'!E:E,'MES System'!#REF!))=0,"",IF(B73="","",_xlfn.XLOOKUP(B73,'MES System'!E:E,'MES System'!#REF!)))</f>
        <v>#REF!</v>
      </c>
      <c r="I73" s="92"/>
      <c r="J73" s="80" t="s">
        <v>1951</v>
      </c>
      <c r="K73" s="80" t="s">
        <v>1834</v>
      </c>
      <c r="L73" s="105" t="s">
        <v>2003</v>
      </c>
    </row>
    <row r="74" spans="1:12" ht="13">
      <c r="A74" s="1">
        <v>65</v>
      </c>
      <c r="B74" s="70">
        <v>252006</v>
      </c>
      <c r="C74" s="80" t="str" cm="1">
        <f t="array" ref="C74">IF(B74="","",_xlfn.XLOOKUP(B74,'MES System'!E:E,'MES System'!B:B))</f>
        <v xml:space="preserve">        └ (공통)주문오더관리</v>
      </c>
      <c r="D74" s="80" t="str" cm="1">
        <f t="array" ref="D74">IF(IF(B74="","",_xlfn.XLOOKUP(B74,'MES System'!E:E,'MES System'!F:F))=0,"",IF(B74="","",_xlfn.XLOOKUP(B74,'MES System'!E:E,'MES System'!F:F)))</f>
        <v>주문오더관리</v>
      </c>
      <c r="E74" s="80" t="str" cm="1">
        <f t="array" ref="E74">IF(IF(B74="","",_xlfn.XLOOKUP(B74,'MES System'!E:E,'MES System'!N:N))=0,"",IF(B74="","",_xlfn.XLOOKUP(B74,'MES System'!E:E,'MES System'!N:N)))</f>
        <v>sale.order</v>
      </c>
      <c r="F74" s="80" t="str" cm="1">
        <f t="array" ref="F74">IF(IF(B74="","",_xlfn.XLOOKUP(B74,'MES System'!E:E,'MES System'!O:O))=0,"",IF(B74="","",_xlfn.XLOOKUP(B74,'MES System'!E:E,'MES System'!O:O)))</f>
        <v>SaleOrder</v>
      </c>
      <c r="G74" s="92" t="e" cm="1">
        <f t="array" ref="G74">IF(IF(B74="","",_xlfn.XLOOKUP(B74,'MES System'!E:E,'MES System'!#REF!))=0,"",IF(B74="","",_xlfn.XLOOKUP(B74,'MES System'!E:E,'MES System'!#REF!)))</f>
        <v>#REF!</v>
      </c>
      <c r="H74" s="92" t="e" cm="1">
        <f t="array" ref="H74">IF(IF(B74="","",_xlfn.XLOOKUP(B74,'MES System'!E:E,'MES System'!#REF!))=0,"",IF(B74="","",_xlfn.XLOOKUP(B74,'MES System'!E:E,'MES System'!#REF!)))</f>
        <v>#REF!</v>
      </c>
      <c r="I74" s="107" t="s">
        <v>1957</v>
      </c>
      <c r="J74" s="80"/>
      <c r="K74" s="80" t="s">
        <v>1837</v>
      </c>
      <c r="L74" s="105"/>
    </row>
    <row r="75" spans="1:12" ht="52">
      <c r="A75" s="1">
        <v>66</v>
      </c>
      <c r="B75" s="70">
        <v>252007</v>
      </c>
      <c r="C75" s="80" t="e" cm="1">
        <f t="array" ref="C75">IF(B75="","",_xlfn.XLOOKUP(B75,'MES System'!E:E,'MES System'!B:B))</f>
        <v>#N/A</v>
      </c>
      <c r="D75" s="80" t="e" cm="1">
        <f t="array" ref="D75">IF(IF(B75="","",_xlfn.XLOOKUP(B75,'MES System'!E:E,'MES System'!F:F))=0,"",IF(B75="","",_xlfn.XLOOKUP(B75,'MES System'!E:E,'MES System'!F:F)))</f>
        <v>#N/A</v>
      </c>
      <c r="E75" s="80" t="e" cm="1">
        <f t="array" ref="E75">IF(IF(B75="","",_xlfn.XLOOKUP(B75,'MES System'!E:E,'MES System'!N:N))=0,"",IF(B75="","",_xlfn.XLOOKUP(B75,'MES System'!E:E,'MES System'!N:N)))</f>
        <v>#N/A</v>
      </c>
      <c r="F75" s="80" t="e" cm="1">
        <f t="array" ref="F75">IF(IF(B75="","",_xlfn.XLOOKUP(B75,'MES System'!E:E,'MES System'!O:O))=0,"",IF(B75="","",_xlfn.XLOOKUP(B75,'MES System'!E:E,'MES System'!O:O)))</f>
        <v>#N/A</v>
      </c>
      <c r="G75" s="92" t="e" cm="1">
        <f t="array" ref="G75">IF(IF(B75="","",_xlfn.XLOOKUP(B75,'MES System'!E:E,'MES System'!#REF!))=0,"",IF(B75="","",_xlfn.XLOOKUP(B75,'MES System'!E:E,'MES System'!#REF!)))</f>
        <v>#REF!</v>
      </c>
      <c r="H75" s="92" t="e" cm="1">
        <f t="array" ref="H75">IF(IF(B75="","",_xlfn.XLOOKUP(B75,'MES System'!E:E,'MES System'!#REF!))=0,"",IF(B75="","",_xlfn.XLOOKUP(B75,'MES System'!E:E,'MES System'!#REF!)))</f>
        <v>#REF!</v>
      </c>
      <c r="I75" s="92"/>
      <c r="J75" s="80" t="s">
        <v>1949</v>
      </c>
      <c r="K75" s="80" t="s">
        <v>1836</v>
      </c>
      <c r="L75" s="106" t="s">
        <v>1983</v>
      </c>
    </row>
    <row r="76" spans="1:12" ht="26">
      <c r="A76" s="1">
        <v>67</v>
      </c>
      <c r="B76" s="70">
        <v>252008</v>
      </c>
      <c r="C76" s="80" t="str" cm="1">
        <f t="array" ref="C76">IF(B76="","",_xlfn.XLOOKUP(B76,'MES System'!E:E,'MES System'!B:B))</f>
        <v xml:space="preserve">        └ (공통)주문잔량현황</v>
      </c>
      <c r="D76" s="80" t="str" cm="1">
        <f t="array" ref="D76">IF(IF(B76="","",_xlfn.XLOOKUP(B76,'MES System'!E:E,'MES System'!F:F))=0,"",IF(B76="","",_xlfn.XLOOKUP(B76,'MES System'!E:E,'MES System'!F:F)))</f>
        <v>주문잔량현황</v>
      </c>
      <c r="E76" s="80" t="str" cm="1">
        <f t="array" ref="E76">IF(IF(B76="","",_xlfn.XLOOKUP(B76,'MES System'!E:E,'MES System'!N:N))=0,"",IF(B76="","",_xlfn.XLOOKUP(B76,'MES System'!E:E,'MES System'!N:N)))</f>
        <v>sale.order</v>
      </c>
      <c r="F76" s="80" t="str" cm="1">
        <f t="array" ref="F76">IF(IF(B76="","",_xlfn.XLOOKUP(B76,'MES System'!E:E,'MES System'!O:O))=0,"",IF(B76="","",_xlfn.XLOOKUP(B76,'MES System'!E:E,'MES System'!O:O)))</f>
        <v>SlorList1</v>
      </c>
      <c r="G76" s="92" t="e" cm="1">
        <f t="array" ref="G76">IF(IF(B76="","",_xlfn.XLOOKUP(B76,'MES System'!E:E,'MES System'!#REF!))=0,"",IF(B76="","",_xlfn.XLOOKUP(B76,'MES System'!E:E,'MES System'!#REF!)))</f>
        <v>#REF!</v>
      </c>
      <c r="H76" s="92" t="e" cm="1">
        <f t="array" ref="H76">IF(IF(B76="","",_xlfn.XLOOKUP(B76,'MES System'!E:E,'MES System'!#REF!))=0,"",IF(B76="","",_xlfn.XLOOKUP(B76,'MES System'!E:E,'MES System'!#REF!)))</f>
        <v>#REF!</v>
      </c>
      <c r="I76" s="92"/>
      <c r="J76" s="80" t="s">
        <v>1949</v>
      </c>
      <c r="K76" s="80" t="s">
        <v>1838</v>
      </c>
      <c r="L76" s="108" t="s">
        <v>2029</v>
      </c>
    </row>
    <row r="77" spans="1:12" ht="13">
      <c r="A77" s="1">
        <v>67</v>
      </c>
      <c r="B77" s="70">
        <v>252012</v>
      </c>
      <c r="C77" s="80" t="str" cm="1">
        <f t="array" ref="C77">IF(B77="","",_xlfn.XLOOKUP(B77,'MES System'!E:E,'MES System'!B:B))</f>
        <v xml:space="preserve">        └ (공통)주문현황</v>
      </c>
      <c r="D77" s="80" t="str" cm="1">
        <f t="array" ref="D77">IF(IF(B77="","",_xlfn.XLOOKUP(B77,'MES System'!E:E,'MES System'!F:F))=0,"",IF(B77="","",_xlfn.XLOOKUP(B77,'MES System'!E:E,'MES System'!F:F)))</f>
        <v>주문현황</v>
      </c>
      <c r="E77" s="80" t="str" cm="1">
        <f t="array" ref="E77">IF(IF(B77="","",_xlfn.XLOOKUP(B77,'MES System'!E:E,'MES System'!N:N))=0,"",IF(B77="","",_xlfn.XLOOKUP(B77,'MES System'!E:E,'MES System'!N:N)))</f>
        <v>sale.order</v>
      </c>
      <c r="F77" s="80" t="str" cm="1">
        <f t="array" ref="F77">IF(IF(B77="","",_xlfn.XLOOKUP(B77,'MES System'!E:E,'MES System'!O:O))=0,"",IF(B77="","",_xlfn.XLOOKUP(B77,'MES System'!E:E,'MES System'!O:O)))</f>
        <v>SlorList2</v>
      </c>
      <c r="G77" s="92" t="e" cm="1">
        <f t="array" ref="G77">IF(IF(B77="","",_xlfn.XLOOKUP(B77,'MES System'!E:E,'MES System'!#REF!))=0,"",IF(B77="","",_xlfn.XLOOKUP(B77,'MES System'!E:E,'MES System'!#REF!)))</f>
        <v>#REF!</v>
      </c>
      <c r="H77" s="92" t="e" cm="1">
        <f t="array" ref="H77">IF(IF(B77="","",_xlfn.XLOOKUP(B77,'MES System'!E:E,'MES System'!#REF!))=0,"",IF(B77="","",_xlfn.XLOOKUP(B77,'MES System'!E:E,'MES System'!#REF!)))</f>
        <v>#REF!</v>
      </c>
      <c r="I77" s="92"/>
      <c r="J77" s="80" t="s">
        <v>1949</v>
      </c>
      <c r="K77" s="80" t="s">
        <v>1912</v>
      </c>
      <c r="L77" s="109" t="s">
        <v>1955</v>
      </c>
    </row>
    <row r="78" spans="1:12" ht="13">
      <c r="A78" s="1">
        <v>67</v>
      </c>
      <c r="B78" s="70">
        <v>252013</v>
      </c>
      <c r="C78" s="80" t="str" cm="1">
        <f t="array" ref="C78">IF(B78="","",_xlfn.XLOOKUP(B78,'MES System'!E:E,'MES System'!B:B))</f>
        <v xml:space="preserve">        └ (공통)납기 준수율</v>
      </c>
      <c r="D78" s="80" t="str" cm="1">
        <f t="array" ref="D78">IF(IF(B78="","",_xlfn.XLOOKUP(B78,'MES System'!E:E,'MES System'!F:F))=0,"",IF(B78="","",_xlfn.XLOOKUP(B78,'MES System'!E:E,'MES System'!F:F)))</f>
        <v>납기 준수율</v>
      </c>
      <c r="E78" s="80" t="str" cm="1">
        <f t="array" ref="E78">IF(IF(B78="","",_xlfn.XLOOKUP(B78,'MES System'!E:E,'MES System'!N:N))=0,"",IF(B78="","",_xlfn.XLOOKUP(B78,'MES System'!E:E,'MES System'!N:N)))</f>
        <v>sale.order</v>
      </c>
      <c r="F78" s="80" t="str" cm="1">
        <f t="array" ref="F78">IF(IF(B78="","",_xlfn.XLOOKUP(B78,'MES System'!E:E,'MES System'!O:O))=0,"",IF(B78="","",_xlfn.XLOOKUP(B78,'MES System'!E:E,'MES System'!O:O)))</f>
        <v>SlorList5</v>
      </c>
      <c r="G78" s="92" t="e" cm="1">
        <f t="array" ref="G78">IF(IF(B78="","",_xlfn.XLOOKUP(B78,'MES System'!E:E,'MES System'!#REF!))=0,"",IF(B78="","",_xlfn.XLOOKUP(B78,'MES System'!E:E,'MES System'!#REF!)))</f>
        <v>#REF!</v>
      </c>
      <c r="H78" s="92" t="e" cm="1">
        <f t="array" ref="H78">IF(IF(B78="","",_xlfn.XLOOKUP(B78,'MES System'!E:E,'MES System'!#REF!))=0,"",IF(B78="","",_xlfn.XLOOKUP(B78,'MES System'!E:E,'MES System'!#REF!)))</f>
        <v>#REF!</v>
      </c>
      <c r="I78" s="92"/>
      <c r="J78" s="80" t="s">
        <v>1950</v>
      </c>
      <c r="K78" s="80" t="s">
        <v>1911</v>
      </c>
      <c r="L78" s="109" t="s">
        <v>1958</v>
      </c>
    </row>
    <row r="79" spans="1:12" ht="26">
      <c r="A79" s="1">
        <v>68</v>
      </c>
      <c r="B79" s="70">
        <v>252009</v>
      </c>
      <c r="C79" s="80" t="str" cm="1">
        <f t="array" ref="C79">IF(B79="","",_xlfn.XLOOKUP(B79,'MES System'!E:E,'MES System'!B:B))</f>
        <v xml:space="preserve">        └ (공통)출하지시</v>
      </c>
      <c r="D79" s="80" t="str" cm="1">
        <f t="array" ref="D79">IF(IF(B79="","",_xlfn.XLOOKUP(B79,'MES System'!E:E,'MES System'!F:F))=0,"",IF(B79="","",_xlfn.XLOOKUP(B79,'MES System'!E:E,'MES System'!F:F)))</f>
        <v>출하지시</v>
      </c>
      <c r="E79" s="80" t="str" cm="1">
        <f t="array" ref="E79">IF(IF(B79="","",_xlfn.XLOOKUP(B79,'MES System'!E:E,'MES System'!N:N))=0,"",IF(B79="","",_xlfn.XLOOKUP(B79,'MES System'!E:E,'MES System'!N:N)))</f>
        <v>sale.spts</v>
      </c>
      <c r="F79" s="80" t="str" cm="1">
        <f t="array" ref="F79">IF(IF(B79="","",_xlfn.XLOOKUP(B79,'MES System'!E:E,'MES System'!O:O))=0,"",IF(B79="","",_xlfn.XLOOKUP(B79,'MES System'!E:E,'MES System'!O:O)))</f>
        <v>SptsMast</v>
      </c>
      <c r="G79" s="92" t="e" cm="1">
        <f t="array" ref="G79">IF(IF(B79="","",_xlfn.XLOOKUP(B79,'MES System'!E:E,'MES System'!#REF!))=0,"",IF(B79="","",_xlfn.XLOOKUP(B79,'MES System'!E:E,'MES System'!#REF!)))</f>
        <v>#REF!</v>
      </c>
      <c r="H79" s="92" t="e" cm="1">
        <f t="array" ref="H79">IF(IF(B79="","",_xlfn.XLOOKUP(B79,'MES System'!E:E,'MES System'!#REF!))=0,"",IF(B79="","",_xlfn.XLOOKUP(B79,'MES System'!E:E,'MES System'!#REF!)))</f>
        <v>#REF!</v>
      </c>
      <c r="I79" s="92"/>
      <c r="J79" s="80" t="s">
        <v>1949</v>
      </c>
      <c r="K79" s="96" t="s">
        <v>1959</v>
      </c>
      <c r="L79" s="108" t="s">
        <v>2030</v>
      </c>
    </row>
    <row r="80" spans="1:12" ht="13">
      <c r="A80" s="1">
        <v>69</v>
      </c>
      <c r="B80" s="70">
        <v>252010</v>
      </c>
      <c r="C80" s="80" t="e" cm="1">
        <f t="array" ref="C80">IF(B80="","",_xlfn.XLOOKUP(B80,'MES System'!E:E,'MES System'!B:B))</f>
        <v>#N/A</v>
      </c>
      <c r="D80" s="80" t="e" cm="1">
        <f t="array" ref="D80">IF(IF(B80="","",_xlfn.XLOOKUP(B80,'MES System'!E:E,'MES System'!F:F))=0,"",IF(B80="","",_xlfn.XLOOKUP(B80,'MES System'!E:E,'MES System'!F:F)))</f>
        <v>#N/A</v>
      </c>
      <c r="E80" s="80" t="e" cm="1">
        <f t="array" ref="E80">IF(IF(B80="","",_xlfn.XLOOKUP(B80,'MES System'!E:E,'MES System'!N:N))=0,"",IF(B80="","",_xlfn.XLOOKUP(B80,'MES System'!E:E,'MES System'!N:N)))</f>
        <v>#N/A</v>
      </c>
      <c r="F80" s="80" t="e" cm="1">
        <f t="array" ref="F80">IF(IF(B80="","",_xlfn.XLOOKUP(B80,'MES System'!E:E,'MES System'!O:O))=0,"",IF(B80="","",_xlfn.XLOOKUP(B80,'MES System'!E:E,'MES System'!O:O)))</f>
        <v>#N/A</v>
      </c>
      <c r="G80" s="92" t="e" cm="1">
        <f t="array" ref="G80">IF(IF(B80="","",_xlfn.XLOOKUP(B80,'MES System'!E:E,'MES System'!#REF!))=0,"",IF(B80="","",_xlfn.XLOOKUP(B80,'MES System'!E:E,'MES System'!#REF!)))</f>
        <v>#REF!</v>
      </c>
      <c r="H80" s="92" t="e" cm="1">
        <f t="array" ref="H80">IF(IF(B80="","",_xlfn.XLOOKUP(B80,'MES System'!E:E,'MES System'!#REF!))=0,"",IF(B80="","",_xlfn.XLOOKUP(B80,'MES System'!E:E,'MES System'!#REF!)))</f>
        <v>#REF!</v>
      </c>
      <c r="I80" s="107" t="s">
        <v>1957</v>
      </c>
      <c r="J80" s="80"/>
      <c r="K80" s="80"/>
      <c r="L80" s="105"/>
    </row>
    <row r="81" spans="1:12" ht="13">
      <c r="A81" s="1">
        <v>70</v>
      </c>
      <c r="B81" s="70">
        <v>252011</v>
      </c>
      <c r="C81" s="80" t="e" cm="1">
        <f t="array" ref="C81">IF(B81="","",_xlfn.XLOOKUP(B81,'MES System'!E:E,'MES System'!B:B))</f>
        <v>#N/A</v>
      </c>
      <c r="D81" s="80" t="e" cm="1">
        <f t="array" ref="D81">IF(IF(B81="","",_xlfn.XLOOKUP(B81,'MES System'!E:E,'MES System'!F:F))=0,"",IF(B81="","",_xlfn.XLOOKUP(B81,'MES System'!E:E,'MES System'!F:F)))</f>
        <v>#N/A</v>
      </c>
      <c r="E81" s="80" t="e" cm="1">
        <f t="array" ref="E81">IF(IF(B81="","",_xlfn.XLOOKUP(B81,'MES System'!E:E,'MES System'!N:N))=0,"",IF(B81="","",_xlfn.XLOOKUP(B81,'MES System'!E:E,'MES System'!N:N)))</f>
        <v>#N/A</v>
      </c>
      <c r="F81" s="80" t="e" cm="1">
        <f t="array" ref="F81">IF(IF(B81="","",_xlfn.XLOOKUP(B81,'MES System'!E:E,'MES System'!O:O))=0,"",IF(B81="","",_xlfn.XLOOKUP(B81,'MES System'!E:E,'MES System'!O:O)))</f>
        <v>#N/A</v>
      </c>
      <c r="G81" s="92" t="e" cm="1">
        <f t="array" ref="G81">IF(IF(B81="","",_xlfn.XLOOKUP(B81,'MES System'!E:E,'MES System'!#REF!))=0,"",IF(B81="","",_xlfn.XLOOKUP(B81,'MES System'!E:E,'MES System'!#REF!)))</f>
        <v>#REF!</v>
      </c>
      <c r="H81" s="92" t="e" cm="1">
        <f t="array" ref="H81">IF(IF(B81="","",_xlfn.XLOOKUP(B81,'MES System'!E:E,'MES System'!#REF!))=0,"",IF(B81="","",_xlfn.XLOOKUP(B81,'MES System'!E:E,'MES System'!#REF!)))</f>
        <v>#REF!</v>
      </c>
      <c r="I81" s="107" t="s">
        <v>1957</v>
      </c>
      <c r="J81" s="80"/>
      <c r="K81" s="80"/>
      <c r="L81" s="105"/>
    </row>
    <row r="82" spans="1:12" ht="13">
      <c r="A82" s="1">
        <v>70</v>
      </c>
      <c r="B82" s="70"/>
      <c r="C82" s="80" t="str" cm="1">
        <f t="array" ref="C82">IF(B82="","",_xlfn.XLOOKUP(B82,'MES System'!E:E,'MES System'!B:B))</f>
        <v/>
      </c>
      <c r="D82" s="80" t="str" cm="1">
        <f t="array" ref="D82">IF(IF(B82="","",_xlfn.XLOOKUP(B82,'MES System'!E:E,'MES System'!F:F))=0,"",IF(B82="","",_xlfn.XLOOKUP(B82,'MES System'!E:E,'MES System'!F:F)))</f>
        <v/>
      </c>
      <c r="E82" s="80" t="str" cm="1">
        <f t="array" ref="E82">IF(IF(B82="","",_xlfn.XLOOKUP(B82,'MES System'!E:E,'MES System'!N:N))=0,"",IF(B82="","",_xlfn.XLOOKUP(B82,'MES System'!E:E,'MES System'!N:N)))</f>
        <v/>
      </c>
      <c r="F82" s="80" t="str" cm="1">
        <f t="array" ref="F82">IF(IF(B82="","",_xlfn.XLOOKUP(B82,'MES System'!E:E,'MES System'!O:O))=0,"",IF(B82="","",_xlfn.XLOOKUP(B82,'MES System'!E:E,'MES System'!O:O)))</f>
        <v/>
      </c>
      <c r="G82" s="92" t="str" cm="1">
        <f t="array" ref="G82">IF(IF(B82="","",_xlfn.XLOOKUP(B82,'MES System'!E:E,'MES System'!#REF!))=0,"",IF(B82="","",_xlfn.XLOOKUP(B82,'MES System'!E:E,'MES System'!#REF!)))</f>
        <v/>
      </c>
      <c r="H82" s="92" t="str" cm="1">
        <f t="array" ref="H82">IF(IF(B82="","",_xlfn.XLOOKUP(B82,'MES System'!E:E,'MES System'!#REF!))=0,"",IF(B82="","",_xlfn.XLOOKUP(B82,'MES System'!E:E,'MES System'!#REF!)))</f>
        <v/>
      </c>
      <c r="I82" s="92"/>
      <c r="J82" s="80"/>
      <c r="K82" s="80"/>
      <c r="L82" s="105"/>
    </row>
    <row r="83" spans="1:12" ht="13">
      <c r="A83" s="1">
        <v>73</v>
      </c>
      <c r="B83" s="71" t="s">
        <v>168</v>
      </c>
      <c r="C83" s="78" t="str" cm="1">
        <f t="array" ref="C83">IF(B83="","",_xlfn.XLOOKUP(B83,'MES System'!E:E,'MES System'!B:B))</f>
        <v xml:space="preserve">  └ 자재관리</v>
      </c>
      <c r="D83" s="78" t="str" cm="1">
        <f t="array" ref="D83">IF(IF(B83="","",_xlfn.XLOOKUP(B83,'MES System'!E:E,'MES System'!F:F))=0,"",IF(B83="","",_xlfn.XLOOKUP(B83,'MES System'!E:E,'MES System'!F:F)))</f>
        <v>자재관리</v>
      </c>
      <c r="E83" s="78" t="str" cm="1">
        <f t="array" ref="E83">IF(IF(B83="","",_xlfn.XLOOKUP(B83,'MES System'!E:E,'MES System'!N:N))=0,"",IF(B83="","",_xlfn.XLOOKUP(B83,'MES System'!E:E,'MES System'!N:N)))</f>
        <v/>
      </c>
      <c r="F83" s="78" t="str" cm="1">
        <f t="array" ref="F83">IF(IF(B83="","",_xlfn.XLOOKUP(B83,'MES System'!E:E,'MES System'!O:O))=0,"",IF(B83="","",_xlfn.XLOOKUP(B83,'MES System'!E:E,'MES System'!O:O)))</f>
        <v/>
      </c>
      <c r="G83" s="99" t="e" cm="1">
        <f t="array" ref="G83">IF(IF(B83="","",_xlfn.XLOOKUP(B83,'MES System'!E:E,'MES System'!#REF!))=0,"",IF(B83="","",_xlfn.XLOOKUP(B83,'MES System'!E:E,'MES System'!#REF!)))</f>
        <v>#REF!</v>
      </c>
      <c r="H83" s="99" t="e" cm="1">
        <f t="array" ref="H83">IF(IF(B83="","",_xlfn.XLOOKUP(B83,'MES System'!E:E,'MES System'!#REF!))=0,"",IF(B83="","",_xlfn.XLOOKUP(B83,'MES System'!E:E,'MES System'!#REF!)))</f>
        <v>#REF!</v>
      </c>
      <c r="I83" s="99"/>
      <c r="J83" s="78"/>
      <c r="K83" s="78"/>
      <c r="L83" s="103"/>
    </row>
    <row r="84" spans="1:12" ht="13">
      <c r="A84" s="1">
        <v>74</v>
      </c>
      <c r="B84" s="72" t="s">
        <v>169</v>
      </c>
      <c r="C84" s="79" t="str" cm="1">
        <f t="array" ref="C84">IF(B84="","",_xlfn.XLOOKUP(B84,'MES System'!E:E,'MES System'!B:B))</f>
        <v xml:space="preserve">    └ 구매기준</v>
      </c>
      <c r="D84" s="79" t="str" cm="1">
        <f t="array" ref="D84">IF(IF(B84="","",_xlfn.XLOOKUP(B84,'MES System'!E:E,'MES System'!F:F))=0,"",IF(B84="","",_xlfn.XLOOKUP(B84,'MES System'!E:E,'MES System'!F:F)))</f>
        <v>구매기준</v>
      </c>
      <c r="E84" s="79" t="str" cm="1">
        <f t="array" ref="E84">IF(IF(B84="","",_xlfn.XLOOKUP(B84,'MES System'!E:E,'MES System'!N:N))=0,"",IF(B84="","",_xlfn.XLOOKUP(B84,'MES System'!E:E,'MES System'!N:N)))</f>
        <v/>
      </c>
      <c r="F84" s="79" t="str" cm="1">
        <f t="array" ref="F84">IF(IF(B84="","",_xlfn.XLOOKUP(B84,'MES System'!E:E,'MES System'!O:O))=0,"",IF(B84="","",_xlfn.XLOOKUP(B84,'MES System'!E:E,'MES System'!O:O)))</f>
        <v/>
      </c>
      <c r="G84" s="100" t="e" cm="1">
        <f t="array" ref="G84">IF(IF(B84="","",_xlfn.XLOOKUP(B84,'MES System'!E:E,'MES System'!#REF!))=0,"",IF(B84="","",_xlfn.XLOOKUP(B84,'MES System'!E:E,'MES System'!#REF!)))</f>
        <v>#REF!</v>
      </c>
      <c r="H84" s="100" t="e" cm="1">
        <f t="array" ref="H84">IF(IF(B84="","",_xlfn.XLOOKUP(B84,'MES System'!E:E,'MES System'!#REF!))=0,"",IF(B84="","",_xlfn.XLOOKUP(B84,'MES System'!E:E,'MES System'!#REF!)))</f>
        <v>#REF!</v>
      </c>
      <c r="I84" s="100"/>
      <c r="J84" s="79"/>
      <c r="K84" s="79"/>
      <c r="L84" s="104"/>
    </row>
    <row r="85" spans="1:12" ht="13">
      <c r="A85" s="1">
        <v>75</v>
      </c>
      <c r="B85" s="70">
        <v>261001</v>
      </c>
      <c r="C85" s="80" t="str" cm="1">
        <f t="array" ref="C85">IF(B85="","",_xlfn.XLOOKUP(B85,'MES System'!E:E,'MES System'!B:B))</f>
        <v xml:space="preserve">        └ (공통)계약사항 관리</v>
      </c>
      <c r="D85" s="80" t="str" cm="1">
        <f t="array" ref="D85">IF(IF(B85="","",_xlfn.XLOOKUP(B85,'MES System'!E:E,'MES System'!F:F))=0,"",IF(B85="","",_xlfn.XLOOKUP(B85,'MES System'!E:E,'MES System'!F:F)))</f>
        <v>계약사항 관리</v>
      </c>
      <c r="E85" s="80" t="str" cm="1">
        <f t="array" ref="E85">IF(IF(B85="","",_xlfn.XLOOKUP(B85,'MES System'!E:E,'MES System'!N:N))=0,"",IF(B85="","",_xlfn.XLOOKUP(B85,'MES System'!E:E,'MES System'!N:N)))</f>
        <v>item</v>
      </c>
      <c r="F85" s="80" t="str" cm="1">
        <f t="array" ref="F85">IF(IF(B85="","",_xlfn.XLOOKUP(B85,'MES System'!E:E,'MES System'!O:O))=0,"",IF(B85="","",_xlfn.XLOOKUP(B85,'MES System'!E:E,'MES System'!O:O)))</f>
        <v>ItemPrice</v>
      </c>
      <c r="G85" s="92" t="e" cm="1">
        <f t="array" ref="G85">IF(IF(B85="","",_xlfn.XLOOKUP(B85,'MES System'!E:E,'MES System'!#REF!))=0,"",IF(B85="","",_xlfn.XLOOKUP(B85,'MES System'!E:E,'MES System'!#REF!)))</f>
        <v>#REF!</v>
      </c>
      <c r="H85" s="92" t="e" cm="1">
        <f t="array" ref="H85">IF(IF(B85="","",_xlfn.XLOOKUP(B85,'MES System'!E:E,'MES System'!#REF!))=0,"",IF(B85="","",_xlfn.XLOOKUP(B85,'MES System'!E:E,'MES System'!#REF!)))</f>
        <v>#REF!</v>
      </c>
      <c r="I85" s="107" t="s">
        <v>1957</v>
      </c>
      <c r="J85" s="80"/>
      <c r="K85" s="80" t="s">
        <v>1841</v>
      </c>
      <c r="L85" s="105"/>
    </row>
    <row r="86" spans="1:12" ht="13">
      <c r="A86" s="1">
        <v>76</v>
      </c>
      <c r="B86" s="70"/>
      <c r="C86" s="80" t="str" cm="1">
        <f t="array" ref="C86">IF(B86="","",_xlfn.XLOOKUP(B86,'MES System'!E:E,'MES System'!B:B))</f>
        <v/>
      </c>
      <c r="D86" s="80" t="str" cm="1">
        <f t="array" ref="D86">IF(IF(B86="","",_xlfn.XLOOKUP(B86,'MES System'!E:E,'MES System'!F:F))=0,"",IF(B86="","",_xlfn.XLOOKUP(B86,'MES System'!E:E,'MES System'!F:F)))</f>
        <v/>
      </c>
      <c r="E86" s="80" t="str" cm="1">
        <f t="array" ref="E86">IF(IF(B86="","",_xlfn.XLOOKUP(B86,'MES System'!E:E,'MES System'!N:N))=0,"",IF(B86="","",_xlfn.XLOOKUP(B86,'MES System'!E:E,'MES System'!N:N)))</f>
        <v/>
      </c>
      <c r="F86" s="80" t="str" cm="1">
        <f t="array" ref="F86">IF(IF(B86="","",_xlfn.XLOOKUP(B86,'MES System'!E:E,'MES System'!O:O))=0,"",IF(B86="","",_xlfn.XLOOKUP(B86,'MES System'!E:E,'MES System'!O:O)))</f>
        <v/>
      </c>
      <c r="G86" s="92" t="str" cm="1">
        <f t="array" ref="G86">IF(IF(B86="","",_xlfn.XLOOKUP(B86,'MES System'!E:E,'MES System'!#REF!))=0,"",IF(B86="","",_xlfn.XLOOKUP(B86,'MES System'!E:E,'MES System'!#REF!)))</f>
        <v/>
      </c>
      <c r="H86" s="92" t="str" cm="1">
        <f t="array" ref="H86">IF(IF(B86="","",_xlfn.XLOOKUP(B86,'MES System'!E:E,'MES System'!#REF!))=0,"",IF(B86="","",_xlfn.XLOOKUP(B86,'MES System'!E:E,'MES System'!#REF!)))</f>
        <v/>
      </c>
      <c r="I86" s="92"/>
      <c r="J86" s="80"/>
      <c r="K86" s="80"/>
      <c r="L86" s="105"/>
    </row>
    <row r="87" spans="1:12" ht="13">
      <c r="A87" s="1">
        <v>77</v>
      </c>
      <c r="B87" s="72" t="s">
        <v>171</v>
      </c>
      <c r="C87" s="79" t="str" cm="1">
        <f t="array" ref="C87">IF(B87="","",_xlfn.XLOOKUP(B87,'MES System'!E:E,'MES System'!B:B))</f>
        <v xml:space="preserve">    └ 구매</v>
      </c>
      <c r="D87" s="79" t="str" cm="1">
        <f t="array" ref="D87">IF(IF(B87="","",_xlfn.XLOOKUP(B87,'MES System'!E:E,'MES System'!F:F))=0,"",IF(B87="","",_xlfn.XLOOKUP(B87,'MES System'!E:E,'MES System'!F:F)))</f>
        <v>구매</v>
      </c>
      <c r="E87" s="79" t="str" cm="1">
        <f t="array" ref="E87">IF(IF(B87="","",_xlfn.XLOOKUP(B87,'MES System'!E:E,'MES System'!N:N))=0,"",IF(B87="","",_xlfn.XLOOKUP(B87,'MES System'!E:E,'MES System'!N:N)))</f>
        <v/>
      </c>
      <c r="F87" s="79" t="str" cm="1">
        <f t="array" ref="F87">IF(IF(B87="","",_xlfn.XLOOKUP(B87,'MES System'!E:E,'MES System'!O:O))=0,"",IF(B87="","",_xlfn.XLOOKUP(B87,'MES System'!E:E,'MES System'!O:O)))</f>
        <v/>
      </c>
      <c r="G87" s="100" t="e" cm="1">
        <f t="array" ref="G87">IF(IF(B87="","",_xlfn.XLOOKUP(B87,'MES System'!E:E,'MES System'!#REF!))=0,"",IF(B87="","",_xlfn.XLOOKUP(B87,'MES System'!E:E,'MES System'!#REF!)))</f>
        <v>#REF!</v>
      </c>
      <c r="H87" s="100" t="e" cm="1">
        <f t="array" ref="H87">IF(IF(B87="","",_xlfn.XLOOKUP(B87,'MES System'!E:E,'MES System'!#REF!))=0,"",IF(B87="","",_xlfn.XLOOKUP(B87,'MES System'!E:E,'MES System'!#REF!)))</f>
        <v>#REF!</v>
      </c>
      <c r="I87" s="100"/>
      <c r="J87" s="79"/>
      <c r="K87" s="79"/>
      <c r="L87" s="104"/>
    </row>
    <row r="88" spans="1:12" ht="39">
      <c r="A88" s="1">
        <v>78</v>
      </c>
      <c r="B88" s="70">
        <v>262001</v>
      </c>
      <c r="C88" s="80" t="str" cm="1">
        <f t="array" ref="C88">IF(B88="","",_xlfn.XLOOKUP(B88,'MES System'!E:E,'MES System'!B:B))</f>
        <v xml:space="preserve">        └ (선택)발주 요청 관리</v>
      </c>
      <c r="D88" s="80" t="str" cm="1">
        <f t="array" ref="D88">IF(IF(B88="","",_xlfn.XLOOKUP(B88,'MES System'!E:E,'MES System'!F:F))=0,"",IF(B88="","",_xlfn.XLOOKUP(B88,'MES System'!E:E,'MES System'!F:F)))</f>
        <v>발주 요청 관리</v>
      </c>
      <c r="E88" s="80" t="str" cm="1">
        <f t="array" ref="E88">IF(IF(B88="","",_xlfn.XLOOKUP(B88,'MES System'!E:E,'MES System'!N:N))=0,"",IF(B88="","",_xlfn.XLOOKUP(B88,'MES System'!E:E,'MES System'!N:N)))</f>
        <v>mtrl.po</v>
      </c>
      <c r="F88" s="80" t="str" cm="1">
        <f t="array" ref="F88">IF(IF(B88="","",_xlfn.XLOOKUP(B88,'MES System'!E:E,'MES System'!O:O))=0,"",IF(B88="","",_xlfn.XLOOKUP(B88,'MES System'!E:E,'MES System'!O:O)))</f>
        <v>PurcTrstWork</v>
      </c>
      <c r="G88" s="92" t="e" cm="1">
        <f t="array" ref="G88">IF(IF(B88="","",_xlfn.XLOOKUP(B88,'MES System'!E:E,'MES System'!#REF!))=0,"",IF(B88="","",_xlfn.XLOOKUP(B88,'MES System'!E:E,'MES System'!#REF!)))</f>
        <v>#REF!</v>
      </c>
      <c r="H88" s="92" t="e" cm="1">
        <f t="array" ref="H88">IF(IF(B88="","",_xlfn.XLOOKUP(B88,'MES System'!E:E,'MES System'!#REF!))=0,"",IF(B88="","",_xlfn.XLOOKUP(B88,'MES System'!E:E,'MES System'!#REF!)))</f>
        <v>#REF!</v>
      </c>
      <c r="I88" s="92"/>
      <c r="J88" s="80" t="s">
        <v>1949</v>
      </c>
      <c r="K88" s="96" t="s">
        <v>1999</v>
      </c>
      <c r="L88" s="109" t="s">
        <v>1962</v>
      </c>
    </row>
    <row r="89" spans="1:12" ht="52">
      <c r="A89" s="1">
        <v>79</v>
      </c>
      <c r="B89" s="70">
        <v>262002</v>
      </c>
      <c r="C89" s="80" t="str" cm="1">
        <f t="array" ref="C89">IF(B89="","",_xlfn.XLOOKUP(B89,'MES System'!E:E,'MES System'!B:B))</f>
        <v xml:space="preserve">        └ (선택)적정재고 미달량</v>
      </c>
      <c r="D89" s="80" t="str" cm="1">
        <f t="array" ref="D89">IF(IF(B89="","",_xlfn.XLOOKUP(B89,'MES System'!E:E,'MES System'!F:F))=0,"",IF(B89="","",_xlfn.XLOOKUP(B89,'MES System'!E:E,'MES System'!F:F)))</f>
        <v>적정재고 미달량</v>
      </c>
      <c r="E89" s="80" t="str" cm="1">
        <f t="array" ref="E89">IF(IF(B89="","",_xlfn.XLOOKUP(B89,'MES System'!E:E,'MES System'!N:N))=0,"",IF(B89="","",_xlfn.XLOOKUP(B89,'MES System'!E:E,'MES System'!N:N)))</f>
        <v>mtrl.po</v>
      </c>
      <c r="F89" s="80" t="str" cm="1">
        <f t="array" ref="F89">IF(IF(B89="","",_xlfn.XLOOKUP(B89,'MES System'!E:E,'MES System'!O:O))=0,"",IF(B89="","",_xlfn.XLOOKUP(B89,'MES System'!E:E,'MES System'!O:O)))</f>
        <v>PurcStokWork</v>
      </c>
      <c r="G89" s="92" t="e" cm="1">
        <f t="array" ref="G89">IF(IF(B89="","",_xlfn.XLOOKUP(B89,'MES System'!E:E,'MES System'!#REF!))=0,"",IF(B89="","",_xlfn.XLOOKUP(B89,'MES System'!E:E,'MES System'!#REF!)))</f>
        <v>#REF!</v>
      </c>
      <c r="H89" s="92" t="e" cm="1">
        <f t="array" ref="H89">IF(IF(B89="","",_xlfn.XLOOKUP(B89,'MES System'!E:E,'MES System'!#REF!))=0,"",IF(B89="","",_xlfn.XLOOKUP(B89,'MES System'!E:E,'MES System'!#REF!)))</f>
        <v>#REF!</v>
      </c>
      <c r="I89" s="92"/>
      <c r="J89" s="80" t="s">
        <v>1949</v>
      </c>
      <c r="K89" s="96" t="s">
        <v>1961</v>
      </c>
      <c r="L89" s="105"/>
    </row>
    <row r="90" spans="1:12" ht="65">
      <c r="A90" s="1">
        <v>80</v>
      </c>
      <c r="B90" s="70">
        <v>262003</v>
      </c>
      <c r="C90" s="80" t="str" cm="1">
        <f t="array" ref="C90">IF(B90="","",_xlfn.XLOOKUP(B90,'MES System'!E:E,'MES System'!B:B))</f>
        <v xml:space="preserve">        └ (선택)자재소요량 관리</v>
      </c>
      <c r="D90" s="80" t="str" cm="1">
        <f t="array" ref="D90">IF(IF(B90="","",_xlfn.XLOOKUP(B90,'MES System'!E:E,'MES System'!F:F))=0,"",IF(B90="","",_xlfn.XLOOKUP(B90,'MES System'!E:E,'MES System'!F:F)))</f>
        <v>자재소요량 관리</v>
      </c>
      <c r="E90" s="80" t="str" cm="1">
        <f t="array" ref="E90">IF(IF(B90="","",_xlfn.XLOOKUP(B90,'MES System'!E:E,'MES System'!N:N))=0,"",IF(B90="","",_xlfn.XLOOKUP(B90,'MES System'!E:E,'MES System'!N:N)))</f>
        <v>mtrl.po</v>
      </c>
      <c r="F90" s="80" t="str" cm="1">
        <f t="array" ref="F90">IF(IF(B90="","",_xlfn.XLOOKUP(B90,'MES System'!E:E,'MES System'!O:O))=0,"",IF(B90="","",_xlfn.XLOOKUP(B90,'MES System'!E:E,'MES System'!O:O)))</f>
        <v>Poplan</v>
      </c>
      <c r="G90" s="92" t="e" cm="1">
        <f t="array" ref="G90">IF(IF(B90="","",_xlfn.XLOOKUP(B90,'MES System'!E:E,'MES System'!#REF!))=0,"",IF(B90="","",_xlfn.XLOOKUP(B90,'MES System'!E:E,'MES System'!#REF!)))</f>
        <v>#REF!</v>
      </c>
      <c r="H90" s="92" t="e" cm="1">
        <f t="array" ref="H90">IF(IF(B90="","",_xlfn.XLOOKUP(B90,'MES System'!E:E,'MES System'!#REF!))=0,"",IF(B90="","",_xlfn.XLOOKUP(B90,'MES System'!E:E,'MES System'!#REF!)))</f>
        <v>#REF!</v>
      </c>
      <c r="I90" s="92"/>
      <c r="J90" s="80" t="s">
        <v>1949</v>
      </c>
      <c r="K90" s="96" t="s">
        <v>2001</v>
      </c>
      <c r="L90" s="108" t="s">
        <v>2011</v>
      </c>
    </row>
    <row r="91" spans="1:12" ht="13">
      <c r="A91" s="1">
        <v>80</v>
      </c>
      <c r="B91" s="70">
        <v>262004</v>
      </c>
      <c r="C91" s="80" t="str" cm="1">
        <f t="array" ref="C91">IF(B91="","",_xlfn.XLOOKUP(B91,'MES System'!E:E,'MES System'!B:B))</f>
        <v xml:space="preserve">        └ (선택)요청자재 발주</v>
      </c>
      <c r="D91" s="80" t="str" cm="1">
        <f t="array" ref="D91">IF(IF(B91="","",_xlfn.XLOOKUP(B91,'MES System'!E:E,'MES System'!F:F))=0,"",IF(B91="","",_xlfn.XLOOKUP(B91,'MES System'!E:E,'MES System'!F:F)))</f>
        <v>요청자재 발주</v>
      </c>
      <c r="E91" s="80" t="str" cm="1">
        <f t="array" ref="E91">IF(IF(B91="","",_xlfn.XLOOKUP(B91,'MES System'!E:E,'MES System'!N:N))=0,"",IF(B91="","",_xlfn.XLOOKUP(B91,'MES System'!E:E,'MES System'!N:N)))</f>
        <v>custom.kortc.mtrl.po</v>
      </c>
      <c r="F91" s="80" t="str" cm="1">
        <f t="array" ref="F91">IF(IF(B91="","",_xlfn.XLOOKUP(B91,'MES System'!E:E,'MES System'!O:O))=0,"",IF(B91="","",_xlfn.XLOOKUP(B91,'MES System'!E:E,'MES System'!O:O)))</f>
        <v>PurcOrdr2</v>
      </c>
      <c r="G91" s="92" t="e" cm="1">
        <f t="array" ref="G91">IF(IF(B91="","",_xlfn.XLOOKUP(B91,'MES System'!E:E,'MES System'!#REF!))=0,"",IF(B91="","",_xlfn.XLOOKUP(B91,'MES System'!E:E,'MES System'!#REF!)))</f>
        <v>#REF!</v>
      </c>
      <c r="H91" s="92" t="e" cm="1">
        <f t="array" ref="H91">IF(IF(B91="","",_xlfn.XLOOKUP(B91,'MES System'!E:E,'MES System'!#REF!))=0,"",IF(B91="","",_xlfn.XLOOKUP(B91,'MES System'!E:E,'MES System'!#REF!)))</f>
        <v>#REF!</v>
      </c>
      <c r="I91" s="92"/>
      <c r="J91" s="80"/>
      <c r="K91" s="80" t="s">
        <v>1842</v>
      </c>
      <c r="L91" s="105"/>
    </row>
    <row r="92" spans="1:12" ht="13">
      <c r="A92" s="1">
        <v>81</v>
      </c>
      <c r="B92" s="70"/>
      <c r="C92" s="80" t="str" cm="1">
        <f t="array" ref="C92">IF(B92="","",_xlfn.XLOOKUP(B92,'MES System'!E:E,'MES System'!B:B))</f>
        <v/>
      </c>
      <c r="D92" s="80" t="str" cm="1">
        <f t="array" ref="D92">IF(IF(B92="","",_xlfn.XLOOKUP(B92,'MES System'!E:E,'MES System'!F:F))=0,"",IF(B92="","",_xlfn.XLOOKUP(B92,'MES System'!E:E,'MES System'!F:F)))</f>
        <v/>
      </c>
      <c r="E92" s="80" t="str" cm="1">
        <f t="array" ref="E92">IF(IF(B92="","",_xlfn.XLOOKUP(B92,'MES System'!E:E,'MES System'!N:N))=0,"",IF(B92="","",_xlfn.XLOOKUP(B92,'MES System'!E:E,'MES System'!N:N)))</f>
        <v/>
      </c>
      <c r="F92" s="80" t="str" cm="1">
        <f t="array" ref="F92">IF(IF(B92="","",_xlfn.XLOOKUP(B92,'MES System'!E:E,'MES System'!O:O))=0,"",IF(B92="","",_xlfn.XLOOKUP(B92,'MES System'!E:E,'MES System'!O:O)))</f>
        <v/>
      </c>
      <c r="G92" s="92" t="str" cm="1">
        <f t="array" ref="G92">IF(IF(B92="","",_xlfn.XLOOKUP(B92,'MES System'!E:E,'MES System'!#REF!))=0,"",IF(B92="","",_xlfn.XLOOKUP(B92,'MES System'!E:E,'MES System'!#REF!)))</f>
        <v/>
      </c>
      <c r="H92" s="92" t="str" cm="1">
        <f t="array" ref="H92">IF(IF(B92="","",_xlfn.XLOOKUP(B92,'MES System'!E:E,'MES System'!#REF!))=0,"",IF(B92="","",_xlfn.XLOOKUP(B92,'MES System'!E:E,'MES System'!#REF!)))</f>
        <v/>
      </c>
      <c r="I92" s="92"/>
      <c r="J92" s="80"/>
      <c r="K92" s="80"/>
      <c r="L92" s="105"/>
    </row>
    <row r="93" spans="1:12" ht="13">
      <c r="A93" s="1">
        <v>82</v>
      </c>
      <c r="B93" s="71" t="s">
        <v>173</v>
      </c>
      <c r="C93" s="78" t="str" cm="1">
        <f t="array" ref="C93">IF(B93="","",_xlfn.XLOOKUP(B93,'MES System'!E:E,'MES System'!B:B))</f>
        <v xml:space="preserve">  └ 재고관리</v>
      </c>
      <c r="D93" s="78" t="str" cm="1">
        <f t="array" ref="D93">IF(IF(B93="","",_xlfn.XLOOKUP(B93,'MES System'!E:E,'MES System'!F:F))=0,"",IF(B93="","",_xlfn.XLOOKUP(B93,'MES System'!E:E,'MES System'!F:F)))</f>
        <v>재고관리</v>
      </c>
      <c r="E93" s="78" t="str" cm="1">
        <f t="array" ref="E93">IF(IF(B93="","",_xlfn.XLOOKUP(B93,'MES System'!E:E,'MES System'!N:N))=0,"",IF(B93="","",_xlfn.XLOOKUP(B93,'MES System'!E:E,'MES System'!N:N)))</f>
        <v/>
      </c>
      <c r="F93" s="78" t="str" cm="1">
        <f t="array" ref="F93">IF(IF(B93="","",_xlfn.XLOOKUP(B93,'MES System'!E:E,'MES System'!O:O))=0,"",IF(B93="","",_xlfn.XLOOKUP(B93,'MES System'!E:E,'MES System'!O:O)))</f>
        <v/>
      </c>
      <c r="G93" s="99" t="e" cm="1">
        <f t="array" ref="G93">IF(IF(B93="","",_xlfn.XLOOKUP(B93,'MES System'!E:E,'MES System'!#REF!))=0,"",IF(B93="","",_xlfn.XLOOKUP(B93,'MES System'!E:E,'MES System'!#REF!)))</f>
        <v>#REF!</v>
      </c>
      <c r="H93" s="99" t="e" cm="1">
        <f t="array" ref="H93">IF(IF(B93="","",_xlfn.XLOOKUP(B93,'MES System'!E:E,'MES System'!#REF!))=0,"",IF(B93="","",_xlfn.XLOOKUP(B93,'MES System'!E:E,'MES System'!#REF!)))</f>
        <v>#REF!</v>
      </c>
      <c r="I93" s="99"/>
      <c r="J93" s="78"/>
      <c r="K93" s="78"/>
      <c r="L93" s="103"/>
    </row>
    <row r="94" spans="1:12" ht="13">
      <c r="A94" s="1">
        <v>83</v>
      </c>
      <c r="B94" s="72" t="s">
        <v>174</v>
      </c>
      <c r="C94" s="79" t="e" cm="1">
        <f t="array" ref="C94">IF(B94="","",_xlfn.XLOOKUP(B94,'MES System'!E:E,'MES System'!B:B))</f>
        <v>#N/A</v>
      </c>
      <c r="D94" s="79" t="e" cm="1">
        <f t="array" ref="D94">IF(IF(B94="","",_xlfn.XLOOKUP(B94,'MES System'!E:E,'MES System'!F:F))=0,"",IF(B94="","",_xlfn.XLOOKUP(B94,'MES System'!E:E,'MES System'!F:F)))</f>
        <v>#N/A</v>
      </c>
      <c r="E94" s="79" t="e" cm="1">
        <f t="array" ref="E94">IF(IF(B94="","",_xlfn.XLOOKUP(B94,'MES System'!E:E,'MES System'!N:N))=0,"",IF(B94="","",_xlfn.XLOOKUP(B94,'MES System'!E:E,'MES System'!N:N)))</f>
        <v>#N/A</v>
      </c>
      <c r="F94" s="79" t="e" cm="1">
        <f t="array" ref="F94">IF(IF(B94="","",_xlfn.XLOOKUP(B94,'MES System'!E:E,'MES System'!O:O))=0,"",IF(B94="","",_xlfn.XLOOKUP(B94,'MES System'!E:E,'MES System'!O:O)))</f>
        <v>#N/A</v>
      </c>
      <c r="G94" s="100" t="e" cm="1">
        <f t="array" ref="G94">IF(IF(B94="","",_xlfn.XLOOKUP(B94,'MES System'!E:E,'MES System'!#REF!))=0,"",IF(B94="","",_xlfn.XLOOKUP(B94,'MES System'!E:E,'MES System'!#REF!)))</f>
        <v>#REF!</v>
      </c>
      <c r="H94" s="100" t="e" cm="1">
        <f t="array" ref="H94">IF(IF(B94="","",_xlfn.XLOOKUP(B94,'MES System'!E:E,'MES System'!#REF!))=0,"",IF(B94="","",_xlfn.XLOOKUP(B94,'MES System'!E:E,'MES System'!#REF!)))</f>
        <v>#REF!</v>
      </c>
      <c r="I94" s="100"/>
      <c r="J94" s="79"/>
      <c r="K94" s="79"/>
      <c r="L94" s="104"/>
    </row>
    <row r="95" spans="1:12" ht="13">
      <c r="A95" s="1">
        <v>84</v>
      </c>
      <c r="B95" s="70">
        <v>271001</v>
      </c>
      <c r="C95" s="80" t="str" cm="1">
        <f t="array" ref="C95">IF(B95="","",_xlfn.XLOOKUP(B95,'MES System'!E:E,'MES System'!B:B))</f>
        <v xml:space="preserve">        └ (공통)발주잔량리스트</v>
      </c>
      <c r="D95" s="80" t="str" cm="1">
        <f t="array" ref="D95">IF(IF(B95="","",_xlfn.XLOOKUP(B95,'MES System'!E:E,'MES System'!F:F))=0,"",IF(B95="","",_xlfn.XLOOKUP(B95,'MES System'!E:E,'MES System'!F:F)))</f>
        <v>발주잔량리스트</v>
      </c>
      <c r="E95" s="80" t="str" cm="1">
        <f t="array" ref="E95">IF(IF(B95="","",_xlfn.XLOOKUP(B95,'MES System'!E:E,'MES System'!N:N))=0,"",IF(B95="","",_xlfn.XLOOKUP(B95,'MES System'!E:E,'MES System'!N:N)))</f>
        <v>mtrl.po</v>
      </c>
      <c r="F95" s="80" t="str" cm="1">
        <f t="array" ref="F95">IF(IF(B95="","",_xlfn.XLOOKUP(B95,'MES System'!E:E,'MES System'!O:O))=0,"",IF(B95="","",_xlfn.XLOOKUP(B95,'MES System'!E:E,'MES System'!O:O)))</f>
        <v>PurcOrdrList</v>
      </c>
      <c r="G95" s="92" t="e" cm="1">
        <f t="array" ref="G95">IF(IF(B95="","",_xlfn.XLOOKUP(B95,'MES System'!E:E,'MES System'!#REF!))=0,"",IF(B95="","",_xlfn.XLOOKUP(B95,'MES System'!E:E,'MES System'!#REF!)))</f>
        <v>#REF!</v>
      </c>
      <c r="H95" s="92" t="e" cm="1">
        <f t="array" ref="H95">IF(IF(B95="","",_xlfn.XLOOKUP(B95,'MES System'!E:E,'MES System'!#REF!))=0,"",IF(B95="","",_xlfn.XLOOKUP(B95,'MES System'!E:E,'MES System'!#REF!)))</f>
        <v>#REF!</v>
      </c>
      <c r="I95" s="92"/>
      <c r="J95" s="80"/>
      <c r="K95" s="80" t="s">
        <v>1843</v>
      </c>
      <c r="L95" s="105"/>
    </row>
    <row r="96" spans="1:12" ht="13">
      <c r="A96" s="1">
        <v>85</v>
      </c>
      <c r="B96" s="70">
        <v>271002</v>
      </c>
      <c r="C96" s="80" t="str" cm="1">
        <f t="array" ref="C96">IF(B96="","",_xlfn.XLOOKUP(B96,'MES System'!E:E,'MES System'!B:B))</f>
        <v xml:space="preserve">        └ (공통)입고대기현황</v>
      </c>
      <c r="D96" s="80" t="str" cm="1">
        <f t="array" ref="D96">IF(IF(B96="","",_xlfn.XLOOKUP(B96,'MES System'!E:E,'MES System'!F:F))=0,"",IF(B96="","",_xlfn.XLOOKUP(B96,'MES System'!E:E,'MES System'!F:F)))</f>
        <v>입고대기현황</v>
      </c>
      <c r="E96" s="80" t="str" cm="1">
        <f t="array" ref="E96">IF(IF(B96="","",_xlfn.XLOOKUP(B96,'MES System'!E:E,'MES System'!N:N))=0,"",IF(B96="","",_xlfn.XLOOKUP(B96,'MES System'!E:E,'MES System'!N:N)))</f>
        <v>custom.komec.mtrl.po</v>
      </c>
      <c r="F96" s="80" t="str" cm="1">
        <f t="array" ref="F96">IF(IF(B96="","",_xlfn.XLOOKUP(B96,'MES System'!E:E,'MES System'!O:O))=0,"",IF(B96="","",_xlfn.XLOOKUP(B96,'MES System'!E:E,'MES System'!O:O)))</f>
        <v>PurcWait</v>
      </c>
      <c r="G96" s="92" t="e" cm="1">
        <f t="array" ref="G96">IF(IF(B96="","",_xlfn.XLOOKUP(B96,'MES System'!E:E,'MES System'!#REF!))=0,"",IF(B96="","",_xlfn.XLOOKUP(B96,'MES System'!E:E,'MES System'!#REF!)))</f>
        <v>#REF!</v>
      </c>
      <c r="H96" s="92" t="e" cm="1">
        <f t="array" ref="H96">IF(IF(B96="","",_xlfn.XLOOKUP(B96,'MES System'!E:E,'MES System'!#REF!))=0,"",IF(B96="","",_xlfn.XLOOKUP(B96,'MES System'!E:E,'MES System'!#REF!)))</f>
        <v>#REF!</v>
      </c>
      <c r="I96" s="92"/>
      <c r="J96" s="80"/>
      <c r="K96" s="80" t="s">
        <v>1844</v>
      </c>
      <c r="L96" s="105"/>
    </row>
    <row r="97" spans="1:12" ht="26">
      <c r="A97" s="1">
        <v>86</v>
      </c>
      <c r="B97" s="70">
        <v>271003</v>
      </c>
      <c r="C97" s="80" t="str" cm="1">
        <f t="array" ref="C97">IF(B97="","",_xlfn.XLOOKUP(B97,'MES System'!E:E,'MES System'!B:B))</f>
        <v xml:space="preserve">        └ (공통)입고접수</v>
      </c>
      <c r="D97" s="80" t="str" cm="1">
        <f t="array" ref="D97">IF(IF(B97="","",_xlfn.XLOOKUP(B97,'MES System'!E:E,'MES System'!F:F))=0,"",IF(B97="","",_xlfn.XLOOKUP(B97,'MES System'!E:E,'MES System'!F:F)))</f>
        <v>입고접수</v>
      </c>
      <c r="E97" s="80" t="str" cm="1">
        <f t="array" ref="E97">IF(IF(B97="","",_xlfn.XLOOKUP(B97,'MES System'!E:E,'MES System'!N:N))=0,"",IF(B97="","",_xlfn.XLOOKUP(B97,'MES System'!E:E,'MES System'!N:N)))</f>
        <v>mtrl.po</v>
      </c>
      <c r="F97" s="80" t="str" cm="1">
        <f t="array" ref="F97">IF(IF(B97="","",_xlfn.XLOOKUP(B97,'MES System'!E:E,'MES System'!O:O))=0,"",IF(B97="","",_xlfn.XLOOKUP(B97,'MES System'!E:E,'MES System'!O:O)))</f>
        <v>PurcIsttWork</v>
      </c>
      <c r="G97" s="92" t="e" cm="1">
        <f t="array" ref="G97">IF(IF(B97="","",_xlfn.XLOOKUP(B97,'MES System'!E:E,'MES System'!#REF!))=0,"",IF(B97="","",_xlfn.XLOOKUP(B97,'MES System'!E:E,'MES System'!#REF!)))</f>
        <v>#REF!</v>
      </c>
      <c r="H97" s="92" t="e" cm="1">
        <f t="array" ref="H97">IF(IF(B97="","",_xlfn.XLOOKUP(B97,'MES System'!E:E,'MES System'!#REF!))=0,"",IF(B97="","",_xlfn.XLOOKUP(B97,'MES System'!E:E,'MES System'!#REF!)))</f>
        <v>#REF!</v>
      </c>
      <c r="I97" s="92"/>
      <c r="J97" s="80"/>
      <c r="K97" s="96" t="s">
        <v>1960</v>
      </c>
      <c r="L97" s="109" t="s">
        <v>1986</v>
      </c>
    </row>
    <row r="98" spans="1:12" ht="26">
      <c r="A98" s="1">
        <v>87</v>
      </c>
      <c r="B98" s="70">
        <v>271004</v>
      </c>
      <c r="C98" s="80" t="str" cm="1">
        <f t="array" ref="C98">IF(B98="","",_xlfn.XLOOKUP(B98,'MES System'!E:E,'MES System'!B:B))</f>
        <v xml:space="preserve">        └ (공통)입고접수</v>
      </c>
      <c r="D98" s="80" t="str" cm="1">
        <f t="array" ref="D98">IF(IF(B98="","",_xlfn.XLOOKUP(B98,'MES System'!E:E,'MES System'!F:F))=0,"",IF(B98="","",_xlfn.XLOOKUP(B98,'MES System'!E:E,'MES System'!F:F)))</f>
        <v>입고접수</v>
      </c>
      <c r="E98" s="80" t="str" cm="1">
        <f t="array" ref="E98">IF(IF(B98="","",_xlfn.XLOOKUP(B98,'MES System'!E:E,'MES System'!N:N))=0,"",IF(B98="","",_xlfn.XLOOKUP(B98,'MES System'!E:E,'MES System'!N:N)))</f>
        <v>custom.dehansol.sale</v>
      </c>
      <c r="F98" s="80" t="str" cm="1">
        <f t="array" ref="F98">IF(IF(B98="","",_xlfn.XLOOKUP(B98,'MES System'!E:E,'MES System'!O:O))=0,"",IF(B98="","",_xlfn.XLOOKUP(B98,'MES System'!E:E,'MES System'!O:O)))</f>
        <v>PurcIsttWork</v>
      </c>
      <c r="G98" s="92" t="e" cm="1">
        <f t="array" ref="G98">IF(IF(B98="","",_xlfn.XLOOKUP(B98,'MES System'!E:E,'MES System'!#REF!))=0,"",IF(B98="","",_xlfn.XLOOKUP(B98,'MES System'!E:E,'MES System'!#REF!)))</f>
        <v>#REF!</v>
      </c>
      <c r="H98" s="92" t="e" cm="1">
        <f t="array" ref="H98">IF(IF(B98="","",_xlfn.XLOOKUP(B98,'MES System'!E:E,'MES System'!#REF!))=0,"",IF(B98="","",_xlfn.XLOOKUP(B98,'MES System'!E:E,'MES System'!#REF!)))</f>
        <v>#REF!</v>
      </c>
      <c r="I98" s="92"/>
      <c r="J98" s="80"/>
      <c r="K98" s="96" t="s">
        <v>2027</v>
      </c>
      <c r="L98" s="105"/>
    </row>
    <row r="99" spans="1:12" ht="52">
      <c r="A99" s="1">
        <v>88</v>
      </c>
      <c r="B99" s="70">
        <v>271005</v>
      </c>
      <c r="C99" s="80" t="str" cm="1">
        <f t="array" ref="C99">IF(B99="","",_xlfn.XLOOKUP(B99,'MES System'!E:E,'MES System'!B:B))</f>
        <v xml:space="preserve">        └ (공통)자재입고처리</v>
      </c>
      <c r="D99" s="80" t="str" cm="1">
        <f t="array" ref="D99">IF(IF(B99="","",_xlfn.XLOOKUP(B99,'MES System'!E:E,'MES System'!F:F))=0,"",IF(B99="","",_xlfn.XLOOKUP(B99,'MES System'!E:E,'MES System'!F:F)))</f>
        <v>자재입고처리</v>
      </c>
      <c r="E99" s="80" t="str" cm="1">
        <f t="array" ref="E99">IF(IF(B99="","",_xlfn.XLOOKUP(B99,'MES System'!E:E,'MES System'!N:N))=0,"",IF(B99="","",_xlfn.XLOOKUP(B99,'MES System'!E:E,'MES System'!N:N)))</f>
        <v>stock.isos</v>
      </c>
      <c r="F99" s="80" t="str" cm="1">
        <f t="array" ref="F99">IF(IF(B99="","",_xlfn.XLOOKUP(B99,'MES System'!E:E,'MES System'!O:O))=0,"",IF(B99="","",_xlfn.XLOOKUP(B99,'MES System'!E:E,'MES System'!O:O)))</f>
        <v>MtrlIsttWork</v>
      </c>
      <c r="G99" s="92" t="e" cm="1">
        <f t="array" ref="G99">IF(IF(B99="","",_xlfn.XLOOKUP(B99,'MES System'!E:E,'MES System'!#REF!))=0,"",IF(B99="","",_xlfn.XLOOKUP(B99,'MES System'!E:E,'MES System'!#REF!)))</f>
        <v>#REF!</v>
      </c>
      <c r="H99" s="92" t="e" cm="1">
        <f t="array" ref="H99">IF(IF(B99="","",_xlfn.XLOOKUP(B99,'MES System'!E:E,'MES System'!#REF!))=0,"",IF(B99="","",_xlfn.XLOOKUP(B99,'MES System'!E:E,'MES System'!#REF!)))</f>
        <v>#REF!</v>
      </c>
      <c r="I99" s="92"/>
      <c r="J99" s="80" t="s">
        <v>1949</v>
      </c>
      <c r="K99" s="80" t="s">
        <v>1847</v>
      </c>
      <c r="L99" s="106" t="s">
        <v>2012</v>
      </c>
    </row>
    <row r="100" spans="1:12" ht="13">
      <c r="A100" s="1">
        <v>89</v>
      </c>
      <c r="B100" s="70">
        <v>271006</v>
      </c>
      <c r="C100" s="80" t="str" cm="1">
        <f t="array" ref="C100">IF(B100="","",_xlfn.XLOOKUP(B100,'MES System'!E:E,'MES System'!B:B))</f>
        <v xml:space="preserve">        └ (공통)입고현황</v>
      </c>
      <c r="D100" s="80" t="str" cm="1">
        <f t="array" ref="D100">IF(IF(B100="","",_xlfn.XLOOKUP(B100,'MES System'!E:E,'MES System'!F:F))=0,"",IF(B100="","",_xlfn.XLOOKUP(B100,'MES System'!E:E,'MES System'!F:F)))</f>
        <v>입고현황</v>
      </c>
      <c r="E100" s="80" t="str" cm="1">
        <f t="array" ref="E100">IF(IF(B100="","",_xlfn.XLOOKUP(B100,'MES System'!E:E,'MES System'!N:N))=0,"",IF(B100="","",_xlfn.XLOOKUP(B100,'MES System'!E:E,'MES System'!N:N)))</f>
        <v>mtrl.project</v>
      </c>
      <c r="F100" s="80" t="str" cm="1">
        <f t="array" ref="F100">IF(IF(B100="","",_xlfn.XLOOKUP(B100,'MES System'!E:E,'MES System'!O:O))=0,"",IF(B100="","",_xlfn.XLOOKUP(B100,'MES System'!E:E,'MES System'!O:O)))</f>
        <v>PrjtPurcOrderList</v>
      </c>
      <c r="G100" s="92" t="e" cm="1">
        <f t="array" ref="G100">IF(IF(B100="","",_xlfn.XLOOKUP(B100,'MES System'!E:E,'MES System'!#REF!))=0,"",IF(B100="","",_xlfn.XLOOKUP(B100,'MES System'!E:E,'MES System'!#REF!)))</f>
        <v>#REF!</v>
      </c>
      <c r="H100" s="92" t="e" cm="1">
        <f t="array" ref="H100">IF(IF(B100="","",_xlfn.XLOOKUP(B100,'MES System'!E:E,'MES System'!#REF!))=0,"",IF(B100="","",_xlfn.XLOOKUP(B100,'MES System'!E:E,'MES System'!#REF!)))</f>
        <v>#REF!</v>
      </c>
      <c r="I100" s="92"/>
      <c r="J100" s="80"/>
      <c r="K100" s="80" t="s">
        <v>1848</v>
      </c>
      <c r="L100" s="105" t="s">
        <v>2013</v>
      </c>
    </row>
    <row r="101" spans="1:12" ht="13">
      <c r="A101" s="1">
        <v>89</v>
      </c>
      <c r="B101" s="70">
        <v>271007</v>
      </c>
      <c r="C101" s="80" t="str" cm="1">
        <f t="array" ref="C101">IF(B101="","",_xlfn.XLOOKUP(B101,'MES System'!E:E,'MES System'!B:B))</f>
        <v/>
      </c>
      <c r="D101" s="80" t="str" cm="1">
        <f t="array" ref="D101">IF(IF(B101="","",_xlfn.XLOOKUP(B101,'MES System'!E:E,'MES System'!F:F))=0,"",IF(B101="","",_xlfn.XLOOKUP(B101,'MES System'!E:E,'MES System'!F:F)))</f>
        <v/>
      </c>
      <c r="E101" s="80" t="str" cm="1">
        <f t="array" ref="E101">IF(IF(B101="","",_xlfn.XLOOKUP(B101,'MES System'!E:E,'MES System'!N:N))=0,"",IF(B101="","",_xlfn.XLOOKUP(B101,'MES System'!E:E,'MES System'!N:N)))</f>
        <v/>
      </c>
      <c r="F101" s="80" t="str" cm="1">
        <f t="array" ref="F101">IF(IF(B101="","",_xlfn.XLOOKUP(B101,'MES System'!E:E,'MES System'!O:O))=0,"",IF(B101="","",_xlfn.XLOOKUP(B101,'MES System'!E:E,'MES System'!O:O)))</f>
        <v/>
      </c>
      <c r="G101" s="92" t="e" cm="1">
        <f t="array" ref="G101">IF(IF(B101="","",_xlfn.XLOOKUP(B101,'MES System'!E:E,'MES System'!#REF!))=0,"",IF(B101="","",_xlfn.XLOOKUP(B101,'MES System'!E:E,'MES System'!#REF!)))</f>
        <v>#REF!</v>
      </c>
      <c r="H101" s="92" t="e" cm="1">
        <f t="array" ref="H101">IF(IF(B101="","",_xlfn.XLOOKUP(B101,'MES System'!E:E,'MES System'!#REF!))=0,"",IF(B101="","",_xlfn.XLOOKUP(B101,'MES System'!E:E,'MES System'!#REF!)))</f>
        <v>#REF!</v>
      </c>
      <c r="I101" s="92"/>
      <c r="J101" s="80"/>
      <c r="K101" s="80" t="s">
        <v>1926</v>
      </c>
      <c r="L101" s="105"/>
    </row>
    <row r="102" spans="1:12" ht="13">
      <c r="A102" s="1">
        <v>90</v>
      </c>
      <c r="B102" s="70"/>
      <c r="C102" s="80" t="str" cm="1">
        <f t="array" ref="C102">IF(B102="","",_xlfn.XLOOKUP(B102,'MES System'!E:E,'MES System'!B:B))</f>
        <v/>
      </c>
      <c r="D102" s="80" t="str" cm="1">
        <f t="array" ref="D102">IF(IF(B102="","",_xlfn.XLOOKUP(B102,'MES System'!E:E,'MES System'!F:F))=0,"",IF(B102="","",_xlfn.XLOOKUP(B102,'MES System'!E:E,'MES System'!F:F)))</f>
        <v/>
      </c>
      <c r="E102" s="80" t="str" cm="1">
        <f t="array" ref="E102">IF(IF(B102="","",_xlfn.XLOOKUP(B102,'MES System'!E:E,'MES System'!N:N))=0,"",IF(B102="","",_xlfn.XLOOKUP(B102,'MES System'!E:E,'MES System'!N:N)))</f>
        <v/>
      </c>
      <c r="F102" s="80" t="str" cm="1">
        <f t="array" ref="F102">IF(IF(B102="","",_xlfn.XLOOKUP(B102,'MES System'!E:E,'MES System'!O:O))=0,"",IF(B102="","",_xlfn.XLOOKUP(B102,'MES System'!E:E,'MES System'!O:O)))</f>
        <v/>
      </c>
      <c r="G102" s="92" t="str" cm="1">
        <f t="array" ref="G102">IF(IF(B102="","",_xlfn.XLOOKUP(B102,'MES System'!E:E,'MES System'!#REF!))=0,"",IF(B102="","",_xlfn.XLOOKUP(B102,'MES System'!E:E,'MES System'!#REF!)))</f>
        <v/>
      </c>
      <c r="H102" s="92" t="str" cm="1">
        <f t="array" ref="H102">IF(IF(B102="","",_xlfn.XLOOKUP(B102,'MES System'!E:E,'MES System'!#REF!))=0,"",IF(B102="","",_xlfn.XLOOKUP(B102,'MES System'!E:E,'MES System'!#REF!)))</f>
        <v/>
      </c>
      <c r="I102" s="92"/>
      <c r="J102" s="80"/>
      <c r="K102" s="80"/>
      <c r="L102" s="105"/>
    </row>
    <row r="103" spans="1:12" ht="13">
      <c r="A103" s="1">
        <v>91</v>
      </c>
      <c r="B103" s="72" t="s">
        <v>181</v>
      </c>
      <c r="C103" s="79" t="e" cm="1">
        <f t="array" ref="C103">IF(B103="","",_xlfn.XLOOKUP(B103,'MES System'!E:E,'MES System'!B:B))</f>
        <v>#N/A</v>
      </c>
      <c r="D103" s="79" t="e" cm="1">
        <f t="array" ref="D103">IF(IF(B103="","",_xlfn.XLOOKUP(B103,'MES System'!E:E,'MES System'!F:F))=0,"",IF(B103="","",_xlfn.XLOOKUP(B103,'MES System'!E:E,'MES System'!F:F)))</f>
        <v>#N/A</v>
      </c>
      <c r="E103" s="79" t="e" cm="1">
        <f t="array" ref="E103">IF(IF(B103="","",_xlfn.XLOOKUP(B103,'MES System'!E:E,'MES System'!N:N))=0,"",IF(B103="","",_xlfn.XLOOKUP(B103,'MES System'!E:E,'MES System'!N:N)))</f>
        <v>#N/A</v>
      </c>
      <c r="F103" s="79" t="e" cm="1">
        <f t="array" ref="F103">IF(IF(B103="","",_xlfn.XLOOKUP(B103,'MES System'!E:E,'MES System'!O:O))=0,"",IF(B103="","",_xlfn.XLOOKUP(B103,'MES System'!E:E,'MES System'!O:O)))</f>
        <v>#N/A</v>
      </c>
      <c r="G103" s="100" t="e" cm="1">
        <f t="array" ref="G103">IF(IF(B103="","",_xlfn.XLOOKUP(B103,'MES System'!E:E,'MES System'!#REF!))=0,"",IF(B103="","",_xlfn.XLOOKUP(B103,'MES System'!E:E,'MES System'!#REF!)))</f>
        <v>#REF!</v>
      </c>
      <c r="H103" s="100" t="e" cm="1">
        <f t="array" ref="H103">IF(IF(B103="","",_xlfn.XLOOKUP(B103,'MES System'!E:E,'MES System'!#REF!))=0,"",IF(B103="","",_xlfn.XLOOKUP(B103,'MES System'!E:E,'MES System'!#REF!)))</f>
        <v>#REF!</v>
      </c>
      <c r="I103" s="100"/>
      <c r="J103" s="79"/>
      <c r="K103" s="79"/>
      <c r="L103" s="104"/>
    </row>
    <row r="104" spans="1:12" ht="13">
      <c r="A104" s="1">
        <v>92</v>
      </c>
      <c r="B104" s="70">
        <v>272001</v>
      </c>
      <c r="C104" s="80" t="str" cm="1">
        <f t="array" ref="C104">IF(B104="","",_xlfn.XLOOKUP(B104,'MES System'!E:E,'MES System'!B:B))</f>
        <v xml:space="preserve">        └ (공통)생산출고관리</v>
      </c>
      <c r="D104" s="80" t="str" cm="1">
        <f t="array" ref="D104">IF(IF(B104="","",_xlfn.XLOOKUP(B104,'MES System'!E:E,'MES System'!F:F))=0,"",IF(B104="","",_xlfn.XLOOKUP(B104,'MES System'!E:E,'MES System'!F:F)))</f>
        <v>생산출고관리</v>
      </c>
      <c r="E104" s="80" t="str" cm="1">
        <f t="array" ref="E104">IF(IF(B104="","",_xlfn.XLOOKUP(B104,'MES System'!E:E,'MES System'!N:N))=0,"",IF(B104="","",_xlfn.XLOOKUP(B104,'MES System'!E:E,'MES System'!N:N)))</f>
        <v>stock.isos</v>
      </c>
      <c r="F104" s="80" t="str" cm="1">
        <f t="array" ref="F104">IF(IF(B104="","",_xlfn.XLOOKUP(B104,'MES System'!E:E,'MES System'!O:O))=0,"",IF(B104="","",_xlfn.XLOOKUP(B104,'MES System'!E:E,'MES System'!O:O)))</f>
        <v>ProdOsttWork</v>
      </c>
      <c r="G104" s="92" t="e" cm="1">
        <f t="array" ref="G104">IF(IF(B104="","",_xlfn.XLOOKUP(B104,'MES System'!E:E,'MES System'!#REF!))=0,"",IF(B104="","",_xlfn.XLOOKUP(B104,'MES System'!E:E,'MES System'!#REF!)))</f>
        <v>#REF!</v>
      </c>
      <c r="H104" s="92" t="e" cm="1">
        <f t="array" ref="H104">IF(IF(B104="","",_xlfn.XLOOKUP(B104,'MES System'!E:E,'MES System'!#REF!))=0,"",IF(B104="","",_xlfn.XLOOKUP(B104,'MES System'!E:E,'MES System'!#REF!)))</f>
        <v>#REF!</v>
      </c>
      <c r="I104" s="92"/>
      <c r="J104" s="80"/>
      <c r="K104" s="80" t="s">
        <v>1855</v>
      </c>
      <c r="L104" s="105" t="s">
        <v>2014</v>
      </c>
    </row>
    <row r="105" spans="1:12" ht="13">
      <c r="A105" s="1">
        <v>93</v>
      </c>
      <c r="B105" s="70">
        <v>272002</v>
      </c>
      <c r="C105" s="80" t="str" cm="1">
        <f t="array" ref="C105">IF(B105="","",_xlfn.XLOOKUP(B105,'MES System'!E:E,'MES System'!B:B))</f>
        <v xml:space="preserve">        └ (선택)생산출고관리(M)</v>
      </c>
      <c r="D105" s="80" t="str" cm="1">
        <f t="array" ref="D105">IF(IF(B105="","",_xlfn.XLOOKUP(B105,'MES System'!E:E,'MES System'!F:F))=0,"",IF(B105="","",_xlfn.XLOOKUP(B105,'MES System'!E:E,'MES System'!F:F)))</f>
        <v>생산출고관리(M)</v>
      </c>
      <c r="E105" s="80" t="str" cm="1">
        <f t="array" ref="E105">IF(IF(B105="","",_xlfn.XLOOKUP(B105,'MES System'!E:E,'MES System'!N:N))=0,"",IF(B105="","",_xlfn.XLOOKUP(B105,'MES System'!E:E,'MES System'!N:N)))</f>
        <v>stock.isos</v>
      </c>
      <c r="F105" s="80" t="str" cm="1">
        <f t="array" ref="F105">IF(IF(B105="","",_xlfn.XLOOKUP(B105,'MES System'!E:E,'MES System'!O:O))=0,"",IF(B105="","",_xlfn.XLOOKUP(B105,'MES System'!E:E,'MES System'!O:O)))</f>
        <v>ProdOsttWorkV2</v>
      </c>
      <c r="G105" s="92" t="e" cm="1">
        <f t="array" ref="G105">IF(IF(B105="","",_xlfn.XLOOKUP(B105,'MES System'!E:E,'MES System'!#REF!))=0,"",IF(B105="","",_xlfn.XLOOKUP(B105,'MES System'!E:E,'MES System'!#REF!)))</f>
        <v>#REF!</v>
      </c>
      <c r="H105" s="92" t="e" cm="1">
        <f t="array" ref="H105">IF(IF(B105="","",_xlfn.XLOOKUP(B105,'MES System'!E:E,'MES System'!#REF!))=0,"",IF(B105="","",_xlfn.XLOOKUP(B105,'MES System'!E:E,'MES System'!#REF!)))</f>
        <v>#REF!</v>
      </c>
      <c r="I105" s="92"/>
      <c r="J105" s="80"/>
      <c r="K105" s="80" t="s">
        <v>1849</v>
      </c>
      <c r="L105" s="105"/>
    </row>
    <row r="106" spans="1:12" ht="13">
      <c r="A106" s="1">
        <v>94</v>
      </c>
      <c r="B106" s="70">
        <v>272003</v>
      </c>
      <c r="C106" s="80" t="str" cm="1">
        <f t="array" ref="C106">IF(B106="","",_xlfn.XLOOKUP(B106,'MES System'!E:E,'MES System'!B:B))</f>
        <v/>
      </c>
      <c r="D106" s="80" t="str" cm="1">
        <f t="array" ref="D106">IF(IF(B106="","",_xlfn.XLOOKUP(B106,'MES System'!E:E,'MES System'!F:F))=0,"",IF(B106="","",_xlfn.XLOOKUP(B106,'MES System'!E:E,'MES System'!F:F)))</f>
        <v/>
      </c>
      <c r="E106" s="80" t="str" cm="1">
        <f t="array" ref="E106">IF(IF(B106="","",_xlfn.XLOOKUP(B106,'MES System'!E:E,'MES System'!N:N))=0,"",IF(B106="","",_xlfn.XLOOKUP(B106,'MES System'!E:E,'MES System'!N:N)))</f>
        <v/>
      </c>
      <c r="F106" s="80" t="str" cm="1">
        <f t="array" ref="F106">IF(IF(B106="","",_xlfn.XLOOKUP(B106,'MES System'!E:E,'MES System'!O:O))=0,"",IF(B106="","",_xlfn.XLOOKUP(B106,'MES System'!E:E,'MES System'!O:O)))</f>
        <v/>
      </c>
      <c r="G106" s="92" t="e" cm="1">
        <f t="array" ref="G106">IF(IF(B106="","",_xlfn.XLOOKUP(B106,'MES System'!E:E,'MES System'!#REF!))=0,"",IF(B106="","",_xlfn.XLOOKUP(B106,'MES System'!E:E,'MES System'!#REF!)))</f>
        <v>#REF!</v>
      </c>
      <c r="H106" s="92" t="e" cm="1">
        <f t="array" ref="H106">IF(IF(B106="","",_xlfn.XLOOKUP(B106,'MES System'!E:E,'MES System'!#REF!))=0,"",IF(B106="","",_xlfn.XLOOKUP(B106,'MES System'!E:E,'MES System'!#REF!)))</f>
        <v>#REF!</v>
      </c>
      <c r="I106" s="92"/>
      <c r="J106" s="80"/>
      <c r="K106" s="80" t="s">
        <v>1850</v>
      </c>
      <c r="L106" s="105"/>
    </row>
    <row r="107" spans="1:12" ht="13">
      <c r="A107" s="1">
        <v>95</v>
      </c>
      <c r="B107" s="70">
        <v>272004</v>
      </c>
      <c r="C107" s="80" t="str" cm="1">
        <f t="array" ref="C107">IF(B107="","",_xlfn.XLOOKUP(B107,'MES System'!E:E,'MES System'!B:B))</f>
        <v/>
      </c>
      <c r="D107" s="80" t="str" cm="1">
        <f t="array" ref="D107">IF(IF(B107="","",_xlfn.XLOOKUP(B107,'MES System'!E:E,'MES System'!F:F))=0,"",IF(B107="","",_xlfn.XLOOKUP(B107,'MES System'!E:E,'MES System'!F:F)))</f>
        <v/>
      </c>
      <c r="E107" s="80" t="str" cm="1">
        <f t="array" ref="E107">IF(IF(B107="","",_xlfn.XLOOKUP(B107,'MES System'!E:E,'MES System'!N:N))=0,"",IF(B107="","",_xlfn.XLOOKUP(B107,'MES System'!E:E,'MES System'!N:N)))</f>
        <v/>
      </c>
      <c r="F107" s="80" t="str" cm="1">
        <f t="array" ref="F107">IF(IF(B107="","",_xlfn.XLOOKUP(B107,'MES System'!E:E,'MES System'!O:O))=0,"",IF(B107="","",_xlfn.XLOOKUP(B107,'MES System'!E:E,'MES System'!O:O)))</f>
        <v/>
      </c>
      <c r="G107" s="92" t="e" cm="1">
        <f t="array" ref="G107">IF(IF(B107="","",_xlfn.XLOOKUP(B107,'MES System'!E:E,'MES System'!#REF!))=0,"",IF(B107="","",_xlfn.XLOOKUP(B107,'MES System'!E:E,'MES System'!#REF!)))</f>
        <v>#REF!</v>
      </c>
      <c r="H107" s="92" t="e" cm="1">
        <f t="array" ref="H107">IF(IF(B107="","",_xlfn.XLOOKUP(B107,'MES System'!E:E,'MES System'!#REF!))=0,"",IF(B107="","",_xlfn.XLOOKUP(B107,'MES System'!E:E,'MES System'!#REF!)))</f>
        <v>#REF!</v>
      </c>
      <c r="I107" s="92"/>
      <c r="J107" s="80"/>
      <c r="K107" s="80" t="s">
        <v>1851</v>
      </c>
      <c r="L107" s="105"/>
    </row>
    <row r="108" spans="1:12" ht="13">
      <c r="A108" s="1">
        <v>96</v>
      </c>
      <c r="B108" s="70"/>
      <c r="C108" s="80" t="str" cm="1">
        <f t="array" ref="C108">IF(B108="","",_xlfn.XLOOKUP(B108,'MES System'!E:E,'MES System'!B:B))</f>
        <v/>
      </c>
      <c r="D108" s="80" t="str" cm="1">
        <f t="array" ref="D108">IF(IF(B108="","",_xlfn.XLOOKUP(B108,'MES System'!E:E,'MES System'!F:F))=0,"",IF(B108="","",_xlfn.XLOOKUP(B108,'MES System'!E:E,'MES System'!F:F)))</f>
        <v/>
      </c>
      <c r="E108" s="80" t="str" cm="1">
        <f t="array" ref="E108">IF(IF(B108="","",_xlfn.XLOOKUP(B108,'MES System'!E:E,'MES System'!N:N))=0,"",IF(B108="","",_xlfn.XLOOKUP(B108,'MES System'!E:E,'MES System'!N:N)))</f>
        <v/>
      </c>
      <c r="F108" s="80" t="str" cm="1">
        <f t="array" ref="F108">IF(IF(B108="","",_xlfn.XLOOKUP(B108,'MES System'!E:E,'MES System'!O:O))=0,"",IF(B108="","",_xlfn.XLOOKUP(B108,'MES System'!E:E,'MES System'!O:O)))</f>
        <v/>
      </c>
      <c r="G108" s="92" t="str" cm="1">
        <f t="array" ref="G108">IF(IF(B108="","",_xlfn.XLOOKUP(B108,'MES System'!E:E,'MES System'!#REF!))=0,"",IF(B108="","",_xlfn.XLOOKUP(B108,'MES System'!E:E,'MES System'!#REF!)))</f>
        <v/>
      </c>
      <c r="H108" s="92" t="str" cm="1">
        <f t="array" ref="H108">IF(IF(B108="","",_xlfn.XLOOKUP(B108,'MES System'!E:E,'MES System'!#REF!))=0,"",IF(B108="","",_xlfn.XLOOKUP(B108,'MES System'!E:E,'MES System'!#REF!)))</f>
        <v/>
      </c>
      <c r="I108" s="92"/>
      <c r="J108" s="80"/>
      <c r="K108" s="80"/>
      <c r="L108" s="105"/>
    </row>
    <row r="109" spans="1:12" ht="13">
      <c r="A109" s="1">
        <v>97</v>
      </c>
      <c r="B109" s="72" t="s">
        <v>195</v>
      </c>
      <c r="C109" s="79" t="e" cm="1">
        <f t="array" ref="C109">IF(B109="","",_xlfn.XLOOKUP(B109,'MES System'!E:E,'MES System'!B:B))</f>
        <v>#N/A</v>
      </c>
      <c r="D109" s="79" t="e" cm="1">
        <f t="array" ref="D109">IF(IF(B109="","",_xlfn.XLOOKUP(B109,'MES System'!E:E,'MES System'!F:F))=0,"",IF(B109="","",_xlfn.XLOOKUP(B109,'MES System'!E:E,'MES System'!F:F)))</f>
        <v>#N/A</v>
      </c>
      <c r="E109" s="79" t="e" cm="1">
        <f t="array" ref="E109">IF(IF(B109="","",_xlfn.XLOOKUP(B109,'MES System'!E:E,'MES System'!N:N))=0,"",IF(B109="","",_xlfn.XLOOKUP(B109,'MES System'!E:E,'MES System'!N:N)))</f>
        <v>#N/A</v>
      </c>
      <c r="F109" s="79" t="e" cm="1">
        <f t="array" ref="F109">IF(IF(B109="","",_xlfn.XLOOKUP(B109,'MES System'!E:E,'MES System'!O:O))=0,"",IF(B109="","",_xlfn.XLOOKUP(B109,'MES System'!E:E,'MES System'!O:O)))</f>
        <v>#N/A</v>
      </c>
      <c r="G109" s="100" t="e" cm="1">
        <f t="array" ref="G109">IF(IF(B109="","",_xlfn.XLOOKUP(B109,'MES System'!E:E,'MES System'!#REF!))=0,"",IF(B109="","",_xlfn.XLOOKUP(B109,'MES System'!E:E,'MES System'!#REF!)))</f>
        <v>#REF!</v>
      </c>
      <c r="H109" s="100" t="e" cm="1">
        <f t="array" ref="H109">IF(IF(B109="","",_xlfn.XLOOKUP(B109,'MES System'!E:E,'MES System'!#REF!))=0,"",IF(B109="","",_xlfn.XLOOKUP(B109,'MES System'!E:E,'MES System'!#REF!)))</f>
        <v>#REF!</v>
      </c>
      <c r="I109" s="100"/>
      <c r="J109" s="79"/>
      <c r="K109" s="79"/>
      <c r="L109" s="104"/>
    </row>
    <row r="110" spans="1:12" ht="13">
      <c r="A110" s="1">
        <v>98</v>
      </c>
      <c r="B110" s="70">
        <v>273001</v>
      </c>
      <c r="C110" s="80" t="str" cm="1">
        <f t="array" ref="C110">IF(B110="","",_xlfn.XLOOKUP(B110,'MES System'!E:E,'MES System'!B:B))</f>
        <v/>
      </c>
      <c r="D110" s="80" t="str" cm="1">
        <f t="array" ref="D110">IF(IF(B110="","",_xlfn.XLOOKUP(B110,'MES System'!E:E,'MES System'!F:F))=0,"",IF(B110="","",_xlfn.XLOOKUP(B110,'MES System'!E:E,'MES System'!F:F)))</f>
        <v/>
      </c>
      <c r="E110" s="80" t="str" cm="1">
        <f t="array" ref="E110">IF(IF(B110="","",_xlfn.XLOOKUP(B110,'MES System'!E:E,'MES System'!N:N))=0,"",IF(B110="","",_xlfn.XLOOKUP(B110,'MES System'!E:E,'MES System'!N:N)))</f>
        <v/>
      </c>
      <c r="F110" s="80" t="str" cm="1">
        <f t="array" ref="F110">IF(IF(B110="","",_xlfn.XLOOKUP(B110,'MES System'!E:E,'MES System'!O:O))=0,"",IF(B110="","",_xlfn.XLOOKUP(B110,'MES System'!E:E,'MES System'!O:O)))</f>
        <v/>
      </c>
      <c r="G110" s="92" t="e" cm="1">
        <f t="array" ref="G110">IF(IF(B110="","",_xlfn.XLOOKUP(B110,'MES System'!E:E,'MES System'!#REF!))=0,"",IF(B110="","",_xlfn.XLOOKUP(B110,'MES System'!E:E,'MES System'!#REF!)))</f>
        <v>#REF!</v>
      </c>
      <c r="H110" s="92" t="e" cm="1">
        <f t="array" ref="H110">IF(IF(B110="","",_xlfn.XLOOKUP(B110,'MES System'!E:E,'MES System'!#REF!))=0,"",IF(B110="","",_xlfn.XLOOKUP(B110,'MES System'!E:E,'MES System'!#REF!)))</f>
        <v>#REF!</v>
      </c>
      <c r="I110" s="92"/>
      <c r="J110" s="80"/>
      <c r="K110" s="80" t="s">
        <v>1852</v>
      </c>
      <c r="L110" s="105"/>
    </row>
    <row r="111" spans="1:12" ht="13">
      <c r="A111" s="1">
        <v>99</v>
      </c>
      <c r="B111" s="70">
        <v>273002</v>
      </c>
      <c r="C111" s="80" t="str" cm="1">
        <f t="array" ref="C111">IF(B111="","",_xlfn.XLOOKUP(B111,'MES System'!E:E,'MES System'!B:B))</f>
        <v/>
      </c>
      <c r="D111" s="80" t="str" cm="1">
        <f t="array" ref="D111">IF(IF(B111="","",_xlfn.XLOOKUP(B111,'MES System'!E:E,'MES System'!F:F))=0,"",IF(B111="","",_xlfn.XLOOKUP(B111,'MES System'!E:E,'MES System'!F:F)))</f>
        <v/>
      </c>
      <c r="E111" s="80" t="str" cm="1">
        <f t="array" ref="E111">IF(IF(B111="","",_xlfn.XLOOKUP(B111,'MES System'!E:E,'MES System'!N:N))=0,"",IF(B111="","",_xlfn.XLOOKUP(B111,'MES System'!E:E,'MES System'!N:N)))</f>
        <v/>
      </c>
      <c r="F111" s="80" t="str" cm="1">
        <f t="array" ref="F111">IF(IF(B111="","",_xlfn.XLOOKUP(B111,'MES System'!E:E,'MES System'!O:O))=0,"",IF(B111="","",_xlfn.XLOOKUP(B111,'MES System'!E:E,'MES System'!O:O)))</f>
        <v/>
      </c>
      <c r="G111" s="92" t="e" cm="1">
        <f t="array" ref="G111">IF(IF(B111="","",_xlfn.XLOOKUP(B111,'MES System'!E:E,'MES System'!#REF!))=0,"",IF(B111="","",_xlfn.XLOOKUP(B111,'MES System'!E:E,'MES System'!#REF!)))</f>
        <v>#REF!</v>
      </c>
      <c r="H111" s="92" t="e" cm="1">
        <f t="array" ref="H111">IF(IF(B111="","",_xlfn.XLOOKUP(B111,'MES System'!E:E,'MES System'!#REF!))=0,"",IF(B111="","",_xlfn.XLOOKUP(B111,'MES System'!E:E,'MES System'!#REF!)))</f>
        <v>#REF!</v>
      </c>
      <c r="I111" s="92"/>
      <c r="J111" s="80"/>
      <c r="K111" s="80" t="s">
        <v>1853</v>
      </c>
      <c r="L111" s="105"/>
    </row>
    <row r="112" spans="1:12" ht="13">
      <c r="A112" s="1">
        <v>100</v>
      </c>
      <c r="B112" s="70">
        <v>273003</v>
      </c>
      <c r="C112" s="80" t="str" cm="1">
        <f t="array" ref="C112">IF(B112="","",_xlfn.XLOOKUP(B112,'MES System'!E:E,'MES System'!B:B))</f>
        <v/>
      </c>
      <c r="D112" s="80" t="str" cm="1">
        <f t="array" ref="D112">IF(IF(B112="","",_xlfn.XLOOKUP(B112,'MES System'!E:E,'MES System'!F:F))=0,"",IF(B112="","",_xlfn.XLOOKUP(B112,'MES System'!E:E,'MES System'!F:F)))</f>
        <v/>
      </c>
      <c r="E112" s="80" t="str" cm="1">
        <f t="array" ref="E112">IF(IF(B112="","",_xlfn.XLOOKUP(B112,'MES System'!E:E,'MES System'!N:N))=0,"",IF(B112="","",_xlfn.XLOOKUP(B112,'MES System'!E:E,'MES System'!N:N)))</f>
        <v/>
      </c>
      <c r="F112" s="80" t="str" cm="1">
        <f t="array" ref="F112">IF(IF(B112="","",_xlfn.XLOOKUP(B112,'MES System'!E:E,'MES System'!O:O))=0,"",IF(B112="","",_xlfn.XLOOKUP(B112,'MES System'!E:E,'MES System'!O:O)))</f>
        <v/>
      </c>
      <c r="G112" s="92" t="e" cm="1">
        <f t="array" ref="G112">IF(IF(B112="","",_xlfn.XLOOKUP(B112,'MES System'!E:E,'MES System'!#REF!))=0,"",IF(B112="","",_xlfn.XLOOKUP(B112,'MES System'!E:E,'MES System'!#REF!)))</f>
        <v>#REF!</v>
      </c>
      <c r="H112" s="92" t="e" cm="1">
        <f t="array" ref="H112">IF(IF(B112="","",_xlfn.XLOOKUP(B112,'MES System'!E:E,'MES System'!#REF!))=0,"",IF(B112="","",_xlfn.XLOOKUP(B112,'MES System'!E:E,'MES System'!#REF!)))</f>
        <v>#REF!</v>
      </c>
      <c r="I112" s="92"/>
      <c r="J112" s="80"/>
      <c r="K112" s="80" t="s">
        <v>1854</v>
      </c>
      <c r="L112" s="105"/>
    </row>
    <row r="113" spans="1:12" ht="13">
      <c r="A113" s="1">
        <v>101</v>
      </c>
      <c r="B113" s="70"/>
      <c r="C113" s="80" t="str" cm="1">
        <f t="array" ref="C113">IF(B113="","",_xlfn.XLOOKUP(B113,'MES System'!E:E,'MES System'!B:B))</f>
        <v/>
      </c>
      <c r="D113" s="80" t="str" cm="1">
        <f t="array" ref="D113">IF(IF(B113="","",_xlfn.XLOOKUP(B113,'MES System'!E:E,'MES System'!F:F))=0,"",IF(B113="","",_xlfn.XLOOKUP(B113,'MES System'!E:E,'MES System'!F:F)))</f>
        <v/>
      </c>
      <c r="E113" s="80" t="str" cm="1">
        <f t="array" ref="E113">IF(IF(B113="","",_xlfn.XLOOKUP(B113,'MES System'!E:E,'MES System'!N:N))=0,"",IF(B113="","",_xlfn.XLOOKUP(B113,'MES System'!E:E,'MES System'!N:N)))</f>
        <v/>
      </c>
      <c r="F113" s="80" t="str" cm="1">
        <f t="array" ref="F113">IF(IF(B113="","",_xlfn.XLOOKUP(B113,'MES System'!E:E,'MES System'!O:O))=0,"",IF(B113="","",_xlfn.XLOOKUP(B113,'MES System'!E:E,'MES System'!O:O)))</f>
        <v/>
      </c>
      <c r="G113" s="92" t="str" cm="1">
        <f t="array" ref="G113">IF(IF(B113="","",_xlfn.XLOOKUP(B113,'MES System'!E:E,'MES System'!#REF!))=0,"",IF(B113="","",_xlfn.XLOOKUP(B113,'MES System'!E:E,'MES System'!#REF!)))</f>
        <v/>
      </c>
      <c r="H113" s="92" t="str" cm="1">
        <f t="array" ref="H113">IF(IF(B113="","",_xlfn.XLOOKUP(B113,'MES System'!E:E,'MES System'!#REF!))=0,"",IF(B113="","",_xlfn.XLOOKUP(B113,'MES System'!E:E,'MES System'!#REF!)))</f>
        <v/>
      </c>
      <c r="I113" s="92"/>
      <c r="J113" s="80"/>
      <c r="K113" s="80"/>
      <c r="L113" s="105"/>
    </row>
    <row r="114" spans="1:12" ht="13">
      <c r="A114" s="1">
        <v>102</v>
      </c>
      <c r="B114" s="72" t="s">
        <v>243</v>
      </c>
      <c r="C114" s="79" t="e" cm="1">
        <f t="array" ref="C114">IF(B114="","",_xlfn.XLOOKUP(B114,'MES System'!E:E,'MES System'!B:B))</f>
        <v>#N/A</v>
      </c>
      <c r="D114" s="79" t="e" cm="1">
        <f t="array" ref="D114">IF(IF(B114="","",_xlfn.XLOOKUP(B114,'MES System'!E:E,'MES System'!F:F))=0,"",IF(B114="","",_xlfn.XLOOKUP(B114,'MES System'!E:E,'MES System'!F:F)))</f>
        <v>#N/A</v>
      </c>
      <c r="E114" s="79" t="e" cm="1">
        <f t="array" ref="E114">IF(IF(B114="","",_xlfn.XLOOKUP(B114,'MES System'!E:E,'MES System'!N:N))=0,"",IF(B114="","",_xlfn.XLOOKUP(B114,'MES System'!E:E,'MES System'!N:N)))</f>
        <v>#N/A</v>
      </c>
      <c r="F114" s="79" t="e" cm="1">
        <f t="array" ref="F114">IF(IF(B114="","",_xlfn.XLOOKUP(B114,'MES System'!E:E,'MES System'!O:O))=0,"",IF(B114="","",_xlfn.XLOOKUP(B114,'MES System'!E:E,'MES System'!O:O)))</f>
        <v>#N/A</v>
      </c>
      <c r="G114" s="100" t="e" cm="1">
        <f t="array" ref="G114">IF(IF(B114="","",_xlfn.XLOOKUP(B114,'MES System'!E:E,'MES System'!#REF!))=0,"",IF(B114="","",_xlfn.XLOOKUP(B114,'MES System'!E:E,'MES System'!#REF!)))</f>
        <v>#REF!</v>
      </c>
      <c r="H114" s="100" t="e" cm="1">
        <f t="array" ref="H114">IF(IF(B114="","",_xlfn.XLOOKUP(B114,'MES System'!E:E,'MES System'!#REF!))=0,"",IF(B114="","",_xlfn.XLOOKUP(B114,'MES System'!E:E,'MES System'!#REF!)))</f>
        <v>#REF!</v>
      </c>
      <c r="I114" s="100"/>
      <c r="J114" s="79"/>
      <c r="K114" s="79"/>
      <c r="L114" s="104"/>
    </row>
    <row r="115" spans="1:12" ht="13">
      <c r="A115" s="1">
        <v>103</v>
      </c>
      <c r="B115" s="70">
        <v>274001</v>
      </c>
      <c r="C115" s="80" t="str" cm="1">
        <f t="array" ref="C115">IF(B115="","",_xlfn.XLOOKUP(B115,'MES System'!E:E,'MES System'!B:B))</f>
        <v xml:space="preserve">        └ (일양)출하계획(3일)</v>
      </c>
      <c r="D115" s="80" t="str" cm="1">
        <f t="array" ref="D115">IF(IF(B115="","",_xlfn.XLOOKUP(B115,'MES System'!E:E,'MES System'!F:F))=0,"",IF(B115="","",_xlfn.XLOOKUP(B115,'MES System'!E:E,'MES System'!F:F)))</f>
        <v>출하계획(3일)</v>
      </c>
      <c r="E115" s="80" t="str" cm="1">
        <f t="array" ref="E115">IF(IF(B115="","",_xlfn.XLOOKUP(B115,'MES System'!E:E,'MES System'!N:N))=0,"",IF(B115="","",_xlfn.XLOOKUP(B115,'MES System'!E:E,'MES System'!N:N)))</f>
        <v>custom.iypkg.stock.isos</v>
      </c>
      <c r="F115" s="80" t="str" cm="1">
        <f t="array" ref="F115">IF(IF(B115="","",_xlfn.XLOOKUP(B115,'MES System'!E:E,'MES System'!O:O))=0,"",IF(B115="","",_xlfn.XLOOKUP(B115,'MES System'!E:E,'MES System'!O:O)))</f>
        <v>SptsList1</v>
      </c>
      <c r="G115" s="92" t="e" cm="1">
        <f t="array" ref="G115">IF(IF(B115="","",_xlfn.XLOOKUP(B115,'MES System'!E:E,'MES System'!#REF!))=0,"",IF(B115="","",_xlfn.XLOOKUP(B115,'MES System'!E:E,'MES System'!#REF!)))</f>
        <v>#REF!</v>
      </c>
      <c r="H115" s="92" t="e" cm="1">
        <f t="array" ref="H115">IF(IF(B115="","",_xlfn.XLOOKUP(B115,'MES System'!E:E,'MES System'!#REF!))=0,"",IF(B115="","",_xlfn.XLOOKUP(B115,'MES System'!E:E,'MES System'!#REF!)))</f>
        <v>#REF!</v>
      </c>
      <c r="I115" s="92"/>
      <c r="J115" s="80"/>
      <c r="K115" s="80" t="s">
        <v>1856</v>
      </c>
      <c r="L115" s="105"/>
    </row>
    <row r="116" spans="1:12" ht="13">
      <c r="A116" s="1">
        <v>105</v>
      </c>
      <c r="B116" s="70">
        <v>274002</v>
      </c>
      <c r="C116" s="80" t="str" cm="1">
        <f t="array" ref="C116">IF(B116="","",_xlfn.XLOOKUP(B116,'MES System'!E:E,'MES System'!B:B))</f>
        <v xml:space="preserve">        └ (공통)출고대기현황</v>
      </c>
      <c r="D116" s="80" t="str" cm="1">
        <f t="array" ref="D116">IF(IF(B116="","",_xlfn.XLOOKUP(B116,'MES System'!E:E,'MES System'!F:F))=0,"",IF(B116="","",_xlfn.XLOOKUP(B116,'MES System'!E:E,'MES System'!F:F)))</f>
        <v>출고대기현황</v>
      </c>
      <c r="E116" s="80" t="str" cm="1">
        <f t="array" ref="E116">IF(IF(B116="","",_xlfn.XLOOKUP(B116,'MES System'!E:E,'MES System'!N:N))=0,"",IF(B116="","",_xlfn.XLOOKUP(B116,'MES System'!E:E,'MES System'!N:N)))</f>
        <v>stock.isos</v>
      </c>
      <c r="F116" s="80" t="str" cm="1">
        <f t="array" ref="F116">IF(IF(B116="","",_xlfn.XLOOKUP(B116,'MES System'!E:E,'MES System'!O:O))=0,"",IF(B116="","",_xlfn.XLOOKUP(B116,'MES System'!E:E,'MES System'!O:O)))</f>
        <v>ProdOsttWait</v>
      </c>
      <c r="G116" s="92" t="e" cm="1">
        <f t="array" ref="G116">IF(IF(B116="","",_xlfn.XLOOKUP(B116,'MES System'!E:E,'MES System'!#REF!))=0,"",IF(B116="","",_xlfn.XLOOKUP(B116,'MES System'!E:E,'MES System'!#REF!)))</f>
        <v>#REF!</v>
      </c>
      <c r="H116" s="92" t="e" cm="1">
        <f t="array" ref="H116">IF(IF(B116="","",_xlfn.XLOOKUP(B116,'MES System'!E:E,'MES System'!#REF!))=0,"",IF(B116="","",_xlfn.XLOOKUP(B116,'MES System'!E:E,'MES System'!#REF!)))</f>
        <v>#REF!</v>
      </c>
      <c r="I116" s="92"/>
      <c r="J116" s="80"/>
      <c r="K116" s="80" t="s">
        <v>1857</v>
      </c>
      <c r="L116" s="105"/>
    </row>
    <row r="117" spans="1:12" ht="13">
      <c r="A117" s="1">
        <v>108</v>
      </c>
      <c r="B117" s="70"/>
      <c r="C117" s="80" t="str" cm="1">
        <f t="array" ref="C117">IF(B117="","",_xlfn.XLOOKUP(B117,'MES System'!E:E,'MES System'!B:B))</f>
        <v/>
      </c>
      <c r="D117" s="80" t="str" cm="1">
        <f t="array" ref="D117">IF(IF(B117="","",_xlfn.XLOOKUP(B117,'MES System'!E:E,'MES System'!F:F))=0,"",IF(B117="","",_xlfn.XLOOKUP(B117,'MES System'!E:E,'MES System'!F:F)))</f>
        <v/>
      </c>
      <c r="E117" s="80" t="str" cm="1">
        <f t="array" ref="E117">IF(IF(B117="","",_xlfn.XLOOKUP(B117,'MES System'!E:E,'MES System'!N:N))=0,"",IF(B117="","",_xlfn.XLOOKUP(B117,'MES System'!E:E,'MES System'!N:N)))</f>
        <v/>
      </c>
      <c r="F117" s="80" t="str" cm="1">
        <f t="array" ref="F117">IF(IF(B117="","",_xlfn.XLOOKUP(B117,'MES System'!E:E,'MES System'!O:O))=0,"",IF(B117="","",_xlfn.XLOOKUP(B117,'MES System'!E:E,'MES System'!O:O)))</f>
        <v/>
      </c>
      <c r="G117" s="92" t="str" cm="1">
        <f t="array" ref="G117">IF(IF(B117="","",_xlfn.XLOOKUP(B117,'MES System'!E:E,'MES System'!#REF!))=0,"",IF(B117="","",_xlfn.XLOOKUP(B117,'MES System'!E:E,'MES System'!#REF!)))</f>
        <v/>
      </c>
      <c r="H117" s="92" t="str" cm="1">
        <f t="array" ref="H117">IF(IF(B117="","",_xlfn.XLOOKUP(B117,'MES System'!E:E,'MES System'!#REF!))=0,"",IF(B117="","",_xlfn.XLOOKUP(B117,'MES System'!E:E,'MES System'!#REF!)))</f>
        <v/>
      </c>
      <c r="I117" s="92"/>
      <c r="J117" s="80"/>
      <c r="K117" s="80"/>
      <c r="L117" s="105"/>
    </row>
    <row r="118" spans="1:12" ht="13">
      <c r="A118" s="1">
        <v>109</v>
      </c>
      <c r="B118" s="71" t="s">
        <v>197</v>
      </c>
      <c r="C118" s="78" t="str" cm="1">
        <f t="array" ref="C118">IF(B118="","",_xlfn.XLOOKUP(B118,'MES System'!E:E,'MES System'!B:B))</f>
        <v xml:space="preserve">  └ 생산관리</v>
      </c>
      <c r="D118" s="78" t="str" cm="1">
        <f t="array" ref="D118">IF(IF(B118="","",_xlfn.XLOOKUP(B118,'MES System'!E:E,'MES System'!F:F))=0,"",IF(B118="","",_xlfn.XLOOKUP(B118,'MES System'!E:E,'MES System'!F:F)))</f>
        <v>생산관리</v>
      </c>
      <c r="E118" s="78" t="str" cm="1">
        <f t="array" ref="E118">IF(IF(B118="","",_xlfn.XLOOKUP(B118,'MES System'!E:E,'MES System'!N:N))=0,"",IF(B118="","",_xlfn.XLOOKUP(B118,'MES System'!E:E,'MES System'!N:N)))</f>
        <v/>
      </c>
      <c r="F118" s="78" t="str" cm="1">
        <f t="array" ref="F118">IF(IF(B118="","",_xlfn.XLOOKUP(B118,'MES System'!E:E,'MES System'!O:O))=0,"",IF(B118="","",_xlfn.XLOOKUP(B118,'MES System'!E:E,'MES System'!O:O)))</f>
        <v/>
      </c>
      <c r="G118" s="99" t="e" cm="1">
        <f t="array" ref="G118">IF(IF(B118="","",_xlfn.XLOOKUP(B118,'MES System'!E:E,'MES System'!#REF!))=0,"",IF(B118="","",_xlfn.XLOOKUP(B118,'MES System'!E:E,'MES System'!#REF!)))</f>
        <v>#REF!</v>
      </c>
      <c r="H118" s="99" t="e" cm="1">
        <f t="array" ref="H118">IF(IF(B118="","",_xlfn.XLOOKUP(B118,'MES System'!E:E,'MES System'!#REF!))=0,"",IF(B118="","",_xlfn.XLOOKUP(B118,'MES System'!E:E,'MES System'!#REF!)))</f>
        <v>#REF!</v>
      </c>
      <c r="I118" s="99"/>
      <c r="J118" s="78"/>
      <c r="K118" s="78"/>
      <c r="L118" s="103"/>
    </row>
    <row r="119" spans="1:12" ht="13">
      <c r="A119" s="1">
        <v>110</v>
      </c>
      <c r="B119" s="72" t="s">
        <v>199</v>
      </c>
      <c r="C119" s="79" t="str" cm="1">
        <f t="array" ref="C119">IF(B119="","",_xlfn.XLOOKUP(B119,'MES System'!E:E,'MES System'!B:B))</f>
        <v xml:space="preserve">    └ 기준정보관리</v>
      </c>
      <c r="D119" s="79" t="str" cm="1">
        <f t="array" ref="D119">IF(IF(B119="","",_xlfn.XLOOKUP(B119,'MES System'!E:E,'MES System'!F:F))=0,"",IF(B119="","",_xlfn.XLOOKUP(B119,'MES System'!E:E,'MES System'!F:F)))</f>
        <v>기준정보관리</v>
      </c>
      <c r="E119" s="79" t="str" cm="1">
        <f t="array" ref="E119">IF(IF(B119="","",_xlfn.XLOOKUP(B119,'MES System'!E:E,'MES System'!N:N))=0,"",IF(B119="","",_xlfn.XLOOKUP(B119,'MES System'!E:E,'MES System'!N:N)))</f>
        <v/>
      </c>
      <c r="F119" s="79" t="str" cm="1">
        <f t="array" ref="F119">IF(IF(B119="","",_xlfn.XLOOKUP(B119,'MES System'!E:E,'MES System'!O:O))=0,"",IF(B119="","",_xlfn.XLOOKUP(B119,'MES System'!E:E,'MES System'!O:O)))</f>
        <v/>
      </c>
      <c r="G119" s="100" t="e" cm="1">
        <f t="array" ref="G119">IF(IF(B119="","",_xlfn.XLOOKUP(B119,'MES System'!E:E,'MES System'!#REF!))=0,"",IF(B119="","",_xlfn.XLOOKUP(B119,'MES System'!E:E,'MES System'!#REF!)))</f>
        <v>#REF!</v>
      </c>
      <c r="H119" s="100" t="e" cm="1">
        <f t="array" ref="H119">IF(IF(B119="","",_xlfn.XLOOKUP(B119,'MES System'!E:E,'MES System'!#REF!))=0,"",IF(B119="","",_xlfn.XLOOKUP(B119,'MES System'!E:E,'MES System'!#REF!)))</f>
        <v>#REF!</v>
      </c>
      <c r="I119" s="100"/>
      <c r="J119" s="79"/>
      <c r="K119" s="79"/>
      <c r="L119" s="104"/>
    </row>
    <row r="120" spans="1:12" ht="13">
      <c r="A120" s="1">
        <v>111</v>
      </c>
      <c r="B120" s="70">
        <v>281001</v>
      </c>
      <c r="C120" s="80" t="str" cm="1">
        <f t="array" ref="C120">IF(B120="","",_xlfn.XLOOKUP(B120,'MES System'!E:E,'MES System'!B:B))</f>
        <v xml:space="preserve">        └ (공통)공정코드 관리</v>
      </c>
      <c r="D120" s="80" t="str" cm="1">
        <f t="array" ref="D120">IF(IF(B120="","",_xlfn.XLOOKUP(B120,'MES System'!E:E,'MES System'!F:F))=0,"",IF(B120="","",_xlfn.XLOOKUP(B120,'MES System'!E:E,'MES System'!F:F)))</f>
        <v>공정코드 관리</v>
      </c>
      <c r="E120" s="80" t="str" cm="1">
        <f t="array" ref="E120">IF(IF(B120="","",_xlfn.XLOOKUP(B120,'MES System'!E:E,'MES System'!N:N))=0,"",IF(B120="","",_xlfn.XLOOKUP(B120,'MES System'!E:E,'MES System'!N:N)))</f>
        <v>prod.basic</v>
      </c>
      <c r="F120" s="80" t="str" cm="1">
        <f t="array" ref="F120">IF(IF(B120="","",_xlfn.XLOOKUP(B120,'MES System'!E:E,'MES System'!O:O))=0,"",IF(B120="","",_xlfn.XLOOKUP(B120,'MES System'!E:E,'MES System'!O:O)))</f>
        <v>WkctMast</v>
      </c>
      <c r="G120" s="92" t="e" cm="1">
        <f t="array" ref="G120">IF(IF(B120="","",_xlfn.XLOOKUP(B120,'MES System'!E:E,'MES System'!#REF!))=0,"",IF(B120="","",_xlfn.XLOOKUP(B120,'MES System'!E:E,'MES System'!#REF!)))</f>
        <v>#REF!</v>
      </c>
      <c r="H120" s="92" t="e" cm="1">
        <f t="array" ref="H120">IF(IF(B120="","",_xlfn.XLOOKUP(B120,'MES System'!E:E,'MES System'!#REF!))=0,"",IF(B120="","",_xlfn.XLOOKUP(B120,'MES System'!E:E,'MES System'!#REF!)))</f>
        <v>#REF!</v>
      </c>
      <c r="I120" s="92"/>
      <c r="J120" s="80"/>
      <c r="K120" s="80" t="s">
        <v>1858</v>
      </c>
      <c r="L120" s="105"/>
    </row>
    <row r="121" spans="1:12" ht="13">
      <c r="A121" s="1">
        <v>112</v>
      </c>
      <c r="B121" s="70">
        <v>281002</v>
      </c>
      <c r="C121" s="80" t="str" cm="1">
        <f t="array" ref="C121">IF(B121="","",_xlfn.XLOOKUP(B121,'MES System'!E:E,'MES System'!B:B))</f>
        <v xml:space="preserve">        └ (공통)공정별 설비 관리</v>
      </c>
      <c r="D121" s="80" t="str" cm="1">
        <f t="array" ref="D121">IF(IF(B121="","",_xlfn.XLOOKUP(B121,'MES System'!E:E,'MES System'!F:F))=0,"",IF(B121="","",_xlfn.XLOOKUP(B121,'MES System'!E:E,'MES System'!F:F)))</f>
        <v>공정별 설비 관리</v>
      </c>
      <c r="E121" s="80" t="str" cm="1">
        <f t="array" ref="E121">IF(IF(B121="","",_xlfn.XLOOKUP(B121,'MES System'!E:E,'MES System'!N:N))=0,"",IF(B121="","",_xlfn.XLOOKUP(B121,'MES System'!E:E,'MES System'!N:N)))</f>
        <v>prod.basic</v>
      </c>
      <c r="F121" s="80" t="str" cm="1">
        <f t="array" ref="F121">IF(IF(B121="","",_xlfn.XLOOKUP(B121,'MES System'!E:E,'MES System'!O:O))=0,"",IF(B121="","",_xlfn.XLOOKUP(B121,'MES System'!E:E,'MES System'!O:O)))</f>
        <v>WkctCvicMast</v>
      </c>
      <c r="G121" s="92" t="e" cm="1">
        <f t="array" ref="G121">IF(IF(B121="","",_xlfn.XLOOKUP(B121,'MES System'!E:E,'MES System'!#REF!))=0,"",IF(B121="","",_xlfn.XLOOKUP(B121,'MES System'!E:E,'MES System'!#REF!)))</f>
        <v>#REF!</v>
      </c>
      <c r="H121" s="92" t="e" cm="1">
        <f t="array" ref="H121">IF(IF(B121="","",_xlfn.XLOOKUP(B121,'MES System'!E:E,'MES System'!#REF!))=0,"",IF(B121="","",_xlfn.XLOOKUP(B121,'MES System'!E:E,'MES System'!#REF!)))</f>
        <v>#REF!</v>
      </c>
      <c r="I121" s="92"/>
      <c r="J121" s="80"/>
      <c r="K121" s="80" t="s">
        <v>1859</v>
      </c>
      <c r="L121" s="105"/>
    </row>
    <row r="122" spans="1:12" ht="13">
      <c r="A122" s="1">
        <v>112</v>
      </c>
      <c r="B122" s="70">
        <v>281003</v>
      </c>
      <c r="C122" s="80" t="str" cm="1">
        <f t="array" ref="C122">IF(B122="","",_xlfn.XLOOKUP(B122,'MES System'!E:E,'MES System'!B:B))</f>
        <v xml:space="preserve">        └ (공통)공정별 작업자 관리</v>
      </c>
      <c r="D122" s="80" t="str" cm="1">
        <f t="array" ref="D122">IF(IF(B122="","",_xlfn.XLOOKUP(B122,'MES System'!E:E,'MES System'!F:F))=0,"",IF(B122="","",_xlfn.XLOOKUP(B122,'MES System'!E:E,'MES System'!F:F)))</f>
        <v>공정별 작업자 관리</v>
      </c>
      <c r="E122" s="80" t="str" cm="1">
        <f t="array" ref="E122">IF(IF(B122="","",_xlfn.XLOOKUP(B122,'MES System'!E:E,'MES System'!N:N))=0,"",IF(B122="","",_xlfn.XLOOKUP(B122,'MES System'!E:E,'MES System'!N:N)))</f>
        <v>prod.basic</v>
      </c>
      <c r="F122" s="80" t="str" cm="1">
        <f t="array" ref="F122">IF(IF(B122="","",_xlfn.XLOOKUP(B122,'MES System'!E:E,'MES System'!O:O))=0,"",IF(B122="","",_xlfn.XLOOKUP(B122,'MES System'!E:E,'MES System'!O:O)))</f>
        <v>WkctUserMast</v>
      </c>
      <c r="G122" s="92" t="e" cm="1">
        <f t="array" ref="G122">IF(IF(B122="","",_xlfn.XLOOKUP(B122,'MES System'!E:E,'MES System'!#REF!))=0,"",IF(B122="","",_xlfn.XLOOKUP(B122,'MES System'!E:E,'MES System'!#REF!)))</f>
        <v>#REF!</v>
      </c>
      <c r="H122" s="92" t="e" cm="1">
        <f t="array" ref="H122">IF(IF(B122="","",_xlfn.XLOOKUP(B122,'MES System'!E:E,'MES System'!#REF!))=0,"",IF(B122="","",_xlfn.XLOOKUP(B122,'MES System'!E:E,'MES System'!#REF!)))</f>
        <v>#REF!</v>
      </c>
      <c r="I122" s="92"/>
      <c r="J122" s="80"/>
      <c r="K122" s="80" t="s">
        <v>1896</v>
      </c>
      <c r="L122" s="105"/>
    </row>
    <row r="123" spans="1:12" ht="13">
      <c r="A123" s="1">
        <v>112</v>
      </c>
      <c r="B123" s="70">
        <v>281004</v>
      </c>
      <c r="C123" s="80" t="str" cm="1">
        <f t="array" ref="C123">IF(B123="","",_xlfn.XLOOKUP(B123,'MES System'!E:E,'MES System'!B:B))</f>
        <v xml:space="preserve">        └ (공통)생산라인관리</v>
      </c>
      <c r="D123" s="80" t="str" cm="1">
        <f t="array" ref="D123">IF(IF(B123="","",_xlfn.XLOOKUP(B123,'MES System'!E:E,'MES System'!F:F))=0,"",IF(B123="","",_xlfn.XLOOKUP(B123,'MES System'!E:E,'MES System'!F:F)))</f>
        <v>생산라인관리</v>
      </c>
      <c r="E123" s="80" t="str" cm="1">
        <f t="array" ref="E123">IF(IF(B123="","",_xlfn.XLOOKUP(B123,'MES System'!E:E,'MES System'!N:N))=0,"",IF(B123="","",_xlfn.XLOOKUP(B123,'MES System'!E:E,'MES System'!N:N)))</f>
        <v>prod.basic</v>
      </c>
      <c r="F123" s="80" t="str" cm="1">
        <f t="array" ref="F123">IF(IF(B123="","",_xlfn.XLOOKUP(B123,'MES System'!E:E,'MES System'!O:O))=0,"",IF(B123="","",_xlfn.XLOOKUP(B123,'MES System'!E:E,'MES System'!O:O)))</f>
        <v>ProdLineMast</v>
      </c>
      <c r="G123" s="92" t="e" cm="1">
        <f t="array" ref="G123">IF(IF(B123="","",_xlfn.XLOOKUP(B123,'MES System'!E:E,'MES System'!#REF!))=0,"",IF(B123="","",_xlfn.XLOOKUP(B123,'MES System'!E:E,'MES System'!#REF!)))</f>
        <v>#REF!</v>
      </c>
      <c r="H123" s="92" t="e" cm="1">
        <f t="array" ref="H123">IF(IF(B123="","",_xlfn.XLOOKUP(B123,'MES System'!E:E,'MES System'!#REF!))=0,"",IF(B123="","",_xlfn.XLOOKUP(B123,'MES System'!E:E,'MES System'!#REF!)))</f>
        <v>#REF!</v>
      </c>
      <c r="I123" s="92"/>
      <c r="J123" s="80"/>
      <c r="K123" s="80" t="s">
        <v>2015</v>
      </c>
      <c r="L123" s="105"/>
    </row>
    <row r="124" spans="1:12" ht="13">
      <c r="A124" s="1">
        <v>113</v>
      </c>
      <c r="B124" s="70">
        <v>281005</v>
      </c>
      <c r="C124" s="80" t="str" cm="1">
        <f t="array" ref="C124">IF(B124="","",_xlfn.XLOOKUP(B124,'MES System'!E:E,'MES System'!B:B))</f>
        <v xml:space="preserve">        └ (공통)생산라인별 작업순서</v>
      </c>
      <c r="D124" s="80" t="str" cm="1">
        <f t="array" ref="D124">IF(IF(B124="","",_xlfn.XLOOKUP(B124,'MES System'!E:E,'MES System'!F:F))=0,"",IF(B124="","",_xlfn.XLOOKUP(B124,'MES System'!E:E,'MES System'!F:F)))</f>
        <v>생산라인별 작업순서</v>
      </c>
      <c r="E124" s="80" t="str" cm="1">
        <f t="array" ref="E124">IF(IF(B124="","",_xlfn.XLOOKUP(B124,'MES System'!E:E,'MES System'!N:N))=0,"",IF(B124="","",_xlfn.XLOOKUP(B124,'MES System'!E:E,'MES System'!N:N)))</f>
        <v>prod.basic</v>
      </c>
      <c r="F124" s="80" t="str" cm="1">
        <f t="array" ref="F124">IF(IF(B124="","",_xlfn.XLOOKUP(B124,'MES System'!E:E,'MES System'!O:O))=0,"",IF(B124="","",_xlfn.XLOOKUP(B124,'MES System'!E:E,'MES System'!O:O)))</f>
        <v>ProdLineRoute</v>
      </c>
      <c r="G124" s="92" t="e" cm="1">
        <f t="array" ref="G124">IF(IF(B124="","",_xlfn.XLOOKUP(B124,'MES System'!E:E,'MES System'!#REF!))=0,"",IF(B124="","",_xlfn.XLOOKUP(B124,'MES System'!E:E,'MES System'!#REF!)))</f>
        <v>#REF!</v>
      </c>
      <c r="H124" s="92" t="e" cm="1">
        <f t="array" ref="H124">IF(IF(B124="","",_xlfn.XLOOKUP(B124,'MES System'!E:E,'MES System'!#REF!))=0,"",IF(B124="","",_xlfn.XLOOKUP(B124,'MES System'!E:E,'MES System'!#REF!)))</f>
        <v>#REF!</v>
      </c>
      <c r="I124" s="92"/>
      <c r="J124" s="80"/>
      <c r="K124" s="80" t="s">
        <v>2016</v>
      </c>
      <c r="L124" s="105"/>
    </row>
    <row r="125" spans="1:12" ht="13">
      <c r="A125" s="1">
        <v>114</v>
      </c>
      <c r="B125" s="70"/>
      <c r="C125" s="80" t="str" cm="1">
        <f t="array" ref="C125">IF(B125="","",_xlfn.XLOOKUP(B125,'MES System'!E:E,'MES System'!B:B))</f>
        <v/>
      </c>
      <c r="D125" s="80" t="str" cm="1">
        <f t="array" ref="D125">IF(IF(B125="","",_xlfn.XLOOKUP(B125,'MES System'!E:E,'MES System'!F:F))=0,"",IF(B125="","",_xlfn.XLOOKUP(B125,'MES System'!E:E,'MES System'!F:F)))</f>
        <v/>
      </c>
      <c r="E125" s="80" t="str" cm="1">
        <f t="array" ref="E125">IF(IF(B125="","",_xlfn.XLOOKUP(B125,'MES System'!E:E,'MES System'!N:N))=0,"",IF(B125="","",_xlfn.XLOOKUP(B125,'MES System'!E:E,'MES System'!N:N)))</f>
        <v/>
      </c>
      <c r="F125" s="80" t="str" cm="1">
        <f t="array" ref="F125">IF(IF(B125="","",_xlfn.XLOOKUP(B125,'MES System'!E:E,'MES System'!O:O))=0,"",IF(B125="","",_xlfn.XLOOKUP(B125,'MES System'!E:E,'MES System'!O:O)))</f>
        <v/>
      </c>
      <c r="G125" s="92" t="str" cm="1">
        <f t="array" ref="G125">IF(IF(B125="","",_xlfn.XLOOKUP(B125,'MES System'!E:E,'MES System'!#REF!))=0,"",IF(B125="","",_xlfn.XLOOKUP(B125,'MES System'!E:E,'MES System'!#REF!)))</f>
        <v/>
      </c>
      <c r="H125" s="92" t="str" cm="1">
        <f t="array" ref="H125">IF(IF(B125="","",_xlfn.XLOOKUP(B125,'MES System'!E:E,'MES System'!#REF!))=0,"",IF(B125="","",_xlfn.XLOOKUP(B125,'MES System'!E:E,'MES System'!#REF!)))</f>
        <v/>
      </c>
      <c r="I125" s="92"/>
      <c r="J125" s="80"/>
      <c r="K125" s="80"/>
      <c r="L125" s="105"/>
    </row>
    <row r="126" spans="1:12" ht="13">
      <c r="A126" s="1">
        <v>115</v>
      </c>
      <c r="B126" s="72" t="s">
        <v>211</v>
      </c>
      <c r="C126" s="79" t="e" cm="1">
        <f t="array" ref="C126">IF(B126="","",_xlfn.XLOOKUP(B126,'MES System'!E:E,'MES System'!B:B))</f>
        <v>#N/A</v>
      </c>
      <c r="D126" s="79" t="e" cm="1">
        <f t="array" ref="D126">IF(IF(B126="","",_xlfn.XLOOKUP(B126,'MES System'!E:E,'MES System'!F:F))=0,"",IF(B126="","",_xlfn.XLOOKUP(B126,'MES System'!E:E,'MES System'!F:F)))</f>
        <v>#N/A</v>
      </c>
      <c r="E126" s="79" t="e" cm="1">
        <f t="array" ref="E126">IF(IF(B126="","",_xlfn.XLOOKUP(B126,'MES System'!E:E,'MES System'!N:N))=0,"",IF(B126="","",_xlfn.XLOOKUP(B126,'MES System'!E:E,'MES System'!N:N)))</f>
        <v>#N/A</v>
      </c>
      <c r="F126" s="79" t="e" cm="1">
        <f t="array" ref="F126">IF(IF(B126="","",_xlfn.XLOOKUP(B126,'MES System'!E:E,'MES System'!O:O))=0,"",IF(B126="","",_xlfn.XLOOKUP(B126,'MES System'!E:E,'MES System'!O:O)))</f>
        <v>#N/A</v>
      </c>
      <c r="G126" s="100" t="e" cm="1">
        <f t="array" ref="G126">IF(IF(B126="","",_xlfn.XLOOKUP(B126,'MES System'!E:E,'MES System'!#REF!))=0,"",IF(B126="","",_xlfn.XLOOKUP(B126,'MES System'!E:E,'MES System'!#REF!)))</f>
        <v>#REF!</v>
      </c>
      <c r="H126" s="100" t="e" cm="1">
        <f t="array" ref="H126">IF(IF(B126="","",_xlfn.XLOOKUP(B126,'MES System'!E:E,'MES System'!#REF!))=0,"",IF(B126="","",_xlfn.XLOOKUP(B126,'MES System'!E:E,'MES System'!#REF!)))</f>
        <v>#REF!</v>
      </c>
      <c r="I126" s="100"/>
      <c r="J126" s="79"/>
      <c r="K126" s="79"/>
      <c r="L126" s="104"/>
    </row>
    <row r="127" spans="1:12" ht="13">
      <c r="A127" s="1">
        <v>116</v>
      </c>
      <c r="B127" s="70">
        <v>282001</v>
      </c>
      <c r="C127" s="80" t="e" cm="1">
        <f t="array" ref="C127">IF(B127="","",_xlfn.XLOOKUP(B127,'MES System'!E:E,'MES System'!B:B))</f>
        <v>#N/A</v>
      </c>
      <c r="D127" s="80" t="e" cm="1">
        <f t="array" ref="D127">IF(IF(B127="","",_xlfn.XLOOKUP(B127,'MES System'!E:E,'MES System'!F:F))=0,"",IF(B127="","",_xlfn.XLOOKUP(B127,'MES System'!E:E,'MES System'!F:F)))</f>
        <v>#N/A</v>
      </c>
      <c r="E127" s="80" t="e" cm="1">
        <f t="array" ref="E127">IF(IF(B127="","",_xlfn.XLOOKUP(B127,'MES System'!E:E,'MES System'!N:N))=0,"",IF(B127="","",_xlfn.XLOOKUP(B127,'MES System'!E:E,'MES System'!N:N)))</f>
        <v>#N/A</v>
      </c>
      <c r="F127" s="80" t="e" cm="1">
        <f t="array" ref="F127">IF(IF(B127="","",_xlfn.XLOOKUP(B127,'MES System'!E:E,'MES System'!O:O))=0,"",IF(B127="","",_xlfn.XLOOKUP(B127,'MES System'!E:E,'MES System'!O:O)))</f>
        <v>#N/A</v>
      </c>
      <c r="G127" s="92" t="e" cm="1">
        <f t="array" ref="G127">IF(IF(B127="","",_xlfn.XLOOKUP(B127,'MES System'!E:E,'MES System'!#REF!))=0,"",IF(B127="","",_xlfn.XLOOKUP(B127,'MES System'!E:E,'MES System'!#REF!)))</f>
        <v>#REF!</v>
      </c>
      <c r="H127" s="92" t="e" cm="1">
        <f t="array" ref="H127">IF(IF(B127="","",_xlfn.XLOOKUP(B127,'MES System'!E:E,'MES System'!#REF!))=0,"",IF(B127="","",_xlfn.XLOOKUP(B127,'MES System'!E:E,'MES System'!#REF!)))</f>
        <v>#REF!</v>
      </c>
      <c r="I127" s="92"/>
      <c r="J127" s="80"/>
      <c r="K127" s="80"/>
      <c r="L127" s="105"/>
    </row>
    <row r="128" spans="1:12" ht="13">
      <c r="A128" s="1">
        <v>117</v>
      </c>
      <c r="B128" s="70">
        <v>282002</v>
      </c>
      <c r="C128" s="80" t="e" cm="1">
        <f t="array" ref="C128">IF(B128="","",_xlfn.XLOOKUP(B128,'MES System'!E:E,'MES System'!B:B))</f>
        <v>#N/A</v>
      </c>
      <c r="D128" s="80" t="e" cm="1">
        <f t="array" ref="D128">IF(IF(B128="","",_xlfn.XLOOKUP(B128,'MES System'!E:E,'MES System'!F:F))=0,"",IF(B128="","",_xlfn.XLOOKUP(B128,'MES System'!E:E,'MES System'!F:F)))</f>
        <v>#N/A</v>
      </c>
      <c r="E128" s="80" t="e" cm="1">
        <f t="array" ref="E128">IF(IF(B128="","",_xlfn.XLOOKUP(B128,'MES System'!E:E,'MES System'!N:N))=0,"",IF(B128="","",_xlfn.XLOOKUP(B128,'MES System'!E:E,'MES System'!N:N)))</f>
        <v>#N/A</v>
      </c>
      <c r="F128" s="80" t="e" cm="1">
        <f t="array" ref="F128">IF(IF(B128="","",_xlfn.XLOOKUP(B128,'MES System'!E:E,'MES System'!O:O))=0,"",IF(B128="","",_xlfn.XLOOKUP(B128,'MES System'!E:E,'MES System'!O:O)))</f>
        <v>#N/A</v>
      </c>
      <c r="G128" s="92" t="e" cm="1">
        <f t="array" ref="G128">IF(IF(B128="","",_xlfn.XLOOKUP(B128,'MES System'!E:E,'MES System'!#REF!))=0,"",IF(B128="","",_xlfn.XLOOKUP(B128,'MES System'!E:E,'MES System'!#REF!)))</f>
        <v>#REF!</v>
      </c>
      <c r="H128" s="92" t="e" cm="1">
        <f t="array" ref="H128">IF(IF(B128="","",_xlfn.XLOOKUP(B128,'MES System'!E:E,'MES System'!#REF!))=0,"",IF(B128="","",_xlfn.XLOOKUP(B128,'MES System'!E:E,'MES System'!#REF!)))</f>
        <v>#REF!</v>
      </c>
      <c r="I128" s="92"/>
      <c r="J128" s="80"/>
      <c r="K128" s="80"/>
      <c r="L128" s="105"/>
    </row>
    <row r="129" spans="1:12" ht="13">
      <c r="A129" s="1">
        <v>118</v>
      </c>
      <c r="B129" s="70">
        <v>282003</v>
      </c>
      <c r="C129" s="80" t="e" cm="1">
        <f t="array" ref="C129">IF(B129="","",_xlfn.XLOOKUP(B129,'MES System'!E:E,'MES System'!B:B))</f>
        <v>#N/A</v>
      </c>
      <c r="D129" s="80" t="e" cm="1">
        <f t="array" ref="D129">IF(IF(B129="","",_xlfn.XLOOKUP(B129,'MES System'!E:E,'MES System'!F:F))=0,"",IF(B129="","",_xlfn.XLOOKUP(B129,'MES System'!E:E,'MES System'!F:F)))</f>
        <v>#N/A</v>
      </c>
      <c r="E129" s="80" t="e" cm="1">
        <f t="array" ref="E129">IF(IF(B129="","",_xlfn.XLOOKUP(B129,'MES System'!E:E,'MES System'!N:N))=0,"",IF(B129="","",_xlfn.XLOOKUP(B129,'MES System'!E:E,'MES System'!N:N)))</f>
        <v>#N/A</v>
      </c>
      <c r="F129" s="80" t="e" cm="1">
        <f t="array" ref="F129">IF(IF(B129="","",_xlfn.XLOOKUP(B129,'MES System'!E:E,'MES System'!O:O))=0,"",IF(B129="","",_xlfn.XLOOKUP(B129,'MES System'!E:E,'MES System'!O:O)))</f>
        <v>#N/A</v>
      </c>
      <c r="G129" s="92" t="e" cm="1">
        <f t="array" ref="G129">IF(IF(B129="","",_xlfn.XLOOKUP(B129,'MES System'!E:E,'MES System'!#REF!))=0,"",IF(B129="","",_xlfn.XLOOKUP(B129,'MES System'!E:E,'MES System'!#REF!)))</f>
        <v>#REF!</v>
      </c>
      <c r="H129" s="92" t="e" cm="1">
        <f t="array" ref="H129">IF(IF(B129="","",_xlfn.XLOOKUP(B129,'MES System'!E:E,'MES System'!#REF!))=0,"",IF(B129="","",_xlfn.XLOOKUP(B129,'MES System'!E:E,'MES System'!#REF!)))</f>
        <v>#REF!</v>
      </c>
      <c r="I129" s="92"/>
      <c r="J129" s="80"/>
      <c r="K129" s="80"/>
      <c r="L129" s="105"/>
    </row>
    <row r="130" spans="1:12" ht="13">
      <c r="A130" s="1">
        <v>119</v>
      </c>
      <c r="B130" s="70">
        <v>282004</v>
      </c>
      <c r="C130" s="80" t="e" cm="1">
        <f t="array" ref="C130">IF(B130="","",_xlfn.XLOOKUP(B130,'MES System'!E:E,'MES System'!B:B))</f>
        <v>#N/A</v>
      </c>
      <c r="D130" s="80" t="e" cm="1">
        <f t="array" ref="D130">IF(IF(B130="","",_xlfn.XLOOKUP(B130,'MES System'!E:E,'MES System'!F:F))=0,"",IF(B130="","",_xlfn.XLOOKUP(B130,'MES System'!E:E,'MES System'!F:F)))</f>
        <v>#N/A</v>
      </c>
      <c r="E130" s="80" t="e" cm="1">
        <f t="array" ref="E130">IF(IF(B130="","",_xlfn.XLOOKUP(B130,'MES System'!E:E,'MES System'!N:N))=0,"",IF(B130="","",_xlfn.XLOOKUP(B130,'MES System'!E:E,'MES System'!N:N)))</f>
        <v>#N/A</v>
      </c>
      <c r="F130" s="80" t="e" cm="1">
        <f t="array" ref="F130">IF(IF(B130="","",_xlfn.XLOOKUP(B130,'MES System'!E:E,'MES System'!O:O))=0,"",IF(B130="","",_xlfn.XLOOKUP(B130,'MES System'!E:E,'MES System'!O:O)))</f>
        <v>#N/A</v>
      </c>
      <c r="G130" s="92" t="e" cm="1">
        <f t="array" ref="G130">IF(IF(B130="","",_xlfn.XLOOKUP(B130,'MES System'!E:E,'MES System'!#REF!))=0,"",IF(B130="","",_xlfn.XLOOKUP(B130,'MES System'!E:E,'MES System'!#REF!)))</f>
        <v>#REF!</v>
      </c>
      <c r="H130" s="92" t="e" cm="1">
        <f t="array" ref="H130">IF(IF(B130="","",_xlfn.XLOOKUP(B130,'MES System'!E:E,'MES System'!#REF!))=0,"",IF(B130="","",_xlfn.XLOOKUP(B130,'MES System'!E:E,'MES System'!#REF!)))</f>
        <v>#REF!</v>
      </c>
      <c r="I130" s="92"/>
      <c r="J130" s="80"/>
      <c r="K130" s="80"/>
      <c r="L130" s="105"/>
    </row>
    <row r="131" spans="1:12" ht="13">
      <c r="A131" s="1">
        <v>118</v>
      </c>
      <c r="B131" s="70">
        <v>282005</v>
      </c>
      <c r="C131" s="80" t="e" cm="1">
        <f t="array" ref="C131">IF(B131="","",_xlfn.XLOOKUP(B131,'MES System'!E:E,'MES System'!B:B))</f>
        <v>#N/A</v>
      </c>
      <c r="D131" s="80" t="e" cm="1">
        <f t="array" ref="D131">IF(IF(B131="","",_xlfn.XLOOKUP(B131,'MES System'!E:E,'MES System'!F:F))=0,"",IF(B131="","",_xlfn.XLOOKUP(B131,'MES System'!E:E,'MES System'!F:F)))</f>
        <v>#N/A</v>
      </c>
      <c r="E131" s="80" t="e" cm="1">
        <f t="array" ref="E131">IF(IF(B131="","",_xlfn.XLOOKUP(B131,'MES System'!E:E,'MES System'!N:N))=0,"",IF(B131="","",_xlfn.XLOOKUP(B131,'MES System'!E:E,'MES System'!N:N)))</f>
        <v>#N/A</v>
      </c>
      <c r="F131" s="80" t="e" cm="1">
        <f t="array" ref="F131">IF(IF(B131="","",_xlfn.XLOOKUP(B131,'MES System'!E:E,'MES System'!O:O))=0,"",IF(B131="","",_xlfn.XLOOKUP(B131,'MES System'!E:E,'MES System'!O:O)))</f>
        <v>#N/A</v>
      </c>
      <c r="G131" s="92" t="e" cm="1">
        <f t="array" ref="G131">IF(IF(B131="","",_xlfn.XLOOKUP(B131,'MES System'!E:E,'MES System'!#REF!))=0,"",IF(B131="","",_xlfn.XLOOKUP(B131,'MES System'!E:E,'MES System'!#REF!)))</f>
        <v>#REF!</v>
      </c>
      <c r="H131" s="92" t="e" cm="1">
        <f t="array" ref="H131">IF(IF(B131="","",_xlfn.XLOOKUP(B131,'MES System'!E:E,'MES System'!#REF!))=0,"",IF(B131="","",_xlfn.XLOOKUP(B131,'MES System'!E:E,'MES System'!#REF!)))</f>
        <v>#REF!</v>
      </c>
      <c r="I131" s="92"/>
      <c r="J131" s="80"/>
      <c r="K131" s="80"/>
      <c r="L131" s="105"/>
    </row>
    <row r="132" spans="1:12" ht="13">
      <c r="A132" s="1">
        <v>119</v>
      </c>
      <c r="B132" s="70">
        <v>282006</v>
      </c>
      <c r="C132" s="80" t="e" cm="1">
        <f t="array" ref="C132">IF(B132="","",_xlfn.XLOOKUP(B132,'MES System'!E:E,'MES System'!B:B))</f>
        <v>#N/A</v>
      </c>
      <c r="D132" s="80" t="e" cm="1">
        <f t="array" ref="D132">IF(IF(B132="","",_xlfn.XLOOKUP(B132,'MES System'!E:E,'MES System'!F:F))=0,"",IF(B132="","",_xlfn.XLOOKUP(B132,'MES System'!E:E,'MES System'!F:F)))</f>
        <v>#N/A</v>
      </c>
      <c r="E132" s="80" t="e" cm="1">
        <f t="array" ref="E132">IF(IF(B132="","",_xlfn.XLOOKUP(B132,'MES System'!E:E,'MES System'!N:N))=0,"",IF(B132="","",_xlfn.XLOOKUP(B132,'MES System'!E:E,'MES System'!N:N)))</f>
        <v>#N/A</v>
      </c>
      <c r="F132" s="80" t="e" cm="1">
        <f t="array" ref="F132">IF(IF(B132="","",_xlfn.XLOOKUP(B132,'MES System'!E:E,'MES System'!O:O))=0,"",IF(B132="","",_xlfn.XLOOKUP(B132,'MES System'!E:E,'MES System'!O:O)))</f>
        <v>#N/A</v>
      </c>
      <c r="G132" s="92" t="e" cm="1">
        <f t="array" ref="G132">IF(IF(B132="","",_xlfn.XLOOKUP(B132,'MES System'!E:E,'MES System'!#REF!))=0,"",IF(B132="","",_xlfn.XLOOKUP(B132,'MES System'!E:E,'MES System'!#REF!)))</f>
        <v>#REF!</v>
      </c>
      <c r="H132" s="92" t="e" cm="1">
        <f t="array" ref="H132">IF(IF(B132="","",_xlfn.XLOOKUP(B132,'MES System'!E:E,'MES System'!#REF!))=0,"",IF(B132="","",_xlfn.XLOOKUP(B132,'MES System'!E:E,'MES System'!#REF!)))</f>
        <v>#REF!</v>
      </c>
      <c r="I132" s="92"/>
      <c r="J132" s="80"/>
      <c r="K132" s="80"/>
      <c r="L132" s="105"/>
    </row>
    <row r="133" spans="1:12" ht="13">
      <c r="A133" s="1">
        <v>120</v>
      </c>
      <c r="B133" s="70">
        <v>282007</v>
      </c>
      <c r="C133" s="80" t="e" cm="1">
        <f t="array" ref="C133">IF(B133="","",_xlfn.XLOOKUP(B133,'MES System'!E:E,'MES System'!B:B))</f>
        <v>#N/A</v>
      </c>
      <c r="D133" s="80" t="e" cm="1">
        <f t="array" ref="D133">IF(IF(B133="","",_xlfn.XLOOKUP(B133,'MES System'!E:E,'MES System'!F:F))=0,"",IF(B133="","",_xlfn.XLOOKUP(B133,'MES System'!E:E,'MES System'!F:F)))</f>
        <v>#N/A</v>
      </c>
      <c r="E133" s="80" t="e" cm="1">
        <f t="array" ref="E133">IF(IF(B133="","",_xlfn.XLOOKUP(B133,'MES System'!E:E,'MES System'!N:N))=0,"",IF(B133="","",_xlfn.XLOOKUP(B133,'MES System'!E:E,'MES System'!N:N)))</f>
        <v>#N/A</v>
      </c>
      <c r="F133" s="80" t="e" cm="1">
        <f t="array" ref="F133">IF(IF(B133="","",_xlfn.XLOOKUP(B133,'MES System'!E:E,'MES System'!O:O))=0,"",IF(B133="","",_xlfn.XLOOKUP(B133,'MES System'!E:E,'MES System'!O:O)))</f>
        <v>#N/A</v>
      </c>
      <c r="G133" s="92" t="e" cm="1">
        <f t="array" ref="G133">IF(IF(B133="","",_xlfn.XLOOKUP(B133,'MES System'!E:E,'MES System'!#REF!))=0,"",IF(B133="","",_xlfn.XLOOKUP(B133,'MES System'!E:E,'MES System'!#REF!)))</f>
        <v>#REF!</v>
      </c>
      <c r="H133" s="92" t="e" cm="1">
        <f t="array" ref="H133">IF(IF(B133="","",_xlfn.XLOOKUP(B133,'MES System'!E:E,'MES System'!#REF!))=0,"",IF(B133="","",_xlfn.XLOOKUP(B133,'MES System'!E:E,'MES System'!#REF!)))</f>
        <v>#REF!</v>
      </c>
      <c r="I133" s="92"/>
      <c r="J133" s="80"/>
      <c r="K133" s="80"/>
      <c r="L133" s="105"/>
    </row>
    <row r="134" spans="1:12" ht="13">
      <c r="A134" s="1">
        <v>121</v>
      </c>
      <c r="B134" s="70"/>
      <c r="C134" s="80" t="str" cm="1">
        <f t="array" ref="C134">IF(B134="","",_xlfn.XLOOKUP(B134,'MES System'!E:E,'MES System'!B:B))</f>
        <v/>
      </c>
      <c r="D134" s="80" t="str" cm="1">
        <f t="array" ref="D134">IF(IF(B134="","",_xlfn.XLOOKUP(B134,'MES System'!E:E,'MES System'!F:F))=0,"",IF(B134="","",_xlfn.XLOOKUP(B134,'MES System'!E:E,'MES System'!F:F)))</f>
        <v/>
      </c>
      <c r="E134" s="80" t="str" cm="1">
        <f t="array" ref="E134">IF(IF(B134="","",_xlfn.XLOOKUP(B134,'MES System'!E:E,'MES System'!N:N))=0,"",IF(B134="","",_xlfn.XLOOKUP(B134,'MES System'!E:E,'MES System'!N:N)))</f>
        <v/>
      </c>
      <c r="F134" s="80" t="str" cm="1">
        <f t="array" ref="F134">IF(IF(B134="","",_xlfn.XLOOKUP(B134,'MES System'!E:E,'MES System'!O:O))=0,"",IF(B134="","",_xlfn.XLOOKUP(B134,'MES System'!E:E,'MES System'!O:O)))</f>
        <v/>
      </c>
      <c r="G134" s="92" t="str" cm="1">
        <f t="array" ref="G134">IF(IF(B134="","",_xlfn.XLOOKUP(B134,'MES System'!E:E,'MES System'!#REF!))=0,"",IF(B134="","",_xlfn.XLOOKUP(B134,'MES System'!E:E,'MES System'!#REF!)))</f>
        <v/>
      </c>
      <c r="H134" s="92" t="str" cm="1">
        <f t="array" ref="H134">IF(IF(B134="","",_xlfn.XLOOKUP(B134,'MES System'!E:E,'MES System'!#REF!))=0,"",IF(B134="","",_xlfn.XLOOKUP(B134,'MES System'!E:E,'MES System'!#REF!)))</f>
        <v/>
      </c>
      <c r="I134" s="92"/>
      <c r="J134" s="80"/>
      <c r="K134" s="80"/>
      <c r="L134" s="105"/>
    </row>
    <row r="135" spans="1:12" ht="13">
      <c r="A135" s="1">
        <v>122</v>
      </c>
      <c r="B135" s="72" t="s">
        <v>219</v>
      </c>
      <c r="C135" s="79" t="e" cm="1">
        <f t="array" ref="C135">IF(B135="","",_xlfn.XLOOKUP(B135,'MES System'!E:E,'MES System'!B:B))</f>
        <v>#N/A</v>
      </c>
      <c r="D135" s="79" t="e" cm="1">
        <f t="array" ref="D135">IF(IF(B135="","",_xlfn.XLOOKUP(B135,'MES System'!E:E,'MES System'!F:F))=0,"",IF(B135="","",_xlfn.XLOOKUP(B135,'MES System'!E:E,'MES System'!F:F)))</f>
        <v>#N/A</v>
      </c>
      <c r="E135" s="79" t="e" cm="1">
        <f t="array" ref="E135">IF(IF(B135="","",_xlfn.XLOOKUP(B135,'MES System'!E:E,'MES System'!N:N))=0,"",IF(B135="","",_xlfn.XLOOKUP(B135,'MES System'!E:E,'MES System'!N:N)))</f>
        <v>#N/A</v>
      </c>
      <c r="F135" s="79" t="e" cm="1">
        <f t="array" ref="F135">IF(IF(B135="","",_xlfn.XLOOKUP(B135,'MES System'!E:E,'MES System'!O:O))=0,"",IF(B135="","",_xlfn.XLOOKUP(B135,'MES System'!E:E,'MES System'!O:O)))</f>
        <v>#N/A</v>
      </c>
      <c r="G135" s="100" t="e" cm="1">
        <f t="array" ref="G135">IF(IF(B135="","",_xlfn.XLOOKUP(B135,'MES System'!E:E,'MES System'!#REF!))=0,"",IF(B135="","",_xlfn.XLOOKUP(B135,'MES System'!E:E,'MES System'!#REF!)))</f>
        <v>#REF!</v>
      </c>
      <c r="H135" s="100" t="e" cm="1">
        <f t="array" ref="H135">IF(IF(B135="","",_xlfn.XLOOKUP(B135,'MES System'!E:E,'MES System'!#REF!))=0,"",IF(B135="","",_xlfn.XLOOKUP(B135,'MES System'!E:E,'MES System'!#REF!)))</f>
        <v>#REF!</v>
      </c>
      <c r="I135" s="100"/>
      <c r="J135" s="79"/>
      <c r="K135" s="79"/>
      <c r="L135" s="104"/>
    </row>
    <row r="136" spans="1:12" ht="39">
      <c r="A136" s="1">
        <v>123</v>
      </c>
      <c r="B136" s="70">
        <v>283001</v>
      </c>
      <c r="C136" s="80" t="e" cm="1">
        <f t="array" ref="C136">IF(B136="","",_xlfn.XLOOKUP(B136,'MES System'!E:E,'MES System'!B:B))</f>
        <v>#N/A</v>
      </c>
      <c r="D136" s="80" t="e" cm="1">
        <f t="array" ref="D136">IF(IF(B136="","",_xlfn.XLOOKUP(B136,'MES System'!E:E,'MES System'!F:F))=0,"",IF(B136="","",_xlfn.XLOOKUP(B136,'MES System'!E:E,'MES System'!F:F)))</f>
        <v>#N/A</v>
      </c>
      <c r="E136" s="80" t="e" cm="1">
        <f t="array" ref="E136">IF(IF(B136="","",_xlfn.XLOOKUP(B136,'MES System'!E:E,'MES System'!N:N))=0,"",IF(B136="","",_xlfn.XLOOKUP(B136,'MES System'!E:E,'MES System'!N:N)))</f>
        <v>#N/A</v>
      </c>
      <c r="F136" s="80" t="e" cm="1">
        <f t="array" ref="F136">IF(IF(B136="","",_xlfn.XLOOKUP(B136,'MES System'!E:E,'MES System'!O:O))=0,"",IF(B136="","",_xlfn.XLOOKUP(B136,'MES System'!E:E,'MES System'!O:O)))</f>
        <v>#N/A</v>
      </c>
      <c r="G136" s="92" t="e" cm="1">
        <f t="array" ref="G136">IF(IF(B136="","",_xlfn.XLOOKUP(B136,'MES System'!E:E,'MES System'!#REF!))=0,"",IF(B136="","",_xlfn.XLOOKUP(B136,'MES System'!E:E,'MES System'!#REF!)))</f>
        <v>#REF!</v>
      </c>
      <c r="H136" s="92" t="e" cm="1">
        <f t="array" ref="H136">IF(IF(B136="","",_xlfn.XLOOKUP(B136,'MES System'!E:E,'MES System'!#REF!))=0,"",IF(B136="","",_xlfn.XLOOKUP(B136,'MES System'!E:E,'MES System'!#REF!)))</f>
        <v>#REF!</v>
      </c>
      <c r="I136" s="92"/>
      <c r="J136" s="80"/>
      <c r="K136" s="80" t="s">
        <v>2017</v>
      </c>
      <c r="L136" s="108" t="s">
        <v>2019</v>
      </c>
    </row>
    <row r="137" spans="1:12" ht="26">
      <c r="A137" s="1">
        <v>124</v>
      </c>
      <c r="B137" s="70">
        <v>283002</v>
      </c>
      <c r="C137" s="80" t="e" cm="1">
        <f t="array" ref="C137">IF(B137="","",_xlfn.XLOOKUP(B137,'MES System'!E:E,'MES System'!B:B))</f>
        <v>#N/A</v>
      </c>
      <c r="D137" s="80" t="e" cm="1">
        <f t="array" ref="D137">IF(IF(B137="","",_xlfn.XLOOKUP(B137,'MES System'!E:E,'MES System'!F:F))=0,"",IF(B137="","",_xlfn.XLOOKUP(B137,'MES System'!E:E,'MES System'!F:F)))</f>
        <v>#N/A</v>
      </c>
      <c r="E137" s="80" t="e" cm="1">
        <f t="array" ref="E137">IF(IF(B137="","",_xlfn.XLOOKUP(B137,'MES System'!E:E,'MES System'!N:N))=0,"",IF(B137="","",_xlfn.XLOOKUP(B137,'MES System'!E:E,'MES System'!N:N)))</f>
        <v>#N/A</v>
      </c>
      <c r="F137" s="80" t="e" cm="1">
        <f t="array" ref="F137">IF(IF(B137="","",_xlfn.XLOOKUP(B137,'MES System'!E:E,'MES System'!O:O))=0,"",IF(B137="","",_xlfn.XLOOKUP(B137,'MES System'!E:E,'MES System'!O:O)))</f>
        <v>#N/A</v>
      </c>
      <c r="G137" s="92" t="e" cm="1">
        <f t="array" ref="G137">IF(IF(B137="","",_xlfn.XLOOKUP(B137,'MES System'!E:E,'MES System'!#REF!))=0,"",IF(B137="","",_xlfn.XLOOKUP(B137,'MES System'!E:E,'MES System'!#REF!)))</f>
        <v>#REF!</v>
      </c>
      <c r="H137" s="92" t="e" cm="1">
        <f t="array" ref="H137">IF(IF(B137="","",_xlfn.XLOOKUP(B137,'MES System'!E:E,'MES System'!#REF!))=0,"",IF(B137="","",_xlfn.XLOOKUP(B137,'MES System'!E:E,'MES System'!#REF!)))</f>
        <v>#REF!</v>
      </c>
      <c r="I137" s="92"/>
      <c r="J137" s="80" t="s">
        <v>1964</v>
      </c>
      <c r="K137" s="80"/>
      <c r="L137" s="106" t="s">
        <v>2018</v>
      </c>
    </row>
    <row r="138" spans="1:12" ht="26">
      <c r="A138" s="1">
        <v>125</v>
      </c>
      <c r="B138" s="70">
        <v>283003</v>
      </c>
      <c r="C138" s="80" t="e" cm="1">
        <f t="array" ref="C138">IF(B138="","",_xlfn.XLOOKUP(B138,'MES System'!E:E,'MES System'!B:B))</f>
        <v>#N/A</v>
      </c>
      <c r="D138" s="80" t="e" cm="1">
        <f t="array" ref="D138">IF(IF(B138="","",_xlfn.XLOOKUP(B138,'MES System'!E:E,'MES System'!F:F))=0,"",IF(B138="","",_xlfn.XLOOKUP(B138,'MES System'!E:E,'MES System'!F:F)))</f>
        <v>#N/A</v>
      </c>
      <c r="E138" s="80" t="e" cm="1">
        <f t="array" ref="E138">IF(IF(B138="","",_xlfn.XLOOKUP(B138,'MES System'!E:E,'MES System'!N:N))=0,"",IF(B138="","",_xlfn.XLOOKUP(B138,'MES System'!E:E,'MES System'!N:N)))</f>
        <v>#N/A</v>
      </c>
      <c r="F138" s="80" t="e" cm="1">
        <f t="array" ref="F138">IF(IF(B138="","",_xlfn.XLOOKUP(B138,'MES System'!E:E,'MES System'!O:O))=0,"",IF(B138="","",_xlfn.XLOOKUP(B138,'MES System'!E:E,'MES System'!O:O)))</f>
        <v>#N/A</v>
      </c>
      <c r="G138" s="92" t="e" cm="1">
        <f t="array" ref="G138">IF(IF(B138="","",_xlfn.XLOOKUP(B138,'MES System'!E:E,'MES System'!#REF!))=0,"",IF(B138="","",_xlfn.XLOOKUP(B138,'MES System'!E:E,'MES System'!#REF!)))</f>
        <v>#REF!</v>
      </c>
      <c r="H138" s="92" t="e" cm="1">
        <f t="array" ref="H138">IF(IF(B138="","",_xlfn.XLOOKUP(B138,'MES System'!E:E,'MES System'!#REF!))=0,"",IF(B138="","",_xlfn.XLOOKUP(B138,'MES System'!E:E,'MES System'!#REF!)))</f>
        <v>#REF!</v>
      </c>
      <c r="I138" s="92"/>
      <c r="J138" s="80"/>
      <c r="K138" s="80"/>
      <c r="L138" s="108" t="s">
        <v>1975</v>
      </c>
    </row>
    <row r="139" spans="1:12" ht="26">
      <c r="A139" s="1">
        <v>126</v>
      </c>
      <c r="B139" s="70">
        <v>283004</v>
      </c>
      <c r="C139" s="80" t="e" cm="1">
        <f t="array" ref="C139">IF(B139="","",_xlfn.XLOOKUP(B139,'MES System'!E:E,'MES System'!B:B))</f>
        <v>#N/A</v>
      </c>
      <c r="D139" s="80" t="e" cm="1">
        <f t="array" ref="D139">IF(IF(B139="","",_xlfn.XLOOKUP(B139,'MES System'!E:E,'MES System'!F:F))=0,"",IF(B139="","",_xlfn.XLOOKUP(B139,'MES System'!E:E,'MES System'!F:F)))</f>
        <v>#N/A</v>
      </c>
      <c r="E139" s="80" t="e" cm="1">
        <f t="array" ref="E139">IF(IF(B139="","",_xlfn.XLOOKUP(B139,'MES System'!E:E,'MES System'!N:N))=0,"",IF(B139="","",_xlfn.XLOOKUP(B139,'MES System'!E:E,'MES System'!N:N)))</f>
        <v>#N/A</v>
      </c>
      <c r="F139" s="80" t="e" cm="1">
        <f t="array" ref="F139">IF(IF(B139="","",_xlfn.XLOOKUP(B139,'MES System'!E:E,'MES System'!O:O))=0,"",IF(B139="","",_xlfn.XLOOKUP(B139,'MES System'!E:E,'MES System'!O:O)))</f>
        <v>#N/A</v>
      </c>
      <c r="G139" s="92" t="e" cm="1">
        <f t="array" ref="G139">IF(IF(B139="","",_xlfn.XLOOKUP(B139,'MES System'!E:E,'MES System'!#REF!))=0,"",IF(B139="","",_xlfn.XLOOKUP(B139,'MES System'!E:E,'MES System'!#REF!)))</f>
        <v>#REF!</v>
      </c>
      <c r="H139" s="92" t="e" cm="1">
        <f t="array" ref="H139">IF(IF(B139="","",_xlfn.XLOOKUP(B139,'MES System'!E:E,'MES System'!#REF!))=0,"",IF(B139="","",_xlfn.XLOOKUP(B139,'MES System'!E:E,'MES System'!#REF!)))</f>
        <v>#REF!</v>
      </c>
      <c r="I139" s="92"/>
      <c r="J139" s="80"/>
      <c r="K139" s="80"/>
      <c r="L139" s="108" t="s">
        <v>1975</v>
      </c>
    </row>
    <row r="140" spans="1:12" ht="13">
      <c r="A140" s="1">
        <v>126</v>
      </c>
      <c r="B140" s="70">
        <v>283005</v>
      </c>
      <c r="C140" s="80" t="e" cm="1">
        <f t="array" ref="C140">IF(B140="","",_xlfn.XLOOKUP(B140,'MES System'!E:E,'MES System'!B:B))</f>
        <v>#N/A</v>
      </c>
      <c r="D140" s="80" t="e" cm="1">
        <f t="array" ref="D140">IF(IF(B140="","",_xlfn.XLOOKUP(B140,'MES System'!E:E,'MES System'!F:F))=0,"",IF(B140="","",_xlfn.XLOOKUP(B140,'MES System'!E:E,'MES System'!F:F)))</f>
        <v>#N/A</v>
      </c>
      <c r="E140" s="80" t="e" cm="1">
        <f t="array" ref="E140">IF(IF(B140="","",_xlfn.XLOOKUP(B140,'MES System'!E:E,'MES System'!N:N))=0,"",IF(B140="","",_xlfn.XLOOKUP(B140,'MES System'!E:E,'MES System'!N:N)))</f>
        <v>#N/A</v>
      </c>
      <c r="F140" s="80" t="e" cm="1">
        <f t="array" ref="F140">IF(IF(B140="","",_xlfn.XLOOKUP(B140,'MES System'!E:E,'MES System'!O:O))=0,"",IF(B140="","",_xlfn.XLOOKUP(B140,'MES System'!E:E,'MES System'!O:O)))</f>
        <v>#N/A</v>
      </c>
      <c r="G140" s="92" t="e" cm="1">
        <f t="array" ref="G140">IF(IF(B140="","",_xlfn.XLOOKUP(B140,'MES System'!E:E,'MES System'!#REF!))=0,"",IF(B140="","",_xlfn.XLOOKUP(B140,'MES System'!E:E,'MES System'!#REF!)))</f>
        <v>#REF!</v>
      </c>
      <c r="H140" s="92" t="e" cm="1">
        <f t="array" ref="H140">IF(IF(B140="","",_xlfn.XLOOKUP(B140,'MES System'!E:E,'MES System'!#REF!))=0,"",IF(B140="","",_xlfn.XLOOKUP(B140,'MES System'!E:E,'MES System'!#REF!)))</f>
        <v>#REF!</v>
      </c>
      <c r="I140" s="92"/>
      <c r="J140" s="80"/>
      <c r="K140" s="80"/>
      <c r="L140" s="108"/>
    </row>
    <row r="141" spans="1:12" ht="13">
      <c r="A141" s="1">
        <v>127</v>
      </c>
      <c r="B141" s="70"/>
      <c r="C141" s="80" t="str" cm="1">
        <f t="array" ref="C141">IF(B141="","",_xlfn.XLOOKUP(B141,'MES System'!E:E,'MES System'!B:B))</f>
        <v/>
      </c>
      <c r="D141" s="80" t="str" cm="1">
        <f t="array" ref="D141">IF(IF(B141="","",_xlfn.XLOOKUP(B141,'MES System'!E:E,'MES System'!F:F))=0,"",IF(B141="","",_xlfn.XLOOKUP(B141,'MES System'!E:E,'MES System'!F:F)))</f>
        <v/>
      </c>
      <c r="E141" s="80" t="str" cm="1">
        <f t="array" ref="E141">IF(IF(B141="","",_xlfn.XLOOKUP(B141,'MES System'!E:E,'MES System'!N:N))=0,"",IF(B141="","",_xlfn.XLOOKUP(B141,'MES System'!E:E,'MES System'!N:N)))</f>
        <v/>
      </c>
      <c r="F141" s="80" t="str" cm="1">
        <f t="array" ref="F141">IF(IF(B141="","",_xlfn.XLOOKUP(B141,'MES System'!E:E,'MES System'!O:O))=0,"",IF(B141="","",_xlfn.XLOOKUP(B141,'MES System'!E:E,'MES System'!O:O)))</f>
        <v/>
      </c>
      <c r="G141" s="92" t="str" cm="1">
        <f t="array" ref="G141">IF(IF(B141="","",_xlfn.XLOOKUP(B141,'MES System'!E:E,'MES System'!#REF!))=0,"",IF(B141="","",_xlfn.XLOOKUP(B141,'MES System'!E:E,'MES System'!#REF!)))</f>
        <v/>
      </c>
      <c r="H141" s="92" t="str" cm="1">
        <f t="array" ref="H141">IF(IF(B141="","",_xlfn.XLOOKUP(B141,'MES System'!E:E,'MES System'!#REF!))=0,"",IF(B141="","",_xlfn.XLOOKUP(B141,'MES System'!E:E,'MES System'!#REF!)))</f>
        <v/>
      </c>
      <c r="I141" s="92"/>
      <c r="J141" s="80"/>
      <c r="K141" s="80"/>
      <c r="L141" s="105"/>
    </row>
    <row r="142" spans="1:12" ht="13">
      <c r="A142" s="1">
        <v>128</v>
      </c>
      <c r="B142" s="72" t="s">
        <v>240</v>
      </c>
      <c r="C142" s="79" t="e" cm="1">
        <f t="array" ref="C142">IF(B142="","",_xlfn.XLOOKUP(B142,'MES System'!E:E,'MES System'!B:B))</f>
        <v>#N/A</v>
      </c>
      <c r="D142" s="79" t="e" cm="1">
        <f t="array" ref="D142">IF(IF(B142="","",_xlfn.XLOOKUP(B142,'MES System'!E:E,'MES System'!F:F))=0,"",IF(B142="","",_xlfn.XLOOKUP(B142,'MES System'!E:E,'MES System'!F:F)))</f>
        <v>#N/A</v>
      </c>
      <c r="E142" s="79" t="e" cm="1">
        <f t="array" ref="E142">IF(IF(B142="","",_xlfn.XLOOKUP(B142,'MES System'!E:E,'MES System'!N:N))=0,"",IF(B142="","",_xlfn.XLOOKUP(B142,'MES System'!E:E,'MES System'!N:N)))</f>
        <v>#N/A</v>
      </c>
      <c r="F142" s="79" t="e" cm="1">
        <f t="array" ref="F142">IF(IF(B142="","",_xlfn.XLOOKUP(B142,'MES System'!E:E,'MES System'!O:O))=0,"",IF(B142="","",_xlfn.XLOOKUP(B142,'MES System'!E:E,'MES System'!O:O)))</f>
        <v>#N/A</v>
      </c>
      <c r="G142" s="100" t="e" cm="1">
        <f t="array" ref="G142">IF(IF(B142="","",_xlfn.XLOOKUP(B142,'MES System'!E:E,'MES System'!#REF!))=0,"",IF(B142="","",_xlfn.XLOOKUP(B142,'MES System'!E:E,'MES System'!#REF!)))</f>
        <v>#REF!</v>
      </c>
      <c r="H142" s="100" t="e" cm="1">
        <f t="array" ref="H142">IF(IF(B142="","",_xlfn.XLOOKUP(B142,'MES System'!E:E,'MES System'!#REF!))=0,"",IF(B142="","",_xlfn.XLOOKUP(B142,'MES System'!E:E,'MES System'!#REF!)))</f>
        <v>#REF!</v>
      </c>
      <c r="I142" s="100"/>
      <c r="J142" s="79"/>
      <c r="K142" s="79" t="s">
        <v>1972</v>
      </c>
      <c r="L142" s="104"/>
    </row>
    <row r="143" spans="1:12" ht="26">
      <c r="A143" s="1">
        <v>129</v>
      </c>
      <c r="B143" s="70">
        <v>284001</v>
      </c>
      <c r="C143" s="80" t="e" cm="1">
        <f t="array" ref="C143">IF(B143="","",_xlfn.XLOOKUP(B143,'MES System'!E:E,'MES System'!B:B))</f>
        <v>#N/A</v>
      </c>
      <c r="D143" s="80" t="e" cm="1">
        <f t="array" ref="D143">IF(IF(B143="","",_xlfn.XLOOKUP(B143,'MES System'!E:E,'MES System'!F:F))=0,"",IF(B143="","",_xlfn.XLOOKUP(B143,'MES System'!E:E,'MES System'!F:F)))</f>
        <v>#N/A</v>
      </c>
      <c r="E143" s="80" t="e" cm="1">
        <f t="array" ref="E143">IF(IF(B143="","",_xlfn.XLOOKUP(B143,'MES System'!E:E,'MES System'!N:N))=0,"",IF(B143="","",_xlfn.XLOOKUP(B143,'MES System'!E:E,'MES System'!N:N)))</f>
        <v>#N/A</v>
      </c>
      <c r="F143" s="80" t="e" cm="1">
        <f t="array" ref="F143">IF(IF(B143="","",_xlfn.XLOOKUP(B143,'MES System'!E:E,'MES System'!O:O))=0,"",IF(B143="","",_xlfn.XLOOKUP(B143,'MES System'!E:E,'MES System'!O:O)))</f>
        <v>#N/A</v>
      </c>
      <c r="G143" s="92" t="e" cm="1">
        <f t="array" ref="G143">IF(IF(B143="","",_xlfn.XLOOKUP(B143,'MES System'!E:E,'MES System'!#REF!))=0,"",IF(B143="","",_xlfn.XLOOKUP(B143,'MES System'!E:E,'MES System'!#REF!)))</f>
        <v>#REF!</v>
      </c>
      <c r="H143" s="92" t="e" cm="1">
        <f t="array" ref="H143">IF(IF(B143="","",_xlfn.XLOOKUP(B143,'MES System'!E:E,'MES System'!#REF!))=0,"",IF(B143="","",_xlfn.XLOOKUP(B143,'MES System'!E:E,'MES System'!#REF!)))</f>
        <v>#REF!</v>
      </c>
      <c r="I143" s="92"/>
      <c r="J143" s="80"/>
      <c r="K143" s="80" t="s">
        <v>1973</v>
      </c>
      <c r="L143" s="108" t="s">
        <v>1981</v>
      </c>
    </row>
    <row r="144" spans="1:12" ht="13">
      <c r="A144" s="1">
        <v>130</v>
      </c>
      <c r="B144" s="70">
        <v>284002</v>
      </c>
      <c r="C144" s="80" t="e" cm="1">
        <f t="array" ref="C144">IF(B144="","",_xlfn.XLOOKUP(B144,'MES System'!E:E,'MES System'!B:B))</f>
        <v>#N/A</v>
      </c>
      <c r="D144" s="80" t="e" cm="1">
        <f t="array" ref="D144">IF(IF(B144="","",_xlfn.XLOOKUP(B144,'MES System'!E:E,'MES System'!F:F))=0,"",IF(B144="","",_xlfn.XLOOKUP(B144,'MES System'!E:E,'MES System'!F:F)))</f>
        <v>#N/A</v>
      </c>
      <c r="E144" s="80" t="e" cm="1">
        <f t="array" ref="E144">IF(IF(B144="","",_xlfn.XLOOKUP(B144,'MES System'!E:E,'MES System'!N:N))=0,"",IF(B144="","",_xlfn.XLOOKUP(B144,'MES System'!E:E,'MES System'!N:N)))</f>
        <v>#N/A</v>
      </c>
      <c r="F144" s="80" t="e" cm="1">
        <f t="array" ref="F144">IF(IF(B144="","",_xlfn.XLOOKUP(B144,'MES System'!E:E,'MES System'!O:O))=0,"",IF(B144="","",_xlfn.XLOOKUP(B144,'MES System'!E:E,'MES System'!O:O)))</f>
        <v>#N/A</v>
      </c>
      <c r="G144" s="92" t="e" cm="1">
        <f t="array" ref="G144">IF(IF(B144="","",_xlfn.XLOOKUP(B144,'MES System'!E:E,'MES System'!#REF!))=0,"",IF(B144="","",_xlfn.XLOOKUP(B144,'MES System'!E:E,'MES System'!#REF!)))</f>
        <v>#REF!</v>
      </c>
      <c r="H144" s="92" t="e" cm="1">
        <f t="array" ref="H144">IF(IF(B144="","",_xlfn.XLOOKUP(B144,'MES System'!E:E,'MES System'!#REF!))=0,"",IF(B144="","",_xlfn.XLOOKUP(B144,'MES System'!E:E,'MES System'!#REF!)))</f>
        <v>#REF!</v>
      </c>
      <c r="I144" s="92"/>
      <c r="J144" s="80" t="s">
        <v>1951</v>
      </c>
      <c r="K144" s="80" t="s">
        <v>1974</v>
      </c>
      <c r="L144" s="109" t="s">
        <v>1982</v>
      </c>
    </row>
    <row r="145" spans="1:12" ht="13">
      <c r="A145" s="1">
        <v>131</v>
      </c>
      <c r="B145" s="70">
        <v>284003</v>
      </c>
      <c r="C145" s="80" t="e" cm="1">
        <f t="array" ref="C145">IF(B145="","",_xlfn.XLOOKUP(B145,'MES System'!E:E,'MES System'!B:B))</f>
        <v>#N/A</v>
      </c>
      <c r="D145" s="80" t="e" cm="1">
        <f t="array" ref="D145">IF(IF(B145="","",_xlfn.XLOOKUP(B145,'MES System'!E:E,'MES System'!F:F))=0,"",IF(B145="","",_xlfn.XLOOKUP(B145,'MES System'!E:E,'MES System'!F:F)))</f>
        <v>#N/A</v>
      </c>
      <c r="E145" s="80" t="e" cm="1">
        <f t="array" ref="E145">IF(IF(B145="","",_xlfn.XLOOKUP(B145,'MES System'!E:E,'MES System'!N:N))=0,"",IF(B145="","",_xlfn.XLOOKUP(B145,'MES System'!E:E,'MES System'!N:N)))</f>
        <v>#N/A</v>
      </c>
      <c r="F145" s="80" t="e" cm="1">
        <f t="array" ref="F145">IF(IF(B145="","",_xlfn.XLOOKUP(B145,'MES System'!E:E,'MES System'!O:O))=0,"",IF(B145="","",_xlfn.XLOOKUP(B145,'MES System'!E:E,'MES System'!O:O)))</f>
        <v>#N/A</v>
      </c>
      <c r="G145" s="92" t="e" cm="1">
        <f t="array" ref="G145">IF(IF(B145="","",_xlfn.XLOOKUP(B145,'MES System'!E:E,'MES System'!#REF!))=0,"",IF(B145="","",_xlfn.XLOOKUP(B145,'MES System'!E:E,'MES System'!#REF!)))</f>
        <v>#REF!</v>
      </c>
      <c r="H145" s="92" t="e" cm="1">
        <f t="array" ref="H145">IF(IF(B145="","",_xlfn.XLOOKUP(B145,'MES System'!E:E,'MES System'!#REF!))=0,"",IF(B145="","",_xlfn.XLOOKUP(B145,'MES System'!E:E,'MES System'!#REF!)))</f>
        <v>#REF!</v>
      </c>
      <c r="I145" s="92"/>
      <c r="J145" s="80" t="s">
        <v>1951</v>
      </c>
      <c r="K145" s="80"/>
      <c r="L145" s="109" t="s">
        <v>1978</v>
      </c>
    </row>
    <row r="146" spans="1:12" ht="13">
      <c r="A146" s="1">
        <v>132</v>
      </c>
      <c r="B146" s="70"/>
      <c r="C146" s="80" t="str" cm="1">
        <f t="array" ref="C146">IF(B146="","",_xlfn.XLOOKUP(B146,'MES System'!E:E,'MES System'!B:B))</f>
        <v/>
      </c>
      <c r="D146" s="80" t="str" cm="1">
        <f t="array" ref="D146">IF(IF(B146="","",_xlfn.XLOOKUP(B146,'MES System'!E:E,'MES System'!F:F))=0,"",IF(B146="","",_xlfn.XLOOKUP(B146,'MES System'!E:E,'MES System'!F:F)))</f>
        <v/>
      </c>
      <c r="E146" s="80" t="str" cm="1">
        <f t="array" ref="E146">IF(IF(B146="","",_xlfn.XLOOKUP(B146,'MES System'!E:E,'MES System'!N:N))=0,"",IF(B146="","",_xlfn.XLOOKUP(B146,'MES System'!E:E,'MES System'!N:N)))</f>
        <v/>
      </c>
      <c r="F146" s="80" t="str" cm="1">
        <f t="array" ref="F146">IF(IF(B146="","",_xlfn.XLOOKUP(B146,'MES System'!E:E,'MES System'!O:O))=0,"",IF(B146="","",_xlfn.XLOOKUP(B146,'MES System'!E:E,'MES System'!O:O)))</f>
        <v/>
      </c>
      <c r="G146" s="92" t="str" cm="1">
        <f t="array" ref="G146">IF(IF(B146="","",_xlfn.XLOOKUP(B146,'MES System'!E:E,'MES System'!#REF!))=0,"",IF(B146="","",_xlfn.XLOOKUP(B146,'MES System'!E:E,'MES System'!#REF!)))</f>
        <v/>
      </c>
      <c r="H146" s="92" t="str" cm="1">
        <f t="array" ref="H146">IF(IF(B146="","",_xlfn.XLOOKUP(B146,'MES System'!E:E,'MES System'!#REF!))=0,"",IF(B146="","",_xlfn.XLOOKUP(B146,'MES System'!E:E,'MES System'!#REF!)))</f>
        <v/>
      </c>
      <c r="I146" s="92"/>
      <c r="J146" s="80"/>
      <c r="K146" s="80"/>
      <c r="L146" s="105"/>
    </row>
    <row r="147" spans="1:12" ht="13">
      <c r="A147" s="1">
        <v>133</v>
      </c>
      <c r="B147" s="72" t="s">
        <v>241</v>
      </c>
      <c r="C147" s="79" t="str" cm="1">
        <f t="array" ref="C147">IF(B147="","",_xlfn.XLOOKUP(B147,'MES System'!E:E,'MES System'!B:B))</f>
        <v xml:space="preserve">    └ 생산계획</v>
      </c>
      <c r="D147" s="79" t="str" cm="1">
        <f t="array" ref="D147">IF(IF(B147="","",_xlfn.XLOOKUP(B147,'MES System'!E:E,'MES System'!F:F))=0,"",IF(B147="","",_xlfn.XLOOKUP(B147,'MES System'!E:E,'MES System'!F:F)))</f>
        <v>생산계획</v>
      </c>
      <c r="E147" s="79" t="str" cm="1">
        <f t="array" ref="E147">IF(IF(B147="","",_xlfn.XLOOKUP(B147,'MES System'!E:E,'MES System'!N:N))=0,"",IF(B147="","",_xlfn.XLOOKUP(B147,'MES System'!E:E,'MES System'!N:N)))</f>
        <v/>
      </c>
      <c r="F147" s="79" t="str" cm="1">
        <f t="array" ref="F147">IF(IF(B147="","",_xlfn.XLOOKUP(B147,'MES System'!E:E,'MES System'!O:O))=0,"",IF(B147="","",_xlfn.XLOOKUP(B147,'MES System'!E:E,'MES System'!O:O)))</f>
        <v/>
      </c>
      <c r="G147" s="100" t="e" cm="1">
        <f t="array" ref="G147">IF(IF(B147="","",_xlfn.XLOOKUP(B147,'MES System'!E:E,'MES System'!#REF!))=0,"",IF(B147="","",_xlfn.XLOOKUP(B147,'MES System'!E:E,'MES System'!#REF!)))</f>
        <v>#REF!</v>
      </c>
      <c r="H147" s="100" t="e" cm="1">
        <f t="array" ref="H147">IF(IF(B147="","",_xlfn.XLOOKUP(B147,'MES System'!E:E,'MES System'!#REF!))=0,"",IF(B147="","",_xlfn.XLOOKUP(B147,'MES System'!E:E,'MES System'!#REF!)))</f>
        <v>#REF!</v>
      </c>
      <c r="I147" s="100"/>
      <c r="J147" s="79"/>
      <c r="K147" s="79"/>
      <c r="L147" s="104"/>
    </row>
    <row r="148" spans="1:12" ht="13">
      <c r="A148" s="1">
        <v>136</v>
      </c>
      <c r="B148" s="70">
        <v>285006</v>
      </c>
      <c r="C148" s="80" t="str" cm="1">
        <f t="array" ref="C148">IF(B148="","",_xlfn.XLOOKUP(B148,'MES System'!E:E,'MES System'!B:B))</f>
        <v/>
      </c>
      <c r="D148" s="80" t="str" cm="1">
        <f t="array" ref="D148">IF(IF(B148="","",_xlfn.XLOOKUP(B148,'MES System'!E:E,'MES System'!F:F))=0,"",IF(B148="","",_xlfn.XLOOKUP(B148,'MES System'!E:E,'MES System'!F:F)))</f>
        <v/>
      </c>
      <c r="E148" s="80" t="str" cm="1">
        <f t="array" ref="E148">IF(IF(B148="","",_xlfn.XLOOKUP(B148,'MES System'!E:E,'MES System'!N:N))=0,"",IF(B148="","",_xlfn.XLOOKUP(B148,'MES System'!E:E,'MES System'!N:N)))</f>
        <v/>
      </c>
      <c r="F148" s="80" t="str" cm="1">
        <f t="array" ref="F148">IF(IF(B148="","",_xlfn.XLOOKUP(B148,'MES System'!E:E,'MES System'!O:O))=0,"",IF(B148="","",_xlfn.XLOOKUP(B148,'MES System'!E:E,'MES System'!O:O)))</f>
        <v/>
      </c>
      <c r="G148" s="92" t="e" cm="1">
        <f t="array" ref="G148">IF(IF(B148="","",_xlfn.XLOOKUP(B148,'MES System'!E:E,'MES System'!#REF!))=0,"",IF(B148="","",_xlfn.XLOOKUP(B148,'MES System'!E:E,'MES System'!#REF!)))</f>
        <v>#REF!</v>
      </c>
      <c r="H148" s="92" t="e" cm="1">
        <f t="array" ref="H148">IF(IF(B148="","",_xlfn.XLOOKUP(B148,'MES System'!E:E,'MES System'!#REF!))=0,"",IF(B148="","",_xlfn.XLOOKUP(B148,'MES System'!E:E,'MES System'!#REF!)))</f>
        <v>#REF!</v>
      </c>
      <c r="I148" s="92"/>
      <c r="J148" s="80"/>
      <c r="K148" s="80" t="s">
        <v>1884</v>
      </c>
      <c r="L148" s="105"/>
    </row>
    <row r="149" spans="1:12" ht="13">
      <c r="A149" s="1">
        <v>134</v>
      </c>
      <c r="B149" s="70">
        <v>285001</v>
      </c>
      <c r="C149" s="80" t="str" cm="1">
        <f t="array" ref="C149">IF(B149="","",_xlfn.XLOOKUP(B149,'MES System'!E:E,'MES System'!B:B))</f>
        <v xml:space="preserve">        └ (공통)재고재공할당</v>
      </c>
      <c r="D149" s="80" t="str" cm="1">
        <f t="array" ref="D149">IF(IF(B149="","",_xlfn.XLOOKUP(B149,'MES System'!E:E,'MES System'!F:F))=0,"",IF(B149="","",_xlfn.XLOOKUP(B149,'MES System'!E:E,'MES System'!F:F)))</f>
        <v>재고재공할당</v>
      </c>
      <c r="E149" s="80" t="str" cm="1">
        <f t="array" ref="E149">IF(IF(B149="","",_xlfn.XLOOKUP(B149,'MES System'!E:E,'MES System'!N:N))=0,"",IF(B149="","",_xlfn.XLOOKUP(B149,'MES System'!E:E,'MES System'!N:N)))</f>
        <v>prod.order</v>
      </c>
      <c r="F149" s="80" t="str" cm="1">
        <f t="array" ref="F149">IF(IF(B149="","",_xlfn.XLOOKUP(B149,'MES System'!E:E,'MES System'!O:O))=0,"",IF(B149="","",_xlfn.XLOOKUP(B149,'MES System'!E:E,'MES System'!O:O)))</f>
        <v>LotChange</v>
      </c>
      <c r="G149" s="92" t="e" cm="1">
        <f t="array" ref="G149">IF(IF(B149="","",_xlfn.XLOOKUP(B149,'MES System'!E:E,'MES System'!#REF!))=0,"",IF(B149="","",_xlfn.XLOOKUP(B149,'MES System'!E:E,'MES System'!#REF!)))</f>
        <v>#REF!</v>
      </c>
      <c r="H149" s="92" t="e" cm="1">
        <f t="array" ref="H149">IF(IF(B149="","",_xlfn.XLOOKUP(B149,'MES System'!E:E,'MES System'!#REF!))=0,"",IF(B149="","",_xlfn.XLOOKUP(B149,'MES System'!E:E,'MES System'!#REF!)))</f>
        <v>#REF!</v>
      </c>
      <c r="I149" s="92"/>
      <c r="J149" s="80"/>
      <c r="K149" s="80" t="s">
        <v>1885</v>
      </c>
      <c r="L149" s="105"/>
    </row>
    <row r="150" spans="1:12" ht="13">
      <c r="A150" s="1">
        <v>135</v>
      </c>
      <c r="B150" s="70">
        <v>285002</v>
      </c>
      <c r="C150" s="80" t="str" cm="1">
        <f t="array" ref="C150">IF(B150="","",_xlfn.XLOOKUP(B150,'MES System'!E:E,'MES System'!B:B))</f>
        <v xml:space="preserve">        └ (공통)생산계획 관리</v>
      </c>
      <c r="D150" s="80" t="str" cm="1">
        <f t="array" ref="D150">IF(IF(B150="","",_xlfn.XLOOKUP(B150,'MES System'!E:E,'MES System'!F:F))=0,"",IF(B150="","",_xlfn.XLOOKUP(B150,'MES System'!E:E,'MES System'!F:F)))</f>
        <v>생산계획 관리</v>
      </c>
      <c r="E150" s="80" t="str" cm="1">
        <f t="array" ref="E150">IF(IF(B150="","",_xlfn.XLOOKUP(B150,'MES System'!E:E,'MES System'!N:N))=0,"",IF(B150="","",_xlfn.XLOOKUP(B150,'MES System'!E:E,'MES System'!N:N)))</f>
        <v>prod.plan</v>
      </c>
      <c r="F150" s="80" t="str" cm="1">
        <f t="array" ref="F150">IF(IF(B150="","",_xlfn.XLOOKUP(B150,'MES System'!E:E,'MES System'!O:O))=0,"",IF(B150="","",_xlfn.XLOOKUP(B150,'MES System'!E:E,'MES System'!O:O)))</f>
        <v>ProdPlanV2</v>
      </c>
      <c r="G150" s="92" t="e" cm="1">
        <f t="array" ref="G150">IF(IF(B150="","",_xlfn.XLOOKUP(B150,'MES System'!E:E,'MES System'!#REF!))=0,"",IF(B150="","",_xlfn.XLOOKUP(B150,'MES System'!E:E,'MES System'!#REF!)))</f>
        <v>#REF!</v>
      </c>
      <c r="H150" s="92" t="e" cm="1">
        <f t="array" ref="H150">IF(IF(B150="","",_xlfn.XLOOKUP(B150,'MES System'!E:E,'MES System'!#REF!))=0,"",IF(B150="","",_xlfn.XLOOKUP(B150,'MES System'!E:E,'MES System'!#REF!)))</f>
        <v>#REF!</v>
      </c>
      <c r="I150" s="92"/>
      <c r="J150" s="80"/>
      <c r="K150" s="80"/>
      <c r="L150" s="105"/>
    </row>
    <row r="151" spans="1:12" ht="13">
      <c r="A151" s="1">
        <v>136</v>
      </c>
      <c r="B151" s="70">
        <v>285003</v>
      </c>
      <c r="C151" s="80" t="str" cm="1">
        <f t="array" ref="C151">IF(B151="","",_xlfn.XLOOKUP(B151,'MES System'!E:E,'MES System'!B:B))</f>
        <v xml:space="preserve">        └ (공통)예비생산오더관리</v>
      </c>
      <c r="D151" s="80" t="str" cm="1">
        <f t="array" ref="D151">IF(IF(B151="","",_xlfn.XLOOKUP(B151,'MES System'!E:E,'MES System'!F:F))=0,"",IF(B151="","",_xlfn.XLOOKUP(B151,'MES System'!E:E,'MES System'!F:F)))</f>
        <v>예비생산오더관리</v>
      </c>
      <c r="E151" s="80" t="str" cm="1">
        <f t="array" ref="E151">IF(IF(B151="","",_xlfn.XLOOKUP(B151,'MES System'!E:E,'MES System'!N:N))=0,"",IF(B151="","",_xlfn.XLOOKUP(B151,'MES System'!E:E,'MES System'!N:N)))</f>
        <v>prod.plan</v>
      </c>
      <c r="F151" s="80" t="str" cm="1">
        <f t="array" ref="F151">IF(IF(B151="","",_xlfn.XLOOKUP(B151,'MES System'!E:E,'MES System'!O:O))=0,"",IF(B151="","",_xlfn.XLOOKUP(B151,'MES System'!E:E,'MES System'!O:O)))</f>
        <v>RsvdOrder</v>
      </c>
      <c r="G151" s="92" t="e" cm="1">
        <f t="array" ref="G151">IF(IF(B151="","",_xlfn.XLOOKUP(B151,'MES System'!E:E,'MES System'!#REF!))=0,"",IF(B151="","",_xlfn.XLOOKUP(B151,'MES System'!E:E,'MES System'!#REF!)))</f>
        <v>#REF!</v>
      </c>
      <c r="H151" s="92" t="e" cm="1">
        <f t="array" ref="H151">IF(IF(B151="","",_xlfn.XLOOKUP(B151,'MES System'!E:E,'MES System'!#REF!))=0,"",IF(B151="","",_xlfn.XLOOKUP(B151,'MES System'!E:E,'MES System'!#REF!)))</f>
        <v>#REF!</v>
      </c>
      <c r="I151" s="92"/>
      <c r="J151" s="80"/>
      <c r="K151" s="80"/>
      <c r="L151" s="105"/>
    </row>
    <row r="152" spans="1:12" ht="13">
      <c r="A152" s="1">
        <v>136</v>
      </c>
      <c r="B152" s="70">
        <v>285004</v>
      </c>
      <c r="C152" s="80" t="str" cm="1">
        <f t="array" ref="C152">IF(B152="","",_xlfn.XLOOKUP(B152,'MES System'!E:E,'MES System'!B:B))</f>
        <v xml:space="preserve">        └ (공통)계획대비실적</v>
      </c>
      <c r="D152" s="80" t="str" cm="1">
        <f t="array" ref="D152">IF(IF(B152="","",_xlfn.XLOOKUP(B152,'MES System'!E:E,'MES System'!F:F))=0,"",IF(B152="","",_xlfn.XLOOKUP(B152,'MES System'!E:E,'MES System'!F:F)))</f>
        <v>계획대비실적</v>
      </c>
      <c r="E152" s="80" t="str" cm="1">
        <f t="array" ref="E152">IF(IF(B152="","",_xlfn.XLOOKUP(B152,'MES System'!E:E,'MES System'!N:N))=0,"",IF(B152="","",_xlfn.XLOOKUP(B152,'MES System'!E:E,'MES System'!N:N)))</f>
        <v>prod.plan</v>
      </c>
      <c r="F152" s="80" t="str" cm="1">
        <f t="array" ref="F152">IF(IF(B152="","",_xlfn.XLOOKUP(B152,'MES System'!E:E,'MES System'!O:O))=0,"",IF(B152="","",_xlfn.XLOOKUP(B152,'MES System'!E:E,'MES System'!O:O)))</f>
        <v>PlanAnalList</v>
      </c>
      <c r="G152" s="92" t="e" cm="1">
        <f t="array" ref="G152">IF(IF(B152="","",_xlfn.XLOOKUP(B152,'MES System'!E:E,'MES System'!#REF!))=0,"",IF(B152="","",_xlfn.XLOOKUP(B152,'MES System'!E:E,'MES System'!#REF!)))</f>
        <v>#REF!</v>
      </c>
      <c r="H152" s="92" t="e" cm="1">
        <f t="array" ref="H152">IF(IF(B152="","",_xlfn.XLOOKUP(B152,'MES System'!E:E,'MES System'!#REF!))=0,"",IF(B152="","",_xlfn.XLOOKUP(B152,'MES System'!E:E,'MES System'!#REF!)))</f>
        <v>#REF!</v>
      </c>
      <c r="I152" s="92"/>
      <c r="J152" s="80" t="s">
        <v>1950</v>
      </c>
      <c r="K152" s="80" t="s">
        <v>2008</v>
      </c>
      <c r="L152" s="105" t="s">
        <v>1978</v>
      </c>
    </row>
    <row r="153" spans="1:12" ht="26">
      <c r="A153" s="1">
        <v>136</v>
      </c>
      <c r="B153" s="70">
        <v>285005</v>
      </c>
      <c r="C153" s="80" t="str" cm="1">
        <f t="array" ref="C153">IF(B153="","",_xlfn.XLOOKUP(B153,'MES System'!E:E,'MES System'!B:B))</f>
        <v/>
      </c>
      <c r="D153" s="80" t="str" cm="1">
        <f t="array" ref="D153">IF(IF(B153="","",_xlfn.XLOOKUP(B153,'MES System'!E:E,'MES System'!F:F))=0,"",IF(B153="","",_xlfn.XLOOKUP(B153,'MES System'!E:E,'MES System'!F:F)))</f>
        <v/>
      </c>
      <c r="E153" s="80" t="str" cm="1">
        <f t="array" ref="E153">IF(IF(B153="","",_xlfn.XLOOKUP(B153,'MES System'!E:E,'MES System'!N:N))=0,"",IF(B153="","",_xlfn.XLOOKUP(B153,'MES System'!E:E,'MES System'!N:N)))</f>
        <v/>
      </c>
      <c r="F153" s="80" t="str" cm="1">
        <f t="array" ref="F153">IF(IF(B153="","",_xlfn.XLOOKUP(B153,'MES System'!E:E,'MES System'!O:O))=0,"",IF(B153="","",_xlfn.XLOOKUP(B153,'MES System'!E:E,'MES System'!O:O)))</f>
        <v/>
      </c>
      <c r="G153" s="92" t="e" cm="1">
        <f t="array" ref="G153">IF(IF(B153="","",_xlfn.XLOOKUP(B153,'MES System'!E:E,'MES System'!#REF!))=0,"",IF(B153="","",_xlfn.XLOOKUP(B153,'MES System'!E:E,'MES System'!#REF!)))</f>
        <v>#REF!</v>
      </c>
      <c r="H153" s="92" t="e" cm="1">
        <f t="array" ref="H153">IF(IF(B153="","",_xlfn.XLOOKUP(B153,'MES System'!E:E,'MES System'!#REF!))=0,"",IF(B153="","",_xlfn.XLOOKUP(B153,'MES System'!E:E,'MES System'!#REF!)))</f>
        <v>#REF!</v>
      </c>
      <c r="I153" s="92"/>
      <c r="J153" s="80" t="s">
        <v>1950</v>
      </c>
      <c r="K153" s="96" t="s">
        <v>2009</v>
      </c>
      <c r="L153" s="105"/>
    </row>
    <row r="154" spans="1:12" ht="13">
      <c r="A154" s="1">
        <v>137</v>
      </c>
      <c r="B154" s="70"/>
      <c r="C154" s="80" t="str" cm="1">
        <f t="array" ref="C154">IF(B154="","",_xlfn.XLOOKUP(B154,'MES System'!E:E,'MES System'!B:B))</f>
        <v/>
      </c>
      <c r="D154" s="80" t="str" cm="1">
        <f t="array" ref="D154">IF(IF(B154="","",_xlfn.XLOOKUP(B154,'MES System'!E:E,'MES System'!F:F))=0,"",IF(B154="","",_xlfn.XLOOKUP(B154,'MES System'!E:E,'MES System'!F:F)))</f>
        <v/>
      </c>
      <c r="E154" s="80" t="str" cm="1">
        <f t="array" ref="E154">IF(IF(B154="","",_xlfn.XLOOKUP(B154,'MES System'!E:E,'MES System'!N:N))=0,"",IF(B154="","",_xlfn.XLOOKUP(B154,'MES System'!E:E,'MES System'!N:N)))</f>
        <v/>
      </c>
      <c r="F154" s="80" t="str" cm="1">
        <f t="array" ref="F154">IF(IF(B154="","",_xlfn.XLOOKUP(B154,'MES System'!E:E,'MES System'!O:O))=0,"",IF(B154="","",_xlfn.XLOOKUP(B154,'MES System'!E:E,'MES System'!O:O)))</f>
        <v/>
      </c>
      <c r="G154" s="92" t="str" cm="1">
        <f t="array" ref="G154">IF(IF(B154="","",_xlfn.XLOOKUP(B154,'MES System'!E:E,'MES System'!#REF!))=0,"",IF(B154="","",_xlfn.XLOOKUP(B154,'MES System'!E:E,'MES System'!#REF!)))</f>
        <v/>
      </c>
      <c r="H154" s="92" t="str" cm="1">
        <f t="array" ref="H154">IF(IF(B154="","",_xlfn.XLOOKUP(B154,'MES System'!E:E,'MES System'!#REF!))=0,"",IF(B154="","",_xlfn.XLOOKUP(B154,'MES System'!E:E,'MES System'!#REF!)))</f>
        <v/>
      </c>
      <c r="I154" s="92"/>
      <c r="J154" s="80"/>
      <c r="K154" s="80"/>
      <c r="L154" s="105"/>
    </row>
    <row r="155" spans="1:12" ht="13">
      <c r="A155" s="1">
        <v>138</v>
      </c>
      <c r="B155" s="72" t="s">
        <v>242</v>
      </c>
      <c r="C155" s="79" t="str" cm="1">
        <f t="array" ref="C155">IF(B155="","",_xlfn.XLOOKUP(B155,'MES System'!E:E,'MES System'!B:B))</f>
        <v xml:space="preserve">    └ 생산지시 관리</v>
      </c>
      <c r="D155" s="79" t="str" cm="1">
        <f t="array" ref="D155">IF(IF(B155="","",_xlfn.XLOOKUP(B155,'MES System'!E:E,'MES System'!F:F))=0,"",IF(B155="","",_xlfn.XLOOKUP(B155,'MES System'!E:E,'MES System'!F:F)))</f>
        <v>생산지시 관리</v>
      </c>
      <c r="E155" s="79" t="str" cm="1">
        <f t="array" ref="E155">IF(IF(B155="","",_xlfn.XLOOKUP(B155,'MES System'!E:E,'MES System'!N:N))=0,"",IF(B155="","",_xlfn.XLOOKUP(B155,'MES System'!E:E,'MES System'!N:N)))</f>
        <v/>
      </c>
      <c r="F155" s="79" t="str" cm="1">
        <f t="array" ref="F155">IF(IF(B155="","",_xlfn.XLOOKUP(B155,'MES System'!E:E,'MES System'!O:O))=0,"",IF(B155="","",_xlfn.XLOOKUP(B155,'MES System'!E:E,'MES System'!O:O)))</f>
        <v/>
      </c>
      <c r="G155" s="100" t="e" cm="1">
        <f t="array" ref="G155">IF(IF(B155="","",_xlfn.XLOOKUP(B155,'MES System'!E:E,'MES System'!#REF!))=0,"",IF(B155="","",_xlfn.XLOOKUP(B155,'MES System'!E:E,'MES System'!#REF!)))</f>
        <v>#REF!</v>
      </c>
      <c r="H155" s="100" t="e" cm="1">
        <f t="array" ref="H155">IF(IF(B155="","",_xlfn.XLOOKUP(B155,'MES System'!E:E,'MES System'!#REF!))=0,"",IF(B155="","",_xlfn.XLOOKUP(B155,'MES System'!E:E,'MES System'!#REF!)))</f>
        <v>#REF!</v>
      </c>
      <c r="I155" s="100"/>
      <c r="J155" s="79"/>
      <c r="K155" s="79"/>
      <c r="L155" s="104"/>
    </row>
    <row r="156" spans="1:12" ht="26">
      <c r="A156" s="1">
        <v>139</v>
      </c>
      <c r="B156" s="70">
        <v>286001</v>
      </c>
      <c r="C156" s="80" t="str" cm="1">
        <f t="array" ref="C156">IF(B156="","",_xlfn.XLOOKUP(B156,'MES System'!E:E,'MES System'!B:B))</f>
        <v xml:space="preserve">        └ (공통)생산지시서 관리</v>
      </c>
      <c r="D156" s="80" t="str" cm="1">
        <f t="array" ref="D156">IF(IF(B156="","",_xlfn.XLOOKUP(B156,'MES System'!E:E,'MES System'!F:F))=0,"",IF(B156="","",_xlfn.XLOOKUP(B156,'MES System'!E:E,'MES System'!F:F)))</f>
        <v>생산지시서 관리</v>
      </c>
      <c r="E156" s="80" t="str" cm="1">
        <f t="array" ref="E156">IF(IF(B156="","",_xlfn.XLOOKUP(B156,'MES System'!E:E,'MES System'!N:N))=0,"",IF(B156="","",_xlfn.XLOOKUP(B156,'MES System'!E:E,'MES System'!N:N)))</f>
        <v>prod.order</v>
      </c>
      <c r="F156" s="80" t="str" cm="1">
        <f t="array" ref="F156">IF(IF(B156="","",_xlfn.XLOOKUP(B156,'MES System'!E:E,'MES System'!O:O))=0,"",IF(B156="","",_xlfn.XLOOKUP(B156,'MES System'!E:E,'MES System'!O:O)))</f>
        <v>ProdOrderV2</v>
      </c>
      <c r="G156" s="92" t="e" cm="1">
        <f t="array" ref="G156">IF(IF(B156="","",_xlfn.XLOOKUP(B156,'MES System'!E:E,'MES System'!#REF!))=0,"",IF(B156="","",_xlfn.XLOOKUP(B156,'MES System'!E:E,'MES System'!#REF!)))</f>
        <v>#REF!</v>
      </c>
      <c r="H156" s="92" t="e" cm="1">
        <f t="array" ref="H156">IF(IF(B156="","",_xlfn.XLOOKUP(B156,'MES System'!E:E,'MES System'!#REF!))=0,"",IF(B156="","",_xlfn.XLOOKUP(B156,'MES System'!E:E,'MES System'!#REF!)))</f>
        <v>#REF!</v>
      </c>
      <c r="I156" s="92"/>
      <c r="J156" s="80"/>
      <c r="K156" s="96" t="s">
        <v>2035</v>
      </c>
      <c r="L156" s="105"/>
    </row>
    <row r="157" spans="1:12" ht="13">
      <c r="A157" s="1">
        <v>140</v>
      </c>
      <c r="B157" s="70">
        <v>286002</v>
      </c>
      <c r="C157" s="80" t="str" cm="1">
        <f t="array" ref="C157">IF(B157="","",_xlfn.XLOOKUP(B157,'MES System'!E:E,'MES System'!B:B))</f>
        <v xml:space="preserve">        └ (선택)생산지시등록</v>
      </c>
      <c r="D157" s="80" t="str" cm="1">
        <f t="array" ref="D157">IF(IF(B157="","",_xlfn.XLOOKUP(B157,'MES System'!E:E,'MES System'!F:F))=0,"",IF(B157="","",_xlfn.XLOOKUP(B157,'MES System'!E:E,'MES System'!F:F)))</f>
        <v>생산지시등록</v>
      </c>
      <c r="E157" s="80" t="str" cm="1">
        <f t="array" ref="E157">IF(IF(B157="","",_xlfn.XLOOKUP(B157,'MES System'!E:E,'MES System'!N:N))=0,"",IF(B157="","",_xlfn.XLOOKUP(B157,'MES System'!E:E,'MES System'!N:N)))</f>
        <v>prod.order</v>
      </c>
      <c r="F157" s="80" t="str" cm="1">
        <f t="array" ref="F157">IF(IF(B157="","",_xlfn.XLOOKUP(B157,'MES System'!E:E,'MES System'!O:O))=0,"",IF(B157="","",_xlfn.XLOOKUP(B157,'MES System'!E:E,'MES System'!O:O)))</f>
        <v>ProdOrder</v>
      </c>
      <c r="G157" s="92" t="e" cm="1">
        <f t="array" ref="G157">IF(IF(B157="","",_xlfn.XLOOKUP(B157,'MES System'!E:E,'MES System'!#REF!))=0,"",IF(B157="","",_xlfn.XLOOKUP(B157,'MES System'!E:E,'MES System'!#REF!)))</f>
        <v>#REF!</v>
      </c>
      <c r="H157" s="92" t="e" cm="1">
        <f t="array" ref="H157">IF(IF(B157="","",_xlfn.XLOOKUP(B157,'MES System'!E:E,'MES System'!#REF!))=0,"",IF(B157="","",_xlfn.XLOOKUP(B157,'MES System'!E:E,'MES System'!#REF!)))</f>
        <v>#REF!</v>
      </c>
      <c r="I157" s="92"/>
      <c r="J157" s="80"/>
      <c r="K157" s="80" t="s">
        <v>1908</v>
      </c>
      <c r="L157" s="105"/>
    </row>
    <row r="158" spans="1:12" ht="13">
      <c r="A158" s="1">
        <v>147</v>
      </c>
      <c r="B158" s="70">
        <v>286015</v>
      </c>
      <c r="C158" s="80" t="e" cm="1">
        <f t="array" ref="C158">IF(B158="","",_xlfn.XLOOKUP(B158,'MES System'!E:E,'MES System'!B:B))</f>
        <v>#N/A</v>
      </c>
      <c r="D158" s="80" t="e" cm="1">
        <f t="array" ref="D158">IF(IF(B158="","",_xlfn.XLOOKUP(B158,'MES System'!E:E,'MES System'!F:F))=0,"",IF(B158="","",_xlfn.XLOOKUP(B158,'MES System'!E:E,'MES System'!F:F)))</f>
        <v>#N/A</v>
      </c>
      <c r="E158" s="80" t="e" cm="1">
        <f t="array" ref="E158">IF(IF(B158="","",_xlfn.XLOOKUP(B158,'MES System'!E:E,'MES System'!N:N))=0,"",IF(B158="","",_xlfn.XLOOKUP(B158,'MES System'!E:E,'MES System'!N:N)))</f>
        <v>#N/A</v>
      </c>
      <c r="F158" s="80" t="e" cm="1">
        <f t="array" ref="F158">IF(IF(B158="","",_xlfn.XLOOKUP(B158,'MES System'!E:E,'MES System'!O:O))=0,"",IF(B158="","",_xlfn.XLOOKUP(B158,'MES System'!E:E,'MES System'!O:O)))</f>
        <v>#N/A</v>
      </c>
      <c r="G158" s="92" t="e" cm="1">
        <f t="array" ref="G158">IF(IF(B158="","",_xlfn.XLOOKUP(B158,'MES System'!E:E,'MES System'!#REF!))=0,"",IF(B158="","",_xlfn.XLOOKUP(B158,'MES System'!E:E,'MES System'!#REF!)))</f>
        <v>#REF!</v>
      </c>
      <c r="H158" s="92" t="e" cm="1">
        <f t="array" ref="H158">IF(IF(B158="","",_xlfn.XLOOKUP(B158,'MES System'!E:E,'MES System'!#REF!))=0,"",IF(B158="","",_xlfn.XLOOKUP(B158,'MES System'!E:E,'MES System'!#REF!)))</f>
        <v>#REF!</v>
      </c>
      <c r="I158" s="92"/>
      <c r="J158" s="80"/>
      <c r="K158" s="80" t="s">
        <v>1932</v>
      </c>
      <c r="L158" s="105"/>
    </row>
    <row r="159" spans="1:12" ht="13">
      <c r="A159" s="1">
        <v>147</v>
      </c>
      <c r="B159" s="70">
        <v>286018</v>
      </c>
      <c r="C159" s="80" t="e" cm="1">
        <f t="array" ref="C159">IF(B159="","",_xlfn.XLOOKUP(B159,'MES System'!E:E,'MES System'!B:B))</f>
        <v>#N/A</v>
      </c>
      <c r="D159" s="80" t="e" cm="1">
        <f t="array" ref="D159">IF(IF(B159="","",_xlfn.XLOOKUP(B159,'MES System'!E:E,'MES System'!F:F))=0,"",IF(B159="","",_xlfn.XLOOKUP(B159,'MES System'!E:E,'MES System'!F:F)))</f>
        <v>#N/A</v>
      </c>
      <c r="E159" s="80" t="e" cm="1">
        <f t="array" ref="E159">IF(IF(B159="","",_xlfn.XLOOKUP(B159,'MES System'!E:E,'MES System'!N:N))=0,"",IF(B159="","",_xlfn.XLOOKUP(B159,'MES System'!E:E,'MES System'!N:N)))</f>
        <v>#N/A</v>
      </c>
      <c r="F159" s="80" t="e" cm="1">
        <f t="array" ref="F159">IF(IF(B159="","",_xlfn.XLOOKUP(B159,'MES System'!E:E,'MES System'!O:O))=0,"",IF(B159="","",_xlfn.XLOOKUP(B159,'MES System'!E:E,'MES System'!O:O)))</f>
        <v>#N/A</v>
      </c>
      <c r="G159" s="92" t="e" cm="1">
        <f t="array" ref="G159">IF(IF(B159="","",_xlfn.XLOOKUP(B159,'MES System'!E:E,'MES System'!#REF!))=0,"",IF(B159="","",_xlfn.XLOOKUP(B159,'MES System'!E:E,'MES System'!#REF!)))</f>
        <v>#REF!</v>
      </c>
      <c r="H159" s="92" t="e" cm="1">
        <f t="array" ref="H159">IF(IF(B159="","",_xlfn.XLOOKUP(B159,'MES System'!E:E,'MES System'!#REF!))=0,"",IF(B159="","",_xlfn.XLOOKUP(B159,'MES System'!E:E,'MES System'!#REF!)))</f>
        <v>#REF!</v>
      </c>
      <c r="I159" s="107" t="s">
        <v>1957</v>
      </c>
      <c r="J159" s="80"/>
      <c r="K159" s="80" t="s">
        <v>1907</v>
      </c>
      <c r="L159" s="105"/>
    </row>
    <row r="160" spans="1:12" ht="13">
      <c r="A160" s="1">
        <v>141</v>
      </c>
      <c r="B160" s="70">
        <v>286003</v>
      </c>
      <c r="C160" s="80" t="str" cm="1">
        <f t="array" ref="C160">IF(B160="","",_xlfn.XLOOKUP(B160,'MES System'!E:E,'MES System'!B:B))</f>
        <v xml:space="preserve">        └ (선택)생산지시등록</v>
      </c>
      <c r="D160" s="80" t="str" cm="1">
        <f t="array" ref="D160">IF(IF(B160="","",_xlfn.XLOOKUP(B160,'MES System'!E:E,'MES System'!F:F))=0,"",IF(B160="","",_xlfn.XLOOKUP(B160,'MES System'!E:E,'MES System'!F:F)))</f>
        <v>생산지시등록</v>
      </c>
      <c r="E160" s="80" t="str" cm="1">
        <f t="array" ref="E160">IF(IF(B160="","",_xlfn.XLOOKUP(B160,'MES System'!E:E,'MES System'!N:N))=0,"",IF(B160="","",_xlfn.XLOOKUP(B160,'MES System'!E:E,'MES System'!N:N)))</f>
        <v>custom.iypkg.prod</v>
      </c>
      <c r="F160" s="80" t="str" cm="1">
        <f t="array" ref="F160">IF(IF(B160="","",_xlfn.XLOOKUP(B160,'MES System'!E:E,'MES System'!O:O))=0,"",IF(B160="","",_xlfn.XLOOKUP(B160,'MES System'!E:E,'MES System'!O:O)))</f>
        <v>ProdOrdr</v>
      </c>
      <c r="G160" s="92" t="e" cm="1">
        <f t="array" ref="G160">IF(IF(B160="","",_xlfn.XLOOKUP(B160,'MES System'!E:E,'MES System'!#REF!))=0,"",IF(B160="","",_xlfn.XLOOKUP(B160,'MES System'!E:E,'MES System'!#REF!)))</f>
        <v>#REF!</v>
      </c>
      <c r="H160" s="92" t="e" cm="1">
        <f t="array" ref="H160">IF(IF(B160="","",_xlfn.XLOOKUP(B160,'MES System'!E:E,'MES System'!#REF!))=0,"",IF(B160="","",_xlfn.XLOOKUP(B160,'MES System'!E:E,'MES System'!#REF!)))</f>
        <v>#REF!</v>
      </c>
      <c r="I160" s="92"/>
      <c r="J160" s="80"/>
      <c r="K160" s="80"/>
      <c r="L160" s="105"/>
    </row>
    <row r="161" spans="1:12" ht="13">
      <c r="A161" s="1">
        <v>141</v>
      </c>
      <c r="B161" s="70">
        <v>286017</v>
      </c>
      <c r="C161" s="80" t="e" cm="1">
        <f t="array" ref="C161">IF(B161="","",_xlfn.XLOOKUP(B161,'MES System'!E:E,'MES System'!B:B))</f>
        <v>#N/A</v>
      </c>
      <c r="D161" s="80" t="e" cm="1">
        <f t="array" ref="D161">IF(IF(B161="","",_xlfn.XLOOKUP(B161,'MES System'!E:E,'MES System'!F:F))=0,"",IF(B161="","",_xlfn.XLOOKUP(B161,'MES System'!E:E,'MES System'!F:F)))</f>
        <v>#N/A</v>
      </c>
      <c r="E161" s="80" t="e" cm="1">
        <f t="array" ref="E161">IF(IF(B161="","",_xlfn.XLOOKUP(B161,'MES System'!E:E,'MES System'!N:N))=0,"",IF(B161="","",_xlfn.XLOOKUP(B161,'MES System'!E:E,'MES System'!N:N)))</f>
        <v>#N/A</v>
      </c>
      <c r="F161" s="80" t="e" cm="1">
        <f t="array" ref="F161">IF(IF(B161="","",_xlfn.XLOOKUP(B161,'MES System'!E:E,'MES System'!O:O))=0,"",IF(B161="","",_xlfn.XLOOKUP(B161,'MES System'!E:E,'MES System'!O:O)))</f>
        <v>#N/A</v>
      </c>
      <c r="G161" s="92" t="e" cm="1">
        <f t="array" ref="G161">IF(IF(B161="","",_xlfn.XLOOKUP(B161,'MES System'!E:E,'MES System'!#REF!))=0,"",IF(B161="","",_xlfn.XLOOKUP(B161,'MES System'!E:E,'MES System'!#REF!)))</f>
        <v>#REF!</v>
      </c>
      <c r="H161" s="92" t="e" cm="1">
        <f t="array" ref="H161">IF(IF(B161="","",_xlfn.XLOOKUP(B161,'MES System'!E:E,'MES System'!#REF!))=0,"",IF(B161="","",_xlfn.XLOOKUP(B161,'MES System'!E:E,'MES System'!#REF!)))</f>
        <v>#REF!</v>
      </c>
      <c r="I161" s="92"/>
      <c r="J161" s="80"/>
      <c r="K161" s="80"/>
      <c r="L161" s="105"/>
    </row>
    <row r="162" spans="1:12" ht="13">
      <c r="A162" s="1">
        <v>142</v>
      </c>
      <c r="B162" s="70">
        <v>286004</v>
      </c>
      <c r="C162" s="80" t="str" cm="1">
        <f t="array" ref="C162">IF(B162="","",_xlfn.XLOOKUP(B162,'MES System'!E:E,'MES System'!B:B))</f>
        <v xml:space="preserve">        └ (공통)생산지시현황</v>
      </c>
      <c r="D162" s="80" t="str" cm="1">
        <f t="array" ref="D162">IF(IF(B162="","",_xlfn.XLOOKUP(B162,'MES System'!E:E,'MES System'!F:F))=0,"",IF(B162="","",_xlfn.XLOOKUP(B162,'MES System'!E:E,'MES System'!F:F)))</f>
        <v>생산지시현황</v>
      </c>
      <c r="E162" s="80" t="str" cm="1">
        <f t="array" ref="E162">IF(IF(B162="","",_xlfn.XLOOKUP(B162,'MES System'!E:E,'MES System'!N:N))=0,"",IF(B162="","",_xlfn.XLOOKUP(B162,'MES System'!E:E,'MES System'!N:N)))</f>
        <v>prod.order</v>
      </c>
      <c r="F162" s="80" t="str" cm="1">
        <f t="array" ref="F162">IF(IF(B162="","",_xlfn.XLOOKUP(B162,'MES System'!E:E,'MES System'!O:O))=0,"",IF(B162="","",_xlfn.XLOOKUP(B162,'MES System'!E:E,'MES System'!O:O)))</f>
        <v>ProdOrderList</v>
      </c>
      <c r="G162" s="92" t="e" cm="1">
        <f t="array" ref="G162">IF(IF(B162="","",_xlfn.XLOOKUP(B162,'MES System'!E:E,'MES System'!#REF!))=0,"",IF(B162="","",_xlfn.XLOOKUP(B162,'MES System'!E:E,'MES System'!#REF!)))</f>
        <v>#REF!</v>
      </c>
      <c r="H162" s="92" t="e" cm="1">
        <f t="array" ref="H162">IF(IF(B162="","",_xlfn.XLOOKUP(B162,'MES System'!E:E,'MES System'!#REF!))=0,"",IF(B162="","",_xlfn.XLOOKUP(B162,'MES System'!E:E,'MES System'!#REF!)))</f>
        <v>#REF!</v>
      </c>
      <c r="I162" s="92"/>
      <c r="J162" s="80"/>
      <c r="K162" s="80"/>
      <c r="L162" s="105"/>
    </row>
    <row r="163" spans="1:12" ht="13">
      <c r="A163" s="1">
        <v>142</v>
      </c>
      <c r="B163" s="70">
        <v>286016</v>
      </c>
      <c r="C163" s="80" t="e" cm="1">
        <f t="array" ref="C163">IF(B163="","",_xlfn.XLOOKUP(B163,'MES System'!E:E,'MES System'!B:B))</f>
        <v>#N/A</v>
      </c>
      <c r="D163" s="80" t="e" cm="1">
        <f t="array" ref="D163">IF(IF(B163="","",_xlfn.XLOOKUP(B163,'MES System'!E:E,'MES System'!F:F))=0,"",IF(B163="","",_xlfn.XLOOKUP(B163,'MES System'!E:E,'MES System'!F:F)))</f>
        <v>#N/A</v>
      </c>
      <c r="E163" s="80" t="e" cm="1">
        <f t="array" ref="E163">IF(IF(B163="","",_xlfn.XLOOKUP(B163,'MES System'!E:E,'MES System'!N:N))=0,"",IF(B163="","",_xlfn.XLOOKUP(B163,'MES System'!E:E,'MES System'!N:N)))</f>
        <v>#N/A</v>
      </c>
      <c r="F163" s="80" t="e" cm="1">
        <f t="array" ref="F163">IF(IF(B163="","",_xlfn.XLOOKUP(B163,'MES System'!E:E,'MES System'!O:O))=0,"",IF(B163="","",_xlfn.XLOOKUP(B163,'MES System'!E:E,'MES System'!O:O)))</f>
        <v>#N/A</v>
      </c>
      <c r="G163" s="92" t="e" cm="1">
        <f t="array" ref="G163">IF(IF(B163="","",_xlfn.XLOOKUP(B163,'MES System'!E:E,'MES System'!#REF!))=0,"",IF(B163="","",_xlfn.XLOOKUP(B163,'MES System'!E:E,'MES System'!#REF!)))</f>
        <v>#REF!</v>
      </c>
      <c r="H163" s="92" t="e" cm="1">
        <f t="array" ref="H163">IF(IF(B163="","",_xlfn.XLOOKUP(B163,'MES System'!E:E,'MES System'!#REF!))=0,"",IF(B163="","",_xlfn.XLOOKUP(B163,'MES System'!E:E,'MES System'!#REF!)))</f>
        <v>#REF!</v>
      </c>
      <c r="I163" s="92"/>
      <c r="J163" s="80"/>
      <c r="K163" s="80"/>
      <c r="L163" s="105"/>
    </row>
    <row r="164" spans="1:12" ht="13">
      <c r="A164" s="1">
        <v>143</v>
      </c>
      <c r="B164" s="70">
        <v>286019</v>
      </c>
      <c r="C164" s="80" t="e" cm="1">
        <f t="array" ref="C164">IF(B164="","",_xlfn.XLOOKUP(B164,'MES System'!E:E,'MES System'!B:B))</f>
        <v>#N/A</v>
      </c>
      <c r="D164" s="80" t="e" cm="1">
        <f t="array" ref="D164">IF(IF(B164="","",_xlfn.XLOOKUP(B164,'MES System'!E:E,'MES System'!F:F))=0,"",IF(B164="","",_xlfn.XLOOKUP(B164,'MES System'!E:E,'MES System'!F:F)))</f>
        <v>#N/A</v>
      </c>
      <c r="E164" s="80" t="e" cm="1">
        <f t="array" ref="E164">IF(IF(B164="","",_xlfn.XLOOKUP(B164,'MES System'!E:E,'MES System'!N:N))=0,"",IF(B164="","",_xlfn.XLOOKUP(B164,'MES System'!E:E,'MES System'!N:N)))</f>
        <v>#N/A</v>
      </c>
      <c r="F164" s="80" t="e" cm="1">
        <f t="array" ref="F164">IF(IF(B164="","",_xlfn.XLOOKUP(B164,'MES System'!E:E,'MES System'!O:O))=0,"",IF(B164="","",_xlfn.XLOOKUP(B164,'MES System'!E:E,'MES System'!O:O)))</f>
        <v>#N/A</v>
      </c>
      <c r="G164" s="92" t="e" cm="1">
        <f t="array" ref="G164">IF(IF(B164="","",_xlfn.XLOOKUP(B164,'MES System'!E:E,'MES System'!#REF!))=0,"",IF(B164="","",_xlfn.XLOOKUP(B164,'MES System'!E:E,'MES System'!#REF!)))</f>
        <v>#REF!</v>
      </c>
      <c r="H164" s="92" t="e" cm="1">
        <f t="array" ref="H164">IF(IF(B164="","",_xlfn.XLOOKUP(B164,'MES System'!E:E,'MES System'!#REF!))=0,"",IF(B164="","",_xlfn.XLOOKUP(B164,'MES System'!E:E,'MES System'!#REF!)))</f>
        <v>#REF!</v>
      </c>
      <c r="I164" s="92"/>
      <c r="J164" s="80"/>
      <c r="K164" s="80" t="s">
        <v>2062</v>
      </c>
      <c r="L164" s="105"/>
    </row>
    <row r="165" spans="1:12" ht="13">
      <c r="A165" s="1">
        <v>143</v>
      </c>
      <c r="B165" s="70">
        <v>286005</v>
      </c>
      <c r="C165" s="80" t="str" cm="1">
        <f t="array" ref="C165">IF(B165="","",_xlfn.XLOOKUP(B165,'MES System'!E:E,'MES System'!B:B))</f>
        <v xml:space="preserve">        └ (선택)외주작업지시</v>
      </c>
      <c r="D165" s="80" t="str" cm="1">
        <f t="array" ref="D165">IF(IF(B165="","",_xlfn.XLOOKUP(B165,'MES System'!E:E,'MES System'!F:F))=0,"",IF(B165="","",_xlfn.XLOOKUP(B165,'MES System'!E:E,'MES System'!F:F)))</f>
        <v>외주작업지시</v>
      </c>
      <c r="E165" s="80" t="str" cm="1">
        <f t="array" ref="E165">IF(IF(B165="","",_xlfn.XLOOKUP(B165,'MES System'!E:E,'MES System'!N:N))=0,"",IF(B165="","",_xlfn.XLOOKUP(B165,'MES System'!E:E,'MES System'!N:N)))</f>
        <v>prod.project</v>
      </c>
      <c r="F165" s="80" t="str" cm="1">
        <f t="array" ref="F165">IF(IF(B165="","",_xlfn.XLOOKUP(B165,'MES System'!E:E,'MES System'!O:O))=0,"",IF(B165="","",_xlfn.XLOOKUP(B165,'MES System'!E:E,'MES System'!O:O)))</f>
        <v>PrjtOtodWork</v>
      </c>
      <c r="G165" s="92" t="e" cm="1">
        <f t="array" ref="G165">IF(IF(B165="","",_xlfn.XLOOKUP(B165,'MES System'!E:E,'MES System'!#REF!))=0,"",IF(B165="","",_xlfn.XLOOKUP(B165,'MES System'!E:E,'MES System'!#REF!)))</f>
        <v>#REF!</v>
      </c>
      <c r="H165" s="92" t="e" cm="1">
        <f t="array" ref="H165">IF(IF(B165="","",_xlfn.XLOOKUP(B165,'MES System'!E:E,'MES System'!#REF!))=0,"",IF(B165="","",_xlfn.XLOOKUP(B165,'MES System'!E:E,'MES System'!#REF!)))</f>
        <v>#REF!</v>
      </c>
      <c r="I165" s="92"/>
      <c r="J165" s="80"/>
      <c r="K165" s="80"/>
      <c r="L165" s="105"/>
    </row>
    <row r="166" spans="1:12" ht="13">
      <c r="A166" s="1">
        <v>144</v>
      </c>
      <c r="B166" s="70">
        <v>286006</v>
      </c>
      <c r="C166" s="80" t="str" cm="1">
        <f t="array" ref="C166">IF(B166="","",_xlfn.XLOOKUP(B166,'MES System'!E:E,'MES System'!B:B))</f>
        <v xml:space="preserve">        └ (공통)외주작업지시</v>
      </c>
      <c r="D166" s="80" t="str" cm="1">
        <f t="array" ref="D166">IF(IF(B166="","",_xlfn.XLOOKUP(B166,'MES System'!E:E,'MES System'!F:F))=0,"",IF(B166="","",_xlfn.XLOOKUP(B166,'MES System'!E:E,'MES System'!F:F)))</f>
        <v>외주작업지시</v>
      </c>
      <c r="E166" s="80" t="str" cm="1">
        <f t="array" ref="E166">IF(IF(B166="","",_xlfn.XLOOKUP(B166,'MES System'!E:E,'MES System'!N:N))=0,"",IF(B166="","",_xlfn.XLOOKUP(B166,'MES System'!E:E,'MES System'!N:N)))</f>
        <v>custom.iypkg.prod</v>
      </c>
      <c r="F166" s="80" t="str" cm="1">
        <f t="array" ref="F166">IF(IF(B166="","",_xlfn.XLOOKUP(B166,'MES System'!E:E,'MES System'!O:O))=0,"",IF(B166="","",_xlfn.XLOOKUP(B166,'MES System'!E:E,'MES System'!O:O)))</f>
        <v>ProdOrdr2</v>
      </c>
      <c r="G166" s="92" t="e" cm="1">
        <f t="array" ref="G166">IF(IF(B166="","",_xlfn.XLOOKUP(B166,'MES System'!E:E,'MES System'!#REF!))=0,"",IF(B166="","",_xlfn.XLOOKUP(B166,'MES System'!E:E,'MES System'!#REF!)))</f>
        <v>#REF!</v>
      </c>
      <c r="H166" s="92" t="e" cm="1">
        <f t="array" ref="H166">IF(IF(B166="","",_xlfn.XLOOKUP(B166,'MES System'!E:E,'MES System'!#REF!))=0,"",IF(B166="","",_xlfn.XLOOKUP(B166,'MES System'!E:E,'MES System'!#REF!)))</f>
        <v>#REF!</v>
      </c>
      <c r="I166" s="92"/>
      <c r="J166" s="80"/>
      <c r="K166" s="80"/>
      <c r="L166" s="105"/>
    </row>
    <row r="167" spans="1:12" ht="13">
      <c r="A167" s="1">
        <v>145</v>
      </c>
      <c r="B167" s="70">
        <v>286007</v>
      </c>
      <c r="C167" s="80" t="str" cm="1">
        <f t="array" ref="C167">IF(B167="","",_xlfn.XLOOKUP(B167,'MES System'!E:E,'MES System'!B:B))</f>
        <v xml:space="preserve">        └ (선택)작업지시현황</v>
      </c>
      <c r="D167" s="80" t="str" cm="1">
        <f t="array" ref="D167">IF(IF(B167="","",_xlfn.XLOOKUP(B167,'MES System'!E:E,'MES System'!F:F))=0,"",IF(B167="","",_xlfn.XLOOKUP(B167,'MES System'!E:E,'MES System'!F:F)))</f>
        <v>작업지시현황</v>
      </c>
      <c r="E167" s="80" t="str" cm="1">
        <f t="array" ref="E167">IF(IF(B167="","",_xlfn.XLOOKUP(B167,'MES System'!E:E,'MES System'!N:N))=0,"",IF(B167="","",_xlfn.XLOOKUP(B167,'MES System'!E:E,'MES System'!N:N)))</f>
        <v>custom.inkopack.prod</v>
      </c>
      <c r="F167" s="80" t="str" cm="1">
        <f t="array" ref="F167">IF(IF(B167="","",_xlfn.XLOOKUP(B167,'MES System'!E:E,'MES System'!O:O))=0,"",IF(B167="","",_xlfn.XLOOKUP(B167,'MES System'!E:E,'MES System'!O:O)))</f>
        <v>PdodList</v>
      </c>
      <c r="G167" s="92" t="e" cm="1">
        <f t="array" ref="G167">IF(IF(B167="","",_xlfn.XLOOKUP(B167,'MES System'!E:E,'MES System'!#REF!))=0,"",IF(B167="","",_xlfn.XLOOKUP(B167,'MES System'!E:E,'MES System'!#REF!)))</f>
        <v>#REF!</v>
      </c>
      <c r="H167" s="92" t="e" cm="1">
        <f t="array" ref="H167">IF(IF(B167="","",_xlfn.XLOOKUP(B167,'MES System'!E:E,'MES System'!#REF!))=0,"",IF(B167="","",_xlfn.XLOOKUP(B167,'MES System'!E:E,'MES System'!#REF!)))</f>
        <v>#REF!</v>
      </c>
      <c r="I167" s="92"/>
      <c r="J167" s="80"/>
      <c r="K167" s="80"/>
      <c r="L167" s="105"/>
    </row>
    <row r="168" spans="1:12" ht="13">
      <c r="A168" s="1">
        <v>146</v>
      </c>
      <c r="B168" s="70">
        <v>286008</v>
      </c>
      <c r="C168" s="80" t="e" cm="1">
        <f t="array" ref="C168">IF(B168="","",_xlfn.XLOOKUP(B168,'MES System'!E:E,'MES System'!B:B))</f>
        <v>#N/A</v>
      </c>
      <c r="D168" s="80" t="e" cm="1">
        <f t="array" ref="D168">IF(IF(B168="","",_xlfn.XLOOKUP(B168,'MES System'!E:E,'MES System'!F:F))=0,"",IF(B168="","",_xlfn.XLOOKUP(B168,'MES System'!E:E,'MES System'!F:F)))</f>
        <v>#N/A</v>
      </c>
      <c r="E168" s="80" t="e" cm="1">
        <f t="array" ref="E168">IF(IF(B168="","",_xlfn.XLOOKUP(B168,'MES System'!E:E,'MES System'!N:N))=0,"",IF(B168="","",_xlfn.XLOOKUP(B168,'MES System'!E:E,'MES System'!N:N)))</f>
        <v>#N/A</v>
      </c>
      <c r="F168" s="80" t="e" cm="1">
        <f t="array" ref="F168">IF(IF(B168="","",_xlfn.XLOOKUP(B168,'MES System'!E:E,'MES System'!O:O))=0,"",IF(B168="","",_xlfn.XLOOKUP(B168,'MES System'!E:E,'MES System'!O:O)))</f>
        <v>#N/A</v>
      </c>
      <c r="G168" s="92" t="e" cm="1">
        <f t="array" ref="G168">IF(IF(B168="","",_xlfn.XLOOKUP(B168,'MES System'!E:E,'MES System'!#REF!))=0,"",IF(B168="","",_xlfn.XLOOKUP(B168,'MES System'!E:E,'MES System'!#REF!)))</f>
        <v>#REF!</v>
      </c>
      <c r="H168" s="92" t="e" cm="1">
        <f t="array" ref="H168">IF(IF(B168="","",_xlfn.XLOOKUP(B168,'MES System'!E:E,'MES System'!#REF!))=0,"",IF(B168="","",_xlfn.XLOOKUP(B168,'MES System'!E:E,'MES System'!#REF!)))</f>
        <v>#REF!</v>
      </c>
      <c r="I168" s="92"/>
      <c r="J168" s="80"/>
      <c r="K168" s="80"/>
      <c r="L168" s="105"/>
    </row>
    <row r="169" spans="1:12" ht="13">
      <c r="A169" s="1">
        <v>147</v>
      </c>
      <c r="B169" s="70">
        <v>286009</v>
      </c>
      <c r="C169" s="80" t="e" cm="1">
        <f t="array" ref="C169">IF(B169="","",_xlfn.XLOOKUP(B169,'MES System'!E:E,'MES System'!B:B))</f>
        <v>#N/A</v>
      </c>
      <c r="D169" s="80" t="e" cm="1">
        <f t="array" ref="D169">IF(IF(B169="","",_xlfn.XLOOKUP(B169,'MES System'!E:E,'MES System'!F:F))=0,"",IF(B169="","",_xlfn.XLOOKUP(B169,'MES System'!E:E,'MES System'!F:F)))</f>
        <v>#N/A</v>
      </c>
      <c r="E169" s="80" t="e" cm="1">
        <f t="array" ref="E169">IF(IF(B169="","",_xlfn.XLOOKUP(B169,'MES System'!E:E,'MES System'!N:N))=0,"",IF(B169="","",_xlfn.XLOOKUP(B169,'MES System'!E:E,'MES System'!N:N)))</f>
        <v>#N/A</v>
      </c>
      <c r="F169" s="80" t="e" cm="1">
        <f t="array" ref="F169">IF(IF(B169="","",_xlfn.XLOOKUP(B169,'MES System'!E:E,'MES System'!O:O))=0,"",IF(B169="","",_xlfn.XLOOKUP(B169,'MES System'!E:E,'MES System'!O:O)))</f>
        <v>#N/A</v>
      </c>
      <c r="G169" s="92" t="e" cm="1">
        <f t="array" ref="G169">IF(IF(B169="","",_xlfn.XLOOKUP(B169,'MES System'!E:E,'MES System'!#REF!))=0,"",IF(B169="","",_xlfn.XLOOKUP(B169,'MES System'!E:E,'MES System'!#REF!)))</f>
        <v>#REF!</v>
      </c>
      <c r="H169" s="92" t="e" cm="1">
        <f t="array" ref="H169">IF(IF(B169="","",_xlfn.XLOOKUP(B169,'MES System'!E:E,'MES System'!#REF!))=0,"",IF(B169="","",_xlfn.XLOOKUP(B169,'MES System'!E:E,'MES System'!#REF!)))</f>
        <v>#REF!</v>
      </c>
      <c r="I169" s="92"/>
      <c r="J169" s="80"/>
      <c r="K169" s="80"/>
      <c r="L169" s="105"/>
    </row>
    <row r="170" spans="1:12" ht="13">
      <c r="A170" s="1">
        <v>147</v>
      </c>
      <c r="B170" s="70">
        <v>286010</v>
      </c>
      <c r="C170" s="80" t="e" cm="1">
        <f t="array" ref="C170">IF(B170="","",_xlfn.XLOOKUP(B170,'MES System'!E:E,'MES System'!B:B))</f>
        <v>#N/A</v>
      </c>
      <c r="D170" s="80" t="e" cm="1">
        <f t="array" ref="D170">IF(IF(B170="","",_xlfn.XLOOKUP(B170,'MES System'!E:E,'MES System'!F:F))=0,"",IF(B170="","",_xlfn.XLOOKUP(B170,'MES System'!E:E,'MES System'!F:F)))</f>
        <v>#N/A</v>
      </c>
      <c r="E170" s="80" t="e" cm="1">
        <f t="array" ref="E170">IF(IF(B170="","",_xlfn.XLOOKUP(B170,'MES System'!E:E,'MES System'!N:N))=0,"",IF(B170="","",_xlfn.XLOOKUP(B170,'MES System'!E:E,'MES System'!N:N)))</f>
        <v>#N/A</v>
      </c>
      <c r="F170" s="80" t="e" cm="1">
        <f t="array" ref="F170">IF(IF(B170="","",_xlfn.XLOOKUP(B170,'MES System'!E:E,'MES System'!O:O))=0,"",IF(B170="","",_xlfn.XLOOKUP(B170,'MES System'!E:E,'MES System'!O:O)))</f>
        <v>#N/A</v>
      </c>
      <c r="G170" s="92" t="e" cm="1">
        <f t="array" ref="G170">IF(IF(B170="","",_xlfn.XLOOKUP(B170,'MES System'!E:E,'MES System'!#REF!))=0,"",IF(B170="","",_xlfn.XLOOKUP(B170,'MES System'!E:E,'MES System'!#REF!)))</f>
        <v>#REF!</v>
      </c>
      <c r="H170" s="92" t="e" cm="1">
        <f t="array" ref="H170">IF(IF(B170="","",_xlfn.XLOOKUP(B170,'MES System'!E:E,'MES System'!#REF!))=0,"",IF(B170="","",_xlfn.XLOOKUP(B170,'MES System'!E:E,'MES System'!#REF!)))</f>
        <v>#REF!</v>
      </c>
      <c r="I170" s="92"/>
      <c r="J170" s="80"/>
      <c r="K170" s="80"/>
      <c r="L170" s="105"/>
    </row>
    <row r="171" spans="1:12" ht="26">
      <c r="A171" s="1">
        <v>147</v>
      </c>
      <c r="B171" s="70">
        <v>286012</v>
      </c>
      <c r="C171" s="80" t="e" cm="1">
        <f t="array" ref="C171">IF(B171="","",_xlfn.XLOOKUP(B171,'MES System'!E:E,'MES System'!B:B))</f>
        <v>#N/A</v>
      </c>
      <c r="D171" s="80" t="e" cm="1">
        <f t="array" ref="D171">IF(IF(B171="","",_xlfn.XLOOKUP(B171,'MES System'!E:E,'MES System'!F:F))=0,"",IF(B171="","",_xlfn.XLOOKUP(B171,'MES System'!E:E,'MES System'!F:F)))</f>
        <v>#N/A</v>
      </c>
      <c r="E171" s="80" t="e" cm="1">
        <f t="array" ref="E171">IF(IF(B171="","",_xlfn.XLOOKUP(B171,'MES System'!E:E,'MES System'!N:N))=0,"",IF(B171="","",_xlfn.XLOOKUP(B171,'MES System'!E:E,'MES System'!N:N)))</f>
        <v>#N/A</v>
      </c>
      <c r="F171" s="80" t="e" cm="1">
        <f t="array" ref="F171">IF(IF(B171="","",_xlfn.XLOOKUP(B171,'MES System'!E:E,'MES System'!O:O))=0,"",IF(B171="","",_xlfn.XLOOKUP(B171,'MES System'!E:E,'MES System'!O:O)))</f>
        <v>#N/A</v>
      </c>
      <c r="G171" s="92" t="e" cm="1">
        <f t="array" ref="G171">IF(IF(B171="","",_xlfn.XLOOKUP(B171,'MES System'!E:E,'MES System'!#REF!))=0,"",IF(B171="","",_xlfn.XLOOKUP(B171,'MES System'!E:E,'MES System'!#REF!)))</f>
        <v>#REF!</v>
      </c>
      <c r="H171" s="92" t="e" cm="1">
        <f t="array" ref="H171">IF(IF(B171="","",_xlfn.XLOOKUP(B171,'MES System'!E:E,'MES System'!#REF!))=0,"",IF(B171="","",_xlfn.XLOOKUP(B171,'MES System'!E:E,'MES System'!#REF!)))</f>
        <v>#REF!</v>
      </c>
      <c r="I171" s="116"/>
      <c r="J171" s="80" t="s">
        <v>1950</v>
      </c>
      <c r="K171" s="96" t="s">
        <v>2033</v>
      </c>
      <c r="L171" s="105"/>
    </row>
    <row r="172" spans="1:12" ht="13">
      <c r="A172" s="1">
        <v>147</v>
      </c>
      <c r="B172" s="70">
        <v>286013</v>
      </c>
      <c r="C172" s="80" t="e" cm="1">
        <f t="array" ref="C172">IF(B172="","",_xlfn.XLOOKUP(B172,'MES System'!E:E,'MES System'!B:B))</f>
        <v>#N/A</v>
      </c>
      <c r="D172" s="80" t="e" cm="1">
        <f t="array" ref="D172">IF(IF(B172="","",_xlfn.XLOOKUP(B172,'MES System'!E:E,'MES System'!F:F))=0,"",IF(B172="","",_xlfn.XLOOKUP(B172,'MES System'!E:E,'MES System'!F:F)))</f>
        <v>#N/A</v>
      </c>
      <c r="E172" s="80" t="e" cm="1">
        <f t="array" ref="E172">IF(IF(B172="","",_xlfn.XLOOKUP(B172,'MES System'!E:E,'MES System'!N:N))=0,"",IF(B172="","",_xlfn.XLOOKUP(B172,'MES System'!E:E,'MES System'!N:N)))</f>
        <v>#N/A</v>
      </c>
      <c r="F172" s="80" t="e" cm="1">
        <f t="array" ref="F172">IF(IF(B172="","",_xlfn.XLOOKUP(B172,'MES System'!E:E,'MES System'!O:O))=0,"",IF(B172="","",_xlfn.XLOOKUP(B172,'MES System'!E:E,'MES System'!O:O)))</f>
        <v>#N/A</v>
      </c>
      <c r="G172" s="92" t="e" cm="1">
        <f t="array" ref="G172">IF(IF(B172="","",_xlfn.XLOOKUP(B172,'MES System'!E:E,'MES System'!#REF!))=0,"",IF(B172="","",_xlfn.XLOOKUP(B172,'MES System'!E:E,'MES System'!#REF!)))</f>
        <v>#REF!</v>
      </c>
      <c r="H172" s="92" t="e" cm="1">
        <f t="array" ref="H172">IF(IF(B172="","",_xlfn.XLOOKUP(B172,'MES System'!E:E,'MES System'!#REF!))=0,"",IF(B172="","",_xlfn.XLOOKUP(B172,'MES System'!E:E,'MES System'!#REF!)))</f>
        <v>#REF!</v>
      </c>
      <c r="I172" s="107" t="s">
        <v>1957</v>
      </c>
      <c r="J172" s="80"/>
      <c r="K172" s="80" t="s">
        <v>1928</v>
      </c>
      <c r="L172" s="105"/>
    </row>
    <row r="173" spans="1:12" ht="13">
      <c r="A173" s="1">
        <v>147</v>
      </c>
      <c r="B173" s="70">
        <v>286014</v>
      </c>
      <c r="C173" s="80" t="e" cm="1">
        <f t="array" ref="C173">IF(B173="","",_xlfn.XLOOKUP(B173,'MES System'!E:E,'MES System'!B:B))</f>
        <v>#N/A</v>
      </c>
      <c r="D173" s="80" t="e" cm="1">
        <f t="array" ref="D173">IF(IF(B173="","",_xlfn.XLOOKUP(B173,'MES System'!E:E,'MES System'!F:F))=0,"",IF(B173="","",_xlfn.XLOOKUP(B173,'MES System'!E:E,'MES System'!F:F)))</f>
        <v>#N/A</v>
      </c>
      <c r="E173" s="80" t="e" cm="1">
        <f t="array" ref="E173">IF(IF(B173="","",_xlfn.XLOOKUP(B173,'MES System'!E:E,'MES System'!N:N))=0,"",IF(B173="","",_xlfn.XLOOKUP(B173,'MES System'!E:E,'MES System'!N:N)))</f>
        <v>#N/A</v>
      </c>
      <c r="F173" s="80" t="e" cm="1">
        <f t="array" ref="F173">IF(IF(B173="","",_xlfn.XLOOKUP(B173,'MES System'!E:E,'MES System'!O:O))=0,"",IF(B173="","",_xlfn.XLOOKUP(B173,'MES System'!E:E,'MES System'!O:O)))</f>
        <v>#N/A</v>
      </c>
      <c r="G173" s="92" t="e" cm="1">
        <f t="array" ref="G173">IF(IF(B173="","",_xlfn.XLOOKUP(B173,'MES System'!E:E,'MES System'!#REF!))=0,"",IF(B173="","",_xlfn.XLOOKUP(B173,'MES System'!E:E,'MES System'!#REF!)))</f>
        <v>#REF!</v>
      </c>
      <c r="H173" s="92" t="e" cm="1">
        <f t="array" ref="H173">IF(IF(B173="","",_xlfn.XLOOKUP(B173,'MES System'!E:E,'MES System'!#REF!))=0,"",IF(B173="","",_xlfn.XLOOKUP(B173,'MES System'!E:E,'MES System'!#REF!)))</f>
        <v>#REF!</v>
      </c>
      <c r="I173" s="107" t="s">
        <v>1957</v>
      </c>
      <c r="J173" s="80"/>
      <c r="K173" s="80" t="s">
        <v>1883</v>
      </c>
      <c r="L173" s="105"/>
    </row>
    <row r="174" spans="1:12" ht="13">
      <c r="A174" s="1">
        <v>148</v>
      </c>
      <c r="B174" s="70"/>
      <c r="C174" s="80" t="str" cm="1">
        <f t="array" ref="C174">IF(B174="","",_xlfn.XLOOKUP(B174,'MES System'!E:E,'MES System'!B:B))</f>
        <v/>
      </c>
      <c r="D174" s="80" t="str" cm="1">
        <f t="array" ref="D174">IF(IF(B174="","",_xlfn.XLOOKUP(B174,'MES System'!E:E,'MES System'!F:F))=0,"",IF(B174="","",_xlfn.XLOOKUP(B174,'MES System'!E:E,'MES System'!F:F)))</f>
        <v/>
      </c>
      <c r="E174" s="80" t="str" cm="1">
        <f t="array" ref="E174">IF(IF(B174="","",_xlfn.XLOOKUP(B174,'MES System'!E:E,'MES System'!N:N))=0,"",IF(B174="","",_xlfn.XLOOKUP(B174,'MES System'!E:E,'MES System'!N:N)))</f>
        <v/>
      </c>
      <c r="F174" s="80" t="str" cm="1">
        <f t="array" ref="F174">IF(IF(B174="","",_xlfn.XLOOKUP(B174,'MES System'!E:E,'MES System'!O:O))=0,"",IF(B174="","",_xlfn.XLOOKUP(B174,'MES System'!E:E,'MES System'!O:O)))</f>
        <v/>
      </c>
      <c r="G174" s="92" t="str" cm="1">
        <f t="array" ref="G174">IF(IF(B174="","",_xlfn.XLOOKUP(B174,'MES System'!E:E,'MES System'!#REF!))=0,"",IF(B174="","",_xlfn.XLOOKUP(B174,'MES System'!E:E,'MES System'!#REF!)))</f>
        <v/>
      </c>
      <c r="H174" s="92" t="str" cm="1">
        <f t="array" ref="H174">IF(IF(B174="","",_xlfn.XLOOKUP(B174,'MES System'!E:E,'MES System'!#REF!))=0,"",IF(B174="","",_xlfn.XLOOKUP(B174,'MES System'!E:E,'MES System'!#REF!)))</f>
        <v/>
      </c>
      <c r="I174" s="92"/>
      <c r="J174" s="80"/>
      <c r="K174" s="80"/>
      <c r="L174" s="105"/>
    </row>
    <row r="175" spans="1:12" ht="13">
      <c r="A175" s="1">
        <v>149</v>
      </c>
      <c r="B175" s="71" t="s">
        <v>246</v>
      </c>
      <c r="C175" s="78" t="e" cm="1">
        <f t="array" ref="C175">IF(B175="","",_xlfn.XLOOKUP(B175,'MES System'!E:E,'MES System'!B:B))</f>
        <v>#N/A</v>
      </c>
      <c r="D175" s="78" t="e" cm="1">
        <f t="array" ref="D175">IF(IF(B175="","",_xlfn.XLOOKUP(B175,'MES System'!E:E,'MES System'!F:F))=0,"",IF(B175="","",_xlfn.XLOOKUP(B175,'MES System'!E:E,'MES System'!F:F)))</f>
        <v>#N/A</v>
      </c>
      <c r="E175" s="78" t="e" cm="1">
        <f t="array" ref="E175">IF(IF(B175="","",_xlfn.XLOOKUP(B175,'MES System'!E:E,'MES System'!N:N))=0,"",IF(B175="","",_xlfn.XLOOKUP(B175,'MES System'!E:E,'MES System'!N:N)))</f>
        <v>#N/A</v>
      </c>
      <c r="F175" s="78" t="e" cm="1">
        <f t="array" ref="F175">IF(IF(B175="","",_xlfn.XLOOKUP(B175,'MES System'!E:E,'MES System'!O:O))=0,"",IF(B175="","",_xlfn.XLOOKUP(B175,'MES System'!E:E,'MES System'!O:O)))</f>
        <v>#N/A</v>
      </c>
      <c r="G175" s="99" t="e" cm="1">
        <f t="array" ref="G175">IF(IF(B175="","",_xlfn.XLOOKUP(B175,'MES System'!E:E,'MES System'!#REF!))=0,"",IF(B175="","",_xlfn.XLOOKUP(B175,'MES System'!E:E,'MES System'!#REF!)))</f>
        <v>#REF!</v>
      </c>
      <c r="H175" s="99" t="e" cm="1">
        <f t="array" ref="H175">IF(IF(B175="","",_xlfn.XLOOKUP(B175,'MES System'!E:E,'MES System'!#REF!))=0,"",IF(B175="","",_xlfn.XLOOKUP(B175,'MES System'!E:E,'MES System'!#REF!)))</f>
        <v>#REF!</v>
      </c>
      <c r="I175" s="99"/>
      <c r="J175" s="78"/>
      <c r="K175" s="78"/>
      <c r="L175" s="103"/>
    </row>
    <row r="176" spans="1:12" ht="13">
      <c r="A176" s="1">
        <v>150</v>
      </c>
      <c r="B176" s="72" t="s">
        <v>247</v>
      </c>
      <c r="C176" s="79" t="e" cm="1">
        <f t="array" ref="C176">IF(B176="","",_xlfn.XLOOKUP(B176,'MES System'!E:E,'MES System'!B:B))</f>
        <v>#N/A</v>
      </c>
      <c r="D176" s="79" t="e" cm="1">
        <f t="array" ref="D176">IF(IF(B176="","",_xlfn.XLOOKUP(B176,'MES System'!E:E,'MES System'!F:F))=0,"",IF(B176="","",_xlfn.XLOOKUP(B176,'MES System'!E:E,'MES System'!F:F)))</f>
        <v>#N/A</v>
      </c>
      <c r="E176" s="79" t="e" cm="1">
        <f t="array" ref="E176">IF(IF(B176="","",_xlfn.XLOOKUP(B176,'MES System'!E:E,'MES System'!N:N))=0,"",IF(B176="","",_xlfn.XLOOKUP(B176,'MES System'!E:E,'MES System'!N:N)))</f>
        <v>#N/A</v>
      </c>
      <c r="F176" s="79" t="e" cm="1">
        <f t="array" ref="F176">IF(IF(B176="","",_xlfn.XLOOKUP(B176,'MES System'!E:E,'MES System'!O:O))=0,"",IF(B176="","",_xlfn.XLOOKUP(B176,'MES System'!E:E,'MES System'!O:O)))</f>
        <v>#N/A</v>
      </c>
      <c r="G176" s="100" t="e" cm="1">
        <f t="array" ref="G176">IF(IF(B176="","",_xlfn.XLOOKUP(B176,'MES System'!E:E,'MES System'!#REF!))=0,"",IF(B176="","",_xlfn.XLOOKUP(B176,'MES System'!E:E,'MES System'!#REF!)))</f>
        <v>#REF!</v>
      </c>
      <c r="H176" s="100" t="e" cm="1">
        <f t="array" ref="H176">IF(IF(B176="","",_xlfn.XLOOKUP(B176,'MES System'!E:E,'MES System'!#REF!))=0,"",IF(B176="","",_xlfn.XLOOKUP(B176,'MES System'!E:E,'MES System'!#REF!)))</f>
        <v>#REF!</v>
      </c>
      <c r="I176" s="100"/>
      <c r="J176" s="79"/>
      <c r="K176" s="79"/>
      <c r="L176" s="104"/>
    </row>
    <row r="177" spans="1:12" ht="26">
      <c r="A177" s="1">
        <v>151</v>
      </c>
      <c r="B177" s="70">
        <v>291001</v>
      </c>
      <c r="C177" s="80" t="e" cm="1">
        <f t="array" ref="C177">IF(B177="","",_xlfn.XLOOKUP(B177,'MES System'!E:E,'MES System'!B:B))</f>
        <v>#N/A</v>
      </c>
      <c r="D177" s="80" t="e" cm="1">
        <f t="array" ref="D177">IF(IF(B177="","",_xlfn.XLOOKUP(B177,'MES System'!E:E,'MES System'!F:F))=0,"",IF(B177="","",_xlfn.XLOOKUP(B177,'MES System'!E:E,'MES System'!F:F)))</f>
        <v>#N/A</v>
      </c>
      <c r="E177" s="80" t="e" cm="1">
        <f t="array" ref="E177">IF(IF(B177="","",_xlfn.XLOOKUP(B177,'MES System'!E:E,'MES System'!N:N))=0,"",IF(B177="","",_xlfn.XLOOKUP(B177,'MES System'!E:E,'MES System'!N:N)))</f>
        <v>#N/A</v>
      </c>
      <c r="F177" s="80" t="e" cm="1">
        <f t="array" ref="F177">IF(IF(B177="","",_xlfn.XLOOKUP(B177,'MES System'!E:E,'MES System'!O:O))=0,"",IF(B177="","",_xlfn.XLOOKUP(B177,'MES System'!E:E,'MES System'!O:O)))</f>
        <v>#N/A</v>
      </c>
      <c r="G177" s="92" t="e" cm="1">
        <f t="array" ref="G177">IF(IF(B177="","",_xlfn.XLOOKUP(B177,'MES System'!E:E,'MES System'!#REF!))=0,"",IF(B177="","",_xlfn.XLOOKUP(B177,'MES System'!E:E,'MES System'!#REF!)))</f>
        <v>#REF!</v>
      </c>
      <c r="H177" s="92" t="e" cm="1">
        <f t="array" ref="H177">IF(IF(B177="","",_xlfn.XLOOKUP(B177,'MES System'!E:E,'MES System'!#REF!))=0,"",IF(B177="","",_xlfn.XLOOKUP(B177,'MES System'!E:E,'MES System'!#REF!)))</f>
        <v>#REF!</v>
      </c>
      <c r="I177" s="92"/>
      <c r="J177" s="80"/>
      <c r="K177" s="96" t="s">
        <v>1991</v>
      </c>
      <c r="L177" s="105"/>
    </row>
    <row r="178" spans="1:12" ht="52">
      <c r="A178" s="1">
        <v>152</v>
      </c>
      <c r="B178" s="70">
        <v>291002</v>
      </c>
      <c r="C178" s="80" t="e" cm="1">
        <f t="array" ref="C178">IF(B178="","",_xlfn.XLOOKUP(B178,'MES System'!E:E,'MES System'!B:B))</f>
        <v>#N/A</v>
      </c>
      <c r="D178" s="80" t="e" cm="1">
        <f t="array" ref="D178">IF(IF(B178="","",_xlfn.XLOOKUP(B178,'MES System'!E:E,'MES System'!F:F))=0,"",IF(B178="","",_xlfn.XLOOKUP(B178,'MES System'!E:E,'MES System'!F:F)))</f>
        <v>#N/A</v>
      </c>
      <c r="E178" s="80" t="e" cm="1">
        <f t="array" ref="E178">IF(IF(B178="","",_xlfn.XLOOKUP(B178,'MES System'!E:E,'MES System'!N:N))=0,"",IF(B178="","",_xlfn.XLOOKUP(B178,'MES System'!E:E,'MES System'!N:N)))</f>
        <v>#N/A</v>
      </c>
      <c r="F178" s="80" t="e" cm="1">
        <f t="array" ref="F178">IF(IF(B178="","",_xlfn.XLOOKUP(B178,'MES System'!E:E,'MES System'!O:O))=0,"",IF(B178="","",_xlfn.XLOOKUP(B178,'MES System'!E:E,'MES System'!O:O)))</f>
        <v>#N/A</v>
      </c>
      <c r="G178" s="92" t="e" cm="1">
        <f t="array" ref="G178">IF(IF(B178="","",_xlfn.XLOOKUP(B178,'MES System'!E:E,'MES System'!#REF!))=0,"",IF(B178="","",_xlfn.XLOOKUP(B178,'MES System'!E:E,'MES System'!#REF!)))</f>
        <v>#REF!</v>
      </c>
      <c r="H178" s="92" t="e" cm="1">
        <f t="array" ref="H178">IF(IF(B178="","",_xlfn.XLOOKUP(B178,'MES System'!E:E,'MES System'!#REF!))=0,"",IF(B178="","",_xlfn.XLOOKUP(B178,'MES System'!E:E,'MES System'!#REF!)))</f>
        <v>#REF!</v>
      </c>
      <c r="I178" s="92"/>
      <c r="J178" s="80"/>
      <c r="K178" s="96" t="s">
        <v>1992</v>
      </c>
      <c r="L178" s="108" t="s">
        <v>1993</v>
      </c>
    </row>
    <row r="179" spans="1:12" ht="52">
      <c r="A179" s="1">
        <v>153</v>
      </c>
      <c r="B179" s="70">
        <v>291003</v>
      </c>
      <c r="C179" s="80" t="e" cm="1">
        <f t="array" ref="C179">IF(B179="","",_xlfn.XLOOKUP(B179,'MES System'!E:E,'MES System'!B:B))</f>
        <v>#N/A</v>
      </c>
      <c r="D179" s="80" t="e" cm="1">
        <f t="array" ref="D179">IF(IF(B179="","",_xlfn.XLOOKUP(B179,'MES System'!E:E,'MES System'!F:F))=0,"",IF(B179="","",_xlfn.XLOOKUP(B179,'MES System'!E:E,'MES System'!F:F)))</f>
        <v>#N/A</v>
      </c>
      <c r="E179" s="80" t="e" cm="1">
        <f t="array" ref="E179">IF(IF(B179="","",_xlfn.XLOOKUP(B179,'MES System'!E:E,'MES System'!N:N))=0,"",IF(B179="","",_xlfn.XLOOKUP(B179,'MES System'!E:E,'MES System'!N:N)))</f>
        <v>#N/A</v>
      </c>
      <c r="F179" s="80" t="e" cm="1">
        <f t="array" ref="F179">IF(IF(B179="","",_xlfn.XLOOKUP(B179,'MES System'!E:E,'MES System'!O:O))=0,"",IF(B179="","",_xlfn.XLOOKUP(B179,'MES System'!E:E,'MES System'!O:O)))</f>
        <v>#N/A</v>
      </c>
      <c r="G179" s="92" t="e" cm="1">
        <f t="array" ref="G179">IF(IF(B179="","",_xlfn.XLOOKUP(B179,'MES System'!E:E,'MES System'!#REF!))=0,"",IF(B179="","",_xlfn.XLOOKUP(B179,'MES System'!E:E,'MES System'!#REF!)))</f>
        <v>#REF!</v>
      </c>
      <c r="H179" s="92" t="e" cm="1">
        <f t="array" ref="H179">IF(IF(B179="","",_xlfn.XLOOKUP(B179,'MES System'!E:E,'MES System'!#REF!))=0,"",IF(B179="","",_xlfn.XLOOKUP(B179,'MES System'!E:E,'MES System'!#REF!)))</f>
        <v>#REF!</v>
      </c>
      <c r="I179" s="92"/>
      <c r="J179" s="80" t="s">
        <v>1951</v>
      </c>
      <c r="K179" s="96" t="s">
        <v>1969</v>
      </c>
      <c r="L179" s="106" t="s">
        <v>1984</v>
      </c>
    </row>
    <row r="180" spans="1:12" ht="52">
      <c r="A180" s="1">
        <v>153</v>
      </c>
      <c r="B180" s="70">
        <v>291004</v>
      </c>
      <c r="C180" s="80" t="e" cm="1">
        <f t="array" ref="C180">IF(B180="","",_xlfn.XLOOKUP(B180,'MES System'!E:E,'MES System'!B:B))</f>
        <v>#N/A</v>
      </c>
      <c r="D180" s="80" t="e" cm="1">
        <f t="array" ref="D180">IF(IF(B180="","",_xlfn.XLOOKUP(B180,'MES System'!E:E,'MES System'!F:F))=0,"",IF(B180="","",_xlfn.XLOOKUP(B180,'MES System'!E:E,'MES System'!F:F)))</f>
        <v>#N/A</v>
      </c>
      <c r="E180" s="80" t="e">
        <f>IF(IF(B180="","",_xlfn.XLOOKUP(B180,'MES System'!E:E,'MES System'!N:N))=0,"",IF(B180="","",_xlfn.XLOOKUP(B180,'MES System'!E:E,'MES System'!N:N)))</f>
        <v>#N/A</v>
      </c>
      <c r="F180" s="80" t="e" cm="1">
        <f t="array" ref="F180">IF(IF(B180="","",_xlfn.XLOOKUP(B180,'MES System'!E:E,'MES System'!O:O))=0,"",IF(B180="","",_xlfn.XLOOKUP(B180,'MES System'!E:E,'MES System'!O:O)))</f>
        <v>#N/A</v>
      </c>
      <c r="G180" s="92" t="e" cm="1">
        <f t="array" ref="G180">IF(IF(B180="","",_xlfn.XLOOKUP(B180,'MES System'!E:E,'MES System'!#REF!))=0,"",IF(B180="","",_xlfn.XLOOKUP(B180,'MES System'!E:E,'MES System'!#REF!)))</f>
        <v>#REF!</v>
      </c>
      <c r="H180" s="92" t="e" cm="1">
        <f t="array" ref="H180">IF(IF(B180="","",_xlfn.XLOOKUP(B180,'MES System'!E:E,'MES System'!#REF!))=0,"",IF(B180="","",_xlfn.XLOOKUP(B180,'MES System'!E:E,'MES System'!#REF!)))</f>
        <v>#REF!</v>
      </c>
      <c r="I180" s="92"/>
      <c r="J180" s="80" t="s">
        <v>1951</v>
      </c>
      <c r="K180" s="96" t="s">
        <v>1994</v>
      </c>
      <c r="L180" s="106" t="s">
        <v>1995</v>
      </c>
    </row>
    <row r="181" spans="1:12" ht="13">
      <c r="A181" s="1">
        <v>154</v>
      </c>
      <c r="B181" s="70"/>
      <c r="C181" s="80" t="str" cm="1">
        <f t="array" ref="C181">IF(B181="","",_xlfn.XLOOKUP(B181,'MES System'!E:E,'MES System'!B:B))</f>
        <v/>
      </c>
      <c r="D181" s="80" t="str" cm="1">
        <f t="array" ref="D181">IF(IF(B181="","",_xlfn.XLOOKUP(B181,'MES System'!E:E,'MES System'!F:F))=0,"",IF(B181="","",_xlfn.XLOOKUP(B181,'MES System'!E:E,'MES System'!F:F)))</f>
        <v/>
      </c>
      <c r="E181" s="80" t="str" cm="1">
        <f t="array" ref="E181">IF(IF(B181="","",_xlfn.XLOOKUP(B181,'MES System'!E:E,'MES System'!N:N))=0,"",IF(B181="","",_xlfn.XLOOKUP(B181,'MES System'!E:E,'MES System'!N:N)))</f>
        <v/>
      </c>
      <c r="F181" s="80" t="str" cm="1">
        <f t="array" ref="F181">IF(IF(B181="","",_xlfn.XLOOKUP(B181,'MES System'!E:E,'MES System'!O:O))=0,"",IF(B181="","",_xlfn.XLOOKUP(B181,'MES System'!E:E,'MES System'!O:O)))</f>
        <v/>
      </c>
      <c r="G181" s="92" t="str" cm="1">
        <f t="array" ref="G181">IF(IF(B181="","",_xlfn.XLOOKUP(B181,'MES System'!E:E,'MES System'!#REF!))=0,"",IF(B181="","",_xlfn.XLOOKUP(B181,'MES System'!E:E,'MES System'!#REF!)))</f>
        <v/>
      </c>
      <c r="H181" s="92" t="str" cm="1">
        <f t="array" ref="H181">IF(IF(B181="","",_xlfn.XLOOKUP(B181,'MES System'!E:E,'MES System'!#REF!))=0,"",IF(B181="","",_xlfn.XLOOKUP(B181,'MES System'!E:E,'MES System'!#REF!)))</f>
        <v/>
      </c>
      <c r="I181" s="92"/>
      <c r="J181" s="80"/>
      <c r="K181" s="80"/>
      <c r="L181" s="105"/>
    </row>
    <row r="182" spans="1:12" ht="13">
      <c r="A182" s="1">
        <v>155</v>
      </c>
      <c r="B182" s="72" t="s">
        <v>261</v>
      </c>
      <c r="C182" s="79" t="e" cm="1">
        <f t="array" ref="C182">IF(B182="","",_xlfn.XLOOKUP(B182,'MES System'!E:E,'MES System'!B:B))</f>
        <v>#N/A</v>
      </c>
      <c r="D182" s="79" t="e" cm="1">
        <f t="array" ref="D182">IF(IF(B182="","",_xlfn.XLOOKUP(B182,'MES System'!E:E,'MES System'!F:F))=0,"",IF(B182="","",_xlfn.XLOOKUP(B182,'MES System'!E:E,'MES System'!F:F)))</f>
        <v>#N/A</v>
      </c>
      <c r="E182" s="79" t="e" cm="1">
        <f t="array" ref="E182">IF(IF(B182="","",_xlfn.XLOOKUP(B182,'MES System'!E:E,'MES System'!N:N))=0,"",IF(B182="","",_xlfn.XLOOKUP(B182,'MES System'!E:E,'MES System'!N:N)))</f>
        <v>#N/A</v>
      </c>
      <c r="F182" s="79" t="e" cm="1">
        <f t="array" ref="F182">IF(IF(B182="","",_xlfn.XLOOKUP(B182,'MES System'!E:E,'MES System'!O:O))=0,"",IF(B182="","",_xlfn.XLOOKUP(B182,'MES System'!E:E,'MES System'!O:O)))</f>
        <v>#N/A</v>
      </c>
      <c r="G182" s="100" t="e" cm="1">
        <f t="array" ref="G182">IF(IF(B182="","",_xlfn.XLOOKUP(B182,'MES System'!E:E,'MES System'!#REF!))=0,"",IF(B182="","",_xlfn.XLOOKUP(B182,'MES System'!E:E,'MES System'!#REF!)))</f>
        <v>#REF!</v>
      </c>
      <c r="H182" s="100" t="e" cm="1">
        <f t="array" ref="H182">IF(IF(B182="","",_xlfn.XLOOKUP(B182,'MES System'!E:E,'MES System'!#REF!))=0,"",IF(B182="","",_xlfn.XLOOKUP(B182,'MES System'!E:E,'MES System'!#REF!)))</f>
        <v>#REF!</v>
      </c>
      <c r="I182" s="100"/>
      <c r="J182" s="79"/>
      <c r="K182" s="79"/>
      <c r="L182" s="104"/>
    </row>
    <row r="183" spans="1:12" ht="26">
      <c r="A183" s="1">
        <v>156</v>
      </c>
      <c r="B183" s="70">
        <v>292001</v>
      </c>
      <c r="C183" s="80" t="e" cm="1">
        <f t="array" ref="C183">IF(B183="","",_xlfn.XLOOKUP(B183,'MES System'!E:E,'MES System'!B:B))</f>
        <v>#N/A</v>
      </c>
      <c r="D183" s="80" t="e" cm="1">
        <f t="array" ref="D183">IF(IF(B183="","",_xlfn.XLOOKUP(B183,'MES System'!E:E,'MES System'!F:F))=0,"",IF(B183="","",_xlfn.XLOOKUP(B183,'MES System'!E:E,'MES System'!F:F)))</f>
        <v>#N/A</v>
      </c>
      <c r="E183" s="80" t="e" cm="1">
        <f t="array" ref="E183">IF(IF(B183="","",_xlfn.XLOOKUP(B183,'MES System'!E:E,'MES System'!N:N))=0,"",IF(B183="","",_xlfn.XLOOKUP(B183,'MES System'!E:E,'MES System'!N:N)))</f>
        <v>#N/A</v>
      </c>
      <c r="F183" s="80" t="e" cm="1">
        <f t="array" ref="F183">IF(IF(B183="","",_xlfn.XLOOKUP(B183,'MES System'!E:E,'MES System'!O:O))=0,"",IF(B183="","",_xlfn.XLOOKUP(B183,'MES System'!E:E,'MES System'!O:O)))</f>
        <v>#N/A</v>
      </c>
      <c r="G183" s="92" t="e" cm="1">
        <f t="array" ref="G183">IF(IF(B183="","",_xlfn.XLOOKUP(B183,'MES System'!E:E,'MES System'!#REF!))=0,"",IF(B183="","",_xlfn.XLOOKUP(B183,'MES System'!E:E,'MES System'!#REF!)))</f>
        <v>#REF!</v>
      </c>
      <c r="H183" s="92" t="e" cm="1">
        <f t="array" ref="H183">IF(IF(B183="","",_xlfn.XLOOKUP(B183,'MES System'!E:E,'MES System'!#REF!))=0,"",IF(B183="","",_xlfn.XLOOKUP(B183,'MES System'!E:E,'MES System'!#REF!)))</f>
        <v>#REF!</v>
      </c>
      <c r="I183" s="92"/>
      <c r="J183" s="80"/>
      <c r="K183" s="96" t="s">
        <v>1968</v>
      </c>
      <c r="L183" s="105"/>
    </row>
    <row r="184" spans="1:12" ht="26">
      <c r="A184" s="1">
        <v>157</v>
      </c>
      <c r="B184" s="70">
        <v>292002</v>
      </c>
      <c r="C184" s="80" t="e" cm="1">
        <f t="array" ref="C184">IF(B184="","",_xlfn.XLOOKUP(B184,'MES System'!E:E,'MES System'!B:B))</f>
        <v>#N/A</v>
      </c>
      <c r="D184" s="80" t="e" cm="1">
        <f t="array" ref="D184">IF(IF(B184="","",_xlfn.XLOOKUP(B184,'MES System'!E:E,'MES System'!F:F))=0,"",IF(B184="","",_xlfn.XLOOKUP(B184,'MES System'!E:E,'MES System'!F:F)))</f>
        <v>#N/A</v>
      </c>
      <c r="E184" s="80" t="e" cm="1">
        <f t="array" ref="E184">IF(IF(B184="","",_xlfn.XLOOKUP(B184,'MES System'!E:E,'MES System'!N:N))=0,"",IF(B184="","",_xlfn.XLOOKUP(B184,'MES System'!E:E,'MES System'!N:N)))</f>
        <v>#N/A</v>
      </c>
      <c r="F184" s="80" t="e" cm="1">
        <f t="array" ref="F184">IF(IF(B184="","",_xlfn.XLOOKUP(B184,'MES System'!E:E,'MES System'!O:O))=0,"",IF(B184="","",_xlfn.XLOOKUP(B184,'MES System'!E:E,'MES System'!O:O)))</f>
        <v>#N/A</v>
      </c>
      <c r="G184" s="92" t="e" cm="1">
        <f t="array" ref="G184">IF(IF(B184="","",_xlfn.XLOOKUP(B184,'MES System'!E:E,'MES System'!#REF!))=0,"",IF(B184="","",_xlfn.XLOOKUP(B184,'MES System'!E:E,'MES System'!#REF!)))</f>
        <v>#REF!</v>
      </c>
      <c r="H184" s="92" t="e" cm="1">
        <f t="array" ref="H184">IF(IF(B184="","",_xlfn.XLOOKUP(B184,'MES System'!E:E,'MES System'!#REF!))=0,"",IF(B184="","",_xlfn.XLOOKUP(B184,'MES System'!E:E,'MES System'!#REF!)))</f>
        <v>#REF!</v>
      </c>
      <c r="I184" s="92"/>
      <c r="J184" s="80"/>
      <c r="K184" s="96" t="s">
        <v>1970</v>
      </c>
      <c r="L184" s="109" t="s">
        <v>1979</v>
      </c>
    </row>
    <row r="185" spans="1:12" ht="65">
      <c r="A185" s="1">
        <v>158</v>
      </c>
      <c r="B185" s="70">
        <v>292003</v>
      </c>
      <c r="C185" s="80" t="e" cm="1">
        <f t="array" ref="C185">IF(B185="","",_xlfn.XLOOKUP(B185,'MES System'!E:E,'MES System'!B:B))</f>
        <v>#N/A</v>
      </c>
      <c r="D185" s="80" t="e" cm="1">
        <f t="array" ref="D185">IF(IF(B185="","",_xlfn.XLOOKUP(B185,'MES System'!E:E,'MES System'!F:F))=0,"",IF(B185="","",_xlfn.XLOOKUP(B185,'MES System'!E:E,'MES System'!F:F)))</f>
        <v>#N/A</v>
      </c>
      <c r="E185" s="80" t="e" cm="1">
        <f t="array" ref="E185">IF(IF(B185="","",_xlfn.XLOOKUP(B185,'MES System'!E:E,'MES System'!N:N))=0,"",IF(B185="","",_xlfn.XLOOKUP(B185,'MES System'!E:E,'MES System'!N:N)))</f>
        <v>#N/A</v>
      </c>
      <c r="F185" s="80" t="e" cm="1">
        <f t="array" ref="F185">IF(IF(B185="","",_xlfn.XLOOKUP(B185,'MES System'!E:E,'MES System'!O:O))=0,"",IF(B185="","",_xlfn.XLOOKUP(B185,'MES System'!E:E,'MES System'!O:O)))</f>
        <v>#N/A</v>
      </c>
      <c r="G185" s="92" t="e" cm="1">
        <f t="array" ref="G185">IF(IF(B185="","",_xlfn.XLOOKUP(B185,'MES System'!E:E,'MES System'!#REF!))=0,"",IF(B185="","",_xlfn.XLOOKUP(B185,'MES System'!E:E,'MES System'!#REF!)))</f>
        <v>#REF!</v>
      </c>
      <c r="H185" s="92" t="e" cm="1">
        <f t="array" ref="H185">IF(IF(B185="","",_xlfn.XLOOKUP(B185,'MES System'!E:E,'MES System'!#REF!))=0,"",IF(B185="","",_xlfn.XLOOKUP(B185,'MES System'!E:E,'MES System'!#REF!)))</f>
        <v>#REF!</v>
      </c>
      <c r="I185" s="92"/>
      <c r="J185" s="80" t="s">
        <v>1951</v>
      </c>
      <c r="K185" s="96" t="s">
        <v>2000</v>
      </c>
      <c r="L185" s="106" t="s">
        <v>1998</v>
      </c>
    </row>
    <row r="186" spans="1:12" ht="13">
      <c r="A186" s="1">
        <v>160</v>
      </c>
      <c r="B186" s="70">
        <v>292004</v>
      </c>
      <c r="C186" s="80" t="e" cm="1">
        <f t="array" ref="C186">IF(B186="","",_xlfn.XLOOKUP(B186,'MES System'!E:E,'MES System'!B:B))</f>
        <v>#N/A</v>
      </c>
      <c r="D186" s="80" t="e" cm="1">
        <f t="array" ref="D186">IF(IF(B186="","",_xlfn.XLOOKUP(B186,'MES System'!E:E,'MES System'!F:F))=0,"",IF(B186="","",_xlfn.XLOOKUP(B186,'MES System'!E:E,'MES System'!F:F)))</f>
        <v>#N/A</v>
      </c>
      <c r="E186" s="80" t="e" cm="1">
        <f t="array" ref="E186">IF(IF(B186="","",_xlfn.XLOOKUP(B186,'MES System'!E:E,'MES System'!N:N))=0,"",IF(B186="","",_xlfn.XLOOKUP(B186,'MES System'!E:E,'MES System'!N:N)))</f>
        <v>#N/A</v>
      </c>
      <c r="F186" s="80" t="e" cm="1">
        <f t="array" ref="F186">IF(IF(B186="","",_xlfn.XLOOKUP(B186,'MES System'!E:E,'MES System'!O:O))=0,"",IF(B186="","",_xlfn.XLOOKUP(B186,'MES System'!E:E,'MES System'!O:O)))</f>
        <v>#N/A</v>
      </c>
      <c r="G186" s="92" t="e" cm="1">
        <f t="array" ref="G186">IF(IF(B186="","",_xlfn.XLOOKUP(B186,'MES System'!E:E,'MES System'!#REF!))=0,"",IF(B186="","",_xlfn.XLOOKUP(B186,'MES System'!E:E,'MES System'!#REF!)))</f>
        <v>#REF!</v>
      </c>
      <c r="H186" s="92" t="e" cm="1">
        <f t="array" ref="H186">IF(IF(B186="","",_xlfn.XLOOKUP(B186,'MES System'!E:E,'MES System'!#REF!))=0,"",IF(B186="","",_xlfn.XLOOKUP(B186,'MES System'!E:E,'MES System'!#REF!)))</f>
        <v>#REF!</v>
      </c>
      <c r="I186" s="92"/>
      <c r="J186" s="80"/>
      <c r="K186" s="80"/>
      <c r="L186" s="105"/>
    </row>
    <row r="187" spans="1:12" ht="13">
      <c r="A187" s="1">
        <v>160</v>
      </c>
      <c r="B187" s="70">
        <v>292005</v>
      </c>
      <c r="C187" s="80" t="e" cm="1">
        <f t="array" ref="C187">IF(B187="","",_xlfn.XLOOKUP(B187,'MES System'!E:E,'MES System'!B:B))</f>
        <v>#N/A</v>
      </c>
      <c r="D187" s="80" t="e" cm="1">
        <f t="array" ref="D187">IF(IF(B187="","",_xlfn.XLOOKUP(B187,'MES System'!E:E,'MES System'!F:F))=0,"",IF(B187="","",_xlfn.XLOOKUP(B187,'MES System'!E:E,'MES System'!F:F)))</f>
        <v>#N/A</v>
      </c>
      <c r="E187" s="80" t="e" cm="1">
        <f t="array" ref="E187">IF(IF(B187="","",_xlfn.XLOOKUP(B187,'MES System'!E:E,'MES System'!N:N))=0,"",IF(B187="","",_xlfn.XLOOKUP(B187,'MES System'!E:E,'MES System'!N:N)))</f>
        <v>#N/A</v>
      </c>
      <c r="F187" s="80" t="e" cm="1">
        <f t="array" ref="F187">IF(IF(B187="","",_xlfn.XLOOKUP(B187,'MES System'!E:E,'MES System'!O:O))=0,"",IF(B187="","",_xlfn.XLOOKUP(B187,'MES System'!E:E,'MES System'!O:O)))</f>
        <v>#N/A</v>
      </c>
      <c r="G187" s="92" t="e" cm="1">
        <f t="array" ref="G187">IF(IF(B187="","",_xlfn.XLOOKUP(B187,'MES System'!E:E,'MES System'!#REF!))=0,"",IF(B187="","",_xlfn.XLOOKUP(B187,'MES System'!E:E,'MES System'!#REF!)))</f>
        <v>#REF!</v>
      </c>
      <c r="H187" s="92" t="e" cm="1">
        <f t="array" ref="H187">IF(IF(B187="","",_xlfn.XLOOKUP(B187,'MES System'!E:E,'MES System'!#REF!))=0,"",IF(B187="","",_xlfn.XLOOKUP(B187,'MES System'!E:E,'MES System'!#REF!)))</f>
        <v>#REF!</v>
      </c>
      <c r="I187" s="92"/>
      <c r="J187" s="80"/>
      <c r="K187" s="80"/>
      <c r="L187" s="105"/>
    </row>
    <row r="188" spans="1:12" ht="13">
      <c r="A188" s="1">
        <v>161</v>
      </c>
      <c r="B188" s="70">
        <v>292006</v>
      </c>
      <c r="C188" s="80" t="e" cm="1">
        <f t="array" ref="C188">IF(B188="","",_xlfn.XLOOKUP(B188,'MES System'!E:E,'MES System'!B:B))</f>
        <v>#N/A</v>
      </c>
      <c r="D188" s="80" t="e" cm="1">
        <f t="array" ref="D188">IF(IF(B188="","",_xlfn.XLOOKUP(B188,'MES System'!E:E,'MES System'!F:F))=0,"",IF(B188="","",_xlfn.XLOOKUP(B188,'MES System'!E:E,'MES System'!F:F)))</f>
        <v>#N/A</v>
      </c>
      <c r="E188" s="80" t="e" cm="1">
        <f t="array" ref="E188">IF(IF(B188="","",_xlfn.XLOOKUP(B188,'MES System'!E:E,'MES System'!N:N))=0,"",IF(B188="","",_xlfn.XLOOKUP(B188,'MES System'!E:E,'MES System'!N:N)))</f>
        <v>#N/A</v>
      </c>
      <c r="F188" s="80" t="e" cm="1">
        <f t="array" ref="F188">IF(IF(B188="","",_xlfn.XLOOKUP(B188,'MES System'!E:E,'MES System'!O:O))=0,"",IF(B188="","",_xlfn.XLOOKUP(B188,'MES System'!E:E,'MES System'!O:O)))</f>
        <v>#N/A</v>
      </c>
      <c r="G188" s="92" t="e" cm="1">
        <f t="array" ref="G188">IF(IF(B188="","",_xlfn.XLOOKUP(B188,'MES System'!E:E,'MES System'!#REF!))=0,"",IF(B188="","",_xlfn.XLOOKUP(B188,'MES System'!E:E,'MES System'!#REF!)))</f>
        <v>#REF!</v>
      </c>
      <c r="H188" s="92" t="e" cm="1">
        <f t="array" ref="H188">IF(IF(B188="","",_xlfn.XLOOKUP(B188,'MES System'!E:E,'MES System'!#REF!))=0,"",IF(B188="","",_xlfn.XLOOKUP(B188,'MES System'!E:E,'MES System'!#REF!)))</f>
        <v>#REF!</v>
      </c>
      <c r="I188" s="92"/>
      <c r="J188" s="80"/>
      <c r="K188" s="80"/>
      <c r="L188" s="105"/>
    </row>
    <row r="189" spans="1:12" ht="13">
      <c r="A189" s="1">
        <v>155</v>
      </c>
      <c r="B189" s="72">
        <v>293000</v>
      </c>
      <c r="C189" s="79" t="e" cm="1">
        <f t="array" ref="C189">IF(B189="","",_xlfn.XLOOKUP(B189,'MES System'!E:E,'MES System'!B:B))</f>
        <v>#N/A</v>
      </c>
      <c r="D189" s="79" t="e" cm="1">
        <f t="array" ref="D189">IF(IF(B189="","",_xlfn.XLOOKUP(B189,'MES System'!E:E,'MES System'!F:F))=0,"",IF(B189="","",_xlfn.XLOOKUP(B189,'MES System'!E:E,'MES System'!F:F)))</f>
        <v>#N/A</v>
      </c>
      <c r="E189" s="79" t="e" cm="1">
        <f t="array" ref="E189">IF(IF(B189="","",_xlfn.XLOOKUP(B189,'MES System'!E:E,'MES System'!N:N))=0,"",IF(B189="","",_xlfn.XLOOKUP(B189,'MES System'!E:E,'MES System'!N:N)))</f>
        <v>#N/A</v>
      </c>
      <c r="F189" s="79" t="e" cm="1">
        <f t="array" ref="F189">IF(IF(B189="","",_xlfn.XLOOKUP(B189,'MES System'!E:E,'MES System'!O:O))=0,"",IF(B189="","",_xlfn.XLOOKUP(B189,'MES System'!E:E,'MES System'!O:O)))</f>
        <v>#N/A</v>
      </c>
      <c r="G189" s="100" t="e" cm="1">
        <f t="array" ref="G189">IF(IF(B189="","",_xlfn.XLOOKUP(B189,'MES System'!E:E,'MES System'!#REF!))=0,"",IF(B189="","",_xlfn.XLOOKUP(B189,'MES System'!E:E,'MES System'!#REF!)))</f>
        <v>#REF!</v>
      </c>
      <c r="H189" s="100" t="e" cm="1">
        <f t="array" ref="H189">IF(IF(B189="","",_xlfn.XLOOKUP(B189,'MES System'!E:E,'MES System'!#REF!))=0,"",IF(B189="","",_xlfn.XLOOKUP(B189,'MES System'!E:E,'MES System'!#REF!)))</f>
        <v>#REF!</v>
      </c>
      <c r="I189" s="100"/>
      <c r="J189" s="79"/>
      <c r="K189" s="79"/>
      <c r="L189" s="104"/>
    </row>
    <row r="190" spans="1:12" ht="13">
      <c r="A190" s="1">
        <v>161</v>
      </c>
      <c r="B190" s="70">
        <v>293001</v>
      </c>
      <c r="C190" s="80" t="e" cm="1">
        <f t="array" ref="C190">IF(B190="","",_xlfn.XLOOKUP(B190,'MES System'!E:E,'MES System'!B:B))</f>
        <v>#N/A</v>
      </c>
      <c r="D190" s="80" t="e" cm="1">
        <f t="array" ref="D190">IF(IF(B190="","",_xlfn.XLOOKUP(B190,'MES System'!E:E,'MES System'!F:F))=0,"",IF(B190="","",_xlfn.XLOOKUP(B190,'MES System'!E:E,'MES System'!F:F)))</f>
        <v>#N/A</v>
      </c>
      <c r="E190" s="80" t="e" cm="1">
        <f t="array" ref="E190">IF(IF(B190="","",_xlfn.XLOOKUP(B190,'MES System'!E:E,'MES System'!N:N))=0,"",IF(B190="","",_xlfn.XLOOKUP(B190,'MES System'!E:E,'MES System'!N:N)))</f>
        <v>#N/A</v>
      </c>
      <c r="F190" s="80" t="e" cm="1">
        <f t="array" ref="F190">IF(IF(B190="","",_xlfn.XLOOKUP(B190,'MES System'!E:E,'MES System'!O:O))=0,"",IF(B190="","",_xlfn.XLOOKUP(B190,'MES System'!E:E,'MES System'!O:O)))</f>
        <v>#N/A</v>
      </c>
      <c r="G190" s="92" t="e" cm="1">
        <f t="array" ref="G190">IF(IF(B190="","",_xlfn.XLOOKUP(B190,'MES System'!E:E,'MES System'!#REF!))=0,"",IF(B190="","",_xlfn.XLOOKUP(B190,'MES System'!E:E,'MES System'!#REF!)))</f>
        <v>#REF!</v>
      </c>
      <c r="H190" s="92" t="e" cm="1">
        <f t="array" ref="H190">IF(IF(B190="","",_xlfn.XLOOKUP(B190,'MES System'!E:E,'MES System'!#REF!))=0,"",IF(B190="","",_xlfn.XLOOKUP(B190,'MES System'!E:E,'MES System'!#REF!)))</f>
        <v>#REF!</v>
      </c>
      <c r="I190" s="92"/>
      <c r="J190" s="80" t="s">
        <v>1949</v>
      </c>
      <c r="K190" s="80" t="s">
        <v>1929</v>
      </c>
      <c r="L190" s="105"/>
    </row>
    <row r="191" spans="1:12" ht="26">
      <c r="A191" s="1">
        <v>161</v>
      </c>
      <c r="B191" s="70">
        <v>293002</v>
      </c>
      <c r="C191" s="80" t="e" cm="1">
        <f t="array" ref="C191">IF(B191="","",_xlfn.XLOOKUP(B191,'MES System'!E:E,'MES System'!B:B))</f>
        <v>#N/A</v>
      </c>
      <c r="D191" s="80" t="e" cm="1">
        <f t="array" ref="D191">IF(IF(B191="","",_xlfn.XLOOKUP(B191,'MES System'!E:E,'MES System'!F:F))=0,"",IF(B191="","",_xlfn.XLOOKUP(B191,'MES System'!E:E,'MES System'!F:F)))</f>
        <v>#N/A</v>
      </c>
      <c r="E191" s="80" t="e" cm="1">
        <f t="array" ref="E191">IF(IF(B191="","",_xlfn.XLOOKUP(B191,'MES System'!E:E,'MES System'!N:N))=0,"",IF(B191="","",_xlfn.XLOOKUP(B191,'MES System'!E:E,'MES System'!N:N)))</f>
        <v>#N/A</v>
      </c>
      <c r="F191" s="80" t="e" cm="1">
        <f t="array" ref="F191">IF(IF(B191="","",_xlfn.XLOOKUP(B191,'MES System'!E:E,'MES System'!O:O))=0,"",IF(B191="","",_xlfn.XLOOKUP(B191,'MES System'!E:E,'MES System'!O:O)))</f>
        <v>#N/A</v>
      </c>
      <c r="G191" s="92" t="e" cm="1">
        <f t="array" ref="G191">IF(IF(B191="","",_xlfn.XLOOKUP(B191,'MES System'!E:E,'MES System'!#REF!))=0,"",IF(B191="","",_xlfn.XLOOKUP(B191,'MES System'!E:E,'MES System'!#REF!)))</f>
        <v>#REF!</v>
      </c>
      <c r="H191" s="92" t="e" cm="1">
        <f t="array" ref="H191">IF(IF(B191="","",_xlfn.XLOOKUP(B191,'MES System'!E:E,'MES System'!#REF!))=0,"",IF(B191="","",_xlfn.XLOOKUP(B191,'MES System'!E:E,'MES System'!#REF!)))</f>
        <v>#REF!</v>
      </c>
      <c r="I191" s="92"/>
      <c r="J191" s="80" t="s">
        <v>1949</v>
      </c>
      <c r="K191" s="96" t="s">
        <v>1988</v>
      </c>
      <c r="L191" s="106" t="s">
        <v>1987</v>
      </c>
    </row>
    <row r="192" spans="1:12" ht="13">
      <c r="A192" s="1">
        <v>161</v>
      </c>
      <c r="B192" s="70">
        <v>293003</v>
      </c>
      <c r="C192" s="80" t="e" cm="1">
        <f t="array" ref="C192">IF(B192="","",_xlfn.XLOOKUP(B192,'MES System'!E:E,'MES System'!B:B))</f>
        <v>#N/A</v>
      </c>
      <c r="D192" s="80" t="e" cm="1">
        <f t="array" ref="D192">IF(IF(B192="","",_xlfn.XLOOKUP(B192,'MES System'!E:E,'MES System'!F:F))=0,"",IF(B192="","",_xlfn.XLOOKUP(B192,'MES System'!E:E,'MES System'!F:F)))</f>
        <v>#N/A</v>
      </c>
      <c r="E192" s="80" t="e" cm="1">
        <f t="array" ref="E192">IF(IF(B192="","",_xlfn.XLOOKUP(B192,'MES System'!E:E,'MES System'!N:N))=0,"",IF(B192="","",_xlfn.XLOOKUP(B192,'MES System'!E:E,'MES System'!N:N)))</f>
        <v>#N/A</v>
      </c>
      <c r="F192" s="80" t="e" cm="1">
        <f t="array" ref="F192">IF(IF(B192="","",_xlfn.XLOOKUP(B192,'MES System'!E:E,'MES System'!O:O))=0,"",IF(B192="","",_xlfn.XLOOKUP(B192,'MES System'!E:E,'MES System'!O:O)))</f>
        <v>#N/A</v>
      </c>
      <c r="G192" s="92" t="e" cm="1">
        <f t="array" ref="G192">IF(IF(B192="","",_xlfn.XLOOKUP(B192,'MES System'!E:E,'MES System'!#REF!))=0,"",IF(B192="","",_xlfn.XLOOKUP(B192,'MES System'!E:E,'MES System'!#REF!)))</f>
        <v>#REF!</v>
      </c>
      <c r="H192" s="92" t="e" cm="1">
        <f t="array" ref="H192">IF(IF(B192="","",_xlfn.XLOOKUP(B192,'MES System'!E:E,'MES System'!#REF!))=0,"",IF(B192="","",_xlfn.XLOOKUP(B192,'MES System'!E:E,'MES System'!#REF!)))</f>
        <v>#REF!</v>
      </c>
      <c r="I192" s="92"/>
      <c r="J192" s="80"/>
      <c r="K192" s="80" t="s">
        <v>1931</v>
      </c>
      <c r="L192" s="105"/>
    </row>
    <row r="193" spans="1:12" ht="13">
      <c r="A193" s="1">
        <v>162</v>
      </c>
      <c r="B193" s="70"/>
      <c r="C193" s="80" t="str" cm="1">
        <f t="array" ref="C193">IF(B193="","",_xlfn.XLOOKUP(B193,'MES System'!E:E,'MES System'!B:B))</f>
        <v/>
      </c>
      <c r="D193" s="80" t="str" cm="1">
        <f t="array" ref="D193">IF(IF(B193="","",_xlfn.XLOOKUP(B193,'MES System'!E:E,'MES System'!F:F))=0,"",IF(B193="","",_xlfn.XLOOKUP(B193,'MES System'!E:E,'MES System'!F:F)))</f>
        <v/>
      </c>
      <c r="E193" s="80" t="str" cm="1">
        <f t="array" ref="E193">IF(IF(B193="","",_xlfn.XLOOKUP(B193,'MES System'!E:E,'MES System'!N:N))=0,"",IF(B193="","",_xlfn.XLOOKUP(B193,'MES System'!E:E,'MES System'!N:N)))</f>
        <v/>
      </c>
      <c r="F193" s="80" t="str" cm="1">
        <f t="array" ref="F193">IF(IF(B193="","",_xlfn.XLOOKUP(B193,'MES System'!E:E,'MES System'!O:O))=0,"",IF(B193="","",_xlfn.XLOOKUP(B193,'MES System'!E:E,'MES System'!O:O)))</f>
        <v/>
      </c>
      <c r="G193" s="92" t="str" cm="1">
        <f t="array" ref="G193">IF(IF(B193="","",_xlfn.XLOOKUP(B193,'MES System'!E:E,'MES System'!#REF!))=0,"",IF(B193="","",_xlfn.XLOOKUP(B193,'MES System'!E:E,'MES System'!#REF!)))</f>
        <v/>
      </c>
      <c r="H193" s="92" t="str" cm="1">
        <f t="array" ref="H193">IF(IF(B193="","",_xlfn.XLOOKUP(B193,'MES System'!E:E,'MES System'!#REF!))=0,"",IF(B193="","",_xlfn.XLOOKUP(B193,'MES System'!E:E,'MES System'!#REF!)))</f>
        <v/>
      </c>
      <c r="I193" s="92"/>
      <c r="J193" s="80"/>
      <c r="K193" s="80"/>
      <c r="L193" s="105"/>
    </row>
    <row r="194" spans="1:12" ht="13">
      <c r="A194" s="1">
        <v>163</v>
      </c>
      <c r="B194" s="72">
        <v>294000</v>
      </c>
      <c r="C194" s="79" t="e" cm="1">
        <f t="array" ref="C194">IF(B194="","",_xlfn.XLOOKUP(B194,'MES System'!E:E,'MES System'!B:B))</f>
        <v>#N/A</v>
      </c>
      <c r="D194" s="79" t="e" cm="1">
        <f t="array" ref="D194">IF(IF(B194="","",_xlfn.XLOOKUP(B194,'MES System'!E:E,'MES System'!F:F))=0,"",IF(B194="","",_xlfn.XLOOKUP(B194,'MES System'!E:E,'MES System'!F:F)))</f>
        <v>#N/A</v>
      </c>
      <c r="E194" s="79" t="e" cm="1">
        <f t="array" ref="E194">IF(IF(B194="","",_xlfn.XLOOKUP(B194,'MES System'!E:E,'MES System'!N:N))=0,"",IF(B194="","",_xlfn.XLOOKUP(B194,'MES System'!E:E,'MES System'!N:N)))</f>
        <v>#N/A</v>
      </c>
      <c r="F194" s="79" t="e" cm="1">
        <f t="array" ref="F194">IF(IF(B194="","",_xlfn.XLOOKUP(B194,'MES System'!E:E,'MES System'!O:O))=0,"",IF(B194="","",_xlfn.XLOOKUP(B194,'MES System'!E:E,'MES System'!O:O)))</f>
        <v>#N/A</v>
      </c>
      <c r="G194" s="100" t="e" cm="1">
        <f t="array" ref="G194">IF(IF(B194="","",_xlfn.XLOOKUP(B194,'MES System'!E:E,'MES System'!#REF!))=0,"",IF(B194="","",_xlfn.XLOOKUP(B194,'MES System'!E:E,'MES System'!#REF!)))</f>
        <v>#REF!</v>
      </c>
      <c r="H194" s="100" t="e" cm="1">
        <f t="array" ref="H194">IF(IF(B194="","",_xlfn.XLOOKUP(B194,'MES System'!E:E,'MES System'!#REF!))=0,"",IF(B194="","",_xlfn.XLOOKUP(B194,'MES System'!E:E,'MES System'!#REF!)))</f>
        <v>#REF!</v>
      </c>
      <c r="I194" s="100"/>
      <c r="J194" s="79"/>
      <c r="K194" s="79"/>
      <c r="L194" s="104"/>
    </row>
    <row r="195" spans="1:12" ht="13">
      <c r="A195" s="1">
        <v>164</v>
      </c>
      <c r="B195" s="70">
        <v>294001</v>
      </c>
      <c r="C195" s="80" t="e" cm="1">
        <f t="array" ref="C195">IF(B195="","",_xlfn.XLOOKUP(B195,'MES System'!E:E,'MES System'!B:B))</f>
        <v>#N/A</v>
      </c>
      <c r="D195" s="80" t="e" cm="1">
        <f t="array" ref="D195">IF(IF(B195="","",_xlfn.XLOOKUP(B195,'MES System'!E:E,'MES System'!F:F))=0,"",IF(B195="","",_xlfn.XLOOKUP(B195,'MES System'!E:E,'MES System'!F:F)))</f>
        <v>#N/A</v>
      </c>
      <c r="E195" s="80" t="e" cm="1">
        <f t="array" ref="E195">IF(IF(B195="","",_xlfn.XLOOKUP(B195,'MES System'!E:E,'MES System'!N:N))=0,"",IF(B195="","",_xlfn.XLOOKUP(B195,'MES System'!E:E,'MES System'!N:N)))</f>
        <v>#N/A</v>
      </c>
      <c r="F195" s="80" t="e" cm="1">
        <f t="array" ref="F195">IF(IF(B195="","",_xlfn.XLOOKUP(B195,'MES System'!E:E,'MES System'!O:O))=0,"",IF(B195="","",_xlfn.XLOOKUP(B195,'MES System'!E:E,'MES System'!O:O)))</f>
        <v>#N/A</v>
      </c>
      <c r="G195" s="92" t="e" cm="1">
        <f t="array" ref="G195">IF(IF(B195="","",_xlfn.XLOOKUP(B195,'MES System'!E:E,'MES System'!#REF!))=0,"",IF(B195="","",_xlfn.XLOOKUP(B195,'MES System'!E:E,'MES System'!#REF!)))</f>
        <v>#REF!</v>
      </c>
      <c r="H195" s="92" t="e" cm="1">
        <f t="array" ref="H195">IF(IF(B195="","",_xlfn.XLOOKUP(B195,'MES System'!E:E,'MES System'!#REF!))=0,"",IF(B195="","",_xlfn.XLOOKUP(B195,'MES System'!E:E,'MES System'!#REF!)))</f>
        <v>#REF!</v>
      </c>
      <c r="I195" s="107" t="s">
        <v>1957</v>
      </c>
      <c r="J195" s="80"/>
      <c r="K195" s="80"/>
      <c r="L195" s="105"/>
    </row>
    <row r="196" spans="1:12" ht="13">
      <c r="A196" s="1">
        <v>165</v>
      </c>
      <c r="B196" s="70">
        <v>294002</v>
      </c>
      <c r="C196" s="80" t="e" cm="1">
        <f t="array" ref="C196">IF(B196="","",_xlfn.XLOOKUP(B196,'MES System'!E:E,'MES System'!B:B))</f>
        <v>#N/A</v>
      </c>
      <c r="D196" s="80" t="e" cm="1">
        <f t="array" ref="D196">IF(IF(B196="","",_xlfn.XLOOKUP(B196,'MES System'!E:E,'MES System'!F:F))=0,"",IF(B196="","",_xlfn.XLOOKUP(B196,'MES System'!E:E,'MES System'!F:F)))</f>
        <v>#N/A</v>
      </c>
      <c r="E196" s="80" t="e" cm="1">
        <f t="array" ref="E196">IF(IF(B196="","",_xlfn.XLOOKUP(B196,'MES System'!E:E,'MES System'!N:N))=0,"",IF(B196="","",_xlfn.XLOOKUP(B196,'MES System'!E:E,'MES System'!N:N)))</f>
        <v>#N/A</v>
      </c>
      <c r="F196" s="80" t="e" cm="1">
        <f t="array" ref="F196">IF(IF(B196="","",_xlfn.XLOOKUP(B196,'MES System'!E:E,'MES System'!O:O))=0,"",IF(B196="","",_xlfn.XLOOKUP(B196,'MES System'!E:E,'MES System'!O:O)))</f>
        <v>#N/A</v>
      </c>
      <c r="G196" s="92" t="e" cm="1">
        <f t="array" ref="G196">IF(IF(B196="","",_xlfn.XLOOKUP(B196,'MES System'!E:E,'MES System'!#REF!))=0,"",IF(B196="","",_xlfn.XLOOKUP(B196,'MES System'!E:E,'MES System'!#REF!)))</f>
        <v>#REF!</v>
      </c>
      <c r="H196" s="92" t="e" cm="1">
        <f t="array" ref="H196">IF(IF(B196="","",_xlfn.XLOOKUP(B196,'MES System'!E:E,'MES System'!#REF!))=0,"",IF(B196="","",_xlfn.XLOOKUP(B196,'MES System'!E:E,'MES System'!#REF!)))</f>
        <v>#REF!</v>
      </c>
      <c r="I196" s="107" t="s">
        <v>1957</v>
      </c>
      <c r="J196" s="80"/>
      <c r="K196" s="80"/>
      <c r="L196" s="105"/>
    </row>
    <row r="197" spans="1:12" ht="13">
      <c r="A197" s="1">
        <v>166</v>
      </c>
      <c r="B197" s="70"/>
      <c r="C197" s="80" t="str" cm="1">
        <f t="array" ref="C197">IF(B197="","",_xlfn.XLOOKUP(B197,'MES System'!E:E,'MES System'!B:B))</f>
        <v/>
      </c>
      <c r="D197" s="80" t="str" cm="1">
        <f t="array" ref="D197">IF(IF(B197="","",_xlfn.XLOOKUP(B197,'MES System'!E:E,'MES System'!F:F))=0,"",IF(B197="","",_xlfn.XLOOKUP(B197,'MES System'!E:E,'MES System'!F:F)))</f>
        <v/>
      </c>
      <c r="E197" s="80" t="str" cm="1">
        <f t="array" ref="E197">IF(IF(B197="","",_xlfn.XLOOKUP(B197,'MES System'!E:E,'MES System'!N:N))=0,"",IF(B197="","",_xlfn.XLOOKUP(B197,'MES System'!E:E,'MES System'!N:N)))</f>
        <v/>
      </c>
      <c r="F197" s="80" t="str" cm="1">
        <f t="array" ref="F197">IF(IF(B197="","",_xlfn.XLOOKUP(B197,'MES System'!E:E,'MES System'!O:O))=0,"",IF(B197="","",_xlfn.XLOOKUP(B197,'MES System'!E:E,'MES System'!O:O)))</f>
        <v/>
      </c>
      <c r="G197" s="92" t="str" cm="1">
        <f t="array" ref="G197">IF(IF(B197="","",_xlfn.XLOOKUP(B197,'MES System'!E:E,'MES System'!#REF!))=0,"",IF(B197="","",_xlfn.XLOOKUP(B197,'MES System'!E:E,'MES System'!#REF!)))</f>
        <v/>
      </c>
      <c r="H197" s="92" t="str" cm="1">
        <f t="array" ref="H197">IF(IF(B197="","",_xlfn.XLOOKUP(B197,'MES System'!E:E,'MES System'!#REF!))=0,"",IF(B197="","",_xlfn.XLOOKUP(B197,'MES System'!E:E,'MES System'!#REF!)))</f>
        <v/>
      </c>
      <c r="I197" s="92"/>
      <c r="J197" s="80"/>
      <c r="K197" s="80"/>
      <c r="L197" s="105"/>
    </row>
    <row r="198" spans="1:12" ht="13">
      <c r="A198" s="1">
        <v>149</v>
      </c>
      <c r="B198" s="68" t="s">
        <v>363</v>
      </c>
      <c r="C198" s="78" t="e" cm="1">
        <f t="array" ref="C198">IF(B198="","",_xlfn.XLOOKUP(B198,'MES System'!E:E,'MES System'!B:B))</f>
        <v>#N/A</v>
      </c>
      <c r="D198" s="78" t="e" cm="1">
        <f t="array" ref="D198">IF(IF(B198="","",_xlfn.XLOOKUP(B198,'MES System'!E:E,'MES System'!F:F))=0,"",IF(B198="","",_xlfn.XLOOKUP(B198,'MES System'!E:E,'MES System'!F:F)))</f>
        <v>#N/A</v>
      </c>
      <c r="E198" s="78" t="e" cm="1">
        <f t="array" ref="E198">IF(IF(B198="","",_xlfn.XLOOKUP(B198,'MES System'!E:E,'MES System'!N:N))=0,"",IF(B198="","",_xlfn.XLOOKUP(B198,'MES System'!E:E,'MES System'!N:N)))</f>
        <v>#N/A</v>
      </c>
      <c r="F198" s="78" t="e" cm="1">
        <f t="array" ref="F198">IF(IF(B198="","",_xlfn.XLOOKUP(B198,'MES System'!E:E,'MES System'!O:O))=0,"",IF(B198="","",_xlfn.XLOOKUP(B198,'MES System'!E:E,'MES System'!O:O)))</f>
        <v>#N/A</v>
      </c>
      <c r="G198" s="99" t="e" cm="1">
        <f t="array" ref="G198">IF(IF(B198="","",_xlfn.XLOOKUP(B198,'MES System'!E:E,'MES System'!#REF!))=0,"",IF(B198="","",_xlfn.XLOOKUP(B198,'MES System'!E:E,'MES System'!#REF!)))</f>
        <v>#REF!</v>
      </c>
      <c r="H198" s="99" t="e" cm="1">
        <f t="array" ref="H198">IF(IF(B198="","",_xlfn.XLOOKUP(B198,'MES System'!E:E,'MES System'!#REF!))=0,"",IF(B198="","",_xlfn.XLOOKUP(B198,'MES System'!E:E,'MES System'!#REF!)))</f>
        <v>#REF!</v>
      </c>
      <c r="I198" s="99"/>
      <c r="J198" s="78"/>
      <c r="K198" s="78"/>
      <c r="L198" s="103"/>
    </row>
    <row r="199" spans="1:12" ht="13">
      <c r="A199" s="1">
        <v>150</v>
      </c>
      <c r="B199" s="72">
        <v>300001</v>
      </c>
      <c r="C199" s="79" t="e" cm="1">
        <f t="array" ref="C199">IF(B199="","",_xlfn.XLOOKUP(B199,'MES System'!E:E,'MES System'!B:B))</f>
        <v>#N/A</v>
      </c>
      <c r="D199" s="79" t="e" cm="1">
        <f t="array" ref="D199">IF(IF(B199="","",_xlfn.XLOOKUP(B199,'MES System'!E:E,'MES System'!F:F))=0,"",IF(B199="","",_xlfn.XLOOKUP(B199,'MES System'!E:E,'MES System'!F:F)))</f>
        <v>#N/A</v>
      </c>
      <c r="E199" s="79" t="e" cm="1">
        <f t="array" ref="E199">IF(IF(B199="","",_xlfn.XLOOKUP(B199,'MES System'!E:E,'MES System'!N:N))=0,"",IF(B199="","",_xlfn.XLOOKUP(B199,'MES System'!E:E,'MES System'!N:N)))</f>
        <v>#N/A</v>
      </c>
      <c r="F199" s="79" t="e" cm="1">
        <f t="array" ref="F199">IF(IF(B199="","",_xlfn.XLOOKUP(B199,'MES System'!E:E,'MES System'!O:O))=0,"",IF(B199="","",_xlfn.XLOOKUP(B199,'MES System'!E:E,'MES System'!O:O)))</f>
        <v>#N/A</v>
      </c>
      <c r="G199" s="100" t="e" cm="1">
        <f t="array" ref="G199">IF(IF(B199="","",_xlfn.XLOOKUP(B199,'MES System'!E:E,'MES System'!#REF!))=0,"",IF(B199="","",_xlfn.XLOOKUP(B199,'MES System'!E:E,'MES System'!#REF!)))</f>
        <v>#REF!</v>
      </c>
      <c r="H199" s="100" t="e" cm="1">
        <f t="array" ref="H199">IF(IF(B199="","",_xlfn.XLOOKUP(B199,'MES System'!E:E,'MES System'!#REF!))=0,"",IF(B199="","",_xlfn.XLOOKUP(B199,'MES System'!E:E,'MES System'!#REF!)))</f>
        <v>#REF!</v>
      </c>
      <c r="I199" s="100"/>
      <c r="J199" s="79" t="s">
        <v>1950</v>
      </c>
      <c r="K199" s="79" t="s">
        <v>1890</v>
      </c>
      <c r="L199" s="104"/>
    </row>
    <row r="200" spans="1:12" ht="26">
      <c r="A200" s="1">
        <v>167</v>
      </c>
      <c r="B200" s="72">
        <v>300002</v>
      </c>
      <c r="C200" s="79" t="e" cm="1">
        <f t="array" ref="C200">IF(B200="","",_xlfn.XLOOKUP(B200,'MES System'!E:E,'MES System'!B:B))</f>
        <v>#N/A</v>
      </c>
      <c r="D200" s="79" t="e" cm="1">
        <f t="array" ref="D200">IF(IF(B200="","",_xlfn.XLOOKUP(B200,'MES System'!E:E,'MES System'!F:F))=0,"",IF(B200="","",_xlfn.XLOOKUP(B200,'MES System'!E:E,'MES System'!F:F)))</f>
        <v>#N/A</v>
      </c>
      <c r="E200" s="79" t="e" cm="1">
        <f t="array" ref="E200">IF(IF(B200="","",_xlfn.XLOOKUP(B200,'MES System'!E:E,'MES System'!N:N))=0,"",IF(B200="","",_xlfn.XLOOKUP(B200,'MES System'!E:E,'MES System'!N:N)))</f>
        <v>#N/A</v>
      </c>
      <c r="F200" s="79" t="e" cm="1">
        <f t="array" ref="F200">IF(IF(B200="","",_xlfn.XLOOKUP(B200,'MES System'!E:E,'MES System'!O:O))=0,"",IF(B200="","",_xlfn.XLOOKUP(B200,'MES System'!E:E,'MES System'!O:O)))</f>
        <v>#N/A</v>
      </c>
      <c r="G200" s="100" t="e" cm="1">
        <f t="array" ref="G200">IF(IF(B200="","",_xlfn.XLOOKUP(B200,'MES System'!E:E,'MES System'!#REF!))=0,"",IF(B200="","",_xlfn.XLOOKUP(B200,'MES System'!E:E,'MES System'!#REF!)))</f>
        <v>#REF!</v>
      </c>
      <c r="H200" s="100" t="e" cm="1">
        <f t="array" ref="H200">IF(IF(B200="","",_xlfn.XLOOKUP(B200,'MES System'!E:E,'MES System'!#REF!))=0,"",IF(B200="","",_xlfn.XLOOKUP(B200,'MES System'!E:E,'MES System'!#REF!)))</f>
        <v>#REF!</v>
      </c>
      <c r="I200" s="100"/>
      <c r="J200" s="79" t="s">
        <v>1950</v>
      </c>
      <c r="K200" s="114" t="s">
        <v>2007</v>
      </c>
      <c r="L200" s="104" t="s">
        <v>1985</v>
      </c>
    </row>
    <row r="201" spans="1:12" ht="13">
      <c r="A201" s="1">
        <v>168</v>
      </c>
      <c r="B201" s="72">
        <v>300003</v>
      </c>
      <c r="C201" s="79" t="e" cm="1">
        <f t="array" ref="C201">IF(B201="","",_xlfn.XLOOKUP(B201,'MES System'!E:E,'MES System'!B:B))</f>
        <v>#N/A</v>
      </c>
      <c r="D201" s="79" t="e" cm="1">
        <f t="array" ref="D201">IF(IF(B201="","",_xlfn.XLOOKUP(B201,'MES System'!E:E,'MES System'!F:F))=0,"",IF(B201="","",_xlfn.XLOOKUP(B201,'MES System'!E:E,'MES System'!F:F)))</f>
        <v>#N/A</v>
      </c>
      <c r="E201" s="79" t="e" cm="1">
        <f t="array" ref="E201">IF(IF(B201="","",_xlfn.XLOOKUP(B201,'MES System'!E:E,'MES System'!N:N))=0,"",IF(B201="","",_xlfn.XLOOKUP(B201,'MES System'!E:E,'MES System'!N:N)))</f>
        <v>#N/A</v>
      </c>
      <c r="F201" s="79" t="e" cm="1">
        <f t="array" ref="F201">IF(IF(B201="","",_xlfn.XLOOKUP(B201,'MES System'!E:E,'MES System'!O:O))=0,"",IF(B201="","",_xlfn.XLOOKUP(B201,'MES System'!E:E,'MES System'!O:O)))</f>
        <v>#N/A</v>
      </c>
      <c r="G201" s="100" t="e" cm="1">
        <f t="array" ref="G201">IF(IF(B201="","",_xlfn.XLOOKUP(B201,'MES System'!E:E,'MES System'!#REF!))=0,"",IF(B201="","",_xlfn.XLOOKUP(B201,'MES System'!E:E,'MES System'!#REF!)))</f>
        <v>#REF!</v>
      </c>
      <c r="H201" s="100" t="e" cm="1">
        <f t="array" ref="H201">IF(IF(B201="","",_xlfn.XLOOKUP(B201,'MES System'!E:E,'MES System'!#REF!))=0,"",IF(B201="","",_xlfn.XLOOKUP(B201,'MES System'!E:E,'MES System'!#REF!)))</f>
        <v>#REF!</v>
      </c>
      <c r="I201" s="107" t="s">
        <v>1957</v>
      </c>
      <c r="J201" s="79" t="s">
        <v>1950</v>
      </c>
      <c r="K201" s="79" t="s">
        <v>1892</v>
      </c>
      <c r="L201" s="104"/>
    </row>
    <row r="202" spans="1:12" ht="13">
      <c r="A202" s="1">
        <v>168</v>
      </c>
      <c r="B202" s="72">
        <v>300004</v>
      </c>
      <c r="C202" s="79" t="e" cm="1">
        <f t="array" ref="C202">IF(B202="","",_xlfn.XLOOKUP(B202,'MES System'!E:E,'MES System'!B:B))</f>
        <v>#N/A</v>
      </c>
      <c r="D202" s="79" t="e" cm="1">
        <f t="array" ref="D202">IF(IF(B202="","",_xlfn.XLOOKUP(B202,'MES System'!E:E,'MES System'!F:F))=0,"",IF(B202="","",_xlfn.XLOOKUP(B202,'MES System'!E:E,'MES System'!F:F)))</f>
        <v>#N/A</v>
      </c>
      <c r="E202" s="79" t="e" cm="1">
        <f t="array" ref="E202">IF(IF(B202="","",_xlfn.XLOOKUP(B202,'MES System'!E:E,'MES System'!N:N))=0,"",IF(B202="","",_xlfn.XLOOKUP(B202,'MES System'!E:E,'MES System'!N:N)))</f>
        <v>#N/A</v>
      </c>
      <c r="F202" s="79" t="e" cm="1">
        <f t="array" ref="F202">IF(IF(B202="","",_xlfn.XLOOKUP(B202,'MES System'!E:E,'MES System'!O:O))=0,"",IF(B202="","",_xlfn.XLOOKUP(B202,'MES System'!E:E,'MES System'!O:O)))</f>
        <v>#N/A</v>
      </c>
      <c r="G202" s="100" t="e" cm="1">
        <f t="array" ref="G202">IF(IF(B202="","",_xlfn.XLOOKUP(B202,'MES System'!E:E,'MES System'!#REF!))=0,"",IF(B202="","",_xlfn.XLOOKUP(B202,'MES System'!E:E,'MES System'!#REF!)))</f>
        <v>#REF!</v>
      </c>
      <c r="H202" s="100" t="e" cm="1">
        <f t="array" ref="H202">IF(IF(B202="","",_xlfn.XLOOKUP(B202,'MES System'!E:E,'MES System'!#REF!))=0,"",IF(B202="","",_xlfn.XLOOKUP(B202,'MES System'!E:E,'MES System'!#REF!)))</f>
        <v>#REF!</v>
      </c>
      <c r="I202" s="107" t="s">
        <v>1957</v>
      </c>
      <c r="J202" s="79" t="s">
        <v>1950</v>
      </c>
      <c r="K202" s="79" t="s">
        <v>1892</v>
      </c>
      <c r="L202" s="104"/>
    </row>
    <row r="203" spans="1:12" ht="13">
      <c r="A203" s="1">
        <v>169</v>
      </c>
      <c r="B203" s="70"/>
      <c r="C203" s="80" t="str" cm="1">
        <f t="array" ref="C203">IF(B203="","",_xlfn.XLOOKUP(B203,'MES System'!E:E,'MES System'!B:B))</f>
        <v/>
      </c>
      <c r="D203" s="80" t="str" cm="1">
        <f t="array" ref="D203">IF(IF(B203="","",_xlfn.XLOOKUP(B203,'MES System'!E:E,'MES System'!F:F))=0,"",IF(B203="","",_xlfn.XLOOKUP(B203,'MES System'!E:E,'MES System'!F:F)))</f>
        <v/>
      </c>
      <c r="E203" s="80" t="str" cm="1">
        <f t="array" ref="E203">IF(IF(B203="","",_xlfn.XLOOKUP(B203,'MES System'!E:E,'MES System'!N:N))=0,"",IF(B203="","",_xlfn.XLOOKUP(B203,'MES System'!E:E,'MES System'!N:N)))</f>
        <v/>
      </c>
      <c r="F203" s="80" t="str" cm="1">
        <f t="array" ref="F203">IF(IF(B203="","",_xlfn.XLOOKUP(B203,'MES System'!E:E,'MES System'!O:O))=0,"",IF(B203="","",_xlfn.XLOOKUP(B203,'MES System'!E:E,'MES System'!O:O)))</f>
        <v/>
      </c>
      <c r="G203" s="92" t="str" cm="1">
        <f t="array" ref="G203">IF(IF(B203="","",_xlfn.XLOOKUP(B203,'MES System'!E:E,'MES System'!#REF!))=0,"",IF(B203="","",_xlfn.XLOOKUP(B203,'MES System'!E:E,'MES System'!#REF!)))</f>
        <v/>
      </c>
      <c r="H203" s="92" t="str" cm="1">
        <f t="array" ref="H203">IF(IF(B203="","",_xlfn.XLOOKUP(B203,'MES System'!E:E,'MES System'!#REF!))=0,"",IF(B203="","",_xlfn.XLOOKUP(B203,'MES System'!E:E,'MES System'!#REF!)))</f>
        <v/>
      </c>
      <c r="I203" s="92"/>
      <c r="J203" s="80"/>
      <c r="K203" s="80"/>
      <c r="L203" s="105"/>
    </row>
    <row r="204" spans="1:12" ht="13">
      <c r="A204" s="1">
        <v>73</v>
      </c>
      <c r="B204" s="68" t="s">
        <v>1914</v>
      </c>
      <c r="C204" s="78" t="str" cm="1">
        <f t="array" ref="C204">IF(B204="","",_xlfn.XLOOKUP(B204,'MES System'!E:E,'MES System'!B:B))</f>
        <v xml:space="preserve">  └ 공지사항 관리</v>
      </c>
      <c r="D204" s="78" t="str" cm="1">
        <f t="array" ref="D204">IF(IF(B204="","",_xlfn.XLOOKUP(B204,'MES System'!E:E,'MES System'!F:F))=0,"",IF(B204="","",_xlfn.XLOOKUP(B204,'MES System'!E:E,'MES System'!F:F)))</f>
        <v>공지사항 관리</v>
      </c>
      <c r="E204" s="78" t="str" cm="1">
        <f t="array" ref="E204">IF(IF(B204="","",_xlfn.XLOOKUP(B204,'MES System'!E:E,'MES System'!N:N))=0,"",IF(B204="","",_xlfn.XLOOKUP(B204,'MES System'!E:E,'MES System'!N:N)))</f>
        <v/>
      </c>
      <c r="F204" s="78" t="str" cm="1">
        <f t="array" ref="F204">IF(IF(B204="","",_xlfn.XLOOKUP(B204,'MES System'!E:E,'MES System'!O:O))=0,"",IF(B204="","",_xlfn.XLOOKUP(B204,'MES System'!E:E,'MES System'!O:O)))</f>
        <v/>
      </c>
      <c r="G204" s="99" t="e" cm="1">
        <f t="array" ref="G204">IF(IF(B204="","",_xlfn.XLOOKUP(B204,'MES System'!E:E,'MES System'!#REF!))=0,"",IF(B204="","",_xlfn.XLOOKUP(B204,'MES System'!E:E,'MES System'!#REF!)))</f>
        <v>#REF!</v>
      </c>
      <c r="H204" s="99" t="e" cm="1">
        <f t="array" ref="H204">IF(IF(B204="","",_xlfn.XLOOKUP(B204,'MES System'!E:E,'MES System'!#REF!))=0,"",IF(B204="","",_xlfn.XLOOKUP(B204,'MES System'!E:E,'MES System'!#REF!)))</f>
        <v>#REF!</v>
      </c>
      <c r="I204" s="99"/>
      <c r="J204" s="78"/>
      <c r="K204" s="78"/>
      <c r="L204" s="103"/>
    </row>
    <row r="205" spans="1:12" ht="39">
      <c r="A205" s="1">
        <v>150</v>
      </c>
      <c r="B205" s="72">
        <v>910001</v>
      </c>
      <c r="C205" s="79" t="str" cm="1">
        <f t="array" ref="C205">IF(B205="","",_xlfn.XLOOKUP(B205,'MES System'!E:E,'MES System'!B:B))</f>
        <v xml:space="preserve">    └ (공통)공지사항 등록</v>
      </c>
      <c r="D205" s="79" t="str" cm="1">
        <f t="array" ref="D205">IF(IF(B205="","",_xlfn.XLOOKUP(B205,'MES System'!E:E,'MES System'!F:F))=0,"",IF(B205="","",_xlfn.XLOOKUP(B205,'MES System'!E:E,'MES System'!F:F)))</f>
        <v>공지사항 등록</v>
      </c>
      <c r="E205" s="79" t="str" cm="1">
        <f t="array" ref="E205">IF(IF(B205="","",_xlfn.XLOOKUP(B205,'MES System'!E:E,'MES System'!N:N))=0,"",IF(B205="","",_xlfn.XLOOKUP(B205,'MES System'!E:E,'MES System'!N:N)))</f>
        <v>notice</v>
      </c>
      <c r="F205" s="79" t="str" cm="1">
        <f t="array" ref="F205">IF(IF(B205="","",_xlfn.XLOOKUP(B205,'MES System'!E:E,'MES System'!O:O))=0,"",IF(B205="","",_xlfn.XLOOKUP(B205,'MES System'!E:E,'MES System'!O:O)))</f>
        <v>NoticeWork</v>
      </c>
      <c r="G205" s="100" t="e" cm="1">
        <f t="array" ref="G205">IF(IF(B205="","",_xlfn.XLOOKUP(B205,'MES System'!E:E,'MES System'!#REF!))=0,"",IF(B205="","",_xlfn.XLOOKUP(B205,'MES System'!E:E,'MES System'!#REF!)))</f>
        <v>#REF!</v>
      </c>
      <c r="H205" s="100" t="e" cm="1">
        <f t="array" ref="H205">IF(IF(B205="","",_xlfn.XLOOKUP(B205,'MES System'!E:E,'MES System'!#REF!))=0,"",IF(B205="","",_xlfn.XLOOKUP(B205,'MES System'!E:E,'MES System'!#REF!)))</f>
        <v>#REF!</v>
      </c>
      <c r="I205" s="100"/>
      <c r="J205" s="79" t="s">
        <v>1951</v>
      </c>
      <c r="K205" s="79" t="s">
        <v>1921</v>
      </c>
      <c r="L205" s="110" t="s">
        <v>1977</v>
      </c>
    </row>
    <row r="206" spans="1:12" ht="13">
      <c r="A206" s="1">
        <v>167</v>
      </c>
      <c r="B206" s="72">
        <v>910002</v>
      </c>
      <c r="C206" s="79" t="str" cm="1">
        <f t="array" ref="C206">IF(B206="","",_xlfn.XLOOKUP(B206,'MES System'!E:E,'MES System'!B:B))</f>
        <v xml:space="preserve">    └ (공통)공지사항 확인</v>
      </c>
      <c r="D206" s="79" t="str" cm="1">
        <f t="array" ref="D206">IF(IF(B206="","",_xlfn.XLOOKUP(B206,'MES System'!E:E,'MES System'!F:F))=0,"",IF(B206="","",_xlfn.XLOOKUP(B206,'MES System'!E:E,'MES System'!F:F)))</f>
        <v>공지사항 확인</v>
      </c>
      <c r="E206" s="79" t="str" cm="1">
        <f t="array" ref="E206">IF(IF(B206="","",_xlfn.XLOOKUP(B206,'MES System'!E:E,'MES System'!N:N))=0,"",IF(B206="","",_xlfn.XLOOKUP(B206,'MES System'!E:E,'MES System'!N:N)))</f>
        <v>notice</v>
      </c>
      <c r="F206" s="79" t="str" cm="1">
        <f t="array" ref="F206">IF(IF(B206="","",_xlfn.XLOOKUP(B206,'MES System'!E:E,'MES System'!O:O))=0,"",IF(B206="","",_xlfn.XLOOKUP(B206,'MES System'!E:E,'MES System'!O:O)))</f>
        <v>NoticeView</v>
      </c>
      <c r="G206" s="100" t="e" cm="1">
        <f t="array" ref="G206">IF(IF(B206="","",_xlfn.XLOOKUP(B206,'MES System'!E:E,'MES System'!#REF!))=0,"",IF(B206="","",_xlfn.XLOOKUP(B206,'MES System'!E:E,'MES System'!#REF!)))</f>
        <v>#REF!</v>
      </c>
      <c r="H206" s="100" t="e" cm="1">
        <f t="array" ref="H206">IF(IF(B206="","",_xlfn.XLOOKUP(B206,'MES System'!E:E,'MES System'!#REF!))=0,"",IF(B206="","",_xlfn.XLOOKUP(B206,'MES System'!E:E,'MES System'!#REF!)))</f>
        <v>#REF!</v>
      </c>
      <c r="I206" s="100"/>
      <c r="J206" s="79" t="s">
        <v>1951</v>
      </c>
      <c r="K206" s="79" t="s">
        <v>1922</v>
      </c>
      <c r="L206" s="111" t="s">
        <v>1963</v>
      </c>
    </row>
    <row r="207" spans="1:12" ht="13">
      <c r="A207" s="1">
        <v>169</v>
      </c>
      <c r="B207" s="70"/>
      <c r="C207" s="80" t="str" cm="1">
        <f t="array" ref="C207">IF(B207="","",_xlfn.XLOOKUP(B207,'MES System'!E:E,'MES System'!B:B))</f>
        <v/>
      </c>
      <c r="D207" s="80" t="str" cm="1">
        <f t="array" ref="D207">IF(IF(B207="","",_xlfn.XLOOKUP(B207,'MES System'!E:E,'MES System'!F:F))=0,"",IF(B207="","",_xlfn.XLOOKUP(B207,'MES System'!E:E,'MES System'!F:F)))</f>
        <v/>
      </c>
      <c r="E207" s="80" t="str" cm="1">
        <f t="array" ref="E207">IF(IF(B207="","",_xlfn.XLOOKUP(B207,'MES System'!E:E,'MES System'!N:N))=0,"",IF(B207="","",_xlfn.XLOOKUP(B207,'MES System'!E:E,'MES System'!N:N)))</f>
        <v/>
      </c>
      <c r="F207" s="80" t="str" cm="1">
        <f t="array" ref="F207">IF(IF(B207="","",_xlfn.XLOOKUP(B207,'MES System'!E:E,'MES System'!O:O))=0,"",IF(B207="","",_xlfn.XLOOKUP(B207,'MES System'!E:E,'MES System'!O:O)))</f>
        <v/>
      </c>
      <c r="G207" s="92" t="str" cm="1">
        <f t="array" ref="G207">IF(IF(B207="","",_xlfn.XLOOKUP(B207,'MES System'!E:E,'MES System'!#REF!))=0,"",IF(B207="","",_xlfn.XLOOKUP(B207,'MES System'!E:E,'MES System'!#REF!)))</f>
        <v/>
      </c>
      <c r="H207" s="92" t="str" cm="1">
        <f t="array" ref="H207">IF(IF(B207="","",_xlfn.XLOOKUP(B207,'MES System'!E:E,'MES System'!#REF!))=0,"",IF(B207="","",_xlfn.XLOOKUP(B207,'MES System'!E:E,'MES System'!#REF!)))</f>
        <v/>
      </c>
      <c r="I207" s="92"/>
      <c r="J207" s="80"/>
      <c r="K207" s="80"/>
      <c r="L207" s="105"/>
    </row>
    <row r="208" spans="1:12" ht="13">
      <c r="A208" s="1">
        <v>73</v>
      </c>
      <c r="B208" s="68" t="s">
        <v>1923</v>
      </c>
      <c r="C208" s="78" t="str" cm="1">
        <f t="array" ref="C208">IF(B208="","",_xlfn.XLOOKUP(B208,'MES System'!E:E,'MES System'!B:B))</f>
        <v xml:space="preserve">  └ 임원정보</v>
      </c>
      <c r="D208" s="78" t="str" cm="1">
        <f t="array" ref="D208">IF(IF(B208="","",_xlfn.XLOOKUP(B208,'MES System'!E:E,'MES System'!F:F))=0,"",IF(B208="","",_xlfn.XLOOKUP(B208,'MES System'!E:E,'MES System'!F:F)))</f>
        <v>임원정보</v>
      </c>
      <c r="E208" s="78" t="str" cm="1">
        <f t="array" ref="E208">IF(IF(B208="","",_xlfn.XLOOKUP(B208,'MES System'!E:E,'MES System'!N:N))=0,"",IF(B208="","",_xlfn.XLOOKUP(B208,'MES System'!E:E,'MES System'!N:N)))</f>
        <v/>
      </c>
      <c r="F208" s="78" t="str" cm="1">
        <f t="array" ref="F208">IF(IF(B208="","",_xlfn.XLOOKUP(B208,'MES System'!E:E,'MES System'!O:O))=0,"",IF(B208="","",_xlfn.XLOOKUP(B208,'MES System'!E:E,'MES System'!O:O)))</f>
        <v/>
      </c>
      <c r="G208" s="99" t="e" cm="1">
        <f t="array" ref="G208">IF(IF(B208="","",_xlfn.XLOOKUP(B208,'MES System'!E:E,'MES System'!#REF!))=0,"",IF(B208="","",_xlfn.XLOOKUP(B208,'MES System'!E:E,'MES System'!#REF!)))</f>
        <v>#REF!</v>
      </c>
      <c r="H208" s="99" t="e" cm="1">
        <f t="array" ref="H208">IF(IF(B208="","",_xlfn.XLOOKUP(B208,'MES System'!E:E,'MES System'!#REF!))=0,"",IF(B208="","",_xlfn.XLOOKUP(B208,'MES System'!E:E,'MES System'!#REF!)))</f>
        <v>#REF!</v>
      </c>
      <c r="I208" s="99"/>
      <c r="J208" s="78"/>
      <c r="K208" s="78"/>
      <c r="L208" s="103"/>
    </row>
    <row r="209" spans="1:12" ht="13">
      <c r="A209" s="1">
        <v>150</v>
      </c>
      <c r="B209" s="72">
        <v>920001</v>
      </c>
      <c r="C209" s="79" t="e" cm="1">
        <f t="array" ref="C209">IF(B209="","",_xlfn.XLOOKUP(B209,'MES System'!E:E,'MES System'!B:B))</f>
        <v>#N/A</v>
      </c>
      <c r="D209" s="79" t="e" cm="1">
        <f t="array" ref="D209">IF(IF(B209="","",_xlfn.XLOOKUP(B209,'MES System'!E:E,'MES System'!F:F))=0,"",IF(B209="","",_xlfn.XLOOKUP(B209,'MES System'!E:E,'MES System'!F:F)))</f>
        <v>#N/A</v>
      </c>
      <c r="E209" s="79" t="e" cm="1">
        <f t="array" ref="E209">IF(IF(B209="","",_xlfn.XLOOKUP(B209,'MES System'!E:E,'MES System'!N:N))=0,"",IF(B209="","",_xlfn.XLOOKUP(B209,'MES System'!E:E,'MES System'!N:N)))</f>
        <v>#N/A</v>
      </c>
      <c r="F209" s="79" t="e" cm="1">
        <f t="array" ref="F209">IF(IF(B209="","",_xlfn.XLOOKUP(B209,'MES System'!E:E,'MES System'!O:O))=0,"",IF(B209="","",_xlfn.XLOOKUP(B209,'MES System'!E:E,'MES System'!O:O)))</f>
        <v>#N/A</v>
      </c>
      <c r="G209" s="100" t="e" cm="1">
        <f t="array" ref="G209">IF(IF(B209="","",_xlfn.XLOOKUP(B209,'MES System'!E:E,'MES System'!#REF!))=0,"",IF(B209="","",_xlfn.XLOOKUP(B209,'MES System'!E:E,'MES System'!#REF!)))</f>
        <v>#REF!</v>
      </c>
      <c r="H209" s="100" t="e" cm="1">
        <f t="array" ref="H209">IF(IF(B209="","",_xlfn.XLOOKUP(B209,'MES System'!E:E,'MES System'!#REF!))=0,"",IF(B209="","",_xlfn.XLOOKUP(B209,'MES System'!E:E,'MES System'!#REF!)))</f>
        <v>#REF!</v>
      </c>
      <c r="I209" s="107" t="s">
        <v>1957</v>
      </c>
      <c r="J209" s="79" t="s">
        <v>1951</v>
      </c>
      <c r="K209" s="79" t="s">
        <v>1834</v>
      </c>
      <c r="L209" s="104" t="s">
        <v>2063</v>
      </c>
    </row>
    <row r="210" spans="1:12" ht="13">
      <c r="A210" s="1">
        <v>167</v>
      </c>
      <c r="B210" s="72">
        <v>920002</v>
      </c>
      <c r="C210" s="79" t="str" cm="1">
        <f t="array" ref="C210">IF(B210="","",_xlfn.XLOOKUP(B210,'MES System'!E:E,'MES System'!B:B))</f>
        <v xml:space="preserve">    └ (프로젝트)AR List</v>
      </c>
      <c r="D210" s="79" t="str" cm="1">
        <f t="array" ref="D210">IF(IF(B210="","",_xlfn.XLOOKUP(B210,'MES System'!E:E,'MES System'!F:F))=0,"",IF(B210="","",_xlfn.XLOOKUP(B210,'MES System'!E:E,'MES System'!F:F)))</f>
        <v>AR List</v>
      </c>
      <c r="E210" s="79" t="str" cm="1">
        <f t="array" ref="E210">IF(IF(B210="","",_xlfn.XLOOKUP(B210,'MES System'!E:E,'MES System'!N:N))=0,"",IF(B210="","",_xlfn.XLOOKUP(B210,'MES System'!E:E,'MES System'!N:N)))</f>
        <v>eis.project</v>
      </c>
      <c r="F210" s="79" t="str" cm="1">
        <f t="array" ref="F210">IF(IF(B210="","",_xlfn.XLOOKUP(B210,'MES System'!E:E,'MES System'!O:O))=0,"",IF(B210="","",_xlfn.XLOOKUP(B210,'MES System'!E:E,'MES System'!O:O)))</f>
        <v>ARList</v>
      </c>
      <c r="G210" s="100" t="e" cm="1">
        <f t="array" ref="G210">IF(IF(B210="","",_xlfn.XLOOKUP(B210,'MES System'!E:E,'MES System'!#REF!))=0,"",IF(B210="","",_xlfn.XLOOKUP(B210,'MES System'!E:E,'MES System'!#REF!)))</f>
        <v>#REF!</v>
      </c>
      <c r="H210" s="100" t="e" cm="1">
        <f t="array" ref="H210">IF(IF(B210="","",_xlfn.XLOOKUP(B210,'MES System'!E:E,'MES System'!#REF!))=0,"",IF(B210="","",_xlfn.XLOOKUP(B210,'MES System'!E:E,'MES System'!#REF!)))</f>
        <v>#REF!</v>
      </c>
      <c r="I210" s="107" t="s">
        <v>1957</v>
      </c>
      <c r="J210" s="79" t="s">
        <v>1951</v>
      </c>
      <c r="K210" s="79" t="s">
        <v>1893</v>
      </c>
      <c r="L210" s="104"/>
    </row>
    <row r="211" spans="1:12" ht="13">
      <c r="A211" s="1">
        <v>168</v>
      </c>
      <c r="B211" s="72">
        <v>920003</v>
      </c>
      <c r="C211" s="79" t="str" cm="1">
        <f t="array" ref="C211">IF(B211="","",_xlfn.XLOOKUP(B211,'MES System'!E:E,'MES System'!B:B))</f>
        <v xml:space="preserve">    └ (프로젝트)불량현황</v>
      </c>
      <c r="D211" s="79" t="str" cm="1">
        <f t="array" ref="D211">IF(IF(B211="","",_xlfn.XLOOKUP(B211,'MES System'!E:E,'MES System'!F:F))=0,"",IF(B211="","",_xlfn.XLOOKUP(B211,'MES System'!E:E,'MES System'!F:F)))</f>
        <v>불량현황</v>
      </c>
      <c r="E211" s="79" t="str" cm="1">
        <f t="array" ref="E211">IF(IF(B211="","",_xlfn.XLOOKUP(B211,'MES System'!E:E,'MES System'!N:N))=0,"",IF(B211="","",_xlfn.XLOOKUP(B211,'MES System'!E:E,'MES System'!N:N)))</f>
        <v>eis.project</v>
      </c>
      <c r="F211" s="79" t="str" cm="1">
        <f t="array" ref="F211">IF(IF(B211="","",_xlfn.XLOOKUP(B211,'MES System'!E:E,'MES System'!O:O))=0,"",IF(B211="","",_xlfn.XLOOKUP(B211,'MES System'!E:E,'MES System'!O:O)))</f>
        <v>PoorReport</v>
      </c>
      <c r="G211" s="100" t="e" cm="1">
        <f t="array" ref="G211">IF(IF(B211="","",_xlfn.XLOOKUP(B211,'MES System'!E:E,'MES System'!#REF!))=0,"",IF(B211="","",_xlfn.XLOOKUP(B211,'MES System'!E:E,'MES System'!#REF!)))</f>
        <v>#REF!</v>
      </c>
      <c r="H211" s="100" t="e" cm="1">
        <f t="array" ref="H211">IF(IF(B211="","",_xlfn.XLOOKUP(B211,'MES System'!E:E,'MES System'!#REF!))=0,"",IF(B211="","",_xlfn.XLOOKUP(B211,'MES System'!E:E,'MES System'!#REF!)))</f>
        <v>#REF!</v>
      </c>
      <c r="I211" s="107" t="s">
        <v>1957</v>
      </c>
      <c r="J211" s="79" t="s">
        <v>1951</v>
      </c>
      <c r="K211" s="79" t="s">
        <v>1895</v>
      </c>
      <c r="L211" s="104"/>
    </row>
    <row r="212" spans="1:12" ht="13">
      <c r="A212" s="1">
        <v>168</v>
      </c>
      <c r="B212" s="72">
        <v>920004</v>
      </c>
      <c r="C212" s="79" t="str" cm="1">
        <f t="array" ref="C212">IF(B212="","",_xlfn.XLOOKUP(B212,'MES System'!E:E,'MES System'!B:B))</f>
        <v xml:space="preserve">    └ (프로젝트)Load / Capa 현황</v>
      </c>
      <c r="D212" s="79" t="str" cm="1">
        <f t="array" ref="D212">IF(IF(B212="","",_xlfn.XLOOKUP(B212,'MES System'!E:E,'MES System'!F:F))=0,"",IF(B212="","",_xlfn.XLOOKUP(B212,'MES System'!E:E,'MES System'!F:F)))</f>
        <v>Load / Capa 현황</v>
      </c>
      <c r="E212" s="79" t="str" cm="1">
        <f t="array" ref="E212">IF(IF(B212="","",_xlfn.XLOOKUP(B212,'MES System'!E:E,'MES System'!N:N))=0,"",IF(B212="","",_xlfn.XLOOKUP(B212,'MES System'!E:E,'MES System'!N:N)))</f>
        <v>eis.project</v>
      </c>
      <c r="F212" s="79" t="str" cm="1">
        <f t="array" ref="F212">IF(IF(B212="","",_xlfn.XLOOKUP(B212,'MES System'!E:E,'MES System'!O:O))=0,"",IF(B212="","",_xlfn.XLOOKUP(B212,'MES System'!E:E,'MES System'!O:O)))</f>
        <v>LoadCapaList</v>
      </c>
      <c r="G212" s="100" t="e" cm="1">
        <f t="array" ref="G212">IF(IF(B212="","",_xlfn.XLOOKUP(B212,'MES System'!E:E,'MES System'!#REF!))=0,"",IF(B212="","",_xlfn.XLOOKUP(B212,'MES System'!E:E,'MES System'!#REF!)))</f>
        <v>#REF!</v>
      </c>
      <c r="H212" s="100" t="e" cm="1">
        <f t="array" ref="H212">IF(IF(B212="","",_xlfn.XLOOKUP(B212,'MES System'!E:E,'MES System'!#REF!))=0,"",IF(B212="","",_xlfn.XLOOKUP(B212,'MES System'!E:E,'MES System'!#REF!)))</f>
        <v>#REF!</v>
      </c>
      <c r="I212" s="107" t="s">
        <v>1957</v>
      </c>
      <c r="J212" s="79" t="s">
        <v>1951</v>
      </c>
      <c r="K212" s="79" t="s">
        <v>1894</v>
      </c>
      <c r="L212" s="104"/>
    </row>
    <row r="213" spans="1:12">
      <c r="A213" s="1">
        <v>172</v>
      </c>
      <c r="B213" s="70"/>
      <c r="C213" s="80" t="s">
        <v>900</v>
      </c>
      <c r="D213" s="80"/>
      <c r="E213" s="80"/>
      <c r="F213" s="80"/>
      <c r="G213" s="92" t="str" cm="1">
        <f t="array" ref="G213">IF(IF(B213="","",_xlfn.XLOOKUP(B213,'MES System'!E:E,'MES System'!#REF!))=0,"",IF(B213="","",_xlfn.XLOOKUP(B213,'MES System'!E:E,'MES System'!#REF!)))</f>
        <v/>
      </c>
      <c r="H213" s="92" t="str" cm="1">
        <f t="array" ref="H213">IF(IF(B213="","",_xlfn.XLOOKUP(B213,'MES System'!E:E,'MES System'!#REF!))=0,"",IF(B213="","",_xlfn.XLOOKUP(B213,'MES System'!E:E,'MES System'!#REF!)))</f>
        <v/>
      </c>
      <c r="I213" s="93"/>
      <c r="J213" s="93"/>
      <c r="K213" s="86"/>
      <c r="L213" s="87"/>
    </row>
    <row r="214" spans="1:12" ht="13">
      <c r="A214" s="1">
        <v>73</v>
      </c>
      <c r="B214" s="68" t="s">
        <v>2037</v>
      </c>
      <c r="C214" s="78" t="str" cm="1">
        <f t="array" ref="C214">IF(B214="","",_xlfn.XLOOKUP(B214,'MES System'!E:E,'MES System'!B:B))</f>
        <v xml:space="preserve">  └ 표준원가 관리</v>
      </c>
      <c r="D214" s="78" t="str" cm="1">
        <f t="array" ref="D214">IF(IF(B214="","",_xlfn.XLOOKUP(B214,'MES System'!E:E,'MES System'!F:F))=0,"",IF(B214="","",_xlfn.XLOOKUP(B214,'MES System'!E:E,'MES System'!F:F)))</f>
        <v>표준원가 관리</v>
      </c>
      <c r="E214" s="78" t="str" cm="1">
        <f t="array" ref="E214">IF(IF(B214="","",_xlfn.XLOOKUP(B214,'MES System'!E:E,'MES System'!N:N))=0,"",IF(B214="","",_xlfn.XLOOKUP(B214,'MES System'!E:E,'MES System'!N:N)))</f>
        <v/>
      </c>
      <c r="F214" s="78" t="str" cm="1">
        <f t="array" ref="F214">IF(IF(B214="","",_xlfn.XLOOKUP(B214,'MES System'!E:E,'MES System'!O:O))=0,"",IF(B214="","",_xlfn.XLOOKUP(B214,'MES System'!E:E,'MES System'!O:O)))</f>
        <v/>
      </c>
      <c r="G214" s="99" t="e" cm="1">
        <f t="array" ref="G214">IF(IF(B214="","",_xlfn.XLOOKUP(B214,'MES System'!E:E,'MES System'!#REF!))=0,"",IF(B214="","",_xlfn.XLOOKUP(B214,'MES System'!E:E,'MES System'!#REF!)))</f>
        <v>#REF!</v>
      </c>
      <c r="H214" s="99" t="e" cm="1">
        <f t="array" ref="H214">IF(IF(B214="","",_xlfn.XLOOKUP(B214,'MES System'!E:E,'MES System'!#REF!))=0,"",IF(B214="","",_xlfn.XLOOKUP(B214,'MES System'!E:E,'MES System'!#REF!)))</f>
        <v>#REF!</v>
      </c>
      <c r="I214" s="99"/>
      <c r="J214" s="78"/>
      <c r="K214" s="78"/>
      <c r="L214" s="103"/>
    </row>
    <row r="215" spans="1:12" ht="13">
      <c r="A215" s="1">
        <v>150</v>
      </c>
      <c r="B215" s="72">
        <v>400001</v>
      </c>
      <c r="C215" s="79" t="str" cm="1">
        <f t="array" ref="C215">IF(B215="","",_xlfn.XLOOKUP(B215,'MES System'!E:E,'MES System'!B:B))</f>
        <v xml:space="preserve">    └ (선택)표준원가 등록</v>
      </c>
      <c r="D215" s="79" t="str" cm="1">
        <f t="array" ref="D215">IF(IF(B215="","",_xlfn.XLOOKUP(B215,'MES System'!E:E,'MES System'!F:F))=0,"",IF(B215="","",_xlfn.XLOOKUP(B215,'MES System'!E:E,'MES System'!F:F)))</f>
        <v>표준원가 등록</v>
      </c>
      <c r="E215" s="79" t="str" cm="1">
        <f t="array" ref="E215">IF(IF(B215="","",_xlfn.XLOOKUP(B215,'MES System'!E:E,'MES System'!N:N))=0,"",IF(B215="","",_xlfn.XLOOKUP(B215,'MES System'!E:E,'MES System'!N:N)))</f>
        <v>cost</v>
      </c>
      <c r="F215" s="79" t="str" cm="1">
        <f t="array" ref="F215">IF(IF(B215="","",_xlfn.XLOOKUP(B215,'MES System'!E:E,'MES System'!O:O))=0,"",IF(B215="","",_xlfn.XLOOKUP(B215,'MES System'!E:E,'MES System'!O:O)))</f>
        <v>StndCost</v>
      </c>
      <c r="G215" s="100" t="e" cm="1">
        <f t="array" ref="G215">IF(IF(B215="","",_xlfn.XLOOKUP(B215,'MES System'!E:E,'MES System'!#REF!))=0,"",IF(B215="","",_xlfn.XLOOKUP(B215,'MES System'!E:E,'MES System'!#REF!)))</f>
        <v>#REF!</v>
      </c>
      <c r="H215" s="100" t="e" cm="1">
        <f t="array" ref="H215">IF(IF(B215="","",_xlfn.XLOOKUP(B215,'MES System'!E:E,'MES System'!#REF!))=0,"",IF(B215="","",_xlfn.XLOOKUP(B215,'MES System'!E:E,'MES System'!#REF!)))</f>
        <v>#REF!</v>
      </c>
      <c r="I215" s="107" t="s">
        <v>1957</v>
      </c>
      <c r="J215" s="79"/>
      <c r="K215" s="79"/>
      <c r="L215" s="104"/>
    </row>
    <row r="216" spans="1:12" ht="13">
      <c r="A216" s="1">
        <v>167</v>
      </c>
      <c r="B216" s="72">
        <v>400002</v>
      </c>
      <c r="C216" s="79" t="str" cm="1">
        <f t="array" ref="C216">IF(B216="","",_xlfn.XLOOKUP(B216,'MES System'!E:E,'MES System'!B:B))</f>
        <v xml:space="preserve">    └ (선택)품목별 원가 조회</v>
      </c>
      <c r="D216" s="79" t="str" cm="1">
        <f t="array" ref="D216">IF(IF(B216="","",_xlfn.XLOOKUP(B216,'MES System'!E:E,'MES System'!F:F))=0,"",IF(B216="","",_xlfn.XLOOKUP(B216,'MES System'!E:E,'MES System'!F:F)))</f>
        <v>품목별 원가 조회</v>
      </c>
      <c r="E216" s="79" t="str" cm="1">
        <f t="array" ref="E216">IF(IF(B216="","",_xlfn.XLOOKUP(B216,'MES System'!E:E,'MES System'!N:N))=0,"",IF(B216="","",_xlfn.XLOOKUP(B216,'MES System'!E:E,'MES System'!N:N)))</f>
        <v>cost</v>
      </c>
      <c r="F216" s="79" t="str" cm="1">
        <f t="array" ref="F216">IF(IF(B216="","",_xlfn.XLOOKUP(B216,'MES System'!E:E,'MES System'!O:O))=0,"",IF(B216="","",_xlfn.XLOOKUP(B216,'MES System'!E:E,'MES System'!O:O)))</f>
        <v>CostList</v>
      </c>
      <c r="G216" s="100" t="e" cm="1">
        <f t="array" ref="G216">IF(IF(B216="","",_xlfn.XLOOKUP(B216,'MES System'!E:E,'MES System'!#REF!))=0,"",IF(B216="","",_xlfn.XLOOKUP(B216,'MES System'!E:E,'MES System'!#REF!)))</f>
        <v>#REF!</v>
      </c>
      <c r="H216" s="100" t="e" cm="1">
        <f t="array" ref="H216">IF(IF(B216="","",_xlfn.XLOOKUP(B216,'MES System'!E:E,'MES System'!#REF!))=0,"",IF(B216="","",_xlfn.XLOOKUP(B216,'MES System'!E:E,'MES System'!#REF!)))</f>
        <v>#REF!</v>
      </c>
      <c r="I216" s="107" t="s">
        <v>1957</v>
      </c>
      <c r="J216" s="79"/>
      <c r="K216" s="79"/>
      <c r="L216" s="104"/>
    </row>
    <row r="217" spans="1:12">
      <c r="A217" s="1">
        <v>173</v>
      </c>
      <c r="B217" s="70"/>
      <c r="C217" s="80" t="s">
        <v>900</v>
      </c>
      <c r="D217" s="80"/>
      <c r="E217" s="80"/>
      <c r="F217" s="80"/>
      <c r="G217" s="92" t="str" cm="1">
        <f t="array" ref="G217">IF(IF(B217="","",_xlfn.XLOOKUP(B217,'MES System'!E:E,'MES System'!#REF!))=0,"",IF(B217="","",_xlfn.XLOOKUP(B217,'MES System'!E:E,'MES System'!#REF!)))</f>
        <v/>
      </c>
      <c r="H217" s="92" t="str" cm="1">
        <f t="array" ref="H217">IF(IF(B217="","",_xlfn.XLOOKUP(B217,'MES System'!E:E,'MES System'!#REF!))=0,"",IF(B217="","",_xlfn.XLOOKUP(B217,'MES System'!E:E,'MES System'!#REF!)))</f>
        <v/>
      </c>
      <c r="I217" s="93"/>
      <c r="J217" s="93"/>
      <c r="K217" s="86"/>
      <c r="L217" s="87"/>
    </row>
    <row r="218" spans="1:12">
      <c r="A218" s="1">
        <v>174</v>
      </c>
      <c r="B218" s="70"/>
      <c r="C218" s="80" t="s">
        <v>900</v>
      </c>
      <c r="D218" s="80"/>
      <c r="E218" s="80"/>
      <c r="F218" s="80"/>
      <c r="G218" s="92"/>
      <c r="H218" s="92" t="str" cm="1">
        <f t="array" ref="H218">IF(IF(B218="","",_xlfn.XLOOKUP(B218,'MES System'!E:E,'MES System'!#REF!))=0,"",IF(B218="","",_xlfn.XLOOKUP(B218,'MES System'!E:E,'MES System'!#REF!)))</f>
        <v/>
      </c>
      <c r="I218" s="93"/>
      <c r="J218" s="93"/>
      <c r="K218" s="86"/>
      <c r="L218" s="87"/>
    </row>
    <row r="219" spans="1:12">
      <c r="A219" s="1">
        <v>175</v>
      </c>
      <c r="B219" s="70"/>
      <c r="C219" s="80" t="s">
        <v>900</v>
      </c>
      <c r="D219" s="80"/>
      <c r="E219" s="80"/>
      <c r="F219" s="80"/>
      <c r="G219" s="92"/>
      <c r="H219" s="92" t="s">
        <v>900</v>
      </c>
      <c r="I219" s="93"/>
      <c r="J219" s="93"/>
      <c r="K219" s="86"/>
      <c r="L219" s="87"/>
    </row>
    <row r="220" spans="1:12">
      <c r="A220" s="1">
        <v>176</v>
      </c>
      <c r="B220" s="70"/>
      <c r="C220" s="80" t="s">
        <v>900</v>
      </c>
      <c r="D220" s="80"/>
      <c r="E220" s="80"/>
      <c r="F220" s="80"/>
      <c r="G220" s="92"/>
      <c r="H220" s="92" t="s">
        <v>900</v>
      </c>
      <c r="I220" s="93"/>
      <c r="J220" s="93"/>
      <c r="K220" s="86"/>
      <c r="L220" s="87"/>
    </row>
    <row r="221" spans="1:12">
      <c r="A221" s="1">
        <v>177</v>
      </c>
      <c r="B221" s="70"/>
      <c r="C221" s="80" t="s">
        <v>900</v>
      </c>
      <c r="D221" s="80"/>
      <c r="E221" s="80"/>
      <c r="F221" s="80"/>
      <c r="G221" s="92"/>
      <c r="H221" s="92" t="s">
        <v>900</v>
      </c>
      <c r="I221" s="93"/>
      <c r="J221" s="93"/>
      <c r="K221" s="86"/>
      <c r="L221" s="87"/>
    </row>
    <row r="222" spans="1:12">
      <c r="A222" s="1">
        <v>178</v>
      </c>
      <c r="B222" s="70"/>
      <c r="C222" s="80" t="s">
        <v>900</v>
      </c>
      <c r="D222" s="80"/>
      <c r="E222" s="80"/>
      <c r="F222" s="80"/>
      <c r="G222" s="92"/>
      <c r="H222" s="92" t="s">
        <v>900</v>
      </c>
      <c r="I222" s="93"/>
      <c r="J222" s="93"/>
      <c r="K222" s="86"/>
      <c r="L222" s="87"/>
    </row>
    <row r="223" spans="1:12">
      <c r="A223" s="1">
        <v>179</v>
      </c>
      <c r="B223" s="70"/>
      <c r="C223" s="80" t="s">
        <v>900</v>
      </c>
      <c r="D223" s="80"/>
      <c r="E223" s="80"/>
      <c r="F223" s="80"/>
      <c r="G223" s="92"/>
      <c r="H223" s="92" t="s">
        <v>900</v>
      </c>
      <c r="I223" s="93"/>
      <c r="J223" s="93"/>
      <c r="K223" s="86"/>
      <c r="L223" s="87"/>
    </row>
    <row r="224" spans="1:12">
      <c r="A224" s="1">
        <v>180</v>
      </c>
      <c r="B224" s="70"/>
      <c r="C224" s="80" t="s">
        <v>900</v>
      </c>
      <c r="D224" s="80"/>
      <c r="E224" s="80"/>
      <c r="F224" s="80"/>
      <c r="G224" s="92"/>
      <c r="H224" s="92" t="s">
        <v>900</v>
      </c>
      <c r="I224" s="93"/>
      <c r="J224" s="93"/>
      <c r="K224" s="86"/>
      <c r="L224" s="87"/>
    </row>
    <row r="225" spans="1:12">
      <c r="A225" s="1">
        <v>181</v>
      </c>
      <c r="B225" s="70"/>
      <c r="C225" s="80" t="s">
        <v>900</v>
      </c>
      <c r="D225" s="80"/>
      <c r="E225" s="80"/>
      <c r="F225" s="80"/>
      <c r="G225" s="92"/>
      <c r="H225" s="92" t="s">
        <v>900</v>
      </c>
      <c r="I225" s="93"/>
      <c r="J225" s="93"/>
      <c r="K225" s="86"/>
      <c r="L225" s="87"/>
    </row>
    <row r="226" spans="1:12">
      <c r="A226" s="1">
        <v>182</v>
      </c>
      <c r="B226" s="70"/>
      <c r="C226" s="80" t="s">
        <v>900</v>
      </c>
      <c r="D226" s="80"/>
      <c r="E226" s="80"/>
      <c r="F226" s="80"/>
      <c r="G226" s="92"/>
      <c r="H226" s="92" t="s">
        <v>900</v>
      </c>
      <c r="I226" s="93"/>
      <c r="J226" s="93"/>
      <c r="K226" s="86"/>
      <c r="L226" s="87"/>
    </row>
    <row r="227" spans="1:12">
      <c r="A227" s="1">
        <v>183</v>
      </c>
      <c r="B227" s="70"/>
      <c r="C227" s="80" t="s">
        <v>900</v>
      </c>
      <c r="D227" s="80"/>
      <c r="E227" s="80"/>
      <c r="F227" s="80"/>
      <c r="G227" s="92"/>
      <c r="H227" s="92" t="s">
        <v>900</v>
      </c>
      <c r="I227" s="93"/>
      <c r="J227" s="93"/>
      <c r="K227" s="86"/>
      <c r="L227" s="87"/>
    </row>
    <row r="228" spans="1:12">
      <c r="A228" s="1">
        <v>184</v>
      </c>
      <c r="B228" s="70"/>
      <c r="C228" s="80" t="s">
        <v>900</v>
      </c>
      <c r="D228" s="80"/>
      <c r="E228" s="80"/>
      <c r="F228" s="80"/>
      <c r="G228" s="92"/>
      <c r="H228" s="92" t="s">
        <v>900</v>
      </c>
      <c r="I228" s="93"/>
      <c r="J228" s="93"/>
      <c r="K228" s="86"/>
      <c r="L228" s="87"/>
    </row>
    <row r="229" spans="1:12">
      <c r="A229" s="1">
        <v>185</v>
      </c>
      <c r="B229" s="70"/>
      <c r="C229" s="80" t="s">
        <v>900</v>
      </c>
      <c r="D229" s="80"/>
      <c r="E229" s="80"/>
      <c r="F229" s="80"/>
      <c r="G229" s="92"/>
      <c r="H229" s="92" t="s">
        <v>900</v>
      </c>
      <c r="I229" s="93"/>
      <c r="J229" s="93"/>
      <c r="K229" s="86"/>
      <c r="L229" s="87"/>
    </row>
    <row r="230" spans="1:12">
      <c r="A230" s="1">
        <v>186</v>
      </c>
      <c r="B230" s="70"/>
      <c r="C230" s="80" t="s">
        <v>900</v>
      </c>
      <c r="D230" s="80"/>
      <c r="E230" s="80"/>
      <c r="F230" s="80"/>
      <c r="G230" s="92"/>
      <c r="H230" s="92"/>
      <c r="I230" s="93"/>
      <c r="J230" s="93"/>
      <c r="K230" s="86"/>
      <c r="L230" s="87"/>
    </row>
    <row r="231" spans="1:12">
      <c r="A231" s="1">
        <v>187</v>
      </c>
      <c r="B231" s="70"/>
      <c r="C231" s="80" t="s">
        <v>900</v>
      </c>
      <c r="D231" s="80"/>
      <c r="E231" s="80"/>
      <c r="F231" s="80"/>
      <c r="G231" s="92"/>
      <c r="H231" s="92"/>
      <c r="I231" s="93"/>
      <c r="J231" s="93"/>
      <c r="K231" s="86"/>
      <c r="L231" s="87"/>
    </row>
    <row r="232" spans="1:12">
      <c r="A232" s="1">
        <v>188</v>
      </c>
      <c r="B232" s="70"/>
      <c r="C232" s="80" t="s">
        <v>900</v>
      </c>
      <c r="D232" s="80"/>
      <c r="E232" s="80"/>
      <c r="F232" s="80"/>
      <c r="G232" s="92"/>
      <c r="H232" s="92"/>
      <c r="I232" s="93"/>
      <c r="J232" s="93"/>
      <c r="K232" s="86"/>
      <c r="L232" s="87"/>
    </row>
    <row r="233" spans="1:12">
      <c r="A233" s="1">
        <v>460</v>
      </c>
      <c r="B233" s="70"/>
      <c r="C233" s="80"/>
      <c r="D233" s="80"/>
      <c r="E233" s="80"/>
      <c r="F233" s="80"/>
      <c r="G233" s="92"/>
      <c r="H233" s="92"/>
      <c r="I233" s="93"/>
      <c r="J233" s="93"/>
      <c r="K233" s="86"/>
      <c r="L233" s="87"/>
    </row>
    <row r="234" spans="1:12">
      <c r="A234" s="1">
        <v>461</v>
      </c>
      <c r="B234" s="70"/>
      <c r="C234" s="80"/>
      <c r="D234" s="80"/>
      <c r="E234" s="80"/>
      <c r="F234" s="80"/>
      <c r="G234" s="92"/>
      <c r="H234" s="92"/>
      <c r="I234" s="93"/>
      <c r="J234" s="93"/>
      <c r="K234" s="86"/>
      <c r="L234" s="87"/>
    </row>
    <row r="235" spans="1:12">
      <c r="A235" s="1">
        <v>462</v>
      </c>
      <c r="B235" s="70"/>
      <c r="C235" s="80"/>
      <c r="D235" s="80"/>
      <c r="E235" s="80"/>
      <c r="F235" s="80"/>
      <c r="G235" s="92"/>
      <c r="H235" s="92"/>
      <c r="I235" s="93"/>
      <c r="J235" s="93"/>
      <c r="K235" s="86"/>
      <c r="L235" s="87"/>
    </row>
    <row r="236" spans="1:12">
      <c r="A236" s="1">
        <v>463</v>
      </c>
      <c r="B236" s="70"/>
      <c r="C236" s="80"/>
      <c r="D236" s="80"/>
      <c r="E236" s="80"/>
      <c r="F236" s="80"/>
      <c r="G236" s="92"/>
      <c r="H236" s="92"/>
      <c r="I236" s="93"/>
      <c r="J236" s="93"/>
      <c r="K236" s="86"/>
      <c r="L236" s="87"/>
    </row>
    <row r="237" spans="1:12">
      <c r="A237" s="1">
        <v>464</v>
      </c>
      <c r="B237" s="70"/>
      <c r="C237" s="80"/>
      <c r="D237" s="80"/>
      <c r="E237" s="80"/>
      <c r="F237" s="80"/>
      <c r="G237" s="92"/>
      <c r="H237" s="92"/>
      <c r="I237" s="93"/>
      <c r="J237" s="93"/>
      <c r="K237" s="86"/>
      <c r="L237" s="87"/>
    </row>
    <row r="238" spans="1:12">
      <c r="A238" s="1">
        <v>465</v>
      </c>
      <c r="B238" s="70"/>
      <c r="C238" s="80"/>
      <c r="D238" s="80"/>
      <c r="E238" s="80"/>
      <c r="F238" s="80"/>
      <c r="G238" s="92"/>
      <c r="H238" s="92"/>
      <c r="I238" s="93"/>
      <c r="J238" s="93"/>
      <c r="K238" s="86"/>
      <c r="L238" s="87"/>
    </row>
    <row r="239" spans="1:12">
      <c r="A239" s="1">
        <v>466</v>
      </c>
      <c r="B239" s="70"/>
      <c r="C239" s="80"/>
      <c r="D239" s="80"/>
      <c r="E239" s="80"/>
      <c r="F239" s="80"/>
      <c r="G239" s="92"/>
      <c r="H239" s="92"/>
      <c r="I239" s="93"/>
      <c r="J239" s="93"/>
      <c r="K239" s="86"/>
      <c r="L239" s="87"/>
    </row>
    <row r="240" spans="1:12">
      <c r="A240" s="1">
        <v>467</v>
      </c>
      <c r="B240" s="70"/>
      <c r="C240" s="80"/>
      <c r="D240" s="80"/>
      <c r="E240" s="80"/>
      <c r="F240" s="80"/>
      <c r="G240" s="92"/>
      <c r="H240" s="92"/>
      <c r="I240" s="93"/>
      <c r="J240" s="93"/>
      <c r="K240" s="86"/>
      <c r="L240" s="87"/>
    </row>
    <row r="241" spans="1:12">
      <c r="A241" s="1">
        <v>468</v>
      </c>
      <c r="B241" s="70"/>
      <c r="C241" s="80"/>
      <c r="D241" s="80"/>
      <c r="E241" s="80"/>
      <c r="F241" s="80"/>
      <c r="G241" s="92"/>
      <c r="H241" s="92"/>
      <c r="I241" s="93"/>
      <c r="J241" s="93"/>
      <c r="K241" s="86"/>
      <c r="L241" s="87"/>
    </row>
    <row r="242" spans="1:12">
      <c r="A242" s="1">
        <v>469</v>
      </c>
      <c r="B242" s="70"/>
      <c r="C242" s="80"/>
      <c r="D242" s="80"/>
      <c r="E242" s="80"/>
      <c r="F242" s="80"/>
      <c r="G242" s="92"/>
      <c r="H242" s="92"/>
      <c r="I242" s="93"/>
      <c r="J242" s="93"/>
      <c r="K242" s="86"/>
      <c r="L242" s="87"/>
    </row>
    <row r="243" spans="1:12">
      <c r="A243" s="1">
        <v>470</v>
      </c>
      <c r="B243" s="70"/>
      <c r="C243" s="80"/>
      <c r="D243" s="80"/>
      <c r="E243" s="80"/>
      <c r="F243" s="80"/>
      <c r="G243" s="92"/>
      <c r="H243" s="92"/>
      <c r="I243" s="93"/>
      <c r="J243" s="93"/>
      <c r="K243" s="86"/>
      <c r="L243" s="87"/>
    </row>
    <row r="244" spans="1:12">
      <c r="A244" s="1">
        <v>471</v>
      </c>
      <c r="B244" s="70"/>
      <c r="C244" s="80"/>
      <c r="D244" s="80"/>
      <c r="E244" s="80"/>
      <c r="F244" s="80"/>
      <c r="G244" s="92"/>
      <c r="H244" s="92"/>
      <c r="I244" s="93"/>
      <c r="J244" s="93"/>
      <c r="K244" s="86"/>
      <c r="L244" s="87"/>
    </row>
    <row r="245" spans="1:12">
      <c r="A245" s="1">
        <v>472</v>
      </c>
      <c r="B245" s="70"/>
      <c r="C245" s="80"/>
      <c r="D245" s="80"/>
      <c r="E245" s="80"/>
      <c r="F245" s="80"/>
      <c r="G245" s="92"/>
      <c r="H245" s="92"/>
      <c r="I245" s="93"/>
      <c r="J245" s="93"/>
      <c r="K245" s="86"/>
      <c r="L245" s="87"/>
    </row>
    <row r="246" spans="1:12">
      <c r="A246" s="1">
        <v>473</v>
      </c>
      <c r="B246" s="70"/>
      <c r="C246" s="80"/>
      <c r="D246" s="80"/>
      <c r="E246" s="80"/>
      <c r="F246" s="80"/>
      <c r="G246" s="92"/>
      <c r="H246" s="92"/>
      <c r="I246" s="93"/>
      <c r="J246" s="93"/>
      <c r="K246" s="86"/>
      <c r="L246" s="87"/>
    </row>
    <row r="247" spans="1:12">
      <c r="A247" s="1">
        <v>474</v>
      </c>
      <c r="B247" s="70"/>
      <c r="C247" s="80"/>
      <c r="D247" s="80"/>
      <c r="E247" s="80"/>
      <c r="F247" s="80"/>
      <c r="G247" s="92"/>
      <c r="H247" s="92"/>
      <c r="I247" s="93"/>
      <c r="J247" s="93"/>
      <c r="K247" s="86"/>
      <c r="L247" s="87"/>
    </row>
    <row r="248" spans="1:12">
      <c r="A248" s="1">
        <v>475</v>
      </c>
      <c r="B248" s="70"/>
      <c r="C248" s="80"/>
      <c r="D248" s="80"/>
      <c r="E248" s="80"/>
      <c r="F248" s="80"/>
      <c r="G248" s="92"/>
      <c r="H248" s="92"/>
      <c r="I248" s="93"/>
      <c r="J248" s="93"/>
      <c r="K248" s="86"/>
      <c r="L248" s="87"/>
    </row>
    <row r="249" spans="1:12">
      <c r="A249" s="1">
        <v>476</v>
      </c>
      <c r="B249" s="70"/>
      <c r="C249" s="80"/>
      <c r="D249" s="80"/>
      <c r="E249" s="80"/>
      <c r="F249" s="80"/>
      <c r="G249" s="92"/>
      <c r="H249" s="92"/>
      <c r="I249" s="93"/>
      <c r="J249" s="93"/>
      <c r="K249" s="86"/>
      <c r="L249" s="87"/>
    </row>
    <row r="250" spans="1:12">
      <c r="A250" s="1">
        <v>477</v>
      </c>
      <c r="B250" s="70"/>
      <c r="C250" s="80"/>
      <c r="D250" s="80"/>
      <c r="E250" s="80"/>
      <c r="F250" s="80"/>
      <c r="G250" s="92"/>
      <c r="H250" s="92"/>
      <c r="I250" s="93"/>
      <c r="J250" s="93"/>
      <c r="K250" s="86"/>
      <c r="L250" s="87"/>
    </row>
    <row r="251" spans="1:12">
      <c r="A251" s="1">
        <v>478</v>
      </c>
      <c r="B251" s="70"/>
      <c r="C251" s="80"/>
      <c r="D251" s="80"/>
      <c r="E251" s="80"/>
      <c r="F251" s="80"/>
      <c r="G251" s="92"/>
      <c r="H251" s="92"/>
      <c r="I251" s="93"/>
      <c r="J251" s="93"/>
      <c r="K251" s="86"/>
      <c r="L251" s="87"/>
    </row>
    <row r="252" spans="1:12">
      <c r="A252" s="1">
        <v>479</v>
      </c>
      <c r="B252" s="70"/>
      <c r="C252" s="80"/>
      <c r="D252" s="80"/>
      <c r="E252" s="80"/>
      <c r="F252" s="80"/>
      <c r="G252" s="92"/>
      <c r="H252" s="92"/>
      <c r="I252" s="93"/>
      <c r="J252" s="93"/>
      <c r="K252" s="86"/>
      <c r="L252" s="87"/>
    </row>
    <row r="253" spans="1:12">
      <c r="A253" s="1">
        <v>480</v>
      </c>
      <c r="B253" s="70"/>
      <c r="C253" s="80"/>
      <c r="D253" s="80"/>
      <c r="E253" s="80"/>
      <c r="F253" s="80"/>
      <c r="G253" s="92"/>
      <c r="H253" s="92"/>
      <c r="I253" s="93"/>
      <c r="J253" s="93"/>
      <c r="K253" s="86"/>
      <c r="L253" s="87"/>
    </row>
    <row r="254" spans="1:12">
      <c r="A254" s="1">
        <v>481</v>
      </c>
      <c r="B254" s="70"/>
      <c r="C254" s="80"/>
      <c r="D254" s="80"/>
      <c r="E254" s="80"/>
      <c r="F254" s="80"/>
      <c r="G254" s="92"/>
      <c r="H254" s="92"/>
      <c r="I254" s="93"/>
      <c r="J254" s="93"/>
      <c r="K254" s="86"/>
      <c r="L254" s="87"/>
    </row>
    <row r="255" spans="1:12">
      <c r="A255" s="1">
        <v>482</v>
      </c>
      <c r="B255" s="70"/>
      <c r="C255" s="80"/>
      <c r="D255" s="80"/>
      <c r="E255" s="80"/>
      <c r="F255" s="80"/>
      <c r="G255" s="92"/>
      <c r="H255" s="92"/>
      <c r="I255" s="93"/>
      <c r="J255" s="93"/>
      <c r="K255" s="86"/>
      <c r="L255" s="87"/>
    </row>
    <row r="256" spans="1:12">
      <c r="A256" s="1">
        <v>483</v>
      </c>
      <c r="B256" s="70"/>
      <c r="C256" s="80"/>
      <c r="D256" s="80"/>
      <c r="E256" s="80"/>
      <c r="F256" s="80"/>
      <c r="G256" s="92"/>
      <c r="H256" s="92"/>
      <c r="I256" s="93"/>
      <c r="J256" s="93"/>
      <c r="K256" s="86"/>
      <c r="L256" s="87"/>
    </row>
    <row r="257" spans="1:12">
      <c r="A257" s="1">
        <v>484</v>
      </c>
      <c r="B257" s="70"/>
      <c r="C257" s="80"/>
      <c r="D257" s="80"/>
      <c r="E257" s="80"/>
      <c r="F257" s="80"/>
      <c r="G257" s="92"/>
      <c r="H257" s="92"/>
      <c r="I257" s="93"/>
      <c r="J257" s="93"/>
      <c r="K257" s="86"/>
      <c r="L257" s="87"/>
    </row>
    <row r="258" spans="1:12">
      <c r="A258" s="1">
        <v>485</v>
      </c>
      <c r="B258" s="70"/>
      <c r="C258" s="80"/>
      <c r="D258" s="80"/>
      <c r="E258" s="80"/>
      <c r="F258" s="80"/>
      <c r="G258" s="92"/>
      <c r="H258" s="92"/>
      <c r="I258" s="93"/>
      <c r="J258" s="93"/>
      <c r="K258" s="86"/>
      <c r="L258" s="87"/>
    </row>
    <row r="259" spans="1:12" ht="16.5" thickBot="1">
      <c r="A259" s="1">
        <v>486</v>
      </c>
      <c r="B259" s="73"/>
      <c r="C259" s="81"/>
      <c r="D259" s="81"/>
      <c r="E259" s="81"/>
      <c r="F259" s="81"/>
      <c r="G259" s="94"/>
      <c r="H259" s="94"/>
      <c r="I259" s="95"/>
      <c r="J259" s="95"/>
      <c r="K259" s="88"/>
      <c r="L259" s="89"/>
    </row>
    <row r="260" spans="1:12" ht="16.5" thickTop="1"/>
  </sheetData>
  <phoneticPr fontId="1" type="noConversion"/>
  <conditionalFormatting sqref="B217:B1048576 B213 B160:B163 B1:B39 B79:B100 B102:B139 B203:B206 B181:B201 B41:B58 B60:B77 B165:B179 B141:B158">
    <cfRule type="duplicateValues" dxfId="513" priority="51"/>
  </conditionalFormatting>
  <conditionalFormatting sqref="B159">
    <cfRule type="duplicateValues" dxfId="512" priority="50"/>
  </conditionalFormatting>
  <conditionalFormatting sqref="B159">
    <cfRule type="duplicateValues" dxfId="511" priority="49"/>
  </conditionalFormatting>
  <conditionalFormatting sqref="B217:B1048576 B213 B1:B39 B79:B100 B102:B139 B203:B206 B181:B201 B41:B58 B60:B77 B165:B179 B141:B163">
    <cfRule type="duplicateValues" dxfId="510" priority="48"/>
  </conditionalFormatting>
  <conditionalFormatting sqref="B78">
    <cfRule type="duplicateValues" dxfId="509" priority="47"/>
  </conditionalFormatting>
  <conditionalFormatting sqref="B78">
    <cfRule type="duplicateValues" dxfId="508" priority="46"/>
  </conditionalFormatting>
  <conditionalFormatting sqref="B217:B1048576 B213 B1:B39 B102:B139 B203:B206 B181:B201 B41:B58 B60:B100 B165:B179 B141:B163">
    <cfRule type="duplicateValues" dxfId="507" priority="45"/>
  </conditionalFormatting>
  <conditionalFormatting sqref="B207:B212">
    <cfRule type="duplicateValues" dxfId="506" priority="44"/>
  </conditionalFormatting>
  <conditionalFormatting sqref="B207:B212">
    <cfRule type="duplicateValues" dxfId="505" priority="43"/>
  </conditionalFormatting>
  <conditionalFormatting sqref="B207:B212">
    <cfRule type="duplicateValues" dxfId="504" priority="42"/>
  </conditionalFormatting>
  <conditionalFormatting sqref="B101">
    <cfRule type="duplicateValues" dxfId="503" priority="41"/>
  </conditionalFormatting>
  <conditionalFormatting sqref="B101">
    <cfRule type="duplicateValues" dxfId="502" priority="40"/>
  </conditionalFormatting>
  <conditionalFormatting sqref="B101">
    <cfRule type="duplicateValues" dxfId="501" priority="39"/>
  </conditionalFormatting>
  <conditionalFormatting sqref="B217:B1048576 B203:B213 B1:B39 B181:B201 B41:B58 B60:B139 B165:B179 B141:B163">
    <cfRule type="duplicateValues" dxfId="500" priority="37"/>
    <cfRule type="duplicateValues" dxfId="499" priority="38"/>
  </conditionalFormatting>
  <conditionalFormatting sqref="B202">
    <cfRule type="duplicateValues" dxfId="498" priority="36"/>
  </conditionalFormatting>
  <conditionalFormatting sqref="B202">
    <cfRule type="duplicateValues" dxfId="497" priority="35"/>
  </conditionalFormatting>
  <conditionalFormatting sqref="B202">
    <cfRule type="duplicateValues" dxfId="496" priority="34"/>
  </conditionalFormatting>
  <conditionalFormatting sqref="B202">
    <cfRule type="duplicateValues" dxfId="495" priority="32"/>
    <cfRule type="duplicateValues" dxfId="494" priority="33"/>
  </conditionalFormatting>
  <conditionalFormatting sqref="B180">
    <cfRule type="duplicateValues" dxfId="493" priority="31"/>
  </conditionalFormatting>
  <conditionalFormatting sqref="B180">
    <cfRule type="duplicateValues" dxfId="492" priority="30"/>
  </conditionalFormatting>
  <conditionalFormatting sqref="B180">
    <cfRule type="duplicateValues" dxfId="491" priority="29"/>
  </conditionalFormatting>
  <conditionalFormatting sqref="B180">
    <cfRule type="duplicateValues" dxfId="490" priority="27"/>
    <cfRule type="duplicateValues" dxfId="489" priority="28"/>
  </conditionalFormatting>
  <conditionalFormatting sqref="B40">
    <cfRule type="duplicateValues" dxfId="488" priority="26"/>
  </conditionalFormatting>
  <conditionalFormatting sqref="B40">
    <cfRule type="duplicateValues" dxfId="487" priority="25"/>
  </conditionalFormatting>
  <conditionalFormatting sqref="B40">
    <cfRule type="duplicateValues" dxfId="486" priority="24"/>
  </conditionalFormatting>
  <conditionalFormatting sqref="B40">
    <cfRule type="duplicateValues" dxfId="485" priority="22"/>
    <cfRule type="duplicateValues" dxfId="484" priority="23"/>
  </conditionalFormatting>
  <conditionalFormatting sqref="B59">
    <cfRule type="duplicateValues" dxfId="483" priority="21"/>
  </conditionalFormatting>
  <conditionalFormatting sqref="B59">
    <cfRule type="duplicateValues" dxfId="482" priority="20"/>
  </conditionalFormatting>
  <conditionalFormatting sqref="B59">
    <cfRule type="duplicateValues" dxfId="481" priority="19"/>
  </conditionalFormatting>
  <conditionalFormatting sqref="B59">
    <cfRule type="duplicateValues" dxfId="480" priority="17"/>
    <cfRule type="duplicateValues" dxfId="479" priority="18"/>
  </conditionalFormatting>
  <conditionalFormatting sqref="B164">
    <cfRule type="duplicateValues" dxfId="478" priority="16"/>
  </conditionalFormatting>
  <conditionalFormatting sqref="B164">
    <cfRule type="duplicateValues" dxfId="477" priority="15"/>
  </conditionalFormatting>
  <conditionalFormatting sqref="B164">
    <cfRule type="duplicateValues" dxfId="476" priority="14"/>
  </conditionalFormatting>
  <conditionalFormatting sqref="B164">
    <cfRule type="duplicateValues" dxfId="475" priority="13"/>
  </conditionalFormatting>
  <conditionalFormatting sqref="B164">
    <cfRule type="duplicateValues" dxfId="474" priority="11"/>
    <cfRule type="duplicateValues" dxfId="473" priority="12"/>
  </conditionalFormatting>
  <conditionalFormatting sqref="B140">
    <cfRule type="duplicateValues" dxfId="472" priority="10"/>
  </conditionalFormatting>
  <conditionalFormatting sqref="B140">
    <cfRule type="duplicateValues" dxfId="471" priority="9"/>
  </conditionalFormatting>
  <conditionalFormatting sqref="B140">
    <cfRule type="duplicateValues" dxfId="470" priority="8"/>
  </conditionalFormatting>
  <conditionalFormatting sqref="B140">
    <cfRule type="duplicateValues" dxfId="469" priority="6"/>
    <cfRule type="duplicateValues" dxfId="468" priority="7"/>
  </conditionalFormatting>
  <conditionalFormatting sqref="B155:B158 B160:B163 B165:B173">
    <cfRule type="duplicateValues" dxfId="467" priority="59"/>
  </conditionalFormatting>
  <conditionalFormatting sqref="B214:B216">
    <cfRule type="duplicateValues" dxfId="466" priority="174"/>
  </conditionalFormatting>
  <conditionalFormatting sqref="B214:B216">
    <cfRule type="duplicateValues" dxfId="465" priority="177"/>
    <cfRule type="duplicateValues" dxfId="464" priority="178"/>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E730E-BB32-4083-BC60-D7F9DCB4FAC8}">
  <sheetPr codeName="Sheet2"/>
  <dimension ref="A1:AY662"/>
  <sheetViews>
    <sheetView workbookViewId="0">
      <pane xSplit="2" ySplit="2" topLeftCell="C363" activePane="bottomRight" state="frozen"/>
      <selection pane="topRight" activeCell="B1" sqref="B1"/>
      <selection pane="bottomLeft" activeCell="A3" sqref="A3"/>
      <selection pane="bottomRight" activeCell="A348" sqref="A348:XFD348"/>
    </sheetView>
  </sheetViews>
  <sheetFormatPr defaultColWidth="9.1796875" defaultRowHeight="13"/>
  <cols>
    <col min="1" max="1" width="9.1796875" style="1"/>
    <col min="2" max="2" width="51.453125" style="1" customWidth="1"/>
    <col min="3" max="3" width="7.26953125" style="8" customWidth="1"/>
    <col min="4" max="4" width="6.81640625" style="1" customWidth="1"/>
    <col min="5" max="5" width="10.7265625" style="8" bestFit="1" customWidth="1"/>
    <col min="6" max="6" width="24.81640625" style="39" bestFit="1" customWidth="1"/>
    <col min="7" max="7" width="15.26953125" style="1" hidden="1" customWidth="1"/>
    <col min="8" max="8" width="13" style="1" hidden="1" customWidth="1"/>
    <col min="9" max="9" width="14.1796875" style="1" hidden="1" customWidth="1"/>
    <col min="10" max="10" width="13" style="1" hidden="1" customWidth="1"/>
    <col min="11" max="13" width="0" style="8" hidden="1" customWidth="1"/>
    <col min="14" max="14" width="13.26953125" style="1" bestFit="1" customWidth="1"/>
    <col min="15" max="15" width="27.453125" style="1" bestFit="1" customWidth="1"/>
    <col min="16" max="33" width="9.1796875" style="1" hidden="1" customWidth="1"/>
    <col min="34" max="34" width="8.7265625" style="20" bestFit="1" customWidth="1"/>
    <col min="35" max="35" width="9.1796875" style="20"/>
    <col min="36" max="36" width="9.1796875" style="55"/>
    <col min="37" max="37" width="9.1796875" style="20"/>
    <col min="38" max="38" width="9.1796875" style="8" customWidth="1"/>
    <col min="39" max="39" width="50.54296875" style="1" customWidth="1"/>
    <col min="40" max="49" width="9.1796875" style="1" customWidth="1"/>
    <col min="50" max="50" width="4.26953125" style="1" customWidth="1"/>
    <col min="51" max="16384" width="9.1796875" style="1"/>
  </cols>
  <sheetData>
    <row r="1" spans="1:51">
      <c r="A1" s="1">
        <v>1</v>
      </c>
      <c r="C1" s="8" t="s">
        <v>127</v>
      </c>
      <c r="D1" s="1" t="s">
        <v>128</v>
      </c>
    </row>
    <row r="2" spans="1:51">
      <c r="A2" s="1">
        <v>2</v>
      </c>
      <c r="B2" s="2"/>
      <c r="C2" s="9" t="s">
        <v>0</v>
      </c>
      <c r="D2" s="2" t="s">
        <v>1</v>
      </c>
      <c r="E2" s="9" t="s">
        <v>2</v>
      </c>
      <c r="F2" s="38" t="s">
        <v>3</v>
      </c>
      <c r="G2" s="2" t="s">
        <v>4</v>
      </c>
      <c r="H2" s="2" t="s">
        <v>5</v>
      </c>
      <c r="I2" s="2" t="s">
        <v>6</v>
      </c>
      <c r="J2" s="2" t="s">
        <v>7</v>
      </c>
      <c r="K2" s="9" t="s">
        <v>8</v>
      </c>
      <c r="L2" s="9" t="s">
        <v>9</v>
      </c>
      <c r="M2" s="9" t="s">
        <v>10</v>
      </c>
      <c r="N2" s="2" t="s">
        <v>11</v>
      </c>
      <c r="O2" s="2" t="s">
        <v>12</v>
      </c>
      <c r="P2" s="2" t="s">
        <v>13</v>
      </c>
      <c r="Q2" s="2" t="s">
        <v>14</v>
      </c>
      <c r="R2" s="2" t="s">
        <v>15</v>
      </c>
      <c r="S2" s="2" t="s">
        <v>16</v>
      </c>
      <c r="T2" s="2" t="s">
        <v>17</v>
      </c>
      <c r="U2" s="2" t="s">
        <v>18</v>
      </c>
      <c r="V2" s="2" t="s">
        <v>19</v>
      </c>
      <c r="W2" s="2" t="s">
        <v>20</v>
      </c>
      <c r="X2" s="2" t="s">
        <v>21</v>
      </c>
      <c r="Y2" s="2" t="s">
        <v>22</v>
      </c>
      <c r="Z2" s="2" t="s">
        <v>23</v>
      </c>
      <c r="AA2" s="2" t="s">
        <v>24</v>
      </c>
      <c r="AB2" s="2" t="s">
        <v>25</v>
      </c>
      <c r="AC2" s="2" t="s">
        <v>26</v>
      </c>
      <c r="AD2" s="2" t="s">
        <v>27</v>
      </c>
      <c r="AE2" s="2" t="s">
        <v>28</v>
      </c>
      <c r="AF2" s="2" t="s">
        <v>29</v>
      </c>
      <c r="AG2" s="2" t="s">
        <v>30</v>
      </c>
      <c r="AH2" s="21" t="s">
        <v>31</v>
      </c>
      <c r="AI2" s="21" t="s">
        <v>32</v>
      </c>
      <c r="AJ2" s="56" t="s">
        <v>33</v>
      </c>
      <c r="AK2" s="21" t="s">
        <v>34</v>
      </c>
      <c r="AL2" s="9" t="s">
        <v>35</v>
      </c>
      <c r="AM2" s="3" t="s">
        <v>36</v>
      </c>
      <c r="AN2" s="4" t="s">
        <v>37</v>
      </c>
      <c r="AO2" s="4" t="s">
        <v>38</v>
      </c>
      <c r="AP2" s="4" t="s">
        <v>39</v>
      </c>
      <c r="AQ2" s="4" t="s">
        <v>40</v>
      </c>
      <c r="AR2" s="4" t="s">
        <v>41</v>
      </c>
      <c r="AS2" s="4" t="s">
        <v>42</v>
      </c>
      <c r="AT2" s="4" t="s">
        <v>43</v>
      </c>
      <c r="AU2" s="4" t="s">
        <v>44</v>
      </c>
      <c r="AV2" s="4" t="s">
        <v>45</v>
      </c>
      <c r="AW2" s="4" t="s">
        <v>46</v>
      </c>
      <c r="AY2" s="1" t="s">
        <v>392</v>
      </c>
    </row>
    <row r="3" spans="1:51">
      <c r="A3" s="1">
        <v>3</v>
      </c>
      <c r="B3" s="5"/>
      <c r="C3" s="12" t="s">
        <v>47</v>
      </c>
      <c r="D3" s="13"/>
      <c r="E3" s="12"/>
      <c r="F3" s="40"/>
      <c r="G3" s="13"/>
      <c r="H3" s="13"/>
      <c r="I3" s="13"/>
      <c r="J3" s="13"/>
      <c r="K3" s="12" t="s">
        <v>48</v>
      </c>
      <c r="L3" s="12" t="s">
        <v>49</v>
      </c>
      <c r="M3" s="12" t="s">
        <v>50</v>
      </c>
      <c r="N3" s="13"/>
      <c r="O3" s="13"/>
      <c r="P3" s="13" t="s">
        <v>50</v>
      </c>
      <c r="Q3" s="13" t="s">
        <v>50</v>
      </c>
      <c r="R3" s="13" t="s">
        <v>50</v>
      </c>
      <c r="S3" s="13" t="s">
        <v>50</v>
      </c>
      <c r="T3" s="13" t="s">
        <v>50</v>
      </c>
      <c r="U3" s="13" t="s">
        <v>50</v>
      </c>
      <c r="V3" s="13" t="s">
        <v>49</v>
      </c>
      <c r="W3" s="13"/>
      <c r="X3" s="13" t="s">
        <v>49</v>
      </c>
      <c r="Y3" s="13" t="s">
        <v>50</v>
      </c>
      <c r="Z3" s="13" t="s">
        <v>50</v>
      </c>
      <c r="AA3" s="13"/>
      <c r="AB3" s="13"/>
      <c r="AC3" s="13"/>
      <c r="AD3" s="13"/>
      <c r="AE3" s="13" t="s">
        <v>50</v>
      </c>
      <c r="AF3" s="13"/>
      <c r="AG3" s="13"/>
      <c r="AH3" s="22" t="s">
        <v>47</v>
      </c>
      <c r="AI3" s="22" t="s">
        <v>49</v>
      </c>
      <c r="AJ3" s="57">
        <v>1</v>
      </c>
      <c r="AK3" s="27">
        <v>0</v>
      </c>
      <c r="AL3" s="10" t="s">
        <v>50</v>
      </c>
      <c r="AM3" s="6"/>
      <c r="AN3" s="7"/>
      <c r="AO3" s="7"/>
      <c r="AP3" s="7"/>
      <c r="AQ3" s="7"/>
      <c r="AR3" s="7"/>
      <c r="AS3" s="7"/>
      <c r="AT3" s="7"/>
      <c r="AU3" s="7"/>
      <c r="AV3" s="7"/>
      <c r="AW3" s="7"/>
      <c r="AY3" s="1" t="str">
        <f>IF(C3&lt;&gt;"",CREATE_QUERY($D$1,C$2:AW$2,C3:AW3),"")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 '', '', '', '', '', ' ', '1', '0', '', '', '0', '0', '0', '0', '0', '0', '1', '', '1', '0', '0', '', '', '', '', '0', '', '', '14821', '1', '1', '0', '0', '', '', '', '', '', '', '', '', '', '', '');</v>
      </c>
    </row>
    <row r="4" spans="1:51">
      <c r="A4" s="1">
        <v>4</v>
      </c>
      <c r="B4" s="5" t="str">
        <f>IF(AI4="","",IF(AI4="1","",IF(AI4="2","→",IF(AI4="3","→→",IF(AI4="4","→→→",IF(AI4="5","→→→→",IF(AI4="6","→→→→→",IF(AI4="7"="→→→→→→",""))))))))&amp;F4</f>
        <v>→관제센터</v>
      </c>
      <c r="C4" s="14" t="str">
        <f t="shared" ref="C4:C26" si="0">IF(E4="","","14821")</f>
        <v>14821</v>
      </c>
      <c r="D4" s="15"/>
      <c r="E4" s="16" t="s">
        <v>114</v>
      </c>
      <c r="F4" s="41" t="s">
        <v>97</v>
      </c>
      <c r="G4" s="15"/>
      <c r="H4" s="15"/>
      <c r="I4" s="15"/>
      <c r="J4" s="15"/>
      <c r="K4" s="14" t="s">
        <v>49</v>
      </c>
      <c r="L4" s="14" t="s">
        <v>49</v>
      </c>
      <c r="M4" s="14" t="s">
        <v>50</v>
      </c>
      <c r="N4" s="15"/>
      <c r="O4" s="15"/>
      <c r="P4" s="15" t="s">
        <v>50</v>
      </c>
      <c r="Q4" s="15" t="s">
        <v>50</v>
      </c>
      <c r="R4" s="15" t="s">
        <v>50</v>
      </c>
      <c r="S4" s="15" t="s">
        <v>50</v>
      </c>
      <c r="T4" s="15" t="s">
        <v>50</v>
      </c>
      <c r="U4" s="15" t="s">
        <v>50</v>
      </c>
      <c r="V4" s="15" t="s">
        <v>49</v>
      </c>
      <c r="W4" s="15"/>
      <c r="X4" s="15"/>
      <c r="Y4" s="15" t="s">
        <v>50</v>
      </c>
      <c r="Z4" s="15"/>
      <c r="AA4" s="15"/>
      <c r="AB4" s="15"/>
      <c r="AC4" s="15"/>
      <c r="AD4" s="15"/>
      <c r="AE4" s="15"/>
      <c r="AF4" s="15"/>
      <c r="AG4" s="15"/>
      <c r="AH4" s="23" t="s">
        <v>47</v>
      </c>
      <c r="AI4" s="23" t="s">
        <v>52</v>
      </c>
      <c r="AJ4" s="57">
        <v>2</v>
      </c>
      <c r="AK4" s="54">
        <v>0</v>
      </c>
      <c r="AL4" s="10" t="s">
        <v>50</v>
      </c>
      <c r="AM4" s="6" t="str">
        <f t="shared" ref="AM4:AM67" si="1">IF(C4="","",C4&amp;"/"&amp;F4&amp;"/"&amp;N4&amp;"/"&amp;O4)</f>
        <v>14821/관제센터//</v>
      </c>
      <c r="AN4" s="7"/>
      <c r="AO4" s="7"/>
      <c r="AP4" s="7"/>
      <c r="AQ4" s="7"/>
      <c r="AR4" s="7"/>
      <c r="AS4" s="7"/>
      <c r="AT4" s="7"/>
      <c r="AU4" s="7"/>
      <c r="AV4" s="7"/>
      <c r="AW4" s="7"/>
      <c r="AY4" s="1" t="str">
        <f>IF(C4&lt;&gt;"",CREATE_QUERY($D$1,C$2:AW$2,C4:AW4),"")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'100000', '관제센터', '', '', '', '', '1', '1', '0', '', '', '0', '0', '0', '0', '0', '0', '1', '', '', '0', '', '', '', '', '', '', '', '', '14821', '2', '2', '0', '0', '14821/관제센터//', '', '', '', '', '', '', '', '', '', '');</v>
      </c>
    </row>
    <row r="5" spans="1:51">
      <c r="A5" s="1">
        <v>5</v>
      </c>
      <c r="B5" s="5" t="str">
        <f t="shared" ref="B5:B25" si="2">IF(AI5="","",IF(AI5="1","",IF(AI5="2","└ ",IF(AI5="3","  └ ",IF(AI5="4","    └ ",IF(AI5="5","        └ ",IF(AI5="6","         └ ",IF(AI5="7"="            └ ",""))))))))&amp;F5</f>
        <v xml:space="preserve">  └ 고객사 정보관리</v>
      </c>
      <c r="C5" s="10" t="str">
        <f t="shared" si="0"/>
        <v>14821</v>
      </c>
      <c r="D5" s="18"/>
      <c r="E5" s="17" t="s">
        <v>115</v>
      </c>
      <c r="F5" s="42" t="s">
        <v>257</v>
      </c>
      <c r="G5" s="18"/>
      <c r="H5" s="18"/>
      <c r="I5" s="18"/>
      <c r="J5" s="18"/>
      <c r="K5" s="19" t="s">
        <v>49</v>
      </c>
      <c r="L5" s="19" t="s">
        <v>49</v>
      </c>
      <c r="M5" s="19" t="s">
        <v>50</v>
      </c>
      <c r="N5" s="18"/>
      <c r="O5" s="18"/>
      <c r="P5" s="18" t="s">
        <v>50</v>
      </c>
      <c r="Q5" s="18" t="s">
        <v>50</v>
      </c>
      <c r="R5" s="18" t="s">
        <v>50</v>
      </c>
      <c r="S5" s="18" t="s">
        <v>50</v>
      </c>
      <c r="T5" s="18" t="s">
        <v>50</v>
      </c>
      <c r="U5" s="18" t="s">
        <v>50</v>
      </c>
      <c r="V5" s="18" t="s">
        <v>49</v>
      </c>
      <c r="W5" s="18"/>
      <c r="X5" s="18"/>
      <c r="Y5" s="18"/>
      <c r="Z5" s="18"/>
      <c r="AA5" s="18"/>
      <c r="AB5" s="18"/>
      <c r="AC5" s="18"/>
      <c r="AD5" s="18"/>
      <c r="AE5" s="18"/>
      <c r="AF5" s="18"/>
      <c r="AG5" s="18"/>
      <c r="AH5" s="24" t="s">
        <v>114</v>
      </c>
      <c r="AI5" s="24" t="s">
        <v>111</v>
      </c>
      <c r="AJ5" s="57">
        <v>3</v>
      </c>
      <c r="AK5" s="27">
        <v>0</v>
      </c>
      <c r="AL5" s="10" t="s">
        <v>50</v>
      </c>
      <c r="AM5" s="6" t="str">
        <f t="shared" si="1"/>
        <v>14821/고객사 정보관리//</v>
      </c>
      <c r="AN5" s="7"/>
      <c r="AO5" s="7"/>
      <c r="AP5" s="7"/>
      <c r="AQ5" s="7"/>
      <c r="AR5" s="7"/>
      <c r="AS5" s="7"/>
      <c r="AT5" s="7"/>
      <c r="AU5" s="7"/>
      <c r="AV5" s="7"/>
      <c r="AW5" s="7"/>
      <c r="AY5" s="1" t="str">
        <f>IF(C5&lt;&gt;"",CREATE_QUERY($D$1,C$2:AW$2,C5:AW5),"")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'110000', '고객사 정보관리', '', '', '', '', '1', '1', '0', '', '', '0', '0', '0', '0', '0', '0', '1', '', '', '', '', '', '', '', '', '', '', '', '100000', '3', '3', '0', '0', '14821/고객사 정보관리//', '', '', '', '', '', '', '', '', '', '');</v>
      </c>
    </row>
    <row r="6" spans="1:51">
      <c r="A6" s="1">
        <v>7</v>
      </c>
      <c r="B6" s="5" t="str">
        <f t="shared" si="2"/>
        <v xml:space="preserve">    └ 고객 본사 정보 관리</v>
      </c>
      <c r="C6" s="10" t="str">
        <f t="shared" ca="1" si="0"/>
        <v>14821</v>
      </c>
      <c r="D6" s="5"/>
      <c r="E6" s="11">
        <f t="shared" ref="E6:E8" ca="1" si="3">OFFSET(E6,-1,0)+1</f>
        <v>110001</v>
      </c>
      <c r="F6" s="38" t="s">
        <v>105</v>
      </c>
      <c r="G6" s="2"/>
      <c r="H6" s="2"/>
      <c r="I6" s="2"/>
      <c r="J6" s="2"/>
      <c r="K6" s="9"/>
      <c r="L6" s="9" t="s">
        <v>49</v>
      </c>
      <c r="M6" s="9" t="s">
        <v>49</v>
      </c>
      <c r="N6" s="2" t="s">
        <v>54</v>
      </c>
      <c r="O6" s="2" t="s">
        <v>101</v>
      </c>
      <c r="P6" s="2" t="s">
        <v>50</v>
      </c>
      <c r="Q6" s="2" t="s">
        <v>49</v>
      </c>
      <c r="R6" s="2" t="s">
        <v>49</v>
      </c>
      <c r="S6" s="2" t="s">
        <v>49</v>
      </c>
      <c r="T6" s="2" t="s">
        <v>49</v>
      </c>
      <c r="U6" s="2" t="s">
        <v>49</v>
      </c>
      <c r="V6" s="2" t="s">
        <v>49</v>
      </c>
      <c r="W6" s="2"/>
      <c r="X6" s="2"/>
      <c r="Y6" s="2"/>
      <c r="Z6" s="2"/>
      <c r="AA6" s="2"/>
      <c r="AB6" s="2"/>
      <c r="AC6" s="2"/>
      <c r="AD6" s="2"/>
      <c r="AE6" s="2"/>
      <c r="AF6" s="2"/>
      <c r="AG6" s="2"/>
      <c r="AH6" s="26" t="s">
        <v>115</v>
      </c>
      <c r="AI6" s="26" t="s">
        <v>112</v>
      </c>
      <c r="AJ6" s="57">
        <v>4</v>
      </c>
      <c r="AK6" s="27">
        <v>0</v>
      </c>
      <c r="AL6" s="10" t="s">
        <v>50</v>
      </c>
      <c r="AM6" s="6" t="str">
        <f t="shared" ca="1" si="1"/>
        <v>14821/고객 본사 정보 관리/project/ProjSite</v>
      </c>
      <c r="AN6" s="7"/>
      <c r="AO6" s="7"/>
      <c r="AP6" s="7"/>
      <c r="AQ6" s="7"/>
      <c r="AR6" s="7"/>
      <c r="AS6" s="7"/>
      <c r="AT6" s="7"/>
      <c r="AU6" s="7"/>
      <c r="AV6" s="7"/>
      <c r="AW6" s="7"/>
      <c r="AY6" s="1" t="str">
        <f ca="1">IF(C6&lt;&gt;"",CREATE_QUERY($D$1,C$2:AW$2,C6:AW6),"")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'110001', '고객 본사 정보 관리', '', '', '', '', '', '1', '1', 'project', 'ProjSite', '0', '1', '1', '1', '1', '1', '1', '', '', '', '', '', '', '', '', '', '', '', '110000', '4', '4', '0', '0', '14821/고객 본사 정보 관리/project/ProjSite', '', '', '', '', '', '', '', '', '', '');</v>
      </c>
    </row>
    <row r="7" spans="1:51">
      <c r="A7" s="1">
        <v>6</v>
      </c>
      <c r="B7" s="5" t="str">
        <f t="shared" si="2"/>
        <v xml:space="preserve">    └ 고객사 연동 정보 관리</v>
      </c>
      <c r="C7" s="10" t="str">
        <f t="shared" ca="1" si="0"/>
        <v>14821</v>
      </c>
      <c r="D7" s="5"/>
      <c r="E7" s="11">
        <f t="shared" ca="1" si="3"/>
        <v>110002</v>
      </c>
      <c r="F7" s="38" t="s">
        <v>104</v>
      </c>
      <c r="G7" s="2"/>
      <c r="H7" s="2"/>
      <c r="I7" s="2"/>
      <c r="J7" s="2"/>
      <c r="K7" s="9"/>
      <c r="L7" s="9" t="s">
        <v>49</v>
      </c>
      <c r="M7" s="9" t="s">
        <v>49</v>
      </c>
      <c r="N7" s="2" t="s">
        <v>54</v>
      </c>
      <c r="O7" s="2" t="s">
        <v>88</v>
      </c>
      <c r="P7" s="2" t="s">
        <v>50</v>
      </c>
      <c r="Q7" s="2" t="s">
        <v>49</v>
      </c>
      <c r="R7" s="2" t="s">
        <v>49</v>
      </c>
      <c r="S7" s="2" t="s">
        <v>49</v>
      </c>
      <c r="T7" s="2" t="s">
        <v>49</v>
      </c>
      <c r="U7" s="2" t="s">
        <v>49</v>
      </c>
      <c r="V7" s="2" t="s">
        <v>49</v>
      </c>
      <c r="W7" s="2"/>
      <c r="X7" s="2"/>
      <c r="Y7" s="2"/>
      <c r="Z7" s="2"/>
      <c r="AA7" s="2"/>
      <c r="AB7" s="2"/>
      <c r="AC7" s="2"/>
      <c r="AD7" s="2"/>
      <c r="AE7" s="2"/>
      <c r="AF7" s="2"/>
      <c r="AG7" s="2"/>
      <c r="AH7" s="26" t="s">
        <v>115</v>
      </c>
      <c r="AI7" s="26" t="s">
        <v>112</v>
      </c>
      <c r="AJ7" s="57">
        <v>5</v>
      </c>
      <c r="AK7" s="27">
        <v>0</v>
      </c>
      <c r="AL7" s="10" t="s">
        <v>50</v>
      </c>
      <c r="AM7" s="6" t="str">
        <f t="shared" ca="1" si="1"/>
        <v>14821/고객사 연동 정보 관리/project/BonsaInfo</v>
      </c>
      <c r="AN7" s="7"/>
      <c r="AO7" s="7"/>
      <c r="AP7" s="7"/>
      <c r="AQ7" s="7"/>
      <c r="AR7" s="7"/>
      <c r="AS7" s="7"/>
      <c r="AT7" s="7"/>
      <c r="AU7" s="7"/>
      <c r="AV7" s="7"/>
      <c r="AW7" s="7"/>
      <c r="AY7" s="1" t="str">
        <f ca="1">IF(C7&lt;&gt;"",CREATE_QUERY($D$1,C$2:AW$2,C7:AW7),"")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'110002', '고객사 연동 정보 관리', '', '', '', '', '', '1', '1', 'project', 'BonsaInfo', '0', '1', '1', '1', '1', '1', '1', '', '', '', '', '', '', '', '', '', '', '', '110000', '4', '5', '0', '0', '14821/고객사 연동 정보 관리/project/BonsaInfo', '', '', '', '', '', '', '', '', '', '');</v>
      </c>
    </row>
    <row r="8" spans="1:51">
      <c r="A8" s="1">
        <v>8</v>
      </c>
      <c r="B8" s="5" t="str">
        <f t="shared" si="2"/>
        <v xml:space="preserve">    └ 고객 매장 정보관리</v>
      </c>
      <c r="C8" s="10" t="str">
        <f t="shared" ca="1" si="0"/>
        <v>14821</v>
      </c>
      <c r="D8" s="5"/>
      <c r="E8" s="11">
        <f t="shared" ca="1" si="3"/>
        <v>110003</v>
      </c>
      <c r="F8" s="38" t="s">
        <v>106</v>
      </c>
      <c r="G8" s="2"/>
      <c r="H8" s="2"/>
      <c r="I8" s="2"/>
      <c r="J8" s="2"/>
      <c r="K8" s="9"/>
      <c r="L8" s="9" t="s">
        <v>49</v>
      </c>
      <c r="M8" s="9" t="s">
        <v>49</v>
      </c>
      <c r="N8" s="2" t="s">
        <v>54</v>
      </c>
      <c r="O8" s="2" t="s">
        <v>91</v>
      </c>
      <c r="P8" s="2" t="s">
        <v>50</v>
      </c>
      <c r="Q8" s="2" t="s">
        <v>49</v>
      </c>
      <c r="R8" s="2" t="s">
        <v>49</v>
      </c>
      <c r="S8" s="2" t="s">
        <v>49</v>
      </c>
      <c r="T8" s="2" t="s">
        <v>49</v>
      </c>
      <c r="U8" s="2" t="s">
        <v>49</v>
      </c>
      <c r="V8" s="2" t="s">
        <v>49</v>
      </c>
      <c r="W8" s="2"/>
      <c r="X8" s="2"/>
      <c r="Y8" s="2"/>
      <c r="Z8" s="2"/>
      <c r="AA8" s="2"/>
      <c r="AB8" s="2"/>
      <c r="AC8" s="2"/>
      <c r="AD8" s="2"/>
      <c r="AE8" s="2"/>
      <c r="AF8" s="2"/>
      <c r="AG8" s="2"/>
      <c r="AH8" s="26" t="s">
        <v>115</v>
      </c>
      <c r="AI8" s="26" t="s">
        <v>112</v>
      </c>
      <c r="AJ8" s="57">
        <v>6</v>
      </c>
      <c r="AK8" s="27">
        <v>0</v>
      </c>
      <c r="AL8" s="10" t="s">
        <v>50</v>
      </c>
      <c r="AM8" s="6" t="str">
        <f t="shared" ca="1" si="1"/>
        <v>14821/고객 매장 정보관리/project/StoreInfo</v>
      </c>
      <c r="AN8" s="7"/>
      <c r="AO8" s="7"/>
      <c r="AP8" s="7"/>
      <c r="AQ8" s="7"/>
      <c r="AR8" s="7"/>
      <c r="AS8" s="7"/>
      <c r="AT8" s="7"/>
      <c r="AU8" s="7"/>
      <c r="AV8" s="7"/>
      <c r="AW8" s="7"/>
      <c r="AY8" s="1" t="str">
        <f ca="1">IF(C8&lt;&gt;"",CREATE_QUERY($D$1,C$2:AW$2,C8:AW8),"")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'110003', '고객 매장 정보관리', '', '', '', '', '', '1', '1', 'project', 'StoreInfo', '0', '1', '1', '1', '1', '1', '1', '', '', '', '', '', '', '', '', '', '', '', '110000', '4', '6', '0', '0', '14821/고객 매장 정보관리/project/StoreInfo', '', '', '', '', '', '', '', '', '', '');</v>
      </c>
    </row>
    <row r="9" spans="1:51">
      <c r="A9" s="1">
        <v>10</v>
      </c>
      <c r="B9" s="5" t="str">
        <f t="shared" si="2"/>
        <v xml:space="preserve">  └ Module 관리</v>
      </c>
      <c r="C9" s="10" t="str">
        <f t="shared" si="0"/>
        <v>14821</v>
      </c>
      <c r="D9" s="18"/>
      <c r="E9" s="19" t="s">
        <v>116</v>
      </c>
      <c r="F9" s="42" t="s">
        <v>99</v>
      </c>
      <c r="G9" s="18"/>
      <c r="H9" s="18"/>
      <c r="I9" s="18"/>
      <c r="J9" s="18"/>
      <c r="K9" s="18" t="s">
        <v>49</v>
      </c>
      <c r="L9" s="18" t="s">
        <v>49</v>
      </c>
      <c r="M9" s="18" t="s">
        <v>50</v>
      </c>
      <c r="N9" s="18"/>
      <c r="O9" s="18"/>
      <c r="P9" s="18" t="s">
        <v>50</v>
      </c>
      <c r="Q9" s="18" t="s">
        <v>50</v>
      </c>
      <c r="R9" s="18" t="s">
        <v>50</v>
      </c>
      <c r="S9" s="18" t="s">
        <v>50</v>
      </c>
      <c r="T9" s="18" t="s">
        <v>50</v>
      </c>
      <c r="U9" s="18" t="s">
        <v>50</v>
      </c>
      <c r="V9" s="18" t="s">
        <v>49</v>
      </c>
      <c r="W9" s="18"/>
      <c r="X9" s="18"/>
      <c r="Y9" s="18"/>
      <c r="Z9" s="18"/>
      <c r="AA9" s="18"/>
      <c r="AB9" s="18"/>
      <c r="AC9" s="18"/>
      <c r="AD9" s="18"/>
      <c r="AE9" s="18"/>
      <c r="AF9" s="18"/>
      <c r="AG9" s="18"/>
      <c r="AH9" s="25" t="s">
        <v>114</v>
      </c>
      <c r="AI9" s="25" t="s">
        <v>111</v>
      </c>
      <c r="AJ9" s="57">
        <v>8</v>
      </c>
      <c r="AK9" s="27">
        <v>0</v>
      </c>
      <c r="AL9" s="10" t="s">
        <v>50</v>
      </c>
      <c r="AM9" s="6" t="str">
        <f t="shared" si="1"/>
        <v>14821/Module 관리//</v>
      </c>
      <c r="AN9" s="7"/>
      <c r="AO9" s="7"/>
      <c r="AP9" s="7"/>
      <c r="AQ9" s="7"/>
      <c r="AR9" s="7"/>
      <c r="AS9" s="7"/>
      <c r="AT9" s="7"/>
      <c r="AU9" s="7"/>
      <c r="AV9" s="7"/>
      <c r="AW9" s="7"/>
      <c r="AY9" s="1" t="str">
        <f>IF(C9&lt;&gt;"",CREATE_QUERY($D$1,C$2:AW$2,C9:AW9),"")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'120000', 'Module 관리', '', '', '', '', '1', '1', '0', '', '', '0', '0', '0', '0', '0', '0', '1', '', '', '', '', '', '', '', '', '', '', '', '100000', '3', '8', '0', '0', '14821/Module 관리//', '', '', '', '', '', '', '', '', '', '');</v>
      </c>
    </row>
    <row r="10" spans="1:51">
      <c r="A10" s="1">
        <v>11</v>
      </c>
      <c r="B10" s="5" t="str">
        <f t="shared" si="2"/>
        <v xml:space="preserve">    └ Module 정보 관리</v>
      </c>
      <c r="C10" s="10" t="str">
        <f t="shared" ca="1" si="0"/>
        <v>14821</v>
      </c>
      <c r="D10" s="5"/>
      <c r="E10" s="9">
        <f t="shared" ref="E10:E16" ca="1" si="4">OFFSET(E10,-1,0)+1</f>
        <v>120001</v>
      </c>
      <c r="F10" s="38" t="s">
        <v>354</v>
      </c>
      <c r="G10" s="2"/>
      <c r="H10" s="2"/>
      <c r="I10" s="2"/>
      <c r="J10" s="2"/>
      <c r="K10" s="9"/>
      <c r="L10" s="9" t="s">
        <v>49</v>
      </c>
      <c r="M10" s="9" t="s">
        <v>49</v>
      </c>
      <c r="N10" s="2" t="s">
        <v>54</v>
      </c>
      <c r="O10" s="2" t="s">
        <v>100</v>
      </c>
      <c r="P10" s="2" t="s">
        <v>50</v>
      </c>
      <c r="Q10" s="2" t="s">
        <v>49</v>
      </c>
      <c r="R10" s="2" t="s">
        <v>49</v>
      </c>
      <c r="S10" s="2" t="s">
        <v>49</v>
      </c>
      <c r="T10" s="2" t="s">
        <v>49</v>
      </c>
      <c r="U10" s="2" t="s">
        <v>49</v>
      </c>
      <c r="V10" s="2" t="s">
        <v>49</v>
      </c>
      <c r="W10" s="2"/>
      <c r="X10" s="2"/>
      <c r="Y10" s="2"/>
      <c r="Z10" s="2"/>
      <c r="AA10" s="2"/>
      <c r="AB10" s="2"/>
      <c r="AC10" s="2"/>
      <c r="AD10" s="2"/>
      <c r="AE10" s="2"/>
      <c r="AF10" s="2"/>
      <c r="AG10" s="2"/>
      <c r="AH10" s="26" t="s">
        <v>116</v>
      </c>
      <c r="AI10" s="26" t="s">
        <v>112</v>
      </c>
      <c r="AJ10" s="57">
        <v>9</v>
      </c>
      <c r="AK10" s="27">
        <v>0</v>
      </c>
      <c r="AL10" s="10" t="s">
        <v>50</v>
      </c>
      <c r="AM10" s="6" t="str">
        <f t="shared" ca="1" si="1"/>
        <v>14821/Module 정보 관리/project/ModuleInfo</v>
      </c>
      <c r="AN10" s="7"/>
      <c r="AO10" s="7"/>
      <c r="AP10" s="7"/>
      <c r="AQ10" s="7"/>
      <c r="AR10" s="7"/>
      <c r="AS10" s="7"/>
      <c r="AT10" s="7"/>
      <c r="AU10" s="7"/>
      <c r="AV10" s="7"/>
      <c r="AW10" s="7"/>
      <c r="AY10" s="1" t="str">
        <f ca="1">IF(C10&lt;&gt;"",CREATE_QUERY($D$1,C$2:AW$2,C10:AW10),"")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'120001', 'Module 정보 관리', '', '', '', '', '', '1', '1', 'project', 'ModuleInfo', '0', '1', '1', '1', '1', '1', '1', '', '', '', '', '', '', '', '', '', '', '', '120000', '4', '9', '0', '0', '14821/Module 정보 관리/project/ModuleInfo', '', '', '', '', '', '', '', '', '', '');</v>
      </c>
    </row>
    <row r="11" spans="1:51">
      <c r="A11" s="1">
        <v>12</v>
      </c>
      <c r="B11" s="5" t="str">
        <f t="shared" si="2"/>
        <v xml:space="preserve">    └ 고객사 Module 등록</v>
      </c>
      <c r="C11" s="10" t="str">
        <f t="shared" ca="1" si="0"/>
        <v>14821</v>
      </c>
      <c r="D11" s="5"/>
      <c r="E11" s="9">
        <f t="shared" ca="1" si="4"/>
        <v>120002</v>
      </c>
      <c r="F11" s="38" t="s">
        <v>102</v>
      </c>
      <c r="G11" s="2"/>
      <c r="H11" s="2"/>
      <c r="I11" s="2"/>
      <c r="J11" s="2"/>
      <c r="K11" s="9"/>
      <c r="L11" s="9" t="s">
        <v>49</v>
      </c>
      <c r="M11" s="9" t="s">
        <v>49</v>
      </c>
      <c r="N11" s="2" t="s">
        <v>54</v>
      </c>
      <c r="O11" s="2" t="s">
        <v>90</v>
      </c>
      <c r="P11" s="2" t="s">
        <v>50</v>
      </c>
      <c r="Q11" s="2" t="s">
        <v>49</v>
      </c>
      <c r="R11" s="2" t="s">
        <v>49</v>
      </c>
      <c r="S11" s="2" t="s">
        <v>49</v>
      </c>
      <c r="T11" s="2" t="s">
        <v>49</v>
      </c>
      <c r="U11" s="2" t="s">
        <v>49</v>
      </c>
      <c r="V11" s="2" t="s">
        <v>49</v>
      </c>
      <c r="W11" s="2"/>
      <c r="X11" s="2"/>
      <c r="Y11" s="2"/>
      <c r="Z11" s="2"/>
      <c r="AA11" s="2"/>
      <c r="AB11" s="2"/>
      <c r="AC11" s="2"/>
      <c r="AD11" s="2"/>
      <c r="AE11" s="2"/>
      <c r="AF11" s="2"/>
      <c r="AG11" s="2"/>
      <c r="AH11" s="26" t="s">
        <v>116</v>
      </c>
      <c r="AI11" s="26" t="s">
        <v>112</v>
      </c>
      <c r="AJ11" s="57">
        <v>10</v>
      </c>
      <c r="AK11" s="27">
        <v>0</v>
      </c>
      <c r="AL11" s="10" t="s">
        <v>50</v>
      </c>
      <c r="AM11" s="6" t="str">
        <f t="shared" ca="1" si="1"/>
        <v>14821/고객사 Module 등록/project/BonsaMenu</v>
      </c>
      <c r="AN11" s="7"/>
      <c r="AO11" s="7"/>
      <c r="AP11" s="7"/>
      <c r="AQ11" s="7"/>
      <c r="AR11" s="7"/>
      <c r="AS11" s="7"/>
      <c r="AT11" s="7"/>
      <c r="AU11" s="7"/>
      <c r="AV11" s="7"/>
      <c r="AW11" s="7"/>
      <c r="AY11" s="1" t="str">
        <f ca="1">IF(C11&lt;&gt;"",CREATE_QUERY($D$1,C$2:AW$2,C11:AW11),"")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'120002', '고객사 Module 등록', '', '', '', '', '', '1', '1', 'project', 'BonsaMenu', '0', '1', '1', '1', '1', '1', '1', '', '', '', '', '', '', '', '', '', '', '', '120000', '4', '10', '0', '0', '14821/고객사 Module 등록/project/BonsaMenu', '', '', '', '', '', '', '', '', '', '');</v>
      </c>
    </row>
    <row r="12" spans="1:51">
      <c r="A12" s="1">
        <v>13</v>
      </c>
      <c r="B12" s="5" t="str">
        <f t="shared" si="2"/>
        <v xml:space="preserve">    └ 고객사 메뉴 관리</v>
      </c>
      <c r="C12" s="10" t="str">
        <f t="shared" ca="1" si="0"/>
        <v>14821</v>
      </c>
      <c r="D12" s="5"/>
      <c r="E12" s="9">
        <f t="shared" ca="1" si="4"/>
        <v>120003</v>
      </c>
      <c r="F12" s="38" t="s">
        <v>103</v>
      </c>
      <c r="G12" s="2"/>
      <c r="H12" s="2"/>
      <c r="I12" s="2"/>
      <c r="J12" s="2"/>
      <c r="K12" s="9"/>
      <c r="L12" s="9" t="s">
        <v>49</v>
      </c>
      <c r="M12" s="9" t="s">
        <v>49</v>
      </c>
      <c r="N12" s="2" t="s">
        <v>54</v>
      </c>
      <c r="O12" s="2" t="s">
        <v>92</v>
      </c>
      <c r="P12" s="2" t="s">
        <v>50</v>
      </c>
      <c r="Q12" s="2" t="s">
        <v>49</v>
      </c>
      <c r="R12" s="2" t="s">
        <v>49</v>
      </c>
      <c r="S12" s="2" t="s">
        <v>49</v>
      </c>
      <c r="T12" s="2" t="s">
        <v>49</v>
      </c>
      <c r="U12" s="2" t="s">
        <v>49</v>
      </c>
      <c r="V12" s="2" t="s">
        <v>49</v>
      </c>
      <c r="W12" s="2"/>
      <c r="X12" s="2"/>
      <c r="Y12" s="2"/>
      <c r="Z12" s="2"/>
      <c r="AA12" s="2"/>
      <c r="AB12" s="2"/>
      <c r="AC12" s="2"/>
      <c r="AD12" s="2"/>
      <c r="AE12" s="2"/>
      <c r="AF12" s="2"/>
      <c r="AG12" s="2"/>
      <c r="AH12" s="26" t="s">
        <v>116</v>
      </c>
      <c r="AI12" s="26" t="s">
        <v>112</v>
      </c>
      <c r="AJ12" s="57">
        <v>11</v>
      </c>
      <c r="AK12" s="27">
        <v>0</v>
      </c>
      <c r="AL12" s="10" t="s">
        <v>50</v>
      </c>
      <c r="AM12" s="6" t="str">
        <f t="shared" ca="1" si="1"/>
        <v>14821/고객사 메뉴 관리/project/ProjMenu</v>
      </c>
      <c r="AN12" s="7"/>
      <c r="AO12" s="7"/>
      <c r="AP12" s="7"/>
      <c r="AQ12" s="7"/>
      <c r="AR12" s="7"/>
      <c r="AS12" s="7"/>
      <c r="AT12" s="7"/>
      <c r="AU12" s="7"/>
      <c r="AV12" s="7"/>
      <c r="AW12" s="7"/>
      <c r="AY12" s="1" t="str">
        <f ca="1">IF(C12&lt;&gt;"",CREATE_QUERY($D$1,C$2:AW$2,C12:AW12),"")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'120003', '고객사 메뉴 관리', '', '', '', '', '', '1', '1', 'project', 'ProjMenu', '0', '1', '1', '1', '1', '1', '1', '', '', '', '', '', '', '', '', '', '', '', '120000', '4', '11', '0', '0', '14821/고객사 메뉴 관리/project/ProjMenu', '', '', '', '', '', '', '', '', '', '');</v>
      </c>
    </row>
    <row r="13" spans="1:51">
      <c r="A13" s="1">
        <v>14</v>
      </c>
      <c r="B13" s="5" t="str">
        <f t="shared" si="2"/>
        <v xml:space="preserve">    └ 테이블 내역 관리</v>
      </c>
      <c r="C13" s="10" t="str">
        <f t="shared" ca="1" si="0"/>
        <v>14821</v>
      </c>
      <c r="D13" s="5"/>
      <c r="E13" s="9">
        <f t="shared" ca="1" si="4"/>
        <v>120004</v>
      </c>
      <c r="F13" s="38" t="s">
        <v>107</v>
      </c>
      <c r="G13" s="2"/>
      <c r="H13" s="2"/>
      <c r="I13" s="2"/>
      <c r="J13" s="2"/>
      <c r="K13" s="9" t="s">
        <v>49</v>
      </c>
      <c r="L13" s="9" t="s">
        <v>49</v>
      </c>
      <c r="M13" s="9" t="s">
        <v>49</v>
      </c>
      <c r="N13" s="2" t="s">
        <v>54</v>
      </c>
      <c r="O13" s="2" t="s">
        <v>108</v>
      </c>
      <c r="P13" s="2" t="s">
        <v>50</v>
      </c>
      <c r="Q13" s="2" t="s">
        <v>49</v>
      </c>
      <c r="R13" s="2" t="s">
        <v>49</v>
      </c>
      <c r="S13" s="2" t="s">
        <v>49</v>
      </c>
      <c r="T13" s="2" t="s">
        <v>49</v>
      </c>
      <c r="U13" s="2" t="s">
        <v>49</v>
      </c>
      <c r="V13" s="2" t="s">
        <v>49</v>
      </c>
      <c r="W13" s="2"/>
      <c r="X13" s="2"/>
      <c r="Y13" s="2"/>
      <c r="Z13" s="2"/>
      <c r="AA13" s="2"/>
      <c r="AB13" s="2"/>
      <c r="AC13" s="2"/>
      <c r="AD13" s="2"/>
      <c r="AE13" s="2"/>
      <c r="AF13" s="2"/>
      <c r="AG13" s="2"/>
      <c r="AH13" s="26" t="s">
        <v>116</v>
      </c>
      <c r="AI13" s="26" t="s">
        <v>112</v>
      </c>
      <c r="AJ13" s="57">
        <v>12</v>
      </c>
      <c r="AK13" s="27">
        <v>0</v>
      </c>
      <c r="AL13" s="10" t="s">
        <v>50</v>
      </c>
      <c r="AM13" s="6" t="str">
        <f t="shared" ca="1" si="1"/>
        <v>14821/테이블 내역 관리/project/TableManager</v>
      </c>
      <c r="AN13" s="7"/>
      <c r="AO13" s="7"/>
      <c r="AP13" s="7"/>
      <c r="AQ13" s="7"/>
      <c r="AR13" s="7"/>
      <c r="AS13" s="7"/>
      <c r="AT13" s="7"/>
      <c r="AU13" s="7"/>
      <c r="AV13" s="7"/>
      <c r="AW13" s="7"/>
      <c r="AY13" s="1" t="str">
        <f ca="1">IF(C13&lt;&gt;"",CREATE_QUERY($D$1,C$2:AW$2,C13:AW13),"")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'120004', '테이블 내역 관리', '', '', '', '', '1', '1', '1', 'project', 'TableManager', '0', '1', '1', '1', '1', '1', '1', '', '', '', '', '', '', '', '', '', '', '', '120000', '4', '12', '0', '0', '14821/테이블 내역 관리/project/TableManager', '', '', '', '', '', '', '', '', '', '');</v>
      </c>
    </row>
    <row r="14" spans="1:51">
      <c r="A14" s="1">
        <v>15</v>
      </c>
      <c r="B14" s="5" t="str">
        <f t="shared" si="2"/>
        <v xml:space="preserve">    └ 스크립트 작성</v>
      </c>
      <c r="C14" s="10" t="str">
        <f t="shared" ca="1" si="0"/>
        <v>14821</v>
      </c>
      <c r="D14" s="5"/>
      <c r="E14" s="9">
        <f t="shared" ca="1" si="4"/>
        <v>120005</v>
      </c>
      <c r="F14" s="38" t="s">
        <v>109</v>
      </c>
      <c r="G14" s="2"/>
      <c r="H14" s="2"/>
      <c r="I14" s="2"/>
      <c r="J14" s="2"/>
      <c r="K14" s="9" t="s">
        <v>49</v>
      </c>
      <c r="L14" s="9" t="s">
        <v>49</v>
      </c>
      <c r="M14" s="9" t="s">
        <v>49</v>
      </c>
      <c r="N14" s="2" t="s">
        <v>54</v>
      </c>
      <c r="O14" s="2" t="s">
        <v>110</v>
      </c>
      <c r="P14" s="2" t="s">
        <v>50</v>
      </c>
      <c r="Q14" s="2" t="s">
        <v>49</v>
      </c>
      <c r="R14" s="2" t="s">
        <v>49</v>
      </c>
      <c r="S14" s="2" t="s">
        <v>49</v>
      </c>
      <c r="T14" s="2" t="s">
        <v>49</v>
      </c>
      <c r="U14" s="2" t="s">
        <v>49</v>
      </c>
      <c r="V14" s="2" t="s">
        <v>49</v>
      </c>
      <c r="W14" s="2"/>
      <c r="X14" s="2"/>
      <c r="Y14" s="2"/>
      <c r="Z14" s="2"/>
      <c r="AA14" s="2"/>
      <c r="AB14" s="2"/>
      <c r="AC14" s="2"/>
      <c r="AD14" s="2"/>
      <c r="AE14" s="2"/>
      <c r="AF14" s="2"/>
      <c r="AG14" s="2"/>
      <c r="AH14" s="26" t="s">
        <v>116</v>
      </c>
      <c r="AI14" s="26" t="s">
        <v>112</v>
      </c>
      <c r="AJ14" s="57">
        <v>13</v>
      </c>
      <c r="AK14" s="27">
        <v>0</v>
      </c>
      <c r="AL14" s="10" t="s">
        <v>50</v>
      </c>
      <c r="AM14" s="6" t="str">
        <f t="shared" ca="1" si="1"/>
        <v>14821/스크립트 작성/project/RndTool</v>
      </c>
      <c r="AN14" s="7"/>
      <c r="AO14" s="7"/>
      <c r="AP14" s="7"/>
      <c r="AQ14" s="7"/>
      <c r="AR14" s="7"/>
      <c r="AS14" s="7"/>
      <c r="AT14" s="7"/>
      <c r="AU14" s="7"/>
      <c r="AV14" s="7"/>
      <c r="AW14" s="7"/>
      <c r="AY14" s="1" t="str">
        <f ca="1">IF(C14&lt;&gt;"",CREATE_QUERY($D$1,C$2:AW$2,C14:AW14),"")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'120005', '스크립트 작성', '', '', '', '', '1', '1', '1', 'project', 'RndTool', '0', '1', '1', '1', '1', '1', '1', '', '', '', '', '', '', '', '', '', '', '', '120000', '4', '13', '0', '0', '14821/스크립트 작성/project/RndTool', '', '', '', '', '', '', '', '', '', '');</v>
      </c>
    </row>
    <row r="15" spans="1:51">
      <c r="A15" s="1">
        <v>16</v>
      </c>
      <c r="B15" s="5" t="str">
        <f t="shared" si="2"/>
        <v xml:space="preserve">    └ Domain 관리</v>
      </c>
      <c r="C15" s="10" t="str">
        <f t="shared" ca="1" si="0"/>
        <v>14821</v>
      </c>
      <c r="D15" s="5"/>
      <c r="E15" s="9">
        <f t="shared" ca="1" si="4"/>
        <v>120006</v>
      </c>
      <c r="F15" s="38" t="s">
        <v>84</v>
      </c>
      <c r="G15" s="2"/>
      <c r="H15" s="2"/>
      <c r="I15" s="2"/>
      <c r="J15" s="2"/>
      <c r="K15" s="9" t="s">
        <v>49</v>
      </c>
      <c r="L15" s="9" t="s">
        <v>49</v>
      </c>
      <c r="M15" s="9" t="s">
        <v>49</v>
      </c>
      <c r="N15" s="2" t="s">
        <v>54</v>
      </c>
      <c r="O15" s="2" t="s">
        <v>85</v>
      </c>
      <c r="P15" s="2" t="s">
        <v>50</v>
      </c>
      <c r="Q15" s="2" t="s">
        <v>49</v>
      </c>
      <c r="R15" s="2" t="s">
        <v>49</v>
      </c>
      <c r="S15" s="2" t="s">
        <v>49</v>
      </c>
      <c r="T15" s="2" t="s">
        <v>49</v>
      </c>
      <c r="U15" s="2" t="s">
        <v>49</v>
      </c>
      <c r="V15" s="2" t="s">
        <v>49</v>
      </c>
      <c r="W15" s="2"/>
      <c r="X15" s="2" t="s">
        <v>50</v>
      </c>
      <c r="Y15" s="2" t="s">
        <v>50</v>
      </c>
      <c r="Z15" s="2" t="s">
        <v>50</v>
      </c>
      <c r="AA15" s="2"/>
      <c r="AB15" s="2"/>
      <c r="AC15" s="2"/>
      <c r="AD15" s="2"/>
      <c r="AE15" s="2" t="s">
        <v>51</v>
      </c>
      <c r="AF15" s="2"/>
      <c r="AG15" s="2"/>
      <c r="AH15" s="26" t="s">
        <v>116</v>
      </c>
      <c r="AI15" s="26" t="s">
        <v>112</v>
      </c>
      <c r="AJ15" s="57">
        <v>14</v>
      </c>
      <c r="AK15" s="27">
        <v>0</v>
      </c>
      <c r="AL15" s="10" t="s">
        <v>50</v>
      </c>
      <c r="AM15" s="6" t="str">
        <f t="shared" ca="1" si="1"/>
        <v>14821/Domain 관리/project/DomainManager</v>
      </c>
      <c r="AN15" s="7"/>
      <c r="AO15" s="7"/>
      <c r="AP15" s="7"/>
      <c r="AQ15" s="7"/>
      <c r="AR15" s="7"/>
      <c r="AS15" s="7"/>
      <c r="AT15" s="7"/>
      <c r="AU15" s="7"/>
      <c r="AV15" s="7"/>
      <c r="AW15" s="7"/>
      <c r="AY15" s="1" t="str">
        <f ca="1">IF(C15&lt;&gt;"",CREATE_QUERY($D$1,C$2:AW$2,C15:AW15),"")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'120006', 'Domain 관리', '', '', '', '', '1', '1', '1', 'project', 'DomainManager', '0', '1', '1', '1', '1', '1', '1', '', '0', '0', '0', '', '', '', '', 'N', '', '', '120000', '4', '14', '0', '0', '14821/Domain 관리/project/DomainManager', '', '', '', '', '', '', '', '', '', '');</v>
      </c>
    </row>
    <row r="16" spans="1:51">
      <c r="A16" s="1">
        <v>17</v>
      </c>
      <c r="B16" s="5" t="str">
        <f t="shared" si="2"/>
        <v xml:space="preserve">    └ 쿼리 관리자</v>
      </c>
      <c r="C16" s="10" t="str">
        <f t="shared" ca="1" si="0"/>
        <v>14821</v>
      </c>
      <c r="D16" s="5"/>
      <c r="E16" s="9">
        <f t="shared" ca="1" si="4"/>
        <v>120007</v>
      </c>
      <c r="F16" s="38" t="s">
        <v>53</v>
      </c>
      <c r="G16" s="2"/>
      <c r="H16" s="2"/>
      <c r="I16" s="2"/>
      <c r="J16" s="2"/>
      <c r="K16" s="9" t="s">
        <v>49</v>
      </c>
      <c r="L16" s="9" t="s">
        <v>49</v>
      </c>
      <c r="M16" s="9" t="s">
        <v>49</v>
      </c>
      <c r="N16" s="2" t="s">
        <v>54</v>
      </c>
      <c r="O16" s="2" t="s">
        <v>55</v>
      </c>
      <c r="P16" s="2" t="s">
        <v>50</v>
      </c>
      <c r="Q16" s="2" t="s">
        <v>49</v>
      </c>
      <c r="R16" s="2" t="s">
        <v>49</v>
      </c>
      <c r="S16" s="2" t="s">
        <v>49</v>
      </c>
      <c r="T16" s="2" t="s">
        <v>49</v>
      </c>
      <c r="U16" s="2" t="s">
        <v>49</v>
      </c>
      <c r="V16" s="2" t="s">
        <v>49</v>
      </c>
      <c r="W16" s="2"/>
      <c r="X16" s="2" t="s">
        <v>50</v>
      </c>
      <c r="Y16" s="2" t="s">
        <v>50</v>
      </c>
      <c r="Z16" s="2" t="s">
        <v>50</v>
      </c>
      <c r="AA16" s="2"/>
      <c r="AB16" s="2"/>
      <c r="AC16" s="2"/>
      <c r="AD16" s="2"/>
      <c r="AE16" s="2" t="s">
        <v>56</v>
      </c>
      <c r="AF16" s="2"/>
      <c r="AG16" s="2"/>
      <c r="AH16" s="26" t="s">
        <v>116</v>
      </c>
      <c r="AI16" s="26" t="s">
        <v>112</v>
      </c>
      <c r="AJ16" s="57">
        <v>15</v>
      </c>
      <c r="AK16" s="27">
        <v>0</v>
      </c>
      <c r="AL16" s="10" t="s">
        <v>50</v>
      </c>
      <c r="AM16" s="6" t="str">
        <f t="shared" ca="1" si="1"/>
        <v>14821/쿼리 관리자/project/QueryMaker</v>
      </c>
      <c r="AN16" s="7"/>
      <c r="AO16" s="7"/>
      <c r="AP16" s="7"/>
      <c r="AQ16" s="7"/>
      <c r="AR16" s="7"/>
      <c r="AS16" s="7"/>
      <c r="AT16" s="7"/>
      <c r="AU16" s="7"/>
      <c r="AV16" s="7"/>
      <c r="AW16" s="7"/>
      <c r="AY16" s="1" t="str">
        <f ca="1">IF(C16&lt;&gt;"",CREATE_QUERY($D$1,C$2:AW$2,C16:AW16),"")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'120007', '쿼리 관리자', '', '', '', '', '1', '1', '1', 'project', 'QueryMaker', '0', '1', '1', '1', '1', '1', '1', '', '0', '0', '0', '', '', '', '', 'Y', '', '', '120000', '4', '15', '0', '0', '14821/쿼리 관리자/project/QueryMaker', '', '', '', '', '', '', '', '', '', '');</v>
      </c>
    </row>
    <row r="17" spans="1:51">
      <c r="A17" s="1">
        <v>19</v>
      </c>
      <c r="B17" s="5" t="str">
        <f t="shared" si="2"/>
        <v xml:space="preserve">  └ Server Manage</v>
      </c>
      <c r="C17" s="10" t="str">
        <f t="shared" si="0"/>
        <v>14821</v>
      </c>
      <c r="D17" s="18"/>
      <c r="E17" s="19" t="s">
        <v>117</v>
      </c>
      <c r="F17" s="42" t="s">
        <v>77</v>
      </c>
      <c r="G17" s="18"/>
      <c r="H17" s="18"/>
      <c r="I17" s="18"/>
      <c r="J17" s="18"/>
      <c r="K17" s="18" t="s">
        <v>49</v>
      </c>
      <c r="L17" s="18" t="s">
        <v>49</v>
      </c>
      <c r="M17" s="18" t="s">
        <v>50</v>
      </c>
      <c r="N17" s="18"/>
      <c r="O17" s="18"/>
      <c r="P17" s="18" t="s">
        <v>50</v>
      </c>
      <c r="Q17" s="18" t="s">
        <v>50</v>
      </c>
      <c r="R17" s="18" t="s">
        <v>50</v>
      </c>
      <c r="S17" s="18" t="s">
        <v>50</v>
      </c>
      <c r="T17" s="18" t="s">
        <v>50</v>
      </c>
      <c r="U17" s="18" t="s">
        <v>50</v>
      </c>
      <c r="V17" s="18" t="s">
        <v>49</v>
      </c>
      <c r="W17" s="18"/>
      <c r="X17" s="18" t="s">
        <v>50</v>
      </c>
      <c r="Y17" s="18" t="s">
        <v>50</v>
      </c>
      <c r="Z17" s="18" t="s">
        <v>50</v>
      </c>
      <c r="AA17" s="18"/>
      <c r="AB17" s="18"/>
      <c r="AC17" s="18"/>
      <c r="AD17" s="18"/>
      <c r="AE17" s="18"/>
      <c r="AF17" s="18"/>
      <c r="AG17" s="18"/>
      <c r="AH17" s="25" t="s">
        <v>114</v>
      </c>
      <c r="AI17" s="25" t="s">
        <v>111</v>
      </c>
      <c r="AJ17" s="57">
        <v>17</v>
      </c>
      <c r="AK17" s="27">
        <v>0</v>
      </c>
      <c r="AL17" s="10" t="s">
        <v>50</v>
      </c>
      <c r="AM17" s="6" t="str">
        <f t="shared" si="1"/>
        <v>14821/Server Manage//</v>
      </c>
      <c r="AN17" s="7"/>
      <c r="AO17" s="7"/>
      <c r="AP17" s="7"/>
      <c r="AQ17" s="7"/>
      <c r="AR17" s="7"/>
      <c r="AS17" s="7"/>
      <c r="AT17" s="7"/>
      <c r="AU17" s="7"/>
      <c r="AV17" s="7"/>
      <c r="AW17" s="7"/>
      <c r="AY17" s="1" t="str">
        <f>IF(C17&lt;&gt;"",CREATE_QUERY($D$1,C$2:AW$2,C17:AW17),"")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'130000', 'Server Manage', '', '', '', '', '1', '1', '0', '', '', '0', '0', '0', '0', '0', '0', '1', '', '0', '0', '0', '', '', '', '', '', '', '', '100000', '3', '17', '0', '0', '14821/Server Manage//', '', '', '', '', '', '', '', '', '', '');</v>
      </c>
    </row>
    <row r="18" spans="1:51">
      <c r="A18" s="1">
        <v>20</v>
      </c>
      <c r="B18" s="5" t="str">
        <f t="shared" si="2"/>
        <v xml:space="preserve">    └ Server Network </v>
      </c>
      <c r="C18" s="10" t="str">
        <f t="shared" ca="1" si="0"/>
        <v>14821</v>
      </c>
      <c r="D18" s="5"/>
      <c r="E18" s="9">
        <f t="shared" ref="E18:E20" ca="1" si="5">OFFSET(E18,-1,0)+1</f>
        <v>130001</v>
      </c>
      <c r="F18" s="38" t="s">
        <v>78</v>
      </c>
      <c r="G18" s="2"/>
      <c r="H18" s="2"/>
      <c r="I18" s="2"/>
      <c r="J18" s="2"/>
      <c r="K18" s="9" t="s">
        <v>49</v>
      </c>
      <c r="L18" s="9" t="s">
        <v>49</v>
      </c>
      <c r="M18" s="9" t="s">
        <v>49</v>
      </c>
      <c r="N18" s="2" t="s">
        <v>54</v>
      </c>
      <c r="O18" s="2" t="s">
        <v>79</v>
      </c>
      <c r="P18" s="2" t="s">
        <v>50</v>
      </c>
      <c r="Q18" s="2" t="s">
        <v>49</v>
      </c>
      <c r="R18" s="2" t="s">
        <v>49</v>
      </c>
      <c r="S18" s="2" t="s">
        <v>49</v>
      </c>
      <c r="T18" s="2" t="s">
        <v>49</v>
      </c>
      <c r="U18" s="2" t="s">
        <v>49</v>
      </c>
      <c r="V18" s="2" t="s">
        <v>49</v>
      </c>
      <c r="W18" s="2"/>
      <c r="X18" s="2" t="s">
        <v>50</v>
      </c>
      <c r="Y18" s="2" t="s">
        <v>50</v>
      </c>
      <c r="Z18" s="2" t="s">
        <v>50</v>
      </c>
      <c r="AA18" s="2"/>
      <c r="AB18" s="2"/>
      <c r="AC18" s="2"/>
      <c r="AD18" s="2"/>
      <c r="AE18" s="2"/>
      <c r="AF18" s="2"/>
      <c r="AG18" s="2"/>
      <c r="AH18" s="26" t="s">
        <v>117</v>
      </c>
      <c r="AI18" s="26" t="s">
        <v>112</v>
      </c>
      <c r="AJ18" s="57">
        <v>18</v>
      </c>
      <c r="AK18" s="27">
        <v>0</v>
      </c>
      <c r="AL18" s="10" t="s">
        <v>50</v>
      </c>
      <c r="AM18" s="6" t="str">
        <f t="shared" ca="1" si="1"/>
        <v>14821/Server Network /project/HostInfo</v>
      </c>
      <c r="AN18" s="7"/>
      <c r="AO18" s="7"/>
      <c r="AP18" s="7"/>
      <c r="AQ18" s="7"/>
      <c r="AR18" s="7"/>
      <c r="AS18" s="7"/>
      <c r="AT18" s="7"/>
      <c r="AU18" s="7"/>
      <c r="AV18" s="7"/>
      <c r="AW18" s="7"/>
      <c r="AY18" s="1" t="str">
        <f ca="1">IF(C18&lt;&gt;"",CREATE_QUERY($D$1,C$2:AW$2,C18:AW18),"")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'130001', 'Server Network ', '', '', '', '', '1', '1', '1', 'project', 'HostInfo', '0', '1', '1', '1', '1', '1', '1', '', '0', '0', '0', '', '', '', '', '', '', '', '130000', '4', '18', '0', '0', '14821/Server Network /project/HostInfo', '', '', '', '', '', '', '', '', '', '');</v>
      </c>
    </row>
    <row r="19" spans="1:51">
      <c r="A19" s="1">
        <v>21</v>
      </c>
      <c r="B19" s="5" t="str">
        <f t="shared" si="2"/>
        <v xml:space="preserve">    └ Server Daemon</v>
      </c>
      <c r="C19" s="10" t="str">
        <f t="shared" ca="1" si="0"/>
        <v>14821</v>
      </c>
      <c r="D19" s="5"/>
      <c r="E19" s="9">
        <f t="shared" ca="1" si="5"/>
        <v>130002</v>
      </c>
      <c r="F19" s="38" t="s">
        <v>80</v>
      </c>
      <c r="G19" s="2"/>
      <c r="H19" s="2"/>
      <c r="I19" s="2"/>
      <c r="J19" s="2"/>
      <c r="K19" s="9" t="s">
        <v>49</v>
      </c>
      <c r="L19" s="9" t="s">
        <v>49</v>
      </c>
      <c r="M19" s="9" t="s">
        <v>49</v>
      </c>
      <c r="N19" s="2" t="s">
        <v>54</v>
      </c>
      <c r="O19" s="2" t="s">
        <v>81</v>
      </c>
      <c r="P19" s="2" t="s">
        <v>50</v>
      </c>
      <c r="Q19" s="2" t="s">
        <v>49</v>
      </c>
      <c r="R19" s="2" t="s">
        <v>49</v>
      </c>
      <c r="S19" s="2" t="s">
        <v>49</v>
      </c>
      <c r="T19" s="2" t="s">
        <v>49</v>
      </c>
      <c r="U19" s="2" t="s">
        <v>49</v>
      </c>
      <c r="V19" s="2" t="s">
        <v>49</v>
      </c>
      <c r="W19" s="2"/>
      <c r="X19" s="2" t="s">
        <v>50</v>
      </c>
      <c r="Y19" s="2" t="s">
        <v>50</v>
      </c>
      <c r="Z19" s="2" t="s">
        <v>50</v>
      </c>
      <c r="AA19" s="2"/>
      <c r="AB19" s="2"/>
      <c r="AC19" s="2"/>
      <c r="AD19" s="2"/>
      <c r="AE19" s="2"/>
      <c r="AF19" s="2"/>
      <c r="AG19" s="2"/>
      <c r="AH19" s="26" t="s">
        <v>117</v>
      </c>
      <c r="AI19" s="26" t="s">
        <v>112</v>
      </c>
      <c r="AJ19" s="57">
        <v>19</v>
      </c>
      <c r="AK19" s="27">
        <v>0</v>
      </c>
      <c r="AL19" s="10" t="s">
        <v>50</v>
      </c>
      <c r="AM19" s="6" t="str">
        <f t="shared" ca="1" si="1"/>
        <v>14821/Server Daemon/project/DaemonInfo</v>
      </c>
      <c r="AN19" s="7"/>
      <c r="AO19" s="7"/>
      <c r="AP19" s="7"/>
      <c r="AQ19" s="7"/>
      <c r="AR19" s="7"/>
      <c r="AS19" s="7"/>
      <c r="AT19" s="7"/>
      <c r="AU19" s="7"/>
      <c r="AV19" s="7"/>
      <c r="AW19" s="7"/>
      <c r="AY19" s="1" t="str">
        <f ca="1">IF(C19&lt;&gt;"",CREATE_QUERY($D$1,C$2:AW$2,C19:AW19),"")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'130002', 'Server Daemon', '', '', '', '', '1', '1', '1', 'project', 'DaemonInfo', '0', '1', '1', '1', '1', '1', '1', '', '0', '0', '0', '', '', '', '', '', '', '', '130000', '4', '19', '0', '0', '14821/Server Daemon/project/DaemonInfo', '', '', '', '', '', '', '', '', '', '');</v>
      </c>
    </row>
    <row r="20" spans="1:51">
      <c r="A20" s="1">
        <v>22</v>
      </c>
      <c r="B20" s="5" t="str">
        <f t="shared" si="2"/>
        <v xml:space="preserve">    └ Data Base Connection</v>
      </c>
      <c r="C20" s="10" t="str">
        <f t="shared" ca="1" si="0"/>
        <v>14821</v>
      </c>
      <c r="D20" s="5"/>
      <c r="E20" s="9">
        <f t="shared" ca="1" si="5"/>
        <v>130003</v>
      </c>
      <c r="F20" s="38" t="s">
        <v>82</v>
      </c>
      <c r="G20" s="2"/>
      <c r="H20" s="2"/>
      <c r="I20" s="2"/>
      <c r="J20" s="2"/>
      <c r="K20" s="9" t="s">
        <v>49</v>
      </c>
      <c r="L20" s="9" t="s">
        <v>49</v>
      </c>
      <c r="M20" s="9" t="s">
        <v>49</v>
      </c>
      <c r="N20" s="2" t="s">
        <v>54</v>
      </c>
      <c r="O20" s="2" t="s">
        <v>83</v>
      </c>
      <c r="P20" s="2" t="s">
        <v>50</v>
      </c>
      <c r="Q20" s="2" t="s">
        <v>49</v>
      </c>
      <c r="R20" s="2" t="s">
        <v>49</v>
      </c>
      <c r="S20" s="2" t="s">
        <v>49</v>
      </c>
      <c r="T20" s="2" t="s">
        <v>49</v>
      </c>
      <c r="U20" s="2" t="s">
        <v>49</v>
      </c>
      <c r="V20" s="2" t="s">
        <v>49</v>
      </c>
      <c r="W20" s="2"/>
      <c r="X20" s="2" t="s">
        <v>50</v>
      </c>
      <c r="Y20" s="2" t="s">
        <v>50</v>
      </c>
      <c r="Z20" s="2" t="s">
        <v>50</v>
      </c>
      <c r="AA20" s="2"/>
      <c r="AB20" s="2"/>
      <c r="AC20" s="2"/>
      <c r="AD20" s="2"/>
      <c r="AE20" s="2"/>
      <c r="AF20" s="2"/>
      <c r="AG20" s="2"/>
      <c r="AH20" s="26" t="s">
        <v>117</v>
      </c>
      <c r="AI20" s="26" t="s">
        <v>112</v>
      </c>
      <c r="AJ20" s="57">
        <v>20</v>
      </c>
      <c r="AK20" s="27">
        <v>0</v>
      </c>
      <c r="AL20" s="10" t="s">
        <v>50</v>
      </c>
      <c r="AM20" s="6" t="str">
        <f t="shared" ca="1" si="1"/>
        <v>14821/Data Base Connection/project/HostDdns</v>
      </c>
      <c r="AN20" s="7"/>
      <c r="AO20" s="7"/>
      <c r="AP20" s="7"/>
      <c r="AQ20" s="7"/>
      <c r="AR20" s="7"/>
      <c r="AS20" s="7"/>
      <c r="AT20" s="7"/>
      <c r="AU20" s="7"/>
      <c r="AV20" s="7"/>
      <c r="AW20" s="7"/>
      <c r="AY20" s="1" t="str">
        <f ca="1">IF(C20&lt;&gt;"",CREATE_QUERY($D$1,C$2:AW$2,C20:AW20),"")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'130003', 'Data Base Connection', '', '', '', '', '1', '1', '1', 'project', 'HostDdns', '0', '1', '1', '1', '1', '1', '1', '', '0', '0', '0', '', '', '', '', '', '', '', '130000', '4', '20', '0', '0', '14821/Data Base Connection/project/HostDdns', '', '', '', '', '', '', '', '', '', '');</v>
      </c>
    </row>
    <row r="21" spans="1:51">
      <c r="A21" s="1">
        <v>24</v>
      </c>
      <c r="B21" s="5" t="str">
        <f t="shared" si="2"/>
        <v xml:space="preserve">  └ 기초 코드 관리(System)</v>
      </c>
      <c r="C21" s="10" t="str">
        <f t="shared" si="0"/>
        <v>14821</v>
      </c>
      <c r="D21" s="18"/>
      <c r="E21" s="19" t="s">
        <v>118</v>
      </c>
      <c r="F21" s="42" t="s">
        <v>98</v>
      </c>
      <c r="G21" s="18"/>
      <c r="H21" s="18"/>
      <c r="I21" s="18"/>
      <c r="J21" s="18"/>
      <c r="K21" s="18" t="s">
        <v>49</v>
      </c>
      <c r="L21" s="18" t="s">
        <v>49</v>
      </c>
      <c r="M21" s="18" t="s">
        <v>49</v>
      </c>
      <c r="N21" s="18" t="s">
        <v>54</v>
      </c>
      <c r="O21" s="18" t="s">
        <v>74</v>
      </c>
      <c r="P21" s="18" t="s">
        <v>49</v>
      </c>
      <c r="Q21" s="18" t="s">
        <v>49</v>
      </c>
      <c r="R21" s="18" t="s">
        <v>49</v>
      </c>
      <c r="S21" s="18" t="s">
        <v>49</v>
      </c>
      <c r="T21" s="18" t="s">
        <v>50</v>
      </c>
      <c r="U21" s="18" t="s">
        <v>49</v>
      </c>
      <c r="V21" s="18" t="s">
        <v>49</v>
      </c>
      <c r="W21" s="18"/>
      <c r="X21" s="18"/>
      <c r="Y21" s="18" t="s">
        <v>50</v>
      </c>
      <c r="Z21" s="18"/>
      <c r="AA21" s="18"/>
      <c r="AB21" s="18"/>
      <c r="AC21" s="18"/>
      <c r="AD21" s="18"/>
      <c r="AE21" s="18"/>
      <c r="AF21" s="18"/>
      <c r="AG21" s="18"/>
      <c r="AH21" s="25" t="s">
        <v>114</v>
      </c>
      <c r="AI21" s="25" t="s">
        <v>111</v>
      </c>
      <c r="AJ21" s="57">
        <v>22</v>
      </c>
      <c r="AK21" s="27">
        <v>0</v>
      </c>
      <c r="AL21" s="10" t="s">
        <v>50</v>
      </c>
      <c r="AM21" s="6" t="str">
        <f t="shared" si="1"/>
        <v>14821/기초 코드 관리(System)/project/SscdMast</v>
      </c>
      <c r="AN21" s="7"/>
      <c r="AO21" s="7"/>
      <c r="AP21" s="7"/>
      <c r="AQ21" s="7"/>
      <c r="AR21" s="7"/>
      <c r="AS21" s="7"/>
      <c r="AT21" s="7"/>
      <c r="AU21" s="7"/>
      <c r="AV21" s="7"/>
      <c r="AW21" s="7"/>
      <c r="AY21" s="1" t="str">
        <f>IF(C21&lt;&gt;"",CREATE_QUERY($D$1,C$2:AW$2,C21:AW21),"")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'140000', '기초 코드 관리(System)', '', '', '', '', '1', '1', '1', 'project', 'SscdMast', '1', '1', '1', '1', '0', '1', '1', '', '', '0', '', '', '', '', '', '', '', '', '100000', '3', '22', '0', '0', '14821/기초 코드 관리(System)/project/SscdMast', '', '', '', '', '', '', '', '', '', '');</v>
      </c>
    </row>
    <row r="22" spans="1:51">
      <c r="A22" s="1">
        <v>26</v>
      </c>
      <c r="B22" s="5" t="str">
        <f t="shared" si="2"/>
        <v xml:space="preserve">  └ 계정 관리</v>
      </c>
      <c r="C22" s="10" t="str">
        <f t="shared" si="0"/>
        <v>14821</v>
      </c>
      <c r="D22" s="17"/>
      <c r="E22" s="17" t="s">
        <v>119</v>
      </c>
      <c r="F22" s="42" t="s">
        <v>93</v>
      </c>
      <c r="G22" s="18"/>
      <c r="H22" s="18"/>
      <c r="I22" s="18"/>
      <c r="J22" s="18"/>
      <c r="K22" s="19"/>
      <c r="L22" s="19" t="s">
        <v>49</v>
      </c>
      <c r="M22" s="19" t="s">
        <v>50</v>
      </c>
      <c r="N22" s="18"/>
      <c r="O22" s="18"/>
      <c r="P22" s="18" t="s">
        <v>50</v>
      </c>
      <c r="Q22" s="18" t="s">
        <v>50</v>
      </c>
      <c r="R22" s="18" t="s">
        <v>50</v>
      </c>
      <c r="S22" s="18" t="s">
        <v>50</v>
      </c>
      <c r="T22" s="18" t="s">
        <v>50</v>
      </c>
      <c r="U22" s="18" t="s">
        <v>50</v>
      </c>
      <c r="V22" s="18" t="s">
        <v>49</v>
      </c>
      <c r="W22" s="18"/>
      <c r="X22" s="18" t="s">
        <v>50</v>
      </c>
      <c r="Y22" s="18" t="s">
        <v>50</v>
      </c>
      <c r="Z22" s="18" t="s">
        <v>50</v>
      </c>
      <c r="AA22" s="18"/>
      <c r="AB22" s="18"/>
      <c r="AC22" s="18"/>
      <c r="AD22" s="18"/>
      <c r="AE22" s="18"/>
      <c r="AF22" s="18"/>
      <c r="AG22" s="18"/>
      <c r="AH22" s="24" t="s">
        <v>114</v>
      </c>
      <c r="AI22" s="24" t="s">
        <v>111</v>
      </c>
      <c r="AJ22" s="57">
        <v>24</v>
      </c>
      <c r="AK22" s="27">
        <v>0</v>
      </c>
      <c r="AL22" s="10" t="s">
        <v>50</v>
      </c>
      <c r="AM22" s="6" t="str">
        <f t="shared" si="1"/>
        <v>14821/계정 관리//</v>
      </c>
      <c r="AN22" s="7"/>
      <c r="AO22" s="7"/>
      <c r="AP22" s="7"/>
      <c r="AQ22" s="7"/>
      <c r="AR22" s="7"/>
      <c r="AS22" s="7"/>
      <c r="AT22" s="7"/>
      <c r="AU22" s="7"/>
      <c r="AV22" s="7"/>
      <c r="AW22" s="7"/>
      <c r="AY22" s="1" t="str">
        <f>IF(C22&lt;&gt;"",CREATE_QUERY($D$1,C$2:AW$2,C22:AW22),"")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'150000', '계정 관리', '', '', '', '', '', '1', '0', '', '', '0', '0', '0', '0', '0', '0', '1', '', '0', '0', '0', '', '', '', '', '', '', '', '100000', '3', '24', '0', '0', '14821/계정 관리//', '', '', '', '', '', '', '', '', '', '');</v>
      </c>
    </row>
    <row r="23" spans="1:51">
      <c r="A23" s="1">
        <v>27</v>
      </c>
      <c r="B23" s="5" t="str">
        <f t="shared" si="2"/>
        <v xml:space="preserve">    └ 사용자 계정 관리</v>
      </c>
      <c r="C23" s="10" t="str">
        <f t="shared" ca="1" si="0"/>
        <v>14821</v>
      </c>
      <c r="D23" s="5"/>
      <c r="E23" s="9">
        <f t="shared" ref="E23:E25" ca="1" si="6">OFFSET(E23,-1,0)+1</f>
        <v>150001</v>
      </c>
      <c r="F23" s="38" t="s">
        <v>94</v>
      </c>
      <c r="G23" s="2"/>
      <c r="H23" s="2"/>
      <c r="I23" s="2"/>
      <c r="J23" s="2"/>
      <c r="K23" s="9" t="s">
        <v>49</v>
      </c>
      <c r="L23" s="9" t="s">
        <v>49</v>
      </c>
      <c r="M23" s="9" t="s">
        <v>49</v>
      </c>
      <c r="N23" s="2" t="s">
        <v>87</v>
      </c>
      <c r="O23" s="2" t="s">
        <v>64</v>
      </c>
      <c r="P23" s="2" t="s">
        <v>50</v>
      </c>
      <c r="Q23" s="2" t="s">
        <v>49</v>
      </c>
      <c r="R23" s="2" t="s">
        <v>49</v>
      </c>
      <c r="S23" s="2" t="s">
        <v>50</v>
      </c>
      <c r="T23" s="2" t="s">
        <v>50</v>
      </c>
      <c r="U23" s="2" t="s">
        <v>49</v>
      </c>
      <c r="V23" s="2" t="s">
        <v>49</v>
      </c>
      <c r="W23" s="2"/>
      <c r="X23" s="2" t="s">
        <v>50</v>
      </c>
      <c r="Y23" s="2" t="s">
        <v>50</v>
      </c>
      <c r="Z23" s="2" t="s">
        <v>50</v>
      </c>
      <c r="AA23" s="2"/>
      <c r="AB23" s="2"/>
      <c r="AC23" s="2"/>
      <c r="AD23" s="2"/>
      <c r="AE23" s="2"/>
      <c r="AF23" s="2"/>
      <c r="AG23" s="2"/>
      <c r="AH23" s="26" t="s">
        <v>119</v>
      </c>
      <c r="AI23" s="26" t="s">
        <v>112</v>
      </c>
      <c r="AJ23" s="57">
        <v>25</v>
      </c>
      <c r="AK23" s="27">
        <v>0</v>
      </c>
      <c r="AL23" s="10" t="s">
        <v>50</v>
      </c>
      <c r="AM23" s="6" t="str">
        <f t="shared" ca="1" si="1"/>
        <v>14821/사용자 계정 관리/contr/UserInfo</v>
      </c>
      <c r="AN23" s="7"/>
      <c r="AO23" s="7"/>
      <c r="AP23" s="7"/>
      <c r="AQ23" s="7"/>
      <c r="AR23" s="7"/>
      <c r="AS23" s="7"/>
      <c r="AT23" s="7"/>
      <c r="AU23" s="7"/>
      <c r="AV23" s="7"/>
      <c r="AW23" s="7"/>
      <c r="AY23" s="1" t="str">
        <f ca="1">IF(C23&lt;&gt;"",CREATE_QUERY($D$1,C$2:AW$2,C23:AW23),"")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'150001', '사용자 계정 관리', '', '', '', '', '1', '1', '1', 'contr', 'UserInfo', '0', '1', '1', '0', '0', '1', '1', '', '0', '0', '0', '', '', '', '', '', '', '', '150000', '4', '25', '0', '0', '14821/사용자 계정 관리/contr/UserInfo', '', '', '', '', '', '', '', '', '', '');</v>
      </c>
    </row>
    <row r="24" spans="1:51">
      <c r="A24" s="1">
        <v>28</v>
      </c>
      <c r="B24" s="5" t="str">
        <f t="shared" si="2"/>
        <v xml:space="preserve">    └ 사용자 부서 관리</v>
      </c>
      <c r="C24" s="10" t="str">
        <f t="shared" ca="1" si="0"/>
        <v>14821</v>
      </c>
      <c r="D24" s="5"/>
      <c r="E24" s="9">
        <f t="shared" ca="1" si="6"/>
        <v>150002</v>
      </c>
      <c r="F24" s="38" t="s">
        <v>95</v>
      </c>
      <c r="G24" s="2"/>
      <c r="H24" s="2"/>
      <c r="I24" s="2"/>
      <c r="J24" s="2"/>
      <c r="K24" s="9" t="s">
        <v>49</v>
      </c>
      <c r="L24" s="9" t="s">
        <v>49</v>
      </c>
      <c r="M24" s="9" t="s">
        <v>49</v>
      </c>
      <c r="N24" s="2" t="s">
        <v>87</v>
      </c>
      <c r="O24" s="2" t="s">
        <v>62</v>
      </c>
      <c r="P24" s="2" t="s">
        <v>50</v>
      </c>
      <c r="Q24" s="2" t="s">
        <v>49</v>
      </c>
      <c r="R24" s="2" t="s">
        <v>49</v>
      </c>
      <c r="S24" s="2" t="s">
        <v>50</v>
      </c>
      <c r="T24" s="2" t="s">
        <v>50</v>
      </c>
      <c r="U24" s="2" t="s">
        <v>49</v>
      </c>
      <c r="V24" s="2" t="s">
        <v>49</v>
      </c>
      <c r="W24" s="2"/>
      <c r="X24" s="2" t="s">
        <v>50</v>
      </c>
      <c r="Y24" s="2" t="s">
        <v>50</v>
      </c>
      <c r="Z24" s="2" t="s">
        <v>50</v>
      </c>
      <c r="AA24" s="2"/>
      <c r="AB24" s="2"/>
      <c r="AC24" s="2"/>
      <c r="AD24" s="2"/>
      <c r="AE24" s="2"/>
      <c r="AF24" s="2"/>
      <c r="AG24" s="2"/>
      <c r="AH24" s="26" t="s">
        <v>119</v>
      </c>
      <c r="AI24" s="26" t="s">
        <v>112</v>
      </c>
      <c r="AJ24" s="57">
        <v>26</v>
      </c>
      <c r="AK24" s="27">
        <v>0</v>
      </c>
      <c r="AL24" s="10" t="s">
        <v>50</v>
      </c>
      <c r="AM24" s="6" t="str">
        <f t="shared" ca="1" si="1"/>
        <v>14821/사용자 부서 관리/contr/DeptInfo</v>
      </c>
      <c r="AN24" s="7"/>
      <c r="AO24" s="7"/>
      <c r="AP24" s="7"/>
      <c r="AQ24" s="7"/>
      <c r="AR24" s="7"/>
      <c r="AS24" s="7"/>
      <c r="AT24" s="7"/>
      <c r="AU24" s="7"/>
      <c r="AV24" s="7"/>
      <c r="AW24" s="7"/>
      <c r="AY24" s="1" t="str">
        <f ca="1">IF(C24&lt;&gt;"",CREATE_QUERY($D$1,C$2:AW$2,C24:AW24),"")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'150002', '사용자 부서 관리', '', '', '', '', '1', '1', '1', 'contr', 'DeptInfo', '0', '1', '1', '0', '0', '1', '1', '', '0', '0', '0', '', '', '', '', '', '', '', '150000', '4', '26', '0', '0', '14821/사용자 부서 관리/contr/DeptInfo', '', '', '', '', '', '', '', '', '', '');</v>
      </c>
    </row>
    <row r="25" spans="1:51">
      <c r="A25" s="1">
        <v>29</v>
      </c>
      <c r="B25" s="5" t="str">
        <f t="shared" si="2"/>
        <v xml:space="preserve">    └ 사용자 권한 관리</v>
      </c>
      <c r="C25" s="10" t="str">
        <f t="shared" ca="1" si="0"/>
        <v>14821</v>
      </c>
      <c r="D25" s="5"/>
      <c r="E25" s="9">
        <f t="shared" ca="1" si="6"/>
        <v>150003</v>
      </c>
      <c r="F25" s="38" t="s">
        <v>96</v>
      </c>
      <c r="G25" s="2"/>
      <c r="H25" s="2"/>
      <c r="I25" s="2"/>
      <c r="J25" s="2"/>
      <c r="K25" s="9"/>
      <c r="L25" s="9" t="s">
        <v>49</v>
      </c>
      <c r="M25" s="9" t="s">
        <v>49</v>
      </c>
      <c r="N25" s="2" t="s">
        <v>61</v>
      </c>
      <c r="O25" s="2" t="s">
        <v>72</v>
      </c>
      <c r="P25" s="2" t="s">
        <v>50</v>
      </c>
      <c r="Q25" s="2" t="s">
        <v>50</v>
      </c>
      <c r="R25" s="2" t="s">
        <v>49</v>
      </c>
      <c r="S25" s="2" t="s">
        <v>50</v>
      </c>
      <c r="T25" s="2" t="s">
        <v>50</v>
      </c>
      <c r="U25" s="2" t="s">
        <v>50</v>
      </c>
      <c r="V25" s="2" t="s">
        <v>89</v>
      </c>
      <c r="W25" s="2"/>
      <c r="X25" s="2"/>
      <c r="Y25" s="2" t="s">
        <v>50</v>
      </c>
      <c r="Z25" s="2"/>
      <c r="AA25" s="2"/>
      <c r="AB25" s="2"/>
      <c r="AC25" s="2"/>
      <c r="AD25" s="2"/>
      <c r="AE25" s="2"/>
      <c r="AF25" s="2"/>
      <c r="AG25" s="2"/>
      <c r="AH25" s="26" t="s">
        <v>119</v>
      </c>
      <c r="AI25" s="26" t="s">
        <v>112</v>
      </c>
      <c r="AJ25" s="57">
        <v>27</v>
      </c>
      <c r="AK25" s="27">
        <v>0</v>
      </c>
      <c r="AL25" s="10" t="s">
        <v>50</v>
      </c>
      <c r="AM25" s="6" t="str">
        <f t="shared" ca="1" si="1"/>
        <v>14821/사용자 권한 관리/user/UserAuth</v>
      </c>
      <c r="AN25" s="7"/>
      <c r="AO25" s="7"/>
      <c r="AP25" s="7"/>
      <c r="AQ25" s="7"/>
      <c r="AR25" s="7"/>
      <c r="AS25" s="7"/>
      <c r="AT25" s="7"/>
      <c r="AU25" s="7"/>
      <c r="AV25" s="7"/>
      <c r="AW25" s="7"/>
      <c r="AY25" s="1" t="str">
        <f ca="1">IF(C25&lt;&gt;"",CREATE_QUERY($D$1,C$2:AW$2,C25:AW25),"")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'150003', '사용자 권한 관리', '', '', '', '', '', '1', '1', 'user', 'UserAuth', '0', '0', '1', '0', '0', '0', '9', '', '', '0', '', '', '', '', '', '', '', '', '150000', '4', '27', '0', '0', '14821/사용자 권한 관리/user/UserAuth', '', '', '', '', '', '', '', '', '', '');</v>
      </c>
    </row>
    <row r="26" spans="1:51">
      <c r="A26" s="1">
        <v>4</v>
      </c>
      <c r="B26" s="5" t="str">
        <f>IF(AI26="","",IF(AI26="1","",IF(AI26="2","→",IF(AI26="3","→→",IF(AI26="4","→→→",IF(AI26="5","→→→→",IF(AI26="6","→→→→→",IF(AI26="7"="→→→→→→",""))))))))&amp;F26</f>
        <v>→ERP System</v>
      </c>
      <c r="C26" s="14" t="str">
        <f t="shared" si="0"/>
        <v>14821</v>
      </c>
      <c r="D26" s="15"/>
      <c r="E26" s="16" t="s">
        <v>992</v>
      </c>
      <c r="F26" s="41" t="s">
        <v>398</v>
      </c>
      <c r="G26" s="15"/>
      <c r="H26" s="15"/>
      <c r="I26" s="15"/>
      <c r="J26" s="15"/>
      <c r="K26" s="14" t="s">
        <v>49</v>
      </c>
      <c r="L26" s="14" t="s">
        <v>49</v>
      </c>
      <c r="M26" s="14" t="s">
        <v>50</v>
      </c>
      <c r="N26" s="15"/>
      <c r="O26" s="15"/>
      <c r="P26" s="14" t="s">
        <v>50</v>
      </c>
      <c r="Q26" s="15" t="s">
        <v>50</v>
      </c>
      <c r="R26" s="15" t="s">
        <v>50</v>
      </c>
      <c r="S26" s="15" t="s">
        <v>50</v>
      </c>
      <c r="T26" s="15" t="s">
        <v>50</v>
      </c>
      <c r="U26" s="15" t="s">
        <v>50</v>
      </c>
      <c r="V26" s="15" t="s">
        <v>49</v>
      </c>
      <c r="W26" s="15"/>
      <c r="X26" s="15"/>
      <c r="Y26" s="15" t="s">
        <v>50</v>
      </c>
      <c r="Z26" s="15"/>
      <c r="AA26" s="15"/>
      <c r="AB26" s="15"/>
      <c r="AC26" s="15"/>
      <c r="AD26" s="15"/>
      <c r="AE26" s="15"/>
      <c r="AF26" s="15"/>
      <c r="AG26" s="15"/>
      <c r="AH26" s="23" t="s">
        <v>47</v>
      </c>
      <c r="AI26" s="23" t="s">
        <v>52</v>
      </c>
      <c r="AJ26" s="57">
        <v>30</v>
      </c>
      <c r="AK26" s="54">
        <v>0</v>
      </c>
      <c r="AL26" s="10" t="s">
        <v>50</v>
      </c>
      <c r="AM26" s="6" t="str">
        <f t="shared" si="1"/>
        <v>14821/ERP System//</v>
      </c>
      <c r="AN26" s="7"/>
      <c r="AO26" s="7"/>
      <c r="AP26" s="7"/>
      <c r="AQ26" s="7"/>
      <c r="AR26" s="7"/>
      <c r="AS26" s="7"/>
      <c r="AT26" s="7"/>
      <c r="AU26" s="7"/>
      <c r="AV26" s="7"/>
      <c r="AW26" s="7"/>
      <c r="AY26" s="1" t="str">
        <f>IF(C26&lt;&gt;"",CREATE_QUERY($D$1,C$2:AW$2,C26:AW26),"")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ROW_STS, ROW_CLOS, FIND_NM, UPT_USR_NM, UPT_IP, UPT_DTTM, UPT_ID, UPT_UI, CRT_USR_NM, CRT_IP, CRT_DTTM, CRT_ID, CRT_UI) VALUES ('14821', '', '2000000', 'ERP System', '', '', '', '', '1', '1', '0', '', '', '0', '0', '0', '0', '0', '0', '1', '', '', '0', '', '', '', '', '', '', '', '', '14821', '2', '30', '0', '0', '14821/ERP System//', '', '', '', '', '', '', '', '', '', '');</v>
      </c>
    </row>
    <row r="27" spans="1:51" s="29" customFormat="1" ht="14.5">
      <c r="B27" s="5" t="str">
        <f>IF(AI27="","",IF(AI27=1,"",IF(AI27=2,"└ ",IF(AI27=3,"  └ ",IF(AI27=4,"    └ ",IF(AI27=5,"        └ ",IF(AI27=6,"           └ ",IF(AI27=7="             └ ",""))))))))&amp;F27</f>
        <v xml:space="preserve">  └ 공지사항</v>
      </c>
      <c r="C27" s="33" t="s">
        <v>47</v>
      </c>
      <c r="D27" s="32"/>
      <c r="E27" s="46" t="s">
        <v>410</v>
      </c>
      <c r="F27" s="47" t="s">
        <v>744</v>
      </c>
      <c r="G27" s="48"/>
      <c r="H27" s="48"/>
      <c r="I27" s="48"/>
      <c r="J27" s="49"/>
      <c r="K27" s="50"/>
      <c r="L27" s="51" t="str">
        <f t="shared" ref="L27:L32" si="7">IF(F27="","","1")</f>
        <v>1</v>
      </c>
      <c r="M27" s="51" t="str">
        <f t="shared" ref="M27:M32" si="8">IF(F27="","",IF(O27="","0","1"))</f>
        <v>0</v>
      </c>
      <c r="N27" s="48" t="s">
        <v>48</v>
      </c>
      <c r="O27" s="48"/>
      <c r="P27" s="51" t="str">
        <f t="shared" ref="P27:P32" si="9">IF(F27="","","1")</f>
        <v>1</v>
      </c>
      <c r="Q27" s="48" t="s">
        <v>399</v>
      </c>
      <c r="R27" s="48" t="s">
        <v>399</v>
      </c>
      <c r="S27" s="48" t="s">
        <v>399</v>
      </c>
      <c r="T27" s="48" t="s">
        <v>400</v>
      </c>
      <c r="U27" s="48" t="s">
        <v>48</v>
      </c>
      <c r="V27" s="48" t="s">
        <v>400</v>
      </c>
      <c r="W27" s="48" t="s">
        <v>400</v>
      </c>
      <c r="X27" s="48" t="s">
        <v>400</v>
      </c>
      <c r="Y27" s="48" t="s">
        <v>48</v>
      </c>
      <c r="Z27" s="48" t="s">
        <v>48</v>
      </c>
      <c r="AA27" s="48" t="s">
        <v>48</v>
      </c>
      <c r="AB27" s="48" t="s">
        <v>48</v>
      </c>
      <c r="AC27" s="48" t="s">
        <v>48</v>
      </c>
      <c r="AD27" s="48"/>
      <c r="AE27" s="51" t="str">
        <f t="shared" ref="AE27:AE32" si="10">IF(F27="","","N")</f>
        <v>N</v>
      </c>
      <c r="AF27" s="48" t="s">
        <v>399</v>
      </c>
      <c r="AG27" s="48"/>
      <c r="AH27" s="46" t="s">
        <v>403</v>
      </c>
      <c r="AI27" s="52">
        <v>3</v>
      </c>
      <c r="AJ27" s="57">
        <v>31</v>
      </c>
      <c r="AK27" s="33" t="s">
        <v>401</v>
      </c>
      <c r="AL27" s="10" t="s">
        <v>50</v>
      </c>
      <c r="AM27" s="6" t="str">
        <f t="shared" si="1"/>
        <v>14821/공지사항/ /</v>
      </c>
      <c r="AN27" s="30"/>
      <c r="AO27" s="30"/>
      <c r="AP27" s="30"/>
      <c r="AQ27" s="30"/>
      <c r="AR27" s="31"/>
      <c r="AS27" s="31"/>
      <c r="AT27" s="31"/>
      <c r="AU27" s="31"/>
      <c r="AV27" s="31"/>
      <c r="AW27" s="31"/>
      <c r="AX27" s="31"/>
      <c r="AY27" s="31"/>
    </row>
    <row r="28" spans="1:51" s="29" customFormat="1" ht="14.5">
      <c r="B28" s="5" t="str">
        <f>IF(AI28="","",IF(AI28=1,"",IF(AI28=2,"└ ",IF(AI28=3,"  └ ",IF(AI28=4,"    └ ",IF(AI28=5,"        └ ",IF(AI28=6,"           └ ",IF(AI28=7="             └ ",""))))))))&amp;F28</f>
        <v xml:space="preserve">    └ 전체 공지사항</v>
      </c>
      <c r="C28" s="33" t="s">
        <v>47</v>
      </c>
      <c r="D28" s="32"/>
      <c r="E28" s="46" t="s">
        <v>411</v>
      </c>
      <c r="F28" s="47" t="s">
        <v>745</v>
      </c>
      <c r="G28" s="48"/>
      <c r="H28" s="48"/>
      <c r="I28" s="48"/>
      <c r="J28" s="50"/>
      <c r="K28" s="50"/>
      <c r="L28" s="51" t="str">
        <f t="shared" si="7"/>
        <v>1</v>
      </c>
      <c r="M28" s="51" t="str">
        <f t="shared" si="8"/>
        <v>1</v>
      </c>
      <c r="N28" s="48" t="s">
        <v>412</v>
      </c>
      <c r="O28" s="48" t="s">
        <v>473</v>
      </c>
      <c r="P28" s="51" t="str">
        <f t="shared" si="9"/>
        <v>1</v>
      </c>
      <c r="Q28" s="48" t="s">
        <v>400</v>
      </c>
      <c r="R28" s="48" t="s">
        <v>399</v>
      </c>
      <c r="S28" s="48" t="s">
        <v>399</v>
      </c>
      <c r="T28" s="48" t="s">
        <v>400</v>
      </c>
      <c r="U28" s="48" t="s">
        <v>48</v>
      </c>
      <c r="V28" s="48" t="s">
        <v>400</v>
      </c>
      <c r="W28" s="48" t="s">
        <v>400</v>
      </c>
      <c r="X28" s="48" t="s">
        <v>400</v>
      </c>
      <c r="Y28" s="48" t="s">
        <v>48</v>
      </c>
      <c r="Z28" s="48" t="s">
        <v>48</v>
      </c>
      <c r="AA28" s="48" t="s">
        <v>48</v>
      </c>
      <c r="AB28" s="48" t="s">
        <v>48</v>
      </c>
      <c r="AC28" s="48" t="s">
        <v>48</v>
      </c>
      <c r="AD28" s="48"/>
      <c r="AE28" s="51" t="str">
        <f t="shared" si="10"/>
        <v>N</v>
      </c>
      <c r="AF28" s="48" t="s">
        <v>399</v>
      </c>
      <c r="AG28" s="48"/>
      <c r="AH28" s="46" t="s">
        <v>410</v>
      </c>
      <c r="AI28" s="53">
        <v>4</v>
      </c>
      <c r="AJ28" s="57">
        <v>32</v>
      </c>
      <c r="AK28" s="33" t="s">
        <v>401</v>
      </c>
      <c r="AL28" s="10" t="s">
        <v>50</v>
      </c>
      <c r="AM28" s="6" t="str">
        <f t="shared" si="1"/>
        <v>14821/전체 공지사항/ board/TotalNotice</v>
      </c>
      <c r="AN28" s="30"/>
      <c r="AO28" s="30"/>
      <c r="AP28" s="30"/>
      <c r="AQ28" s="30"/>
      <c r="AR28" s="31"/>
      <c r="AS28" s="31"/>
      <c r="AT28" s="31"/>
      <c r="AU28" s="31"/>
      <c r="AV28" s="31"/>
      <c r="AW28" s="31"/>
      <c r="AX28" s="31"/>
      <c r="AY28" s="31"/>
    </row>
    <row r="29" spans="1:51" s="29" customFormat="1" ht="14.5">
      <c r="B29" s="5" t="str">
        <f>IF(AI29="","",IF(AI29=1,"",IF(AI29=2,"└ ",IF(AI29=3,"  └ ",IF(AI29=4,"    └ ",IF(AI29=5,"        └ ",IF(AI29=6,"           └ ",IF(AI29=7="             └ ",""))))))))&amp;F29</f>
        <v xml:space="preserve">  └ 공지사항열람</v>
      </c>
      <c r="C29" s="33" t="s">
        <v>47</v>
      </c>
      <c r="D29" s="32"/>
      <c r="E29" s="46" t="s">
        <v>413</v>
      </c>
      <c r="F29" s="47" t="s">
        <v>991</v>
      </c>
      <c r="G29" s="48"/>
      <c r="H29" s="48"/>
      <c r="I29" s="48"/>
      <c r="J29" s="49"/>
      <c r="K29" s="50"/>
      <c r="L29" s="51" t="str">
        <f t="shared" si="7"/>
        <v>1</v>
      </c>
      <c r="M29" s="51" t="str">
        <f t="shared" si="8"/>
        <v>1</v>
      </c>
      <c r="N29" s="48" t="s">
        <v>404</v>
      </c>
      <c r="O29" s="48" t="s">
        <v>474</v>
      </c>
      <c r="P29" s="51" t="str">
        <f t="shared" si="9"/>
        <v>1</v>
      </c>
      <c r="Q29" s="48" t="s">
        <v>399</v>
      </c>
      <c r="R29" s="48" t="s">
        <v>399</v>
      </c>
      <c r="S29" s="48" t="s">
        <v>399</v>
      </c>
      <c r="T29" s="48" t="s">
        <v>400</v>
      </c>
      <c r="U29" s="48" t="s">
        <v>48</v>
      </c>
      <c r="V29" s="48" t="s">
        <v>400</v>
      </c>
      <c r="W29" s="48" t="s">
        <v>400</v>
      </c>
      <c r="X29" s="48" t="s">
        <v>400</v>
      </c>
      <c r="Y29" s="48" t="s">
        <v>48</v>
      </c>
      <c r="Z29" s="48" t="s">
        <v>48</v>
      </c>
      <c r="AA29" s="48" t="s">
        <v>48</v>
      </c>
      <c r="AB29" s="48" t="s">
        <v>48</v>
      </c>
      <c r="AC29" s="48" t="s">
        <v>48</v>
      </c>
      <c r="AD29" s="48"/>
      <c r="AE29" s="51" t="str">
        <f t="shared" si="10"/>
        <v>N</v>
      </c>
      <c r="AF29" s="48" t="s">
        <v>399</v>
      </c>
      <c r="AG29" s="48"/>
      <c r="AH29" s="46" t="s">
        <v>403</v>
      </c>
      <c r="AI29" s="52">
        <v>3</v>
      </c>
      <c r="AJ29" s="57">
        <v>33</v>
      </c>
      <c r="AK29" s="33" t="s">
        <v>401</v>
      </c>
      <c r="AL29" s="10" t="s">
        <v>50</v>
      </c>
      <c r="AM29" s="6" t="str">
        <f t="shared" si="1"/>
        <v>14821/공지사항열람/ basic/NoticeViewer</v>
      </c>
      <c r="AN29" s="30"/>
      <c r="AO29" s="30"/>
      <c r="AP29" s="30"/>
      <c r="AQ29" s="30"/>
      <c r="AR29" s="31"/>
      <c r="AS29" s="31"/>
      <c r="AT29" s="31"/>
      <c r="AU29" s="31"/>
      <c r="AV29" s="31"/>
      <c r="AW29" s="31"/>
      <c r="AX29" s="31"/>
      <c r="AY29" s="31"/>
    </row>
    <row r="30" spans="1:51" s="29" customFormat="1" ht="14.5">
      <c r="B30" s="5" t="str">
        <f>IF(AI30="","",IF(AI30=1,"",IF(AI30=2,"└ ",IF(AI30=3,"  └ ",IF(AI30=4,"    └ ",IF(AI30=5,"        └ ",IF(AI30=6,"           └ ",IF(AI30=7="             └ ",""))))))))&amp;F30</f>
        <v xml:space="preserve">  └ 체인점 게시판</v>
      </c>
      <c r="C30" s="33" t="s">
        <v>47</v>
      </c>
      <c r="D30" s="32"/>
      <c r="E30" s="46" t="s">
        <v>414</v>
      </c>
      <c r="F30" s="47" t="s">
        <v>746</v>
      </c>
      <c r="G30" s="48"/>
      <c r="H30" s="48"/>
      <c r="I30" s="48"/>
      <c r="J30" s="49"/>
      <c r="K30" s="50"/>
      <c r="L30" s="51" t="str">
        <f t="shared" si="7"/>
        <v>1</v>
      </c>
      <c r="M30" s="51" t="str">
        <f t="shared" si="8"/>
        <v>1</v>
      </c>
      <c r="N30" s="48" t="s">
        <v>415</v>
      </c>
      <c r="O30" s="48" t="s">
        <v>475</v>
      </c>
      <c r="P30" s="51" t="str">
        <f t="shared" si="9"/>
        <v>1</v>
      </c>
      <c r="Q30" s="48" t="s">
        <v>400</v>
      </c>
      <c r="R30" s="48" t="s">
        <v>400</v>
      </c>
      <c r="S30" s="48" t="s">
        <v>400</v>
      </c>
      <c r="T30" s="48" t="s">
        <v>400</v>
      </c>
      <c r="U30" s="48" t="s">
        <v>48</v>
      </c>
      <c r="V30" s="48" t="s">
        <v>400</v>
      </c>
      <c r="W30" s="48" t="s">
        <v>400</v>
      </c>
      <c r="X30" s="48" t="s">
        <v>400</v>
      </c>
      <c r="Y30" s="48" t="s">
        <v>48</v>
      </c>
      <c r="Z30" s="48" t="s">
        <v>48</v>
      </c>
      <c r="AA30" s="48" t="s">
        <v>48</v>
      </c>
      <c r="AB30" s="48" t="s">
        <v>48</v>
      </c>
      <c r="AC30" s="48" t="s">
        <v>48</v>
      </c>
      <c r="AD30" s="48"/>
      <c r="AE30" s="51" t="str">
        <f t="shared" si="10"/>
        <v>N</v>
      </c>
      <c r="AF30" s="48" t="s">
        <v>399</v>
      </c>
      <c r="AG30" s="48"/>
      <c r="AH30" s="46" t="s">
        <v>403</v>
      </c>
      <c r="AI30" s="52">
        <v>3</v>
      </c>
      <c r="AJ30" s="57">
        <v>34</v>
      </c>
      <c r="AK30" s="33" t="s">
        <v>401</v>
      </c>
      <c r="AL30" s="10" t="s">
        <v>50</v>
      </c>
      <c r="AM30" s="6" t="str">
        <f t="shared" si="1"/>
        <v>14821/체인점 게시판/ zreport/ChainNoticeBoard</v>
      </c>
      <c r="AN30" s="30"/>
      <c r="AO30" s="30"/>
      <c r="AP30" s="30"/>
      <c r="AQ30" s="30"/>
      <c r="AR30" s="31"/>
      <c r="AS30" s="31"/>
      <c r="AT30" s="31"/>
      <c r="AU30" s="31"/>
      <c r="AV30" s="31"/>
      <c r="AW30" s="31"/>
      <c r="AX30" s="31"/>
      <c r="AY30" s="31"/>
    </row>
    <row r="31" spans="1:51" s="29" customFormat="1" ht="14.5">
      <c r="B31" s="5" t="str">
        <f>IF(AI31="","",IF(AI31=1,"",IF(AI31=2,"└ ",IF(AI31=3,"  └ ",IF(AI31=4,"    └ ",IF(AI31=5,"        └ ",IF(AI31=6,"           └ ",IF(AI31=7="             └ ",""))))))))&amp;F31</f>
        <v xml:space="preserve">  └ 웹관리자</v>
      </c>
      <c r="C31" s="33" t="s">
        <v>47</v>
      </c>
      <c r="D31" s="32"/>
      <c r="E31" s="46" t="s">
        <v>416</v>
      </c>
      <c r="F31" s="47" t="s">
        <v>747</v>
      </c>
      <c r="G31" s="48"/>
      <c r="H31" s="48"/>
      <c r="I31" s="48"/>
      <c r="J31" s="49"/>
      <c r="K31" s="50"/>
      <c r="L31" s="51" t="str">
        <f t="shared" si="7"/>
        <v>1</v>
      </c>
      <c r="M31" s="51" t="str">
        <f t="shared" si="8"/>
        <v>1</v>
      </c>
      <c r="N31" s="48" t="s">
        <v>404</v>
      </c>
      <c r="O31" s="48" t="s">
        <v>476</v>
      </c>
      <c r="P31" s="51" t="str">
        <f t="shared" si="9"/>
        <v>1</v>
      </c>
      <c r="Q31" s="48" t="s">
        <v>399</v>
      </c>
      <c r="R31" s="48" t="s">
        <v>399</v>
      </c>
      <c r="S31" s="48" t="s">
        <v>399</v>
      </c>
      <c r="T31" s="48" t="s">
        <v>400</v>
      </c>
      <c r="U31" s="48" t="s">
        <v>48</v>
      </c>
      <c r="V31" s="48" t="s">
        <v>400</v>
      </c>
      <c r="W31" s="48" t="s">
        <v>400</v>
      </c>
      <c r="X31" s="48" t="s">
        <v>399</v>
      </c>
      <c r="Y31" s="48" t="s">
        <v>48</v>
      </c>
      <c r="Z31" s="48" t="s">
        <v>48</v>
      </c>
      <c r="AA31" s="48" t="s">
        <v>48</v>
      </c>
      <c r="AB31" s="48" t="s">
        <v>48</v>
      </c>
      <c r="AC31" s="48" t="s">
        <v>48</v>
      </c>
      <c r="AD31" s="48"/>
      <c r="AE31" s="51" t="str">
        <f t="shared" si="10"/>
        <v>N</v>
      </c>
      <c r="AF31" s="48" t="s">
        <v>399</v>
      </c>
      <c r="AG31" s="48"/>
      <c r="AH31" s="46" t="s">
        <v>403</v>
      </c>
      <c r="AI31" s="52">
        <v>3</v>
      </c>
      <c r="AJ31" s="57">
        <v>35</v>
      </c>
      <c r="AK31" s="33" t="s">
        <v>401</v>
      </c>
      <c r="AL31" s="10" t="s">
        <v>50</v>
      </c>
      <c r="AM31" s="6" t="str">
        <f t="shared" si="1"/>
        <v>14821/웹관리자/ basic/WebManager</v>
      </c>
      <c r="AN31" s="30"/>
      <c r="AO31" s="30"/>
      <c r="AP31" s="30"/>
      <c r="AQ31" s="30"/>
      <c r="AR31" s="31"/>
      <c r="AS31" s="31"/>
      <c r="AT31" s="31"/>
      <c r="AU31" s="31"/>
      <c r="AV31" s="31"/>
      <c r="AW31" s="31"/>
      <c r="AX31" s="31"/>
      <c r="AY31" s="31"/>
    </row>
    <row r="32" spans="1:51" s="29" customFormat="1" ht="14.5">
      <c r="B32" s="5" t="str">
        <f>IF(AI32="","",IF(AI32=1,"",IF(AI32=2,"└ ",IF(AI32=3,"  └ ",IF(AI32=4,"    └ ",IF(AI32=5,"        └ ",IF(AI32=6,"         └ ",IF(AI32=7="            └ ",""))))))))&amp;F32</f>
        <v xml:space="preserve">  └ 기준정보 관리</v>
      </c>
      <c r="C32" s="33" t="s">
        <v>47</v>
      </c>
      <c r="D32" s="18"/>
      <c r="E32" s="19">
        <v>2010000</v>
      </c>
      <c r="F32" s="42" t="s">
        <v>702</v>
      </c>
      <c r="G32" s="18"/>
      <c r="H32" s="18"/>
      <c r="I32" s="18"/>
      <c r="J32" s="18"/>
      <c r="K32" s="18"/>
      <c r="L32" s="18" t="str">
        <f t="shared" si="7"/>
        <v>1</v>
      </c>
      <c r="M32" s="18" t="str">
        <f t="shared" si="8"/>
        <v>0</v>
      </c>
      <c r="N32" s="18" t="s">
        <v>48</v>
      </c>
      <c r="O32" s="18"/>
      <c r="P32" s="18" t="str">
        <f t="shared" si="9"/>
        <v>1</v>
      </c>
      <c r="Q32" s="18" t="s">
        <v>399</v>
      </c>
      <c r="R32" s="18" t="s">
        <v>399</v>
      </c>
      <c r="S32" s="18" t="s">
        <v>399</v>
      </c>
      <c r="T32" s="18" t="s">
        <v>400</v>
      </c>
      <c r="U32" s="18" t="s">
        <v>48</v>
      </c>
      <c r="V32" s="18" t="s">
        <v>400</v>
      </c>
      <c r="W32" s="18" t="s">
        <v>400</v>
      </c>
      <c r="X32" s="18" t="s">
        <v>400</v>
      </c>
      <c r="Y32" s="18" t="s">
        <v>48</v>
      </c>
      <c r="Z32" s="18" t="s">
        <v>48</v>
      </c>
      <c r="AA32" s="18" t="s">
        <v>48</v>
      </c>
      <c r="AB32" s="18" t="s">
        <v>48</v>
      </c>
      <c r="AC32" s="18" t="s">
        <v>48</v>
      </c>
      <c r="AD32" s="18"/>
      <c r="AE32" s="18" t="str">
        <f t="shared" si="10"/>
        <v>N</v>
      </c>
      <c r="AF32" s="18" t="s">
        <v>399</v>
      </c>
      <c r="AG32" s="18"/>
      <c r="AH32" s="19">
        <v>2000000</v>
      </c>
      <c r="AI32" s="19">
        <v>3</v>
      </c>
      <c r="AJ32" s="57">
        <v>36</v>
      </c>
      <c r="AK32" s="10" t="s">
        <v>401</v>
      </c>
      <c r="AL32" s="10" t="s">
        <v>50</v>
      </c>
      <c r="AM32" s="6" t="str">
        <f t="shared" si="1"/>
        <v>14821/기준정보 관리/ /</v>
      </c>
      <c r="AN32" s="30"/>
      <c r="AO32" s="30"/>
      <c r="AP32" s="30"/>
      <c r="AQ32" s="30"/>
      <c r="AR32" s="31"/>
      <c r="AS32" s="31"/>
      <c r="AT32" s="31"/>
      <c r="AU32" s="31"/>
      <c r="AV32" s="31"/>
      <c r="AW32" s="31"/>
      <c r="AX32" s="31"/>
      <c r="AY32" s="31"/>
    </row>
    <row r="33" spans="2:51" s="29" customFormat="1" ht="14.5">
      <c r="B33" s="5" t="str">
        <f>IF(AI33="","",IF(AI33=1,"",IF(AI33=2,"└ ",IF(AI33=3,"  └ ",IF(AI33=4,"    └ ",IF(AI33=5,"        └ ",IF(AI33=6,"         └ ",IF(AI33=7="            └ ",""))))))))&amp;F33</f>
        <v xml:space="preserve">    └ 기초코드</v>
      </c>
      <c r="C33" s="33" t="s">
        <v>47</v>
      </c>
      <c r="D33" s="32"/>
      <c r="E33" s="9">
        <v>2010100</v>
      </c>
      <c r="F33" s="38" t="s">
        <v>703</v>
      </c>
      <c r="G33" s="2"/>
      <c r="H33" s="2"/>
      <c r="I33" s="2"/>
      <c r="J33" s="2"/>
      <c r="K33" s="2"/>
      <c r="L33" s="2" t="str">
        <f t="shared" ref="L33:L67" si="11">IF(F33="","","1")</f>
        <v>1</v>
      </c>
      <c r="M33" s="2" t="str">
        <f t="shared" ref="M33:M67" si="12">IF(F33="","",IF(O33="","0","1"))</f>
        <v>0</v>
      </c>
      <c r="N33" s="2" t="s">
        <v>48</v>
      </c>
      <c r="O33" s="2"/>
      <c r="P33" s="2" t="str">
        <f t="shared" ref="P33:P67" si="13">IF(F33="","","1")</f>
        <v>1</v>
      </c>
      <c r="Q33" s="2" t="s">
        <v>399</v>
      </c>
      <c r="R33" s="2" t="s">
        <v>399</v>
      </c>
      <c r="S33" s="2" t="s">
        <v>399</v>
      </c>
      <c r="T33" s="2" t="s">
        <v>400</v>
      </c>
      <c r="U33" s="2" t="s">
        <v>48</v>
      </c>
      <c r="V33" s="2" t="s">
        <v>400</v>
      </c>
      <c r="W33" s="2" t="s">
        <v>400</v>
      </c>
      <c r="X33" s="2" t="s">
        <v>400</v>
      </c>
      <c r="Y33" s="2" t="s">
        <v>48</v>
      </c>
      <c r="Z33" s="2" t="s">
        <v>48</v>
      </c>
      <c r="AA33" s="2" t="s">
        <v>48</v>
      </c>
      <c r="AB33" s="2" t="s">
        <v>48</v>
      </c>
      <c r="AC33" s="2" t="s">
        <v>48</v>
      </c>
      <c r="AD33" s="2"/>
      <c r="AE33" s="2" t="str">
        <f t="shared" ref="AE33:AE67" si="14">IF(F33="","","N")</f>
        <v>N</v>
      </c>
      <c r="AF33" s="2" t="s">
        <v>399</v>
      </c>
      <c r="AG33" s="2"/>
      <c r="AH33" s="9">
        <v>2010000</v>
      </c>
      <c r="AI33" s="21">
        <v>4</v>
      </c>
      <c r="AJ33" s="57">
        <v>37</v>
      </c>
      <c r="AK33" s="10" t="s">
        <v>401</v>
      </c>
      <c r="AL33" s="10" t="s">
        <v>50</v>
      </c>
      <c r="AM33" s="6" t="str">
        <f t="shared" si="1"/>
        <v>14821/기초코드/ /</v>
      </c>
      <c r="AN33" s="30"/>
      <c r="AO33" s="30"/>
      <c r="AP33" s="30"/>
      <c r="AQ33" s="30"/>
      <c r="AR33" s="31"/>
      <c r="AS33" s="31"/>
      <c r="AT33" s="31"/>
      <c r="AU33" s="31"/>
      <c r="AV33" s="31"/>
      <c r="AW33" s="31"/>
      <c r="AX33" s="31"/>
      <c r="AY33" s="31"/>
    </row>
    <row r="34" spans="2:51" s="29" customFormat="1" ht="14.5">
      <c r="B34" s="5" t="str">
        <f t="shared" ref="B34:B97" si="15">IF(AI34="","",IF(AI34=1,"",IF(AI34=2,"└ ",IF(AI34=3,"  └ ",IF(AI34=4,"    └ ",IF(AI34=5,"        └ ",IF(AI34=6,"           └ ",IF(AI34=7="             └ ",""))))))))&amp;F34</f>
        <v xml:space="preserve">        └ 기초 코드 관리</v>
      </c>
      <c r="C34" s="33" t="s">
        <v>47</v>
      </c>
      <c r="D34" s="32"/>
      <c r="E34" s="33" t="s">
        <v>995</v>
      </c>
      <c r="F34" s="44" t="s">
        <v>704</v>
      </c>
      <c r="G34" s="32"/>
      <c r="H34" s="32"/>
      <c r="I34" s="32"/>
      <c r="J34" s="34"/>
      <c r="K34" s="34"/>
      <c r="L34" s="27" t="str">
        <f>IF(F34="","","1")</f>
        <v>1</v>
      </c>
      <c r="M34" s="27" t="str">
        <f>IF(F34="","",IF(O34="","0","1"))</f>
        <v>1</v>
      </c>
      <c r="N34" s="32" t="s">
        <v>404</v>
      </c>
      <c r="O34" s="32" t="s">
        <v>436</v>
      </c>
      <c r="P34" s="27" t="str">
        <f>IF(F34="","","1")</f>
        <v>1</v>
      </c>
      <c r="Q34" s="32" t="s">
        <v>400</v>
      </c>
      <c r="R34" s="32" t="s">
        <v>399</v>
      </c>
      <c r="S34" s="32" t="s">
        <v>400</v>
      </c>
      <c r="T34" s="32" t="s">
        <v>400</v>
      </c>
      <c r="U34" s="32" t="s">
        <v>48</v>
      </c>
      <c r="V34" s="32" t="s">
        <v>400</v>
      </c>
      <c r="W34" s="32" t="s">
        <v>400</v>
      </c>
      <c r="X34" s="32" t="s">
        <v>400</v>
      </c>
      <c r="Y34" s="32" t="s">
        <v>48</v>
      </c>
      <c r="Z34" s="32" t="s">
        <v>48</v>
      </c>
      <c r="AA34" s="32" t="s">
        <v>48</v>
      </c>
      <c r="AB34" s="32" t="s">
        <v>48</v>
      </c>
      <c r="AC34" s="32" t="s">
        <v>48</v>
      </c>
      <c r="AD34" s="32"/>
      <c r="AE34" s="27" t="str">
        <f>IF(F34="","","N")</f>
        <v>N</v>
      </c>
      <c r="AF34" s="32" t="s">
        <v>399</v>
      </c>
      <c r="AG34" s="32"/>
      <c r="AH34" s="33" t="s">
        <v>1007</v>
      </c>
      <c r="AI34" s="35">
        <v>5</v>
      </c>
      <c r="AJ34" s="57">
        <v>38</v>
      </c>
      <c r="AK34" s="33" t="s">
        <v>401</v>
      </c>
      <c r="AL34" s="10" t="s">
        <v>50</v>
      </c>
      <c r="AM34" s="6" t="str">
        <f t="shared" si="1"/>
        <v>14821/기초 코드 관리/ basic/BaseInfo</v>
      </c>
      <c r="AN34" s="30"/>
      <c r="AO34" s="30"/>
      <c r="AP34" s="30"/>
      <c r="AQ34" s="30"/>
      <c r="AR34" s="31"/>
      <c r="AS34" s="31"/>
      <c r="AT34" s="31"/>
      <c r="AU34" s="31"/>
      <c r="AV34" s="31"/>
      <c r="AW34" s="31"/>
      <c r="AX34" s="31"/>
      <c r="AY34" s="31"/>
    </row>
    <row r="35" spans="2:51" s="29" customFormat="1" ht="14.5">
      <c r="B35" s="5" t="str">
        <f t="shared" si="15"/>
        <v xml:space="preserve">        └ 명칭코드 관리</v>
      </c>
      <c r="C35" s="33" t="s">
        <v>47</v>
      </c>
      <c r="D35" s="32"/>
      <c r="E35" s="33" t="s">
        <v>996</v>
      </c>
      <c r="F35" s="44" t="s">
        <v>705</v>
      </c>
      <c r="G35" s="32"/>
      <c r="H35" s="32"/>
      <c r="I35" s="32"/>
      <c r="J35" s="34"/>
      <c r="K35" s="34"/>
      <c r="L35" s="27" t="str">
        <f t="shared" si="11"/>
        <v>1</v>
      </c>
      <c r="M35" s="27" t="str">
        <f t="shared" si="12"/>
        <v>1</v>
      </c>
      <c r="N35" s="32" t="s">
        <v>404</v>
      </c>
      <c r="O35" s="32" t="s">
        <v>435</v>
      </c>
      <c r="P35" s="27" t="str">
        <f t="shared" si="13"/>
        <v>1</v>
      </c>
      <c r="Q35" s="32" t="s">
        <v>400</v>
      </c>
      <c r="R35" s="32" t="s">
        <v>400</v>
      </c>
      <c r="S35" s="32" t="s">
        <v>400</v>
      </c>
      <c r="T35" s="32" t="s">
        <v>400</v>
      </c>
      <c r="U35" s="32"/>
      <c r="V35" s="32" t="s">
        <v>399</v>
      </c>
      <c r="W35" s="32" t="s">
        <v>399</v>
      </c>
      <c r="X35" s="32" t="s">
        <v>399</v>
      </c>
      <c r="Y35" s="32"/>
      <c r="Z35" s="32"/>
      <c r="AA35" s="32"/>
      <c r="AB35" s="32"/>
      <c r="AC35" s="32"/>
      <c r="AD35" s="32"/>
      <c r="AE35" s="27" t="str">
        <f t="shared" si="14"/>
        <v>N</v>
      </c>
      <c r="AF35" s="32" t="s">
        <v>399</v>
      </c>
      <c r="AG35" s="32"/>
      <c r="AH35" s="33" t="s">
        <v>1007</v>
      </c>
      <c r="AI35" s="35">
        <v>5</v>
      </c>
      <c r="AJ35" s="57">
        <v>39</v>
      </c>
      <c r="AK35" s="33" t="s">
        <v>401</v>
      </c>
      <c r="AL35" s="10" t="s">
        <v>50</v>
      </c>
      <c r="AM35" s="6" t="str">
        <f t="shared" si="1"/>
        <v>14821/명칭코드 관리/ basic/CodeInfo</v>
      </c>
      <c r="AN35" s="30"/>
      <c r="AO35" s="30"/>
      <c r="AP35" s="30"/>
      <c r="AQ35" s="30"/>
      <c r="AR35" s="31"/>
      <c r="AS35" s="31"/>
      <c r="AT35" s="31"/>
      <c r="AU35" s="31"/>
      <c r="AV35" s="31"/>
      <c r="AW35" s="31"/>
      <c r="AX35" s="31"/>
      <c r="AY35" s="31"/>
    </row>
    <row r="36" spans="2:51" s="29" customFormat="1" ht="14.5">
      <c r="B36" s="5" t="str">
        <f t="shared" si="15"/>
        <v xml:space="preserve">        └ 시스템 코드 관리</v>
      </c>
      <c r="C36" s="33" t="s">
        <v>47</v>
      </c>
      <c r="D36" s="32"/>
      <c r="E36" s="33" t="s">
        <v>997</v>
      </c>
      <c r="F36" s="44" t="s">
        <v>706</v>
      </c>
      <c r="G36" s="32"/>
      <c r="H36" s="32"/>
      <c r="I36" s="32"/>
      <c r="J36" s="34"/>
      <c r="K36" s="34"/>
      <c r="L36" s="27" t="str">
        <f>IF(F36="","","1")</f>
        <v>1</v>
      </c>
      <c r="M36" s="27" t="str">
        <f>IF(F36="","",IF(O36="","0","1"))</f>
        <v>1</v>
      </c>
      <c r="N36" s="32" t="s">
        <v>404</v>
      </c>
      <c r="O36" s="32" t="s">
        <v>436</v>
      </c>
      <c r="P36" s="27" t="str">
        <f>IF(F36="","","1")</f>
        <v>1</v>
      </c>
      <c r="Q36" s="32" t="s">
        <v>399</v>
      </c>
      <c r="R36" s="32" t="s">
        <v>399</v>
      </c>
      <c r="S36" s="32" t="s">
        <v>399</v>
      </c>
      <c r="T36" s="32" t="s">
        <v>400</v>
      </c>
      <c r="U36" s="32" t="s">
        <v>48</v>
      </c>
      <c r="V36" s="32" t="s">
        <v>400</v>
      </c>
      <c r="W36" s="32" t="s">
        <v>400</v>
      </c>
      <c r="X36" s="32" t="s">
        <v>400</v>
      </c>
      <c r="Y36" s="32" t="s">
        <v>48</v>
      </c>
      <c r="Z36" s="32" t="s">
        <v>48</v>
      </c>
      <c r="AA36" s="32" t="s">
        <v>48</v>
      </c>
      <c r="AB36" s="32" t="s">
        <v>48</v>
      </c>
      <c r="AC36" s="32" t="s">
        <v>48</v>
      </c>
      <c r="AD36" s="32"/>
      <c r="AE36" s="27" t="str">
        <f>IF(F36="","","N")</f>
        <v>N</v>
      </c>
      <c r="AF36" s="32" t="s">
        <v>399</v>
      </c>
      <c r="AG36" s="32"/>
      <c r="AH36" s="33" t="s">
        <v>1007</v>
      </c>
      <c r="AI36" s="35">
        <v>5</v>
      </c>
      <c r="AJ36" s="57">
        <v>40</v>
      </c>
      <c r="AK36" s="33" t="s">
        <v>401</v>
      </c>
      <c r="AL36" s="10" t="s">
        <v>50</v>
      </c>
      <c r="AM36" s="6" t="str">
        <f t="shared" si="1"/>
        <v>14821/시스템 코드 관리/ basic/BaseInfo</v>
      </c>
      <c r="AN36" s="30"/>
      <c r="AO36" s="30"/>
      <c r="AP36" s="30"/>
      <c r="AQ36" s="30"/>
      <c r="AR36" s="31"/>
      <c r="AS36" s="31"/>
      <c r="AT36" s="31"/>
      <c r="AU36" s="31"/>
      <c r="AV36" s="31"/>
      <c r="AW36" s="31"/>
      <c r="AX36" s="31"/>
      <c r="AY36" s="31"/>
    </row>
    <row r="37" spans="2:51" s="29" customFormat="1" ht="14.5">
      <c r="B37" s="5" t="str">
        <f t="shared" si="15"/>
        <v xml:space="preserve">        └ 사업장 정보 관리</v>
      </c>
      <c r="C37" s="33" t="s">
        <v>47</v>
      </c>
      <c r="D37" s="32"/>
      <c r="E37" s="33" t="s">
        <v>998</v>
      </c>
      <c r="F37" s="44" t="s">
        <v>707</v>
      </c>
      <c r="G37" s="32"/>
      <c r="H37" s="32"/>
      <c r="I37" s="32"/>
      <c r="J37" s="34"/>
      <c r="K37" s="34"/>
      <c r="L37" s="27" t="str">
        <f t="shared" si="11"/>
        <v>1</v>
      </c>
      <c r="M37" s="27" t="str">
        <f t="shared" si="12"/>
        <v>1</v>
      </c>
      <c r="N37" s="32" t="s">
        <v>404</v>
      </c>
      <c r="O37" s="32" t="s">
        <v>91</v>
      </c>
      <c r="P37" s="27" t="str">
        <f t="shared" si="13"/>
        <v>1</v>
      </c>
      <c r="Q37" s="32" t="s">
        <v>399</v>
      </c>
      <c r="R37" s="32" t="s">
        <v>399</v>
      </c>
      <c r="S37" s="32" t="s">
        <v>400</v>
      </c>
      <c r="T37" s="32" t="s">
        <v>402</v>
      </c>
      <c r="U37" s="32" t="s">
        <v>48</v>
      </c>
      <c r="V37" s="32" t="s">
        <v>400</v>
      </c>
      <c r="W37" s="32" t="s">
        <v>400</v>
      </c>
      <c r="X37" s="32" t="s">
        <v>400</v>
      </c>
      <c r="Y37" s="32" t="s">
        <v>48</v>
      </c>
      <c r="Z37" s="32" t="s">
        <v>48</v>
      </c>
      <c r="AA37" s="32" t="s">
        <v>48</v>
      </c>
      <c r="AB37" s="32" t="s">
        <v>48</v>
      </c>
      <c r="AC37" s="32" t="s">
        <v>48</v>
      </c>
      <c r="AD37" s="32"/>
      <c r="AE37" s="27" t="str">
        <f t="shared" si="14"/>
        <v>N</v>
      </c>
      <c r="AF37" s="32" t="s">
        <v>399</v>
      </c>
      <c r="AG37" s="32"/>
      <c r="AH37" s="33" t="s">
        <v>1007</v>
      </c>
      <c r="AI37" s="35">
        <v>5</v>
      </c>
      <c r="AJ37" s="57">
        <v>41</v>
      </c>
      <c r="AK37" s="33" t="s">
        <v>401</v>
      </c>
      <c r="AL37" s="10" t="s">
        <v>50</v>
      </c>
      <c r="AM37" s="6" t="str">
        <f t="shared" si="1"/>
        <v>14821/사업장 정보 관리/ basic/StoreInfo</v>
      </c>
      <c r="AN37" s="30"/>
      <c r="AO37" s="30"/>
      <c r="AP37" s="30"/>
      <c r="AQ37" s="30"/>
      <c r="AR37" s="31"/>
      <c r="AS37" s="31"/>
      <c r="AT37" s="31"/>
      <c r="AU37" s="31"/>
      <c r="AV37" s="31"/>
      <c r="AW37" s="31"/>
      <c r="AX37" s="31"/>
      <c r="AY37" s="31"/>
    </row>
    <row r="38" spans="2:51" s="29" customFormat="1" ht="14.5">
      <c r="B38" s="5" t="str">
        <f t="shared" si="15"/>
        <v xml:space="preserve">        └ 은행 계좌 관리</v>
      </c>
      <c r="C38" s="33" t="s">
        <v>47</v>
      </c>
      <c r="D38" s="32"/>
      <c r="E38" s="33" t="s">
        <v>999</v>
      </c>
      <c r="F38" s="44" t="s">
        <v>708</v>
      </c>
      <c r="G38" s="32"/>
      <c r="H38" s="32"/>
      <c r="I38" s="32"/>
      <c r="J38" s="34"/>
      <c r="K38" s="34"/>
      <c r="L38" s="27" t="str">
        <f t="shared" si="11"/>
        <v>1</v>
      </c>
      <c r="M38" s="27" t="str">
        <f t="shared" si="12"/>
        <v>1</v>
      </c>
      <c r="N38" s="32" t="s">
        <v>404</v>
      </c>
      <c r="O38" s="32" t="s">
        <v>437</v>
      </c>
      <c r="P38" s="27" t="str">
        <f t="shared" si="13"/>
        <v>1</v>
      </c>
      <c r="Q38" s="32" t="s">
        <v>400</v>
      </c>
      <c r="R38" s="32" t="s">
        <v>399</v>
      </c>
      <c r="S38" s="32" t="s">
        <v>400</v>
      </c>
      <c r="T38" s="32" t="s">
        <v>400</v>
      </c>
      <c r="U38" s="32" t="s">
        <v>48</v>
      </c>
      <c r="V38" s="32" t="s">
        <v>400</v>
      </c>
      <c r="W38" s="32" t="s">
        <v>400</v>
      </c>
      <c r="X38" s="32" t="s">
        <v>400</v>
      </c>
      <c r="Y38" s="32" t="s">
        <v>48</v>
      </c>
      <c r="Z38" s="32" t="s">
        <v>48</v>
      </c>
      <c r="AA38" s="32" t="s">
        <v>48</v>
      </c>
      <c r="AB38" s="32" t="s">
        <v>48</v>
      </c>
      <c r="AC38" s="32" t="s">
        <v>48</v>
      </c>
      <c r="AD38" s="32"/>
      <c r="AE38" s="27" t="str">
        <f t="shared" si="14"/>
        <v>N</v>
      </c>
      <c r="AF38" s="32" t="s">
        <v>399</v>
      </c>
      <c r="AG38" s="32"/>
      <c r="AH38" s="33" t="s">
        <v>1007</v>
      </c>
      <c r="AI38" s="35">
        <v>5</v>
      </c>
      <c r="AJ38" s="57">
        <v>42</v>
      </c>
      <c r="AK38" s="33" t="s">
        <v>401</v>
      </c>
      <c r="AL38" s="10" t="s">
        <v>50</v>
      </c>
      <c r="AM38" s="6" t="str">
        <f t="shared" si="1"/>
        <v>14821/은행 계좌 관리/ basic/BankInfo</v>
      </c>
      <c r="AN38" s="30"/>
      <c r="AO38" s="30"/>
      <c r="AP38" s="30"/>
      <c r="AQ38" s="30"/>
      <c r="AR38" s="31"/>
      <c r="AS38" s="31"/>
      <c r="AT38" s="31"/>
      <c r="AU38" s="31"/>
      <c r="AV38" s="31"/>
      <c r="AW38" s="31"/>
      <c r="AX38" s="31"/>
      <c r="AY38" s="31"/>
    </row>
    <row r="39" spans="2:51" s="29" customFormat="1" ht="14.5">
      <c r="B39" s="5" t="str">
        <f t="shared" si="15"/>
        <v xml:space="preserve">        └ 택배 송장 관리</v>
      </c>
      <c r="C39" s="33" t="s">
        <v>47</v>
      </c>
      <c r="D39" s="32"/>
      <c r="E39" s="33" t="s">
        <v>1000</v>
      </c>
      <c r="F39" s="44" t="s">
        <v>709</v>
      </c>
      <c r="G39" s="32"/>
      <c r="H39" s="32"/>
      <c r="I39" s="32"/>
      <c r="J39" s="34"/>
      <c r="K39" s="34"/>
      <c r="L39" s="27" t="str">
        <f t="shared" si="11"/>
        <v>1</v>
      </c>
      <c r="M39" s="27" t="str">
        <f t="shared" si="12"/>
        <v>1</v>
      </c>
      <c r="N39" s="32" t="s">
        <v>404</v>
      </c>
      <c r="O39" s="32" t="s">
        <v>438</v>
      </c>
      <c r="P39" s="27" t="str">
        <f t="shared" si="13"/>
        <v>1</v>
      </c>
      <c r="Q39" s="32" t="s">
        <v>400</v>
      </c>
      <c r="R39" s="32" t="s">
        <v>399</v>
      </c>
      <c r="S39" s="32" t="s">
        <v>400</v>
      </c>
      <c r="T39" s="32" t="s">
        <v>400</v>
      </c>
      <c r="U39" s="32" t="s">
        <v>48</v>
      </c>
      <c r="V39" s="32" t="s">
        <v>400</v>
      </c>
      <c r="W39" s="32" t="s">
        <v>400</v>
      </c>
      <c r="X39" s="32" t="s">
        <v>399</v>
      </c>
      <c r="Y39" s="32" t="s">
        <v>48</v>
      </c>
      <c r="Z39" s="32" t="s">
        <v>48</v>
      </c>
      <c r="AA39" s="32" t="s">
        <v>48</v>
      </c>
      <c r="AB39" s="32" t="s">
        <v>48</v>
      </c>
      <c r="AC39" s="32" t="s">
        <v>48</v>
      </c>
      <c r="AD39" s="32"/>
      <c r="AE39" s="27" t="str">
        <f t="shared" si="14"/>
        <v>N</v>
      </c>
      <c r="AF39" s="32" t="s">
        <v>399</v>
      </c>
      <c r="AG39" s="32"/>
      <c r="AH39" s="33" t="s">
        <v>1007</v>
      </c>
      <c r="AI39" s="35">
        <v>5</v>
      </c>
      <c r="AJ39" s="57">
        <v>43</v>
      </c>
      <c r="AK39" s="33" t="s">
        <v>401</v>
      </c>
      <c r="AL39" s="10" t="s">
        <v>50</v>
      </c>
      <c r="AM39" s="6" t="str">
        <f t="shared" si="1"/>
        <v>14821/택배 송장 관리/ basic/TackbaeNoWork</v>
      </c>
      <c r="AN39" s="30"/>
      <c r="AO39" s="30"/>
      <c r="AP39" s="30"/>
      <c r="AQ39" s="30"/>
      <c r="AR39" s="31"/>
      <c r="AS39" s="31"/>
      <c r="AT39" s="31"/>
      <c r="AU39" s="31"/>
      <c r="AV39" s="31"/>
      <c r="AW39" s="31"/>
      <c r="AX39" s="31"/>
      <c r="AY39" s="31"/>
    </row>
    <row r="40" spans="2:51" s="29" customFormat="1" ht="14.5">
      <c r="B40" s="5" t="str">
        <f t="shared" si="15"/>
        <v xml:space="preserve">        └ 체인점 정보 관리</v>
      </c>
      <c r="C40" s="33" t="s">
        <v>47</v>
      </c>
      <c r="D40" s="32"/>
      <c r="E40" s="33" t="s">
        <v>1001</v>
      </c>
      <c r="F40" s="44" t="s">
        <v>710</v>
      </c>
      <c r="G40" s="32"/>
      <c r="H40" s="32"/>
      <c r="I40" s="32"/>
      <c r="J40" s="34"/>
      <c r="K40" s="34"/>
      <c r="L40" s="27" t="str">
        <f t="shared" si="11"/>
        <v>1</v>
      </c>
      <c r="M40" s="27" t="str">
        <f t="shared" si="12"/>
        <v>1</v>
      </c>
      <c r="N40" s="32" t="s">
        <v>404</v>
      </c>
      <c r="O40" s="32" t="s">
        <v>439</v>
      </c>
      <c r="P40" s="27" t="str">
        <f t="shared" si="13"/>
        <v>1</v>
      </c>
      <c r="Q40" s="32" t="s">
        <v>399</v>
      </c>
      <c r="R40" s="32" t="s">
        <v>399</v>
      </c>
      <c r="S40" s="32" t="s">
        <v>400</v>
      </c>
      <c r="T40" s="32" t="s">
        <v>400</v>
      </c>
      <c r="U40" s="32" t="s">
        <v>48</v>
      </c>
      <c r="V40" s="32" t="s">
        <v>400</v>
      </c>
      <c r="W40" s="32" t="s">
        <v>400</v>
      </c>
      <c r="X40" s="32" t="s">
        <v>399</v>
      </c>
      <c r="Y40" s="32" t="s">
        <v>48</v>
      </c>
      <c r="Z40" s="32" t="s">
        <v>48</v>
      </c>
      <c r="AA40" s="32" t="s">
        <v>48</v>
      </c>
      <c r="AB40" s="32" t="s">
        <v>48</v>
      </c>
      <c r="AC40" s="32" t="s">
        <v>48</v>
      </c>
      <c r="AD40" s="32"/>
      <c r="AE40" s="27" t="str">
        <f t="shared" si="14"/>
        <v>N</v>
      </c>
      <c r="AF40" s="32" t="s">
        <v>399</v>
      </c>
      <c r="AG40" s="32"/>
      <c r="AH40" s="33" t="s">
        <v>1007</v>
      </c>
      <c r="AI40" s="35">
        <v>5</v>
      </c>
      <c r="AJ40" s="57">
        <v>44</v>
      </c>
      <c r="AK40" s="33" t="s">
        <v>401</v>
      </c>
      <c r="AL40" s="10" t="s">
        <v>50</v>
      </c>
      <c r="AM40" s="6" t="str">
        <f t="shared" si="1"/>
        <v>14821/체인점 정보 관리/ basic/ChainInfo</v>
      </c>
      <c r="AN40" s="30"/>
      <c r="AO40" s="30"/>
      <c r="AP40" s="30"/>
      <c r="AQ40" s="30"/>
      <c r="AR40" s="31"/>
      <c r="AS40" s="31"/>
      <c r="AT40" s="31"/>
      <c r="AU40" s="31"/>
      <c r="AV40" s="31"/>
      <c r="AW40" s="31"/>
      <c r="AX40" s="31"/>
      <c r="AY40" s="31"/>
    </row>
    <row r="41" spans="2:51" s="29" customFormat="1" ht="14.5">
      <c r="B41" s="5" t="str">
        <f t="shared" si="15"/>
        <v xml:space="preserve">        └ 체인점 개설정보 관리</v>
      </c>
      <c r="C41" s="33" t="s">
        <v>47</v>
      </c>
      <c r="D41" s="32"/>
      <c r="E41" s="33" t="s">
        <v>1002</v>
      </c>
      <c r="F41" s="44" t="s">
        <v>711</v>
      </c>
      <c r="G41" s="32"/>
      <c r="H41" s="32"/>
      <c r="I41" s="32"/>
      <c r="J41" s="34"/>
      <c r="K41" s="34"/>
      <c r="L41" s="27" t="str">
        <f t="shared" si="11"/>
        <v>1</v>
      </c>
      <c r="M41" s="27" t="str">
        <f t="shared" si="12"/>
        <v>1</v>
      </c>
      <c r="N41" s="32" t="s">
        <v>404</v>
      </c>
      <c r="O41" s="32" t="s">
        <v>440</v>
      </c>
      <c r="P41" s="27" t="str">
        <f t="shared" si="13"/>
        <v>1</v>
      </c>
      <c r="Q41" s="32" t="s">
        <v>400</v>
      </c>
      <c r="R41" s="32" t="s">
        <v>399</v>
      </c>
      <c r="S41" s="32" t="s">
        <v>400</v>
      </c>
      <c r="T41" s="32" t="s">
        <v>400</v>
      </c>
      <c r="U41" s="32" t="s">
        <v>48</v>
      </c>
      <c r="V41" s="32" t="s">
        <v>400</v>
      </c>
      <c r="W41" s="32" t="s">
        <v>400</v>
      </c>
      <c r="X41" s="32" t="s">
        <v>399</v>
      </c>
      <c r="Y41" s="32" t="s">
        <v>48</v>
      </c>
      <c r="Z41" s="32" t="s">
        <v>48</v>
      </c>
      <c r="AA41" s="32" t="s">
        <v>48</v>
      </c>
      <c r="AB41" s="32" t="s">
        <v>48</v>
      </c>
      <c r="AC41" s="32" t="s">
        <v>48</v>
      </c>
      <c r="AD41" s="32"/>
      <c r="AE41" s="27" t="str">
        <f t="shared" si="14"/>
        <v>N</v>
      </c>
      <c r="AF41" s="32" t="s">
        <v>399</v>
      </c>
      <c r="AG41" s="32"/>
      <c r="AH41" s="33" t="s">
        <v>1007</v>
      </c>
      <c r="AI41" s="35">
        <v>5</v>
      </c>
      <c r="AJ41" s="57">
        <v>45</v>
      </c>
      <c r="AK41" s="33" t="s">
        <v>401</v>
      </c>
      <c r="AL41" s="10" t="s">
        <v>50</v>
      </c>
      <c r="AM41" s="6" t="str">
        <f t="shared" si="1"/>
        <v>14821/체인점 개설정보 관리/ basic/ChainOpen</v>
      </c>
      <c r="AN41" s="30"/>
      <c r="AO41" s="30"/>
      <c r="AP41" s="30"/>
      <c r="AQ41" s="30"/>
      <c r="AR41" s="31"/>
      <c r="AS41" s="31"/>
      <c r="AT41" s="31"/>
      <c r="AU41" s="31"/>
      <c r="AV41" s="31"/>
      <c r="AW41" s="31"/>
      <c r="AX41" s="31"/>
      <c r="AY41" s="31"/>
    </row>
    <row r="42" spans="2:51" s="29" customFormat="1" ht="14.5">
      <c r="B42" s="5" t="str">
        <f t="shared" si="15"/>
        <v xml:space="preserve">        └ 체인점 설치코드 관리</v>
      </c>
      <c r="C42" s="33" t="s">
        <v>47</v>
      </c>
      <c r="D42" s="32"/>
      <c r="E42" s="33" t="s">
        <v>1003</v>
      </c>
      <c r="F42" s="44" t="s">
        <v>712</v>
      </c>
      <c r="G42" s="32"/>
      <c r="H42" s="32"/>
      <c r="I42" s="32"/>
      <c r="J42" s="34"/>
      <c r="K42" s="34"/>
      <c r="L42" s="27" t="str">
        <f t="shared" si="11"/>
        <v>1</v>
      </c>
      <c r="M42" s="27" t="str">
        <f t="shared" si="12"/>
        <v>1</v>
      </c>
      <c r="N42" s="32" t="s">
        <v>404</v>
      </c>
      <c r="O42" s="32" t="s">
        <v>441</v>
      </c>
      <c r="P42" s="27" t="str">
        <f t="shared" si="13"/>
        <v>1</v>
      </c>
      <c r="Q42" s="32" t="s">
        <v>400</v>
      </c>
      <c r="R42" s="32" t="s">
        <v>399</v>
      </c>
      <c r="S42" s="32" t="s">
        <v>400</v>
      </c>
      <c r="T42" s="32" t="s">
        <v>400</v>
      </c>
      <c r="U42" s="32" t="s">
        <v>48</v>
      </c>
      <c r="V42" s="32" t="s">
        <v>400</v>
      </c>
      <c r="W42" s="32" t="s">
        <v>399</v>
      </c>
      <c r="X42" s="32" t="s">
        <v>399</v>
      </c>
      <c r="Y42" s="32" t="s">
        <v>48</v>
      </c>
      <c r="Z42" s="32" t="s">
        <v>48</v>
      </c>
      <c r="AA42" s="32" t="s">
        <v>48</v>
      </c>
      <c r="AB42" s="32" t="s">
        <v>48</v>
      </c>
      <c r="AC42" s="32" t="s">
        <v>48</v>
      </c>
      <c r="AD42" s="32"/>
      <c r="AE42" s="27" t="str">
        <f t="shared" si="14"/>
        <v>N</v>
      </c>
      <c r="AF42" s="32" t="s">
        <v>399</v>
      </c>
      <c r="AG42" s="32"/>
      <c r="AH42" s="33" t="s">
        <v>1007</v>
      </c>
      <c r="AI42" s="35">
        <v>5</v>
      </c>
      <c r="AJ42" s="57">
        <v>46</v>
      </c>
      <c r="AK42" s="33" t="s">
        <v>401</v>
      </c>
      <c r="AL42" s="10" t="s">
        <v>50</v>
      </c>
      <c r="AM42" s="6" t="str">
        <f t="shared" si="1"/>
        <v>14821/체인점 설치코드 관리/ basic/ChainSetupInfo</v>
      </c>
      <c r="AN42" s="30"/>
      <c r="AO42" s="30"/>
      <c r="AP42" s="30"/>
      <c r="AQ42" s="30"/>
      <c r="AR42" s="31"/>
      <c r="AS42" s="31"/>
      <c r="AT42" s="31"/>
      <c r="AU42" s="31"/>
      <c r="AV42" s="31"/>
      <c r="AW42" s="31"/>
      <c r="AX42" s="31"/>
      <c r="AY42" s="31"/>
    </row>
    <row r="43" spans="2:51" s="29" customFormat="1" ht="14.5">
      <c r="B43" s="5" t="str">
        <f t="shared" si="15"/>
        <v xml:space="preserve">        └ EDI발주 코스 관리</v>
      </c>
      <c r="C43" s="33" t="s">
        <v>47</v>
      </c>
      <c r="D43" s="32"/>
      <c r="E43" s="33" t="s">
        <v>1004</v>
      </c>
      <c r="F43" s="44" t="s">
        <v>713</v>
      </c>
      <c r="G43" s="32"/>
      <c r="H43" s="32"/>
      <c r="I43" s="32"/>
      <c r="J43" s="34"/>
      <c r="K43" s="34"/>
      <c r="L43" s="27" t="str">
        <f t="shared" si="11"/>
        <v>1</v>
      </c>
      <c r="M43" s="27" t="str">
        <f t="shared" si="12"/>
        <v>1</v>
      </c>
      <c r="N43" s="32" t="s">
        <v>405</v>
      </c>
      <c r="O43" s="32" t="s">
        <v>442</v>
      </c>
      <c r="P43" s="27" t="str">
        <f t="shared" si="13"/>
        <v>1</v>
      </c>
      <c r="Q43" s="32" t="s">
        <v>400</v>
      </c>
      <c r="R43" s="32" t="s">
        <v>399</v>
      </c>
      <c r="S43" s="32" t="s">
        <v>400</v>
      </c>
      <c r="T43" s="32" t="s">
        <v>400</v>
      </c>
      <c r="U43" s="32" t="s">
        <v>48</v>
      </c>
      <c r="V43" s="32" t="s">
        <v>400</v>
      </c>
      <c r="W43" s="32" t="s">
        <v>400</v>
      </c>
      <c r="X43" s="32" t="s">
        <v>399</v>
      </c>
      <c r="Y43" s="32" t="s">
        <v>48</v>
      </c>
      <c r="Z43" s="32" t="s">
        <v>48</v>
      </c>
      <c r="AA43" s="32" t="s">
        <v>48</v>
      </c>
      <c r="AB43" s="32" t="s">
        <v>48</v>
      </c>
      <c r="AC43" s="32" t="s">
        <v>48</v>
      </c>
      <c r="AD43" s="32"/>
      <c r="AE43" s="27" t="str">
        <f t="shared" si="14"/>
        <v>N</v>
      </c>
      <c r="AF43" s="32" t="s">
        <v>399</v>
      </c>
      <c r="AG43" s="32"/>
      <c r="AH43" s="33" t="s">
        <v>1007</v>
      </c>
      <c r="AI43" s="35">
        <v>5</v>
      </c>
      <c r="AJ43" s="57">
        <v>47</v>
      </c>
      <c r="AK43" s="33" t="s">
        <v>401</v>
      </c>
      <c r="AL43" s="10" t="s">
        <v>50</v>
      </c>
      <c r="AM43" s="6" t="str">
        <f t="shared" si="1"/>
        <v>14821/EDI발주 코스 관리/ epo/EpoCourse</v>
      </c>
      <c r="AN43" s="30"/>
      <c r="AO43" s="30"/>
      <c r="AP43" s="30"/>
      <c r="AQ43" s="30"/>
      <c r="AR43" s="31"/>
      <c r="AS43" s="31"/>
      <c r="AT43" s="31"/>
      <c r="AU43" s="31"/>
      <c r="AV43" s="31"/>
      <c r="AW43" s="31"/>
      <c r="AX43" s="31"/>
      <c r="AY43" s="31"/>
    </row>
    <row r="44" spans="2:51" s="29" customFormat="1" ht="14.5">
      <c r="B44" s="5" t="str">
        <f t="shared" si="15"/>
        <v xml:space="preserve">        └ 매출 계정 관리</v>
      </c>
      <c r="C44" s="33" t="s">
        <v>47</v>
      </c>
      <c r="D44" s="32"/>
      <c r="E44" s="33" t="s">
        <v>1005</v>
      </c>
      <c r="F44" s="44" t="s">
        <v>714</v>
      </c>
      <c r="G44" s="32"/>
      <c r="H44" s="32"/>
      <c r="I44" s="32"/>
      <c r="J44" s="34"/>
      <c r="K44" s="34"/>
      <c r="L44" s="27" t="str">
        <f t="shared" si="11"/>
        <v>1</v>
      </c>
      <c r="M44" s="27" t="str">
        <f t="shared" si="12"/>
        <v>1</v>
      </c>
      <c r="N44" s="32" t="s">
        <v>404</v>
      </c>
      <c r="O44" s="32" t="s">
        <v>443</v>
      </c>
      <c r="P44" s="27" t="str">
        <f t="shared" si="13"/>
        <v>1</v>
      </c>
      <c r="Q44" s="32" t="s">
        <v>400</v>
      </c>
      <c r="R44" s="32" t="s">
        <v>399</v>
      </c>
      <c r="S44" s="32" t="s">
        <v>400</v>
      </c>
      <c r="T44" s="32" t="s">
        <v>400</v>
      </c>
      <c r="U44" s="32" t="s">
        <v>48</v>
      </c>
      <c r="V44" s="32" t="s">
        <v>400</v>
      </c>
      <c r="W44" s="32" t="s">
        <v>399</v>
      </c>
      <c r="X44" s="32" t="s">
        <v>399</v>
      </c>
      <c r="Y44" s="32" t="s">
        <v>48</v>
      </c>
      <c r="Z44" s="32" t="s">
        <v>48</v>
      </c>
      <c r="AA44" s="32" t="s">
        <v>48</v>
      </c>
      <c r="AB44" s="32" t="s">
        <v>48</v>
      </c>
      <c r="AC44" s="32" t="s">
        <v>48</v>
      </c>
      <c r="AD44" s="32"/>
      <c r="AE44" s="27" t="str">
        <f t="shared" si="14"/>
        <v>N</v>
      </c>
      <c r="AF44" s="32" t="s">
        <v>399</v>
      </c>
      <c r="AG44" s="32"/>
      <c r="AH44" s="33" t="s">
        <v>1007</v>
      </c>
      <c r="AI44" s="35">
        <v>5</v>
      </c>
      <c r="AJ44" s="57">
        <v>48</v>
      </c>
      <c r="AK44" s="33" t="s">
        <v>401</v>
      </c>
      <c r="AL44" s="10" t="s">
        <v>50</v>
      </c>
      <c r="AM44" s="6" t="str">
        <f t="shared" si="1"/>
        <v>14821/매출 계정 관리/ basic/SalesAccount</v>
      </c>
      <c r="AN44" s="30"/>
      <c r="AO44" s="30"/>
      <c r="AP44" s="30"/>
      <c r="AQ44" s="30"/>
      <c r="AR44" s="31"/>
      <c r="AS44" s="31"/>
      <c r="AT44" s="31"/>
      <c r="AU44" s="31"/>
      <c r="AV44" s="31"/>
      <c r="AW44" s="31"/>
      <c r="AX44" s="31"/>
      <c r="AY44" s="31"/>
    </row>
    <row r="45" spans="2:51" s="29" customFormat="1" ht="14.5">
      <c r="B45" s="5" t="str">
        <f t="shared" si="15"/>
        <v xml:space="preserve">        └ 기타 출고 구분</v>
      </c>
      <c r="C45" s="33" t="s">
        <v>47</v>
      </c>
      <c r="D45" s="32"/>
      <c r="E45" s="33" t="s">
        <v>1006</v>
      </c>
      <c r="F45" s="44" t="s">
        <v>715</v>
      </c>
      <c r="G45" s="32"/>
      <c r="H45" s="32"/>
      <c r="I45" s="32"/>
      <c r="J45" s="34"/>
      <c r="K45" s="34"/>
      <c r="L45" s="27" t="str">
        <f t="shared" si="11"/>
        <v>1</v>
      </c>
      <c r="M45" s="27" t="str">
        <f t="shared" si="12"/>
        <v>1</v>
      </c>
      <c r="N45" s="32" t="s">
        <v>404</v>
      </c>
      <c r="O45" s="32" t="s">
        <v>444</v>
      </c>
      <c r="P45" s="27" t="str">
        <f t="shared" si="13"/>
        <v>1</v>
      </c>
      <c r="Q45" s="32" t="s">
        <v>400</v>
      </c>
      <c r="R45" s="32" t="s">
        <v>400</v>
      </c>
      <c r="S45" s="32" t="s">
        <v>400</v>
      </c>
      <c r="T45" s="32" t="s">
        <v>400</v>
      </c>
      <c r="U45" s="32" t="s">
        <v>48</v>
      </c>
      <c r="V45" s="32" t="s">
        <v>400</v>
      </c>
      <c r="W45" s="32" t="s">
        <v>400</v>
      </c>
      <c r="X45" s="32" t="s">
        <v>400</v>
      </c>
      <c r="Y45" s="32" t="s">
        <v>48</v>
      </c>
      <c r="Z45" s="32" t="s">
        <v>48</v>
      </c>
      <c r="AA45" s="32" t="s">
        <v>48</v>
      </c>
      <c r="AB45" s="32" t="s">
        <v>48</v>
      </c>
      <c r="AC45" s="32" t="s">
        <v>48</v>
      </c>
      <c r="AD45" s="32"/>
      <c r="AE45" s="27" t="str">
        <f t="shared" si="14"/>
        <v>N</v>
      </c>
      <c r="AF45" s="32" t="s">
        <v>399</v>
      </c>
      <c r="AG45" s="32"/>
      <c r="AH45" s="33" t="s">
        <v>1007</v>
      </c>
      <c r="AI45" s="35">
        <v>5</v>
      </c>
      <c r="AJ45" s="57">
        <v>49</v>
      </c>
      <c r="AK45" s="33" t="s">
        <v>401</v>
      </c>
      <c r="AL45" s="10" t="s">
        <v>50</v>
      </c>
      <c r="AM45" s="6" t="str">
        <f t="shared" si="1"/>
        <v>14821/기타 출고 구분/ basic/ModiReason</v>
      </c>
      <c r="AN45" s="30"/>
      <c r="AO45" s="30"/>
      <c r="AP45" s="30"/>
      <c r="AQ45" s="30"/>
      <c r="AR45" s="31"/>
      <c r="AS45" s="31"/>
      <c r="AT45" s="31"/>
      <c r="AU45" s="31"/>
      <c r="AV45" s="31"/>
      <c r="AW45" s="31"/>
      <c r="AX45" s="31"/>
      <c r="AY45" s="31"/>
    </row>
    <row r="46" spans="2:51" s="29" customFormat="1" ht="14.5">
      <c r="B46" s="5" t="str">
        <f t="shared" si="15"/>
        <v xml:space="preserve">    └ 사용자 관리</v>
      </c>
      <c r="C46" s="33" t="s">
        <v>47</v>
      </c>
      <c r="D46" s="32"/>
      <c r="E46" s="9">
        <v>2010200</v>
      </c>
      <c r="F46" s="38" t="s">
        <v>1014</v>
      </c>
      <c r="G46" s="2"/>
      <c r="H46" s="2"/>
      <c r="I46" s="2"/>
      <c r="J46" s="2"/>
      <c r="K46" s="2"/>
      <c r="L46" s="2" t="str">
        <f t="shared" ref="L46:L56" si="16">IF(F46="","","1")</f>
        <v>1</v>
      </c>
      <c r="M46" s="2" t="str">
        <f t="shared" ref="M46:M56" si="17">IF(F46="","",IF(O46="","0","1"))</f>
        <v>0</v>
      </c>
      <c r="N46" s="2" t="s">
        <v>48</v>
      </c>
      <c r="O46" s="2"/>
      <c r="P46" s="2" t="str">
        <f t="shared" ref="P46:P56" si="18">IF(F46="","","1")</f>
        <v>1</v>
      </c>
      <c r="Q46" s="2" t="s">
        <v>399</v>
      </c>
      <c r="R46" s="2" t="s">
        <v>399</v>
      </c>
      <c r="S46" s="2" t="s">
        <v>399</v>
      </c>
      <c r="T46" s="2" t="s">
        <v>400</v>
      </c>
      <c r="U46" s="2" t="s">
        <v>48</v>
      </c>
      <c r="V46" s="2" t="s">
        <v>400</v>
      </c>
      <c r="W46" s="2" t="s">
        <v>400</v>
      </c>
      <c r="X46" s="2" t="s">
        <v>400</v>
      </c>
      <c r="Y46" s="2" t="s">
        <v>48</v>
      </c>
      <c r="Z46" s="2" t="s">
        <v>48</v>
      </c>
      <c r="AA46" s="2" t="s">
        <v>48</v>
      </c>
      <c r="AB46" s="2" t="s">
        <v>48</v>
      </c>
      <c r="AC46" s="2" t="s">
        <v>48</v>
      </c>
      <c r="AD46" s="2"/>
      <c r="AE46" s="2" t="str">
        <f t="shared" ref="AE46:AE56" si="19">IF(F46="","","N")</f>
        <v>N</v>
      </c>
      <c r="AF46" s="2" t="s">
        <v>399</v>
      </c>
      <c r="AG46" s="2"/>
      <c r="AH46" s="9" t="s">
        <v>1008</v>
      </c>
      <c r="AI46" s="21">
        <v>4</v>
      </c>
      <c r="AJ46" s="57">
        <v>50</v>
      </c>
      <c r="AK46" s="10" t="s">
        <v>401</v>
      </c>
      <c r="AL46" s="10" t="s">
        <v>50</v>
      </c>
      <c r="AM46" s="6" t="str">
        <f t="shared" si="1"/>
        <v>14821/사용자 관리/ /</v>
      </c>
      <c r="AN46" s="30"/>
      <c r="AO46" s="30"/>
      <c r="AP46" s="30"/>
      <c r="AQ46" s="30"/>
      <c r="AR46" s="31"/>
      <c r="AS46" s="31"/>
      <c r="AT46" s="31"/>
      <c r="AU46" s="31"/>
      <c r="AV46" s="31"/>
      <c r="AW46" s="31"/>
      <c r="AX46" s="31"/>
      <c r="AY46" s="31"/>
    </row>
    <row r="47" spans="2:51" s="29" customFormat="1" ht="14.5">
      <c r="B47" s="5" t="str">
        <f t="shared" si="15"/>
        <v xml:space="preserve">        └ 부서 코드 관리</v>
      </c>
      <c r="C47" s="33" t="s">
        <v>47</v>
      </c>
      <c r="D47" s="32"/>
      <c r="E47" s="33" t="s">
        <v>1016</v>
      </c>
      <c r="F47" s="44" t="s">
        <v>75</v>
      </c>
      <c r="G47" s="32"/>
      <c r="H47" s="32"/>
      <c r="I47" s="32"/>
      <c r="J47" s="34"/>
      <c r="K47" s="34"/>
      <c r="L47" s="27" t="str">
        <f t="shared" si="16"/>
        <v>1</v>
      </c>
      <c r="M47" s="27" t="str">
        <f t="shared" si="17"/>
        <v>1</v>
      </c>
      <c r="N47" s="32" t="s">
        <v>407</v>
      </c>
      <c r="O47" s="32" t="s">
        <v>62</v>
      </c>
      <c r="P47" s="27" t="str">
        <f t="shared" si="18"/>
        <v>1</v>
      </c>
      <c r="Q47" s="32" t="s">
        <v>400</v>
      </c>
      <c r="R47" s="32" t="s">
        <v>399</v>
      </c>
      <c r="S47" s="32" t="s">
        <v>400</v>
      </c>
      <c r="T47" s="32" t="s">
        <v>402</v>
      </c>
      <c r="U47" s="32" t="s">
        <v>48</v>
      </c>
      <c r="V47" s="32" t="s">
        <v>400</v>
      </c>
      <c r="W47" s="32" t="s">
        <v>400</v>
      </c>
      <c r="X47" s="32" t="s">
        <v>400</v>
      </c>
      <c r="Y47" s="32" t="s">
        <v>48</v>
      </c>
      <c r="Z47" s="32" t="s">
        <v>48</v>
      </c>
      <c r="AA47" s="32" t="s">
        <v>48</v>
      </c>
      <c r="AB47" s="32" t="s">
        <v>48</v>
      </c>
      <c r="AC47" s="32" t="s">
        <v>48</v>
      </c>
      <c r="AD47" s="32"/>
      <c r="AE47" s="27" t="str">
        <f t="shared" si="19"/>
        <v>N</v>
      </c>
      <c r="AF47" s="32" t="s">
        <v>399</v>
      </c>
      <c r="AG47" s="32"/>
      <c r="AH47" s="33" t="s">
        <v>1021</v>
      </c>
      <c r="AI47" s="35">
        <v>5</v>
      </c>
      <c r="AJ47" s="57">
        <v>51</v>
      </c>
      <c r="AK47" s="33" t="s">
        <v>401</v>
      </c>
      <c r="AL47" s="10" t="s">
        <v>50</v>
      </c>
      <c r="AM47" s="6" t="str">
        <f t="shared" si="1"/>
        <v>14821/부서 코드 관리/ user/DeptInfo</v>
      </c>
      <c r="AN47" s="30"/>
      <c r="AO47" s="30"/>
      <c r="AP47" s="30"/>
      <c r="AQ47" s="30"/>
      <c r="AR47" s="31"/>
      <c r="AS47" s="31"/>
      <c r="AT47" s="31"/>
      <c r="AU47" s="31"/>
      <c r="AV47" s="31"/>
      <c r="AW47" s="31"/>
      <c r="AX47" s="31"/>
      <c r="AY47" s="31"/>
    </row>
    <row r="48" spans="2:51" s="29" customFormat="1" ht="14.5">
      <c r="B48" s="5" t="str">
        <f t="shared" si="15"/>
        <v xml:space="preserve">        └ 직급 코드 관리</v>
      </c>
      <c r="C48" s="33" t="s">
        <v>47</v>
      </c>
      <c r="D48" s="32"/>
      <c r="E48" s="33" t="s">
        <v>1017</v>
      </c>
      <c r="F48" s="44" t="s">
        <v>65</v>
      </c>
      <c r="G48" s="32"/>
      <c r="H48" s="32"/>
      <c r="I48" s="32"/>
      <c r="J48" s="34"/>
      <c r="K48" s="34"/>
      <c r="L48" s="27" t="str">
        <f t="shared" si="16"/>
        <v>1</v>
      </c>
      <c r="M48" s="27" t="str">
        <f t="shared" si="17"/>
        <v>1</v>
      </c>
      <c r="N48" s="32" t="s">
        <v>407</v>
      </c>
      <c r="O48" s="32" t="s">
        <v>455</v>
      </c>
      <c r="P48" s="27" t="str">
        <f t="shared" si="18"/>
        <v>1</v>
      </c>
      <c r="Q48" s="32" t="s">
        <v>400</v>
      </c>
      <c r="R48" s="32" t="s">
        <v>399</v>
      </c>
      <c r="S48" s="32" t="s">
        <v>400</v>
      </c>
      <c r="T48" s="32" t="s">
        <v>402</v>
      </c>
      <c r="U48" s="32" t="s">
        <v>48</v>
      </c>
      <c r="V48" s="32" t="s">
        <v>400</v>
      </c>
      <c r="W48" s="32" t="s">
        <v>400</v>
      </c>
      <c r="X48" s="32" t="s">
        <v>400</v>
      </c>
      <c r="Y48" s="32" t="s">
        <v>48</v>
      </c>
      <c r="Z48" s="32" t="s">
        <v>48</v>
      </c>
      <c r="AA48" s="32" t="s">
        <v>48</v>
      </c>
      <c r="AB48" s="32" t="s">
        <v>48</v>
      </c>
      <c r="AC48" s="32" t="s">
        <v>48</v>
      </c>
      <c r="AD48" s="32"/>
      <c r="AE48" s="27" t="str">
        <f t="shared" si="19"/>
        <v>N</v>
      </c>
      <c r="AF48" s="32" t="s">
        <v>399</v>
      </c>
      <c r="AG48" s="32"/>
      <c r="AH48" s="33" t="s">
        <v>1021</v>
      </c>
      <c r="AI48" s="35">
        <v>5</v>
      </c>
      <c r="AJ48" s="57">
        <v>52</v>
      </c>
      <c r="AK48" s="33" t="s">
        <v>401</v>
      </c>
      <c r="AL48" s="10" t="s">
        <v>50</v>
      </c>
      <c r="AM48" s="6" t="str">
        <f t="shared" si="1"/>
        <v>14821/직급 코드 관리/ user/RankInfo</v>
      </c>
      <c r="AN48" s="30"/>
      <c r="AO48" s="30"/>
      <c r="AP48" s="30"/>
      <c r="AQ48" s="30"/>
      <c r="AR48" s="31"/>
      <c r="AS48" s="31"/>
      <c r="AT48" s="31"/>
      <c r="AU48" s="31"/>
      <c r="AV48" s="31"/>
      <c r="AW48" s="31"/>
      <c r="AX48" s="31"/>
      <c r="AY48" s="31"/>
    </row>
    <row r="49" spans="2:51" s="29" customFormat="1" ht="14.5">
      <c r="B49" s="5" t="str">
        <f t="shared" si="15"/>
        <v xml:space="preserve">        └ 사용자 코드 관리</v>
      </c>
      <c r="C49" s="33" t="s">
        <v>47</v>
      </c>
      <c r="D49" s="32"/>
      <c r="E49" s="33" t="s">
        <v>1018</v>
      </c>
      <c r="F49" s="44" t="s">
        <v>63</v>
      </c>
      <c r="G49" s="32"/>
      <c r="H49" s="32"/>
      <c r="I49" s="32"/>
      <c r="J49" s="34"/>
      <c r="K49" s="34"/>
      <c r="L49" s="27" t="str">
        <f t="shared" si="16"/>
        <v>1</v>
      </c>
      <c r="M49" s="27" t="str">
        <f t="shared" si="17"/>
        <v>1</v>
      </c>
      <c r="N49" s="32" t="s">
        <v>407</v>
      </c>
      <c r="O49" s="32" t="s">
        <v>64</v>
      </c>
      <c r="P49" s="27" t="str">
        <f t="shared" si="18"/>
        <v>1</v>
      </c>
      <c r="Q49" s="32" t="s">
        <v>400</v>
      </c>
      <c r="R49" s="32" t="s">
        <v>399</v>
      </c>
      <c r="S49" s="32" t="s">
        <v>400</v>
      </c>
      <c r="T49" s="32" t="s">
        <v>402</v>
      </c>
      <c r="U49" s="32" t="s">
        <v>48</v>
      </c>
      <c r="V49" s="32" t="s">
        <v>400</v>
      </c>
      <c r="W49" s="32" t="s">
        <v>400</v>
      </c>
      <c r="X49" s="32" t="s">
        <v>400</v>
      </c>
      <c r="Y49" s="32" t="s">
        <v>48</v>
      </c>
      <c r="Z49" s="32" t="s">
        <v>48</v>
      </c>
      <c r="AA49" s="32" t="s">
        <v>48</v>
      </c>
      <c r="AB49" s="32" t="s">
        <v>48</v>
      </c>
      <c r="AC49" s="32" t="s">
        <v>48</v>
      </c>
      <c r="AD49" s="32"/>
      <c r="AE49" s="27" t="str">
        <f t="shared" si="19"/>
        <v>N</v>
      </c>
      <c r="AF49" s="32" t="s">
        <v>399</v>
      </c>
      <c r="AG49" s="32"/>
      <c r="AH49" s="33" t="s">
        <v>1021</v>
      </c>
      <c r="AI49" s="35">
        <v>5</v>
      </c>
      <c r="AJ49" s="57">
        <v>53</v>
      </c>
      <c r="AK49" s="33" t="s">
        <v>401</v>
      </c>
      <c r="AL49" s="10" t="s">
        <v>50</v>
      </c>
      <c r="AM49" s="6" t="str">
        <f t="shared" si="1"/>
        <v>14821/사용자 코드 관리/ user/UserInfo</v>
      </c>
      <c r="AN49" s="30"/>
      <c r="AO49" s="30"/>
      <c r="AP49" s="30"/>
      <c r="AQ49" s="30"/>
      <c r="AR49" s="31"/>
      <c r="AS49" s="31"/>
      <c r="AT49" s="31"/>
      <c r="AU49" s="31"/>
      <c r="AV49" s="31"/>
      <c r="AW49" s="31"/>
      <c r="AX49" s="31"/>
      <c r="AY49" s="31"/>
    </row>
    <row r="50" spans="2:51" s="29" customFormat="1" ht="14.5">
      <c r="B50" s="5" t="str">
        <f t="shared" si="15"/>
        <v xml:space="preserve">        └ 메뉴별 사용 권한 관리</v>
      </c>
      <c r="C50" s="33" t="s">
        <v>47</v>
      </c>
      <c r="D50" s="32"/>
      <c r="E50" s="33" t="s">
        <v>1019</v>
      </c>
      <c r="F50" s="44" t="s">
        <v>69</v>
      </c>
      <c r="G50" s="32"/>
      <c r="H50" s="32"/>
      <c r="I50" s="32"/>
      <c r="J50" s="34"/>
      <c r="K50" s="34"/>
      <c r="L50" s="27" t="str">
        <f t="shared" si="16"/>
        <v>1</v>
      </c>
      <c r="M50" s="27" t="str">
        <f t="shared" si="17"/>
        <v>1</v>
      </c>
      <c r="N50" s="32" t="s">
        <v>407</v>
      </c>
      <c r="O50" s="32" t="s">
        <v>70</v>
      </c>
      <c r="P50" s="27" t="str">
        <f t="shared" si="18"/>
        <v>1</v>
      </c>
      <c r="Q50" s="32" t="s">
        <v>399</v>
      </c>
      <c r="R50" s="32" t="s">
        <v>399</v>
      </c>
      <c r="S50" s="32" t="s">
        <v>400</v>
      </c>
      <c r="T50" s="32" t="s">
        <v>400</v>
      </c>
      <c r="U50" s="32" t="s">
        <v>48</v>
      </c>
      <c r="V50" s="32" t="s">
        <v>400</v>
      </c>
      <c r="W50" s="32" t="s">
        <v>400</v>
      </c>
      <c r="X50" s="32" t="s">
        <v>400</v>
      </c>
      <c r="Y50" s="32" t="s">
        <v>48</v>
      </c>
      <c r="Z50" s="32" t="s">
        <v>48</v>
      </c>
      <c r="AA50" s="32" t="s">
        <v>48</v>
      </c>
      <c r="AB50" s="32" t="s">
        <v>48</v>
      </c>
      <c r="AC50" s="32" t="s">
        <v>48</v>
      </c>
      <c r="AD50" s="32"/>
      <c r="AE50" s="27" t="str">
        <f t="shared" si="19"/>
        <v>N</v>
      </c>
      <c r="AF50" s="32" t="s">
        <v>399</v>
      </c>
      <c r="AG50" s="32"/>
      <c r="AH50" s="33" t="s">
        <v>1021</v>
      </c>
      <c r="AI50" s="35">
        <v>5</v>
      </c>
      <c r="AJ50" s="57">
        <v>54</v>
      </c>
      <c r="AK50" s="33" t="s">
        <v>401</v>
      </c>
      <c r="AL50" s="10" t="s">
        <v>50</v>
      </c>
      <c r="AM50" s="6" t="str">
        <f t="shared" si="1"/>
        <v>14821/메뉴별 사용 권한 관리/ user/MenuAuth</v>
      </c>
      <c r="AN50" s="30"/>
      <c r="AO50" s="30"/>
      <c r="AP50" s="30"/>
      <c r="AQ50" s="30"/>
      <c r="AR50" s="31"/>
      <c r="AS50" s="31"/>
      <c r="AT50" s="31"/>
      <c r="AU50" s="31"/>
      <c r="AV50" s="31"/>
      <c r="AW50" s="31"/>
      <c r="AX50" s="31"/>
      <c r="AY50" s="31"/>
    </row>
    <row r="51" spans="2:51" s="29" customFormat="1" ht="14.5">
      <c r="B51" s="5" t="str">
        <f t="shared" si="15"/>
        <v xml:space="preserve">        └ 사용자 메뉴 권한 관리</v>
      </c>
      <c r="C51" s="33" t="s">
        <v>47</v>
      </c>
      <c r="D51" s="32"/>
      <c r="E51" s="33" t="s">
        <v>1020</v>
      </c>
      <c r="F51" s="44" t="s">
        <v>71</v>
      </c>
      <c r="G51" s="32"/>
      <c r="H51" s="32"/>
      <c r="I51" s="32"/>
      <c r="J51" s="34"/>
      <c r="K51" s="34"/>
      <c r="L51" s="27" t="str">
        <f t="shared" si="16"/>
        <v>1</v>
      </c>
      <c r="M51" s="27" t="str">
        <f t="shared" si="17"/>
        <v>1</v>
      </c>
      <c r="N51" s="32" t="s">
        <v>407</v>
      </c>
      <c r="O51" s="32" t="s">
        <v>72</v>
      </c>
      <c r="P51" s="27" t="str">
        <f t="shared" si="18"/>
        <v>1</v>
      </c>
      <c r="Q51" s="32" t="s">
        <v>399</v>
      </c>
      <c r="R51" s="32" t="s">
        <v>399</v>
      </c>
      <c r="S51" s="32" t="s">
        <v>400</v>
      </c>
      <c r="T51" s="32" t="s">
        <v>402</v>
      </c>
      <c r="U51" s="32" t="s">
        <v>48</v>
      </c>
      <c r="V51" s="32" t="s">
        <v>400</v>
      </c>
      <c r="W51" s="32" t="s">
        <v>400</v>
      </c>
      <c r="X51" s="32" t="s">
        <v>400</v>
      </c>
      <c r="Y51" s="32" t="s">
        <v>48</v>
      </c>
      <c r="Z51" s="32" t="s">
        <v>48</v>
      </c>
      <c r="AA51" s="32" t="s">
        <v>48</v>
      </c>
      <c r="AB51" s="32" t="s">
        <v>48</v>
      </c>
      <c r="AC51" s="32" t="s">
        <v>48</v>
      </c>
      <c r="AD51" s="32"/>
      <c r="AE51" s="27" t="str">
        <f t="shared" si="19"/>
        <v>N</v>
      </c>
      <c r="AF51" s="32" t="s">
        <v>399</v>
      </c>
      <c r="AG51" s="32"/>
      <c r="AH51" s="33" t="s">
        <v>1021</v>
      </c>
      <c r="AI51" s="35">
        <v>5</v>
      </c>
      <c r="AJ51" s="57">
        <v>55</v>
      </c>
      <c r="AK51" s="33" t="s">
        <v>401</v>
      </c>
      <c r="AL51" s="10" t="s">
        <v>50</v>
      </c>
      <c r="AM51" s="6" t="str">
        <f t="shared" si="1"/>
        <v>14821/사용자 메뉴 권한 관리/ user/UserAuth</v>
      </c>
      <c r="AN51" s="30"/>
      <c r="AO51" s="30"/>
      <c r="AP51" s="30"/>
      <c r="AQ51" s="30"/>
      <c r="AR51" s="31"/>
      <c r="AS51" s="31"/>
      <c r="AT51" s="31"/>
      <c r="AU51" s="31"/>
      <c r="AV51" s="31"/>
      <c r="AW51" s="31"/>
      <c r="AX51" s="31"/>
      <c r="AY51" s="31"/>
    </row>
    <row r="52" spans="2:51" s="29" customFormat="1" ht="14.5">
      <c r="B52" s="5" t="str">
        <f t="shared" si="15"/>
        <v xml:space="preserve">    └ 마감</v>
      </c>
      <c r="C52" s="33" t="s">
        <v>47</v>
      </c>
      <c r="D52" s="32"/>
      <c r="E52" s="9">
        <v>2010300</v>
      </c>
      <c r="F52" s="38" t="s">
        <v>1015</v>
      </c>
      <c r="G52" s="2"/>
      <c r="H52" s="2"/>
      <c r="I52" s="2"/>
      <c r="J52" s="2"/>
      <c r="K52" s="2"/>
      <c r="L52" s="2" t="str">
        <f t="shared" si="16"/>
        <v>1</v>
      </c>
      <c r="M52" s="2" t="str">
        <f t="shared" si="17"/>
        <v>0</v>
      </c>
      <c r="N52" s="2" t="s">
        <v>48</v>
      </c>
      <c r="O52" s="2"/>
      <c r="P52" s="2" t="str">
        <f t="shared" si="18"/>
        <v>1</v>
      </c>
      <c r="Q52" s="2" t="s">
        <v>399</v>
      </c>
      <c r="R52" s="2" t="s">
        <v>399</v>
      </c>
      <c r="S52" s="2" t="s">
        <v>399</v>
      </c>
      <c r="T52" s="2" t="s">
        <v>400</v>
      </c>
      <c r="U52" s="2" t="s">
        <v>48</v>
      </c>
      <c r="V52" s="2" t="s">
        <v>400</v>
      </c>
      <c r="W52" s="2" t="s">
        <v>400</v>
      </c>
      <c r="X52" s="2" t="s">
        <v>400</v>
      </c>
      <c r="Y52" s="2" t="s">
        <v>48</v>
      </c>
      <c r="Z52" s="2" t="s">
        <v>48</v>
      </c>
      <c r="AA52" s="2" t="s">
        <v>48</v>
      </c>
      <c r="AB52" s="2" t="s">
        <v>48</v>
      </c>
      <c r="AC52" s="2" t="s">
        <v>48</v>
      </c>
      <c r="AD52" s="2"/>
      <c r="AE52" s="2" t="str">
        <f t="shared" si="19"/>
        <v>N</v>
      </c>
      <c r="AF52" s="2" t="s">
        <v>399</v>
      </c>
      <c r="AG52" s="2"/>
      <c r="AH52" s="9" t="s">
        <v>1008</v>
      </c>
      <c r="AI52" s="21">
        <v>4</v>
      </c>
      <c r="AJ52" s="57">
        <v>56</v>
      </c>
      <c r="AK52" s="10" t="s">
        <v>401</v>
      </c>
      <c r="AL52" s="10" t="s">
        <v>50</v>
      </c>
      <c r="AM52" s="6" t="str">
        <f t="shared" si="1"/>
        <v>14821/마감/ /</v>
      </c>
      <c r="AN52" s="30"/>
      <c r="AO52" s="30"/>
      <c r="AP52" s="30"/>
      <c r="AQ52" s="30"/>
      <c r="AR52" s="31"/>
      <c r="AS52" s="31"/>
      <c r="AT52" s="31"/>
      <c r="AU52" s="31"/>
      <c r="AV52" s="31"/>
      <c r="AW52" s="31"/>
      <c r="AX52" s="31"/>
      <c r="AY52" s="31"/>
    </row>
    <row r="53" spans="2:51" s="29" customFormat="1" ht="14.5">
      <c r="B53" s="5" t="str">
        <f t="shared" si="15"/>
        <v xml:space="preserve">        └ 마감 통제</v>
      </c>
      <c r="C53" s="33" t="s">
        <v>47</v>
      </c>
      <c r="D53" s="32"/>
      <c r="E53" s="33" t="s">
        <v>1022</v>
      </c>
      <c r="F53" s="44" t="s">
        <v>733</v>
      </c>
      <c r="G53" s="32"/>
      <c r="H53" s="32"/>
      <c r="I53" s="32"/>
      <c r="J53" s="34"/>
      <c r="K53" s="34"/>
      <c r="L53" s="27" t="str">
        <f t="shared" si="16"/>
        <v>1</v>
      </c>
      <c r="M53" s="27" t="str">
        <f t="shared" si="17"/>
        <v>1</v>
      </c>
      <c r="N53" s="32" t="s">
        <v>404</v>
      </c>
      <c r="O53" s="32" t="s">
        <v>463</v>
      </c>
      <c r="P53" s="27" t="str">
        <f t="shared" si="18"/>
        <v>1</v>
      </c>
      <c r="Q53" s="32" t="s">
        <v>399</v>
      </c>
      <c r="R53" s="32" t="s">
        <v>399</v>
      </c>
      <c r="S53" s="32" t="s">
        <v>400</v>
      </c>
      <c r="T53" s="32" t="s">
        <v>400</v>
      </c>
      <c r="U53" s="32" t="s">
        <v>48</v>
      </c>
      <c r="V53" s="32" t="s">
        <v>400</v>
      </c>
      <c r="W53" s="32" t="s">
        <v>400</v>
      </c>
      <c r="X53" s="32" t="s">
        <v>400</v>
      </c>
      <c r="Y53" s="32" t="s">
        <v>48</v>
      </c>
      <c r="Z53" s="32" t="s">
        <v>48</v>
      </c>
      <c r="AA53" s="32" t="s">
        <v>48</v>
      </c>
      <c r="AB53" s="32" t="s">
        <v>48</v>
      </c>
      <c r="AC53" s="32" t="s">
        <v>48</v>
      </c>
      <c r="AD53" s="32"/>
      <c r="AE53" s="27" t="str">
        <f t="shared" si="19"/>
        <v>N</v>
      </c>
      <c r="AF53" s="32" t="s">
        <v>399</v>
      </c>
      <c r="AG53" s="32"/>
      <c r="AH53" s="33" t="s">
        <v>1025</v>
      </c>
      <c r="AI53" s="35">
        <v>5</v>
      </c>
      <c r="AJ53" s="57">
        <v>57</v>
      </c>
      <c r="AK53" s="33" t="s">
        <v>401</v>
      </c>
      <c r="AL53" s="10" t="s">
        <v>50</v>
      </c>
      <c r="AM53" s="6" t="str">
        <f t="shared" si="1"/>
        <v>14821/마감 통제/ basic/InvoiceClose</v>
      </c>
      <c r="AN53" s="30"/>
      <c r="AO53" s="30"/>
      <c r="AP53" s="30"/>
      <c r="AQ53" s="30"/>
      <c r="AR53" s="31"/>
      <c r="AS53" s="31"/>
      <c r="AT53" s="31"/>
      <c r="AU53" s="31"/>
      <c r="AV53" s="31"/>
      <c r="AW53" s="31"/>
      <c r="AX53" s="31"/>
      <c r="AY53" s="31"/>
    </row>
    <row r="54" spans="2:51" s="29" customFormat="1" ht="14.5">
      <c r="B54" s="5" t="str">
        <f t="shared" si="15"/>
        <v xml:space="preserve">        └ 매출 마감</v>
      </c>
      <c r="C54" s="33" t="s">
        <v>47</v>
      </c>
      <c r="D54" s="32"/>
      <c r="E54" s="33" t="s">
        <v>1023</v>
      </c>
      <c r="F54" s="44" t="s">
        <v>734</v>
      </c>
      <c r="G54" s="32"/>
      <c r="H54" s="32"/>
      <c r="I54" s="32"/>
      <c r="J54" s="34"/>
      <c r="K54" s="34"/>
      <c r="L54" s="27" t="str">
        <f t="shared" si="16"/>
        <v>1</v>
      </c>
      <c r="M54" s="27" t="str">
        <f t="shared" si="17"/>
        <v>1</v>
      </c>
      <c r="N54" s="32" t="s">
        <v>404</v>
      </c>
      <c r="O54" s="32" t="s">
        <v>464</v>
      </c>
      <c r="P54" s="27" t="str">
        <f t="shared" si="18"/>
        <v>1</v>
      </c>
      <c r="Q54" s="32" t="s">
        <v>399</v>
      </c>
      <c r="R54" s="32" t="s">
        <v>399</v>
      </c>
      <c r="S54" s="32" t="s">
        <v>400</v>
      </c>
      <c r="T54" s="32" t="s">
        <v>400</v>
      </c>
      <c r="U54" s="32" t="s">
        <v>48</v>
      </c>
      <c r="V54" s="32" t="s">
        <v>400</v>
      </c>
      <c r="W54" s="32" t="s">
        <v>400</v>
      </c>
      <c r="X54" s="32" t="s">
        <v>400</v>
      </c>
      <c r="Y54" s="32" t="s">
        <v>48</v>
      </c>
      <c r="Z54" s="32" t="s">
        <v>48</v>
      </c>
      <c r="AA54" s="32" t="s">
        <v>48</v>
      </c>
      <c r="AB54" s="32" t="s">
        <v>48</v>
      </c>
      <c r="AC54" s="32" t="s">
        <v>48</v>
      </c>
      <c r="AD54" s="32"/>
      <c r="AE54" s="27" t="str">
        <f t="shared" si="19"/>
        <v>N</v>
      </c>
      <c r="AF54" s="32" t="s">
        <v>399</v>
      </c>
      <c r="AG54" s="32"/>
      <c r="AH54" s="33" t="s">
        <v>1025</v>
      </c>
      <c r="AI54" s="35">
        <v>5</v>
      </c>
      <c r="AJ54" s="57">
        <v>58</v>
      </c>
      <c r="AK54" s="33" t="s">
        <v>401</v>
      </c>
      <c r="AL54" s="10" t="s">
        <v>50</v>
      </c>
      <c r="AM54" s="6" t="str">
        <f t="shared" si="1"/>
        <v>14821/매출 마감/ basic/MonthlySaleClose</v>
      </c>
      <c r="AN54" s="30"/>
      <c r="AO54" s="30"/>
      <c r="AP54" s="30"/>
      <c r="AQ54" s="30"/>
      <c r="AR54" s="31"/>
      <c r="AS54" s="31"/>
      <c r="AT54" s="31"/>
      <c r="AU54" s="31"/>
      <c r="AV54" s="31"/>
      <c r="AW54" s="31"/>
      <c r="AX54" s="31"/>
      <c r="AY54" s="31"/>
    </row>
    <row r="55" spans="2:51" s="29" customFormat="1" ht="14.5">
      <c r="B55" s="5" t="str">
        <f t="shared" si="15"/>
        <v xml:space="preserve">        └ 마감통제(삭제)</v>
      </c>
      <c r="C55" s="33" t="s">
        <v>47</v>
      </c>
      <c r="D55" s="32"/>
      <c r="E55" s="33" t="s">
        <v>1024</v>
      </c>
      <c r="F55" s="44" t="s">
        <v>735</v>
      </c>
      <c r="G55" s="32"/>
      <c r="H55" s="32"/>
      <c r="I55" s="32"/>
      <c r="J55" s="34"/>
      <c r="K55" s="34"/>
      <c r="L55" s="27" t="str">
        <f t="shared" si="16"/>
        <v>1</v>
      </c>
      <c r="M55" s="27" t="str">
        <f t="shared" si="17"/>
        <v>1</v>
      </c>
      <c r="N55" s="32" t="s">
        <v>404</v>
      </c>
      <c r="O55" s="32" t="s">
        <v>465</v>
      </c>
      <c r="P55" s="27" t="str">
        <f t="shared" si="18"/>
        <v>1</v>
      </c>
      <c r="Q55" s="32" t="s">
        <v>399</v>
      </c>
      <c r="R55" s="32" t="s">
        <v>399</v>
      </c>
      <c r="S55" s="32" t="s">
        <v>399</v>
      </c>
      <c r="T55" s="32" t="s">
        <v>400</v>
      </c>
      <c r="U55" s="32" t="s">
        <v>48</v>
      </c>
      <c r="V55" s="32" t="s">
        <v>400</v>
      </c>
      <c r="W55" s="32" t="s">
        <v>400</v>
      </c>
      <c r="X55" s="32" t="s">
        <v>400</v>
      </c>
      <c r="Y55" s="32" t="s">
        <v>48</v>
      </c>
      <c r="Z55" s="32" t="s">
        <v>48</v>
      </c>
      <c r="AA55" s="32" t="s">
        <v>48</v>
      </c>
      <c r="AB55" s="32" t="s">
        <v>48</v>
      </c>
      <c r="AC55" s="32" t="s">
        <v>48</v>
      </c>
      <c r="AD55" s="32"/>
      <c r="AE55" s="27" t="str">
        <f t="shared" si="19"/>
        <v>N</v>
      </c>
      <c r="AF55" s="32" t="s">
        <v>399</v>
      </c>
      <c r="AG55" s="32"/>
      <c r="AH55" s="33" t="s">
        <v>1025</v>
      </c>
      <c r="AI55" s="35">
        <v>5</v>
      </c>
      <c r="AJ55" s="57">
        <v>59</v>
      </c>
      <c r="AK55" s="33" t="s">
        <v>401</v>
      </c>
      <c r="AL55" s="10" t="s">
        <v>50</v>
      </c>
      <c r="AM55" s="6" t="str">
        <f t="shared" si="1"/>
        <v>14821/마감통제(삭제)/ basic/CloseControl</v>
      </c>
      <c r="AN55" s="30"/>
      <c r="AO55" s="30"/>
      <c r="AP55" s="30"/>
      <c r="AQ55" s="30"/>
      <c r="AR55" s="31"/>
      <c r="AS55" s="31"/>
      <c r="AT55" s="31"/>
      <c r="AU55" s="31"/>
      <c r="AV55" s="31"/>
      <c r="AW55" s="31"/>
      <c r="AX55" s="31"/>
      <c r="AY55" s="31"/>
    </row>
    <row r="56" spans="2:51" s="29" customFormat="1" ht="14.5">
      <c r="B56" s="5" t="str">
        <f t="shared" si="15"/>
        <v xml:space="preserve">  └ 상품정보 관리</v>
      </c>
      <c r="C56" s="33" t="s">
        <v>47</v>
      </c>
      <c r="D56" s="19"/>
      <c r="E56" s="19">
        <v>2020000</v>
      </c>
      <c r="F56" s="42" t="s">
        <v>989</v>
      </c>
      <c r="G56" s="18"/>
      <c r="H56" s="18"/>
      <c r="I56" s="18"/>
      <c r="J56" s="18"/>
      <c r="K56" s="18"/>
      <c r="L56" s="18" t="str">
        <f t="shared" si="16"/>
        <v>1</v>
      </c>
      <c r="M56" s="18" t="str">
        <f t="shared" si="17"/>
        <v>0</v>
      </c>
      <c r="N56" s="18" t="s">
        <v>985</v>
      </c>
      <c r="O56" s="18"/>
      <c r="P56" s="18" t="str">
        <f t="shared" si="18"/>
        <v>1</v>
      </c>
      <c r="Q56" s="18" t="s">
        <v>986</v>
      </c>
      <c r="R56" s="18" t="s">
        <v>986</v>
      </c>
      <c r="S56" s="18" t="s">
        <v>986</v>
      </c>
      <c r="T56" s="18" t="s">
        <v>987</v>
      </c>
      <c r="U56" s="18" t="s">
        <v>985</v>
      </c>
      <c r="V56" s="18" t="s">
        <v>987</v>
      </c>
      <c r="W56" s="18" t="s">
        <v>987</v>
      </c>
      <c r="X56" s="18" t="s">
        <v>987</v>
      </c>
      <c r="Y56" s="18" t="s">
        <v>985</v>
      </c>
      <c r="Z56" s="18" t="s">
        <v>985</v>
      </c>
      <c r="AA56" s="18" t="s">
        <v>985</v>
      </c>
      <c r="AB56" s="18" t="s">
        <v>985</v>
      </c>
      <c r="AC56" s="18" t="s">
        <v>985</v>
      </c>
      <c r="AD56" s="18"/>
      <c r="AE56" s="18" t="str">
        <f t="shared" si="19"/>
        <v>N</v>
      </c>
      <c r="AF56" s="18" t="s">
        <v>986</v>
      </c>
      <c r="AG56" s="18"/>
      <c r="AH56" s="19">
        <v>200000</v>
      </c>
      <c r="AI56" s="19">
        <v>3</v>
      </c>
      <c r="AJ56" s="57">
        <v>60</v>
      </c>
      <c r="AK56" s="10" t="s">
        <v>988</v>
      </c>
      <c r="AL56" s="10" t="s">
        <v>50</v>
      </c>
      <c r="AM56" s="6" t="str">
        <f t="shared" si="1"/>
        <v>14821/상품정보 관리/ /</v>
      </c>
      <c r="AN56" s="30"/>
      <c r="AO56" s="30"/>
      <c r="AP56" s="30"/>
      <c r="AQ56" s="30"/>
      <c r="AR56" s="31"/>
      <c r="AS56" s="31"/>
      <c r="AT56" s="31"/>
      <c r="AU56" s="31"/>
      <c r="AV56" s="31"/>
      <c r="AW56" s="31"/>
      <c r="AX56" s="31"/>
      <c r="AY56" s="31"/>
    </row>
    <row r="57" spans="2:51" s="29" customFormat="1" ht="14.5">
      <c r="B57" s="5" t="str">
        <f t="shared" si="15"/>
        <v xml:space="preserve">    └ 상품 기초</v>
      </c>
      <c r="C57" s="33" t="s">
        <v>47</v>
      </c>
      <c r="D57" s="32"/>
      <c r="E57" s="9" t="s">
        <v>1010</v>
      </c>
      <c r="F57" s="38" t="s">
        <v>1037</v>
      </c>
      <c r="G57" s="2"/>
      <c r="H57" s="2"/>
      <c r="I57" s="2"/>
      <c r="J57" s="2"/>
      <c r="K57" s="2"/>
      <c r="L57" s="2" t="str">
        <f t="shared" si="11"/>
        <v>1</v>
      </c>
      <c r="M57" s="2" t="str">
        <f t="shared" si="12"/>
        <v>0</v>
      </c>
      <c r="N57" s="2" t="s">
        <v>48</v>
      </c>
      <c r="O57" s="2"/>
      <c r="P57" s="2" t="str">
        <f t="shared" si="13"/>
        <v>1</v>
      </c>
      <c r="Q57" s="2" t="s">
        <v>399</v>
      </c>
      <c r="R57" s="2" t="s">
        <v>399</v>
      </c>
      <c r="S57" s="2" t="s">
        <v>399</v>
      </c>
      <c r="T57" s="2" t="s">
        <v>400</v>
      </c>
      <c r="U57" s="2" t="s">
        <v>48</v>
      </c>
      <c r="V57" s="2" t="s">
        <v>400</v>
      </c>
      <c r="W57" s="2" t="s">
        <v>400</v>
      </c>
      <c r="X57" s="2" t="s">
        <v>400</v>
      </c>
      <c r="Y57" s="2" t="s">
        <v>48</v>
      </c>
      <c r="Z57" s="2" t="s">
        <v>48</v>
      </c>
      <c r="AA57" s="2" t="s">
        <v>48</v>
      </c>
      <c r="AB57" s="2" t="s">
        <v>48</v>
      </c>
      <c r="AC57" s="2" t="s">
        <v>48</v>
      </c>
      <c r="AD57" s="2"/>
      <c r="AE57" s="2" t="str">
        <f t="shared" si="14"/>
        <v>N</v>
      </c>
      <c r="AF57" s="2" t="s">
        <v>399</v>
      </c>
      <c r="AG57" s="2"/>
      <c r="AH57" s="9" t="s">
        <v>1009</v>
      </c>
      <c r="AI57" s="21">
        <v>4</v>
      </c>
      <c r="AJ57" s="57">
        <v>61</v>
      </c>
      <c r="AK57" s="10" t="s">
        <v>401</v>
      </c>
      <c r="AL57" s="10" t="s">
        <v>50</v>
      </c>
      <c r="AM57" s="6" t="str">
        <f t="shared" si="1"/>
        <v>14821/상품 기초/ /</v>
      </c>
      <c r="AN57" s="30"/>
      <c r="AO57" s="30"/>
      <c r="AP57" s="30"/>
      <c r="AQ57" s="30"/>
      <c r="AR57" s="31"/>
      <c r="AS57" s="31"/>
      <c r="AT57" s="31"/>
      <c r="AU57" s="31"/>
      <c r="AV57" s="31"/>
      <c r="AW57" s="31"/>
      <c r="AX57" s="31"/>
      <c r="AY57" s="31"/>
    </row>
    <row r="58" spans="2:51" s="29" customFormat="1" ht="14.5">
      <c r="B58" s="5" t="str">
        <f t="shared" si="15"/>
        <v xml:space="preserve">        └ 보관 위치 코드 관리</v>
      </c>
      <c r="C58" s="33" t="s">
        <v>47</v>
      </c>
      <c r="D58" s="32"/>
      <c r="E58" s="33" t="s">
        <v>1026</v>
      </c>
      <c r="F58" s="44" t="s">
        <v>716</v>
      </c>
      <c r="G58" s="32"/>
      <c r="H58" s="32"/>
      <c r="I58" s="32"/>
      <c r="J58" s="34"/>
      <c r="K58" s="34"/>
      <c r="L58" s="27" t="str">
        <f t="shared" si="11"/>
        <v>1</v>
      </c>
      <c r="M58" s="27" t="str">
        <f t="shared" si="12"/>
        <v>1</v>
      </c>
      <c r="N58" s="32" t="s">
        <v>406</v>
      </c>
      <c r="O58" s="32" t="s">
        <v>445</v>
      </c>
      <c r="P58" s="27" t="str">
        <f t="shared" si="13"/>
        <v>1</v>
      </c>
      <c r="Q58" s="32" t="s">
        <v>400</v>
      </c>
      <c r="R58" s="32" t="s">
        <v>399</v>
      </c>
      <c r="S58" s="32" t="s">
        <v>400</v>
      </c>
      <c r="T58" s="32" t="s">
        <v>400</v>
      </c>
      <c r="U58" s="32" t="s">
        <v>48</v>
      </c>
      <c r="V58" s="32" t="s">
        <v>400</v>
      </c>
      <c r="W58" s="32" t="s">
        <v>400</v>
      </c>
      <c r="X58" s="32" t="s">
        <v>399</v>
      </c>
      <c r="Y58" s="32" t="s">
        <v>48</v>
      </c>
      <c r="Z58" s="32" t="s">
        <v>48</v>
      </c>
      <c r="AA58" s="32" t="s">
        <v>48</v>
      </c>
      <c r="AB58" s="32" t="s">
        <v>48</v>
      </c>
      <c r="AC58" s="32" t="s">
        <v>48</v>
      </c>
      <c r="AD58" s="32"/>
      <c r="AE58" s="27" t="str">
        <f t="shared" si="14"/>
        <v>N</v>
      </c>
      <c r="AF58" s="32" t="s">
        <v>399</v>
      </c>
      <c r="AG58" s="32"/>
      <c r="AH58" s="33" t="s">
        <v>1010</v>
      </c>
      <c r="AI58" s="35">
        <v>5</v>
      </c>
      <c r="AJ58" s="57">
        <v>62</v>
      </c>
      <c r="AK58" s="33" t="s">
        <v>401</v>
      </c>
      <c r="AL58" s="10" t="s">
        <v>50</v>
      </c>
      <c r="AM58" s="6" t="str">
        <f t="shared" si="1"/>
        <v>14821/보관 위치 코드 관리/ item/ItemZone</v>
      </c>
      <c r="AN58" s="30"/>
      <c r="AO58" s="30"/>
      <c r="AP58" s="30"/>
      <c r="AQ58" s="30"/>
      <c r="AR58" s="31"/>
      <c r="AS58" s="31"/>
      <c r="AT58" s="31"/>
      <c r="AU58" s="31"/>
      <c r="AV58" s="31"/>
      <c r="AW58" s="31"/>
      <c r="AX58" s="31"/>
      <c r="AY58" s="31"/>
    </row>
    <row r="59" spans="2:51" s="29" customFormat="1" ht="14.5">
      <c r="B59" s="5" t="str">
        <f t="shared" si="15"/>
        <v xml:space="preserve">        └ 상품 분류 코드 관리</v>
      </c>
      <c r="C59" s="33" t="s">
        <v>47</v>
      </c>
      <c r="D59" s="32"/>
      <c r="E59" s="33" t="s">
        <v>1027</v>
      </c>
      <c r="F59" s="44" t="s">
        <v>717</v>
      </c>
      <c r="G59" s="32"/>
      <c r="H59" s="32"/>
      <c r="I59" s="32"/>
      <c r="J59" s="34"/>
      <c r="K59" s="34"/>
      <c r="L59" s="27" t="str">
        <f t="shared" si="11"/>
        <v>1</v>
      </c>
      <c r="M59" s="27" t="str">
        <f t="shared" si="12"/>
        <v>1</v>
      </c>
      <c r="N59" s="32" t="s">
        <v>406</v>
      </c>
      <c r="O59" s="32" t="s">
        <v>446</v>
      </c>
      <c r="P59" s="27" t="str">
        <f t="shared" si="13"/>
        <v>1</v>
      </c>
      <c r="Q59" s="32" t="s">
        <v>400</v>
      </c>
      <c r="R59" s="32" t="s">
        <v>400</v>
      </c>
      <c r="S59" s="32" t="s">
        <v>400</v>
      </c>
      <c r="T59" s="32" t="s">
        <v>400</v>
      </c>
      <c r="U59" s="32" t="s">
        <v>48</v>
      </c>
      <c r="V59" s="32" t="s">
        <v>400</v>
      </c>
      <c r="W59" s="32" t="s">
        <v>400</v>
      </c>
      <c r="X59" s="32" t="s">
        <v>400</v>
      </c>
      <c r="Y59" s="32" t="s">
        <v>48</v>
      </c>
      <c r="Z59" s="32" t="s">
        <v>48</v>
      </c>
      <c r="AA59" s="32" t="s">
        <v>48</v>
      </c>
      <c r="AB59" s="32" t="s">
        <v>48</v>
      </c>
      <c r="AC59" s="32" t="s">
        <v>48</v>
      </c>
      <c r="AD59" s="32"/>
      <c r="AE59" s="27" t="str">
        <f t="shared" si="14"/>
        <v>N</v>
      </c>
      <c r="AF59" s="32" t="s">
        <v>399</v>
      </c>
      <c r="AG59" s="32"/>
      <c r="AH59" s="33" t="s">
        <v>1010</v>
      </c>
      <c r="AI59" s="35">
        <v>5</v>
      </c>
      <c r="AJ59" s="57">
        <v>63</v>
      </c>
      <c r="AK59" s="33" t="s">
        <v>401</v>
      </c>
      <c r="AL59" s="10" t="s">
        <v>50</v>
      </c>
      <c r="AM59" s="6" t="str">
        <f t="shared" si="1"/>
        <v>14821/상품 분류 코드 관리/ item/ItemClass</v>
      </c>
      <c r="AN59" s="30"/>
      <c r="AO59" s="30"/>
      <c r="AP59" s="30"/>
      <c r="AQ59" s="30"/>
      <c r="AR59" s="31"/>
      <c r="AS59" s="31"/>
      <c r="AT59" s="31"/>
      <c r="AU59" s="31"/>
      <c r="AV59" s="31"/>
      <c r="AW59" s="31"/>
      <c r="AX59" s="31"/>
      <c r="AY59" s="31"/>
    </row>
    <row r="60" spans="2:51" s="29" customFormat="1" ht="14.5">
      <c r="B60" s="5" t="str">
        <f t="shared" si="15"/>
        <v xml:space="preserve">        └ 상품 단위 코드 관리</v>
      </c>
      <c r="C60" s="33" t="s">
        <v>47</v>
      </c>
      <c r="D60" s="32"/>
      <c r="E60" s="33" t="s">
        <v>1028</v>
      </c>
      <c r="F60" s="44" t="s">
        <v>718</v>
      </c>
      <c r="G60" s="32"/>
      <c r="H60" s="32"/>
      <c r="I60" s="32"/>
      <c r="J60" s="34"/>
      <c r="K60" s="34"/>
      <c r="L60" s="27" t="str">
        <f t="shared" si="11"/>
        <v>1</v>
      </c>
      <c r="M60" s="27" t="str">
        <f t="shared" si="12"/>
        <v>1</v>
      </c>
      <c r="N60" s="32" t="s">
        <v>406</v>
      </c>
      <c r="O60" s="32" t="s">
        <v>447</v>
      </c>
      <c r="P60" s="27" t="str">
        <f t="shared" si="13"/>
        <v>1</v>
      </c>
      <c r="Q60" s="32" t="s">
        <v>400</v>
      </c>
      <c r="R60" s="32" t="s">
        <v>400</v>
      </c>
      <c r="S60" s="32" t="s">
        <v>400</v>
      </c>
      <c r="T60" s="32" t="s">
        <v>400</v>
      </c>
      <c r="U60" s="32" t="s">
        <v>48</v>
      </c>
      <c r="V60" s="32" t="s">
        <v>400</v>
      </c>
      <c r="W60" s="32" t="s">
        <v>400</v>
      </c>
      <c r="X60" s="32" t="s">
        <v>400</v>
      </c>
      <c r="Y60" s="32" t="s">
        <v>48</v>
      </c>
      <c r="Z60" s="32" t="s">
        <v>48</v>
      </c>
      <c r="AA60" s="32" t="s">
        <v>48</v>
      </c>
      <c r="AB60" s="32" t="s">
        <v>48</v>
      </c>
      <c r="AC60" s="32" t="s">
        <v>48</v>
      </c>
      <c r="AD60" s="32"/>
      <c r="AE60" s="27" t="str">
        <f t="shared" si="14"/>
        <v>N</v>
      </c>
      <c r="AF60" s="32" t="s">
        <v>399</v>
      </c>
      <c r="AG60" s="32"/>
      <c r="AH60" s="33" t="s">
        <v>1010</v>
      </c>
      <c r="AI60" s="35">
        <v>5</v>
      </c>
      <c r="AJ60" s="57">
        <v>64</v>
      </c>
      <c r="AK60" s="33" t="s">
        <v>401</v>
      </c>
      <c r="AL60" s="10" t="s">
        <v>50</v>
      </c>
      <c r="AM60" s="6" t="str">
        <f t="shared" si="1"/>
        <v>14821/상품 단위 코드 관리/ item/ItemUnit</v>
      </c>
      <c r="AN60" s="30"/>
      <c r="AO60" s="30"/>
      <c r="AP60" s="30"/>
      <c r="AQ60" s="30"/>
      <c r="AR60" s="31"/>
      <c r="AS60" s="31"/>
      <c r="AT60" s="31"/>
      <c r="AU60" s="31"/>
      <c r="AV60" s="31"/>
      <c r="AW60" s="31"/>
      <c r="AX60" s="31"/>
      <c r="AY60" s="31"/>
    </row>
    <row r="61" spans="2:51" s="29" customFormat="1" ht="14.5">
      <c r="B61" s="5" t="str">
        <f t="shared" si="15"/>
        <v xml:space="preserve">        └ 상품 브랜드 코드 관리</v>
      </c>
      <c r="C61" s="33" t="s">
        <v>47</v>
      </c>
      <c r="D61" s="32"/>
      <c r="E61" s="33" t="s">
        <v>1029</v>
      </c>
      <c r="F61" s="44" t="s">
        <v>719</v>
      </c>
      <c r="G61" s="32"/>
      <c r="H61" s="32"/>
      <c r="I61" s="32"/>
      <c r="J61" s="34"/>
      <c r="K61" s="34"/>
      <c r="L61" s="27" t="str">
        <f t="shared" si="11"/>
        <v>1</v>
      </c>
      <c r="M61" s="27" t="str">
        <f t="shared" si="12"/>
        <v>1</v>
      </c>
      <c r="N61" s="32" t="s">
        <v>406</v>
      </c>
      <c r="O61" s="32" t="s">
        <v>448</v>
      </c>
      <c r="P61" s="27" t="str">
        <f t="shared" si="13"/>
        <v>1</v>
      </c>
      <c r="Q61" s="32" t="s">
        <v>400</v>
      </c>
      <c r="R61" s="32" t="s">
        <v>400</v>
      </c>
      <c r="S61" s="32" t="s">
        <v>400</v>
      </c>
      <c r="T61" s="32" t="s">
        <v>400</v>
      </c>
      <c r="U61" s="32" t="s">
        <v>48</v>
      </c>
      <c r="V61" s="32" t="s">
        <v>400</v>
      </c>
      <c r="W61" s="32" t="s">
        <v>400</v>
      </c>
      <c r="X61" s="32" t="s">
        <v>400</v>
      </c>
      <c r="Y61" s="32" t="s">
        <v>48</v>
      </c>
      <c r="Z61" s="32" t="s">
        <v>48</v>
      </c>
      <c r="AA61" s="32" t="s">
        <v>48</v>
      </c>
      <c r="AB61" s="32" t="s">
        <v>48</v>
      </c>
      <c r="AC61" s="32" t="s">
        <v>48</v>
      </c>
      <c r="AD61" s="32"/>
      <c r="AE61" s="27" t="str">
        <f t="shared" si="14"/>
        <v>N</v>
      </c>
      <c r="AF61" s="32" t="s">
        <v>399</v>
      </c>
      <c r="AG61" s="32"/>
      <c r="AH61" s="33" t="s">
        <v>1010</v>
      </c>
      <c r="AI61" s="35">
        <v>5</v>
      </c>
      <c r="AJ61" s="57">
        <v>65</v>
      </c>
      <c r="AK61" s="33" t="s">
        <v>401</v>
      </c>
      <c r="AL61" s="10" t="s">
        <v>50</v>
      </c>
      <c r="AM61" s="6" t="str">
        <f t="shared" si="1"/>
        <v>14821/상품 브랜드 코드 관리/ item/ItemBrand</v>
      </c>
      <c r="AN61" s="30"/>
      <c r="AO61" s="30"/>
      <c r="AP61" s="30"/>
      <c r="AQ61" s="30"/>
      <c r="AR61" s="31"/>
      <c r="AS61" s="31"/>
      <c r="AT61" s="31"/>
      <c r="AU61" s="31"/>
      <c r="AV61" s="31"/>
      <c r="AW61" s="31"/>
      <c r="AX61" s="31"/>
      <c r="AY61" s="31"/>
    </row>
    <row r="62" spans="2:51" s="29" customFormat="1" ht="14.5">
      <c r="B62" s="5" t="str">
        <f t="shared" si="15"/>
        <v xml:space="preserve">        └ 상품 제조사 코드 관리</v>
      </c>
      <c r="C62" s="33" t="s">
        <v>47</v>
      </c>
      <c r="D62" s="32"/>
      <c r="E62" s="33" t="s">
        <v>1030</v>
      </c>
      <c r="F62" s="44" t="s">
        <v>720</v>
      </c>
      <c r="G62" s="32"/>
      <c r="H62" s="32"/>
      <c r="I62" s="32"/>
      <c r="J62" s="34"/>
      <c r="K62" s="34"/>
      <c r="L62" s="27" t="str">
        <f t="shared" si="11"/>
        <v>1</v>
      </c>
      <c r="M62" s="27" t="str">
        <f t="shared" si="12"/>
        <v>1</v>
      </c>
      <c r="N62" s="32" t="s">
        <v>406</v>
      </c>
      <c r="O62" s="32" t="s">
        <v>449</v>
      </c>
      <c r="P62" s="27" t="str">
        <f t="shared" si="13"/>
        <v>1</v>
      </c>
      <c r="Q62" s="32" t="s">
        <v>399</v>
      </c>
      <c r="R62" s="32" t="s">
        <v>399</v>
      </c>
      <c r="S62" s="32" t="s">
        <v>399</v>
      </c>
      <c r="T62" s="32" t="s">
        <v>400</v>
      </c>
      <c r="U62" s="32" t="s">
        <v>48</v>
      </c>
      <c r="V62" s="32" t="s">
        <v>400</v>
      </c>
      <c r="W62" s="32" t="s">
        <v>400</v>
      </c>
      <c r="X62" s="32" t="s">
        <v>400</v>
      </c>
      <c r="Y62" s="32" t="s">
        <v>48</v>
      </c>
      <c r="Z62" s="32" t="s">
        <v>48</v>
      </c>
      <c r="AA62" s="32" t="s">
        <v>48</v>
      </c>
      <c r="AB62" s="32" t="s">
        <v>48</v>
      </c>
      <c r="AC62" s="32" t="s">
        <v>48</v>
      </c>
      <c r="AD62" s="32"/>
      <c r="AE62" s="27" t="str">
        <f t="shared" si="14"/>
        <v>N</v>
      </c>
      <c r="AF62" s="32" t="s">
        <v>399</v>
      </c>
      <c r="AG62" s="32"/>
      <c r="AH62" s="33" t="s">
        <v>1010</v>
      </c>
      <c r="AI62" s="35">
        <v>5</v>
      </c>
      <c r="AJ62" s="57">
        <v>66</v>
      </c>
      <c r="AK62" s="33" t="s">
        <v>401</v>
      </c>
      <c r="AL62" s="10" t="s">
        <v>50</v>
      </c>
      <c r="AM62" s="6" t="str">
        <f t="shared" si="1"/>
        <v>14821/상품 제조사 코드 관리/ item/ItemMfg</v>
      </c>
      <c r="AN62" s="30"/>
      <c r="AO62" s="30"/>
      <c r="AP62" s="30"/>
      <c r="AQ62" s="30"/>
      <c r="AR62" s="31"/>
      <c r="AS62" s="31"/>
      <c r="AT62" s="31"/>
      <c r="AU62" s="31"/>
      <c r="AV62" s="31"/>
      <c r="AW62" s="31"/>
      <c r="AX62" s="31"/>
      <c r="AY62" s="31"/>
    </row>
    <row r="63" spans="2:51" s="29" customFormat="1" ht="14.5">
      <c r="B63" s="5" t="str">
        <f t="shared" si="15"/>
        <v xml:space="preserve">        └ 상품 원산지 코드 관리</v>
      </c>
      <c r="C63" s="33" t="s">
        <v>47</v>
      </c>
      <c r="D63" s="32"/>
      <c r="E63" s="33" t="s">
        <v>1031</v>
      </c>
      <c r="F63" s="44" t="s">
        <v>721</v>
      </c>
      <c r="G63" s="32"/>
      <c r="H63" s="32"/>
      <c r="I63" s="32"/>
      <c r="J63" s="34"/>
      <c r="K63" s="34"/>
      <c r="L63" s="27" t="str">
        <f t="shared" si="11"/>
        <v>1</v>
      </c>
      <c r="M63" s="27" t="str">
        <f t="shared" si="12"/>
        <v>1</v>
      </c>
      <c r="N63" s="32" t="s">
        <v>406</v>
      </c>
      <c r="O63" s="32" t="s">
        <v>450</v>
      </c>
      <c r="P63" s="27" t="str">
        <f t="shared" si="13"/>
        <v>1</v>
      </c>
      <c r="Q63" s="32" t="s">
        <v>399</v>
      </c>
      <c r="R63" s="32" t="s">
        <v>399</v>
      </c>
      <c r="S63" s="32" t="s">
        <v>399</v>
      </c>
      <c r="T63" s="32" t="s">
        <v>400</v>
      </c>
      <c r="U63" s="32" t="s">
        <v>48</v>
      </c>
      <c r="V63" s="32" t="s">
        <v>400</v>
      </c>
      <c r="W63" s="32" t="s">
        <v>400</v>
      </c>
      <c r="X63" s="32" t="s">
        <v>400</v>
      </c>
      <c r="Y63" s="32" t="s">
        <v>48</v>
      </c>
      <c r="Z63" s="32" t="s">
        <v>48</v>
      </c>
      <c r="AA63" s="32" t="s">
        <v>48</v>
      </c>
      <c r="AB63" s="32" t="s">
        <v>48</v>
      </c>
      <c r="AC63" s="32" t="s">
        <v>48</v>
      </c>
      <c r="AD63" s="32"/>
      <c r="AE63" s="27" t="str">
        <f t="shared" si="14"/>
        <v>N</v>
      </c>
      <c r="AF63" s="32" t="s">
        <v>399</v>
      </c>
      <c r="AG63" s="32"/>
      <c r="AH63" s="33" t="s">
        <v>1010</v>
      </c>
      <c r="AI63" s="35">
        <v>5</v>
      </c>
      <c r="AJ63" s="57">
        <v>67</v>
      </c>
      <c r="AK63" s="33" t="s">
        <v>401</v>
      </c>
      <c r="AL63" s="10" t="s">
        <v>50</v>
      </c>
      <c r="AM63" s="6" t="str">
        <f t="shared" si="1"/>
        <v>14821/상품 원산지 코드 관리/ item/ItemOrigine</v>
      </c>
      <c r="AN63" s="30"/>
      <c r="AO63" s="30"/>
      <c r="AP63" s="30"/>
      <c r="AQ63" s="30"/>
      <c r="AR63" s="31"/>
      <c r="AS63" s="31"/>
      <c r="AT63" s="31"/>
      <c r="AU63" s="31"/>
      <c r="AV63" s="31"/>
      <c r="AW63" s="31"/>
      <c r="AX63" s="31"/>
      <c r="AY63" s="31"/>
    </row>
    <row r="64" spans="2:51" s="29" customFormat="1" ht="14.5">
      <c r="B64" s="5" t="str">
        <f t="shared" si="15"/>
        <v xml:space="preserve">        └ 상품 고시 코드 관리</v>
      </c>
      <c r="C64" s="33" t="s">
        <v>47</v>
      </c>
      <c r="D64" s="32"/>
      <c r="E64" s="33" t="s">
        <v>1032</v>
      </c>
      <c r="F64" s="44" t="s">
        <v>722</v>
      </c>
      <c r="G64" s="32"/>
      <c r="H64" s="32"/>
      <c r="I64" s="32"/>
      <c r="J64" s="34"/>
      <c r="K64" s="34"/>
      <c r="L64" s="27" t="str">
        <f t="shared" si="11"/>
        <v>1</v>
      </c>
      <c r="M64" s="27" t="str">
        <f t="shared" si="12"/>
        <v>1</v>
      </c>
      <c r="N64" s="32" t="s">
        <v>406</v>
      </c>
      <c r="O64" s="32" t="s">
        <v>451</v>
      </c>
      <c r="P64" s="27" t="str">
        <f t="shared" si="13"/>
        <v>1</v>
      </c>
      <c r="Q64" s="32" t="s">
        <v>400</v>
      </c>
      <c r="R64" s="32" t="s">
        <v>399</v>
      </c>
      <c r="S64" s="32" t="s">
        <v>400</v>
      </c>
      <c r="T64" s="32" t="s">
        <v>400</v>
      </c>
      <c r="U64" s="32" t="s">
        <v>48</v>
      </c>
      <c r="V64" s="32" t="s">
        <v>400</v>
      </c>
      <c r="W64" s="32" t="s">
        <v>400</v>
      </c>
      <c r="X64" s="32" t="s">
        <v>399</v>
      </c>
      <c r="Y64" s="32" t="s">
        <v>48</v>
      </c>
      <c r="Z64" s="32" t="s">
        <v>48</v>
      </c>
      <c r="AA64" s="32" t="s">
        <v>48</v>
      </c>
      <c r="AB64" s="32" t="s">
        <v>48</v>
      </c>
      <c r="AC64" s="32" t="s">
        <v>48</v>
      </c>
      <c r="AD64" s="32"/>
      <c r="AE64" s="27" t="str">
        <f t="shared" si="14"/>
        <v>N</v>
      </c>
      <c r="AF64" s="32" t="s">
        <v>399</v>
      </c>
      <c r="AG64" s="32"/>
      <c r="AH64" s="33" t="s">
        <v>1010</v>
      </c>
      <c r="AI64" s="35">
        <v>5</v>
      </c>
      <c r="AJ64" s="57">
        <v>68</v>
      </c>
      <c r="AK64" s="33" t="s">
        <v>401</v>
      </c>
      <c r="AL64" s="10" t="s">
        <v>50</v>
      </c>
      <c r="AM64" s="6" t="str">
        <f t="shared" si="1"/>
        <v>14821/상품 고시 코드 관리/ item/ItemNotice</v>
      </c>
      <c r="AN64" s="30"/>
      <c r="AO64" s="30"/>
      <c r="AP64" s="30"/>
      <c r="AQ64" s="30"/>
      <c r="AR64" s="31"/>
      <c r="AS64" s="31"/>
      <c r="AT64" s="31"/>
      <c r="AU64" s="31"/>
      <c r="AV64" s="31"/>
      <c r="AW64" s="31"/>
      <c r="AX64" s="31"/>
      <c r="AY64" s="31"/>
    </row>
    <row r="65" spans="2:51" s="29" customFormat="1" ht="14.5">
      <c r="B65" s="5" t="str">
        <f t="shared" si="15"/>
        <v xml:space="preserve">        └ 바코드 출력 작업</v>
      </c>
      <c r="C65" s="33" t="s">
        <v>47</v>
      </c>
      <c r="D65" s="32"/>
      <c r="E65" s="33" t="s">
        <v>1033</v>
      </c>
      <c r="F65" s="44" t="s">
        <v>723</v>
      </c>
      <c r="G65" s="32"/>
      <c r="H65" s="32"/>
      <c r="I65" s="32"/>
      <c r="J65" s="34"/>
      <c r="K65" s="34"/>
      <c r="L65" s="27" t="str">
        <f t="shared" si="11"/>
        <v>1</v>
      </c>
      <c r="M65" s="27" t="str">
        <f t="shared" si="12"/>
        <v>1</v>
      </c>
      <c r="N65" s="32" t="s">
        <v>406</v>
      </c>
      <c r="O65" s="32" t="s">
        <v>452</v>
      </c>
      <c r="P65" s="27" t="str">
        <f t="shared" si="13"/>
        <v>1</v>
      </c>
      <c r="Q65" s="32" t="s">
        <v>399</v>
      </c>
      <c r="R65" s="32" t="s">
        <v>400</v>
      </c>
      <c r="S65" s="32" t="s">
        <v>400</v>
      </c>
      <c r="T65" s="32" t="s">
        <v>400</v>
      </c>
      <c r="U65" s="32" t="s">
        <v>48</v>
      </c>
      <c r="V65" s="32" t="s">
        <v>400</v>
      </c>
      <c r="W65" s="32" t="s">
        <v>400</v>
      </c>
      <c r="X65" s="32" t="s">
        <v>400</v>
      </c>
      <c r="Y65" s="32" t="s">
        <v>48</v>
      </c>
      <c r="Z65" s="32" t="s">
        <v>48</v>
      </c>
      <c r="AA65" s="32" t="s">
        <v>48</v>
      </c>
      <c r="AB65" s="32" t="s">
        <v>48</v>
      </c>
      <c r="AC65" s="32" t="s">
        <v>48</v>
      </c>
      <c r="AD65" s="32"/>
      <c r="AE65" s="27" t="str">
        <f t="shared" si="14"/>
        <v>N</v>
      </c>
      <c r="AF65" s="32" t="s">
        <v>399</v>
      </c>
      <c r="AG65" s="32"/>
      <c r="AH65" s="33" t="s">
        <v>1010</v>
      </c>
      <c r="AI65" s="35">
        <v>5</v>
      </c>
      <c r="AJ65" s="57">
        <v>69</v>
      </c>
      <c r="AK65" s="33" t="s">
        <v>401</v>
      </c>
      <c r="AL65" s="10" t="s">
        <v>50</v>
      </c>
      <c r="AM65" s="6" t="str">
        <f t="shared" si="1"/>
        <v>14821/바코드 출력 작업/ item/ItemBarcode</v>
      </c>
      <c r="AN65" s="30"/>
      <c r="AO65" s="30"/>
      <c r="AP65" s="30"/>
      <c r="AQ65" s="30"/>
      <c r="AR65" s="31"/>
      <c r="AS65" s="31"/>
      <c r="AT65" s="31"/>
      <c r="AU65" s="31"/>
      <c r="AV65" s="31"/>
      <c r="AW65" s="31"/>
      <c r="AX65" s="31"/>
      <c r="AY65" s="31"/>
    </row>
    <row r="66" spans="2:51" s="29" customFormat="1" ht="14.5">
      <c r="B66" s="5" t="str">
        <f t="shared" si="15"/>
        <v xml:space="preserve">        └ 키맵 분류</v>
      </c>
      <c r="C66" s="33" t="s">
        <v>47</v>
      </c>
      <c r="D66" s="32"/>
      <c r="E66" s="33" t="s">
        <v>1034</v>
      </c>
      <c r="F66" s="44" t="s">
        <v>724</v>
      </c>
      <c r="G66" s="32"/>
      <c r="H66" s="32"/>
      <c r="I66" s="32"/>
      <c r="J66" s="34"/>
      <c r="K66" s="34"/>
      <c r="L66" s="27" t="str">
        <f t="shared" si="11"/>
        <v>1</v>
      </c>
      <c r="M66" s="27" t="str">
        <f t="shared" si="12"/>
        <v>1</v>
      </c>
      <c r="N66" s="32" t="s">
        <v>406</v>
      </c>
      <c r="O66" s="32" t="s">
        <v>453</v>
      </c>
      <c r="P66" s="27" t="str">
        <f t="shared" si="13"/>
        <v>1</v>
      </c>
      <c r="Q66" s="32" t="s">
        <v>399</v>
      </c>
      <c r="R66" s="32" t="s">
        <v>399</v>
      </c>
      <c r="S66" s="32" t="s">
        <v>400</v>
      </c>
      <c r="T66" s="32" t="s">
        <v>400</v>
      </c>
      <c r="U66" s="32" t="s">
        <v>48</v>
      </c>
      <c r="V66" s="32" t="s">
        <v>400</v>
      </c>
      <c r="W66" s="32" t="s">
        <v>400</v>
      </c>
      <c r="X66" s="32" t="s">
        <v>400</v>
      </c>
      <c r="Y66" s="32" t="s">
        <v>48</v>
      </c>
      <c r="Z66" s="32" t="s">
        <v>48</v>
      </c>
      <c r="AA66" s="32" t="s">
        <v>48</v>
      </c>
      <c r="AB66" s="32" t="s">
        <v>48</v>
      </c>
      <c r="AC66" s="32" t="s">
        <v>48</v>
      </c>
      <c r="AD66" s="32"/>
      <c r="AE66" s="27" t="str">
        <f t="shared" si="14"/>
        <v>N</v>
      </c>
      <c r="AF66" s="32" t="s">
        <v>399</v>
      </c>
      <c r="AG66" s="32"/>
      <c r="AH66" s="33" t="s">
        <v>1010</v>
      </c>
      <c r="AI66" s="35">
        <v>5</v>
      </c>
      <c r="AJ66" s="57">
        <v>70</v>
      </c>
      <c r="AK66" s="33" t="s">
        <v>401</v>
      </c>
      <c r="AL66" s="10" t="s">
        <v>50</v>
      </c>
      <c r="AM66" s="6" t="str">
        <f t="shared" si="1"/>
        <v>14821/키맵 분류/ item/ItemKeymap</v>
      </c>
      <c r="AN66" s="30"/>
      <c r="AO66" s="30"/>
      <c r="AP66" s="30"/>
      <c r="AQ66" s="30"/>
      <c r="AR66" s="31"/>
      <c r="AS66" s="31"/>
      <c r="AT66" s="31"/>
      <c r="AU66" s="31"/>
      <c r="AV66" s="31"/>
      <c r="AW66" s="31"/>
      <c r="AX66" s="31"/>
      <c r="AY66" s="31"/>
    </row>
    <row r="67" spans="2:51" s="29" customFormat="1" ht="14.5">
      <c r="B67" s="5" t="str">
        <f t="shared" si="15"/>
        <v xml:space="preserve">        └ 키맵 메뉴</v>
      </c>
      <c r="C67" s="33" t="s">
        <v>47</v>
      </c>
      <c r="D67" s="32"/>
      <c r="E67" s="33" t="s">
        <v>1035</v>
      </c>
      <c r="F67" s="44" t="s">
        <v>725</v>
      </c>
      <c r="G67" s="32"/>
      <c r="H67" s="32"/>
      <c r="I67" s="32"/>
      <c r="J67" s="34"/>
      <c r="K67" s="34"/>
      <c r="L67" s="27" t="str">
        <f t="shared" si="11"/>
        <v>1</v>
      </c>
      <c r="M67" s="27" t="str">
        <f t="shared" si="12"/>
        <v>1</v>
      </c>
      <c r="N67" s="32" t="s">
        <v>406</v>
      </c>
      <c r="O67" s="32" t="s">
        <v>454</v>
      </c>
      <c r="P67" s="27" t="str">
        <f t="shared" si="13"/>
        <v>1</v>
      </c>
      <c r="Q67" s="32" t="s">
        <v>399</v>
      </c>
      <c r="R67" s="32" t="s">
        <v>399</v>
      </c>
      <c r="S67" s="32" t="s">
        <v>400</v>
      </c>
      <c r="T67" s="32" t="s">
        <v>400</v>
      </c>
      <c r="U67" s="32" t="s">
        <v>48</v>
      </c>
      <c r="V67" s="32" t="s">
        <v>400</v>
      </c>
      <c r="W67" s="32" t="s">
        <v>400</v>
      </c>
      <c r="X67" s="32" t="s">
        <v>400</v>
      </c>
      <c r="Y67" s="32" t="s">
        <v>48</v>
      </c>
      <c r="Z67" s="32" t="s">
        <v>48</v>
      </c>
      <c r="AA67" s="32" t="s">
        <v>48</v>
      </c>
      <c r="AB67" s="32" t="s">
        <v>48</v>
      </c>
      <c r="AC67" s="32" t="s">
        <v>48</v>
      </c>
      <c r="AD67" s="32"/>
      <c r="AE67" s="27" t="str">
        <f t="shared" si="14"/>
        <v>N</v>
      </c>
      <c r="AF67" s="32" t="s">
        <v>399</v>
      </c>
      <c r="AG67" s="32"/>
      <c r="AH67" s="33" t="s">
        <v>1010</v>
      </c>
      <c r="AI67" s="35">
        <v>5</v>
      </c>
      <c r="AJ67" s="57">
        <v>71</v>
      </c>
      <c r="AK67" s="33" t="s">
        <v>401</v>
      </c>
      <c r="AL67" s="10" t="s">
        <v>50</v>
      </c>
      <c r="AM67" s="6" t="str">
        <f t="shared" si="1"/>
        <v>14821/키맵 메뉴/ item/ItemKeymapDetail</v>
      </c>
      <c r="AN67" s="30"/>
      <c r="AO67" s="30"/>
      <c r="AP67" s="30"/>
      <c r="AQ67" s="30"/>
      <c r="AR67" s="31"/>
      <c r="AS67" s="31"/>
      <c r="AT67" s="31"/>
      <c r="AU67" s="31"/>
      <c r="AV67" s="31"/>
      <c r="AW67" s="31"/>
      <c r="AX67" s="31"/>
      <c r="AY67" s="31"/>
    </row>
    <row r="68" spans="2:51" s="29" customFormat="1" ht="14.5">
      <c r="B68" s="5" t="str">
        <f t="shared" si="15"/>
        <v xml:space="preserve">        └ 상품 공통 키맵관리</v>
      </c>
      <c r="C68" s="33" t="s">
        <v>47</v>
      </c>
      <c r="D68" s="32"/>
      <c r="E68" s="33" t="s">
        <v>1036</v>
      </c>
      <c r="F68" s="44" t="s">
        <v>748</v>
      </c>
      <c r="G68" s="32"/>
      <c r="H68" s="32"/>
      <c r="I68" s="32"/>
      <c r="J68" s="34"/>
      <c r="K68" s="34"/>
      <c r="L68" s="27" t="str">
        <f t="shared" ref="L68:L115" si="20">IF(F68="","","1")</f>
        <v>1</v>
      </c>
      <c r="M68" s="27" t="str">
        <f t="shared" ref="M68:M115" si="21">IF(F68="","",IF(O68="","0","1"))</f>
        <v>1</v>
      </c>
      <c r="N68" s="32" t="s">
        <v>406</v>
      </c>
      <c r="O68" s="32" t="s">
        <v>453</v>
      </c>
      <c r="P68" s="27" t="str">
        <f t="shared" ref="P68:P115" si="22">IF(F68="","","1")</f>
        <v>1</v>
      </c>
      <c r="Q68" s="32" t="s">
        <v>399</v>
      </c>
      <c r="R68" s="32" t="s">
        <v>399</v>
      </c>
      <c r="S68" s="32" t="s">
        <v>399</v>
      </c>
      <c r="T68" s="32" t="s">
        <v>400</v>
      </c>
      <c r="U68" s="32" t="s">
        <v>48</v>
      </c>
      <c r="V68" s="32" t="s">
        <v>400</v>
      </c>
      <c r="W68" s="32" t="s">
        <v>400</v>
      </c>
      <c r="X68" s="32" t="s">
        <v>400</v>
      </c>
      <c r="Y68" s="32" t="s">
        <v>48</v>
      </c>
      <c r="Z68" s="32" t="s">
        <v>48</v>
      </c>
      <c r="AA68" s="32" t="s">
        <v>48</v>
      </c>
      <c r="AB68" s="32" t="s">
        <v>48</v>
      </c>
      <c r="AC68" s="32" t="s">
        <v>48</v>
      </c>
      <c r="AD68" s="32"/>
      <c r="AE68" s="27" t="str">
        <f t="shared" ref="AE68:AE115" si="23">IF(F68="","","N")</f>
        <v>N</v>
      </c>
      <c r="AF68" s="32" t="s">
        <v>399</v>
      </c>
      <c r="AG68" s="32"/>
      <c r="AH68" s="33" t="s">
        <v>1010</v>
      </c>
      <c r="AI68" s="35">
        <v>5</v>
      </c>
      <c r="AJ68" s="57">
        <v>72</v>
      </c>
      <c r="AK68" s="33" t="s">
        <v>401</v>
      </c>
      <c r="AL68" s="10" t="s">
        <v>50</v>
      </c>
      <c r="AM68" s="6" t="str">
        <f t="shared" ref="AM68:AM131" si="24">IF(C68="","",C68&amp;"/"&amp;F68&amp;"/"&amp;N68&amp;"/"&amp;O68)</f>
        <v>14821/상품 공통 키맵관리/ item/ItemKeymap</v>
      </c>
      <c r="AN68" s="30"/>
      <c r="AO68" s="30"/>
      <c r="AP68" s="30"/>
      <c r="AQ68" s="30"/>
      <c r="AR68" s="31"/>
      <c r="AS68" s="31"/>
      <c r="AT68" s="31"/>
      <c r="AU68" s="31"/>
      <c r="AV68" s="31"/>
      <c r="AW68" s="31"/>
      <c r="AX68" s="31"/>
      <c r="AY68" s="31"/>
    </row>
    <row r="69" spans="2:51" s="29" customFormat="1" ht="14.5">
      <c r="B69" s="5" t="str">
        <f t="shared" si="15"/>
        <v xml:space="preserve">    └ 공통 상품 정보 관리</v>
      </c>
      <c r="C69" s="33" t="s">
        <v>47</v>
      </c>
      <c r="D69" s="32"/>
      <c r="E69" s="9">
        <v>2020200</v>
      </c>
      <c r="F69" s="38" t="s">
        <v>1038</v>
      </c>
      <c r="G69" s="9"/>
      <c r="H69" s="9"/>
      <c r="I69" s="9"/>
      <c r="J69" s="9"/>
      <c r="K69" s="9"/>
      <c r="L69" s="9" t="str">
        <f t="shared" si="20"/>
        <v>1</v>
      </c>
      <c r="M69" s="9" t="str">
        <f t="shared" si="21"/>
        <v>1</v>
      </c>
      <c r="N69" s="38" t="s">
        <v>1039</v>
      </c>
      <c r="O69" s="38" t="s">
        <v>1040</v>
      </c>
      <c r="P69" s="9" t="str">
        <f t="shared" si="22"/>
        <v>1</v>
      </c>
      <c r="Q69" s="9" t="s">
        <v>987</v>
      </c>
      <c r="R69" s="9" t="s">
        <v>987</v>
      </c>
      <c r="S69" s="9" t="s">
        <v>987</v>
      </c>
      <c r="T69" s="9" t="s">
        <v>987</v>
      </c>
      <c r="U69" s="9" t="s">
        <v>985</v>
      </c>
      <c r="V69" s="9" t="s">
        <v>987</v>
      </c>
      <c r="W69" s="9" t="s">
        <v>987</v>
      </c>
      <c r="X69" s="9" t="s">
        <v>986</v>
      </c>
      <c r="Y69" s="9" t="s">
        <v>985</v>
      </c>
      <c r="Z69" s="9" t="s">
        <v>985</v>
      </c>
      <c r="AA69" s="9" t="s">
        <v>985</v>
      </c>
      <c r="AB69" s="9" t="s">
        <v>985</v>
      </c>
      <c r="AC69" s="9" t="s">
        <v>985</v>
      </c>
      <c r="AD69" s="9"/>
      <c r="AE69" s="9" t="str">
        <f t="shared" si="23"/>
        <v>N</v>
      </c>
      <c r="AF69" s="9" t="s">
        <v>986</v>
      </c>
      <c r="AG69" s="9"/>
      <c r="AH69" s="9">
        <v>2020000</v>
      </c>
      <c r="AI69" s="9">
        <v>4</v>
      </c>
      <c r="AJ69" s="57">
        <v>73</v>
      </c>
      <c r="AK69" s="10" t="s">
        <v>988</v>
      </c>
      <c r="AL69" s="10" t="s">
        <v>50</v>
      </c>
      <c r="AM69" s="6" t="str">
        <f t="shared" si="24"/>
        <v>14821/공통 상품 정보 관리/ item/ItemBonsa</v>
      </c>
      <c r="AN69" s="30"/>
      <c r="AO69" s="30"/>
      <c r="AP69" s="30"/>
      <c r="AQ69" s="30"/>
      <c r="AR69" s="31"/>
      <c r="AS69" s="31"/>
      <c r="AT69" s="31"/>
      <c r="AU69" s="31"/>
      <c r="AV69" s="31"/>
      <c r="AW69" s="31"/>
      <c r="AX69" s="31"/>
      <c r="AY69" s="31"/>
    </row>
    <row r="70" spans="2:51" s="29" customFormat="1" ht="14.5">
      <c r="B70" s="5" t="str">
        <f t="shared" si="15"/>
        <v xml:space="preserve">    └ 상품 코드 정보 관리</v>
      </c>
      <c r="C70" s="33" t="s">
        <v>47</v>
      </c>
      <c r="D70" s="32"/>
      <c r="E70" s="9">
        <v>2020300</v>
      </c>
      <c r="F70" s="38" t="s">
        <v>1041</v>
      </c>
      <c r="G70" s="9"/>
      <c r="H70" s="9"/>
      <c r="I70" s="9"/>
      <c r="J70" s="9"/>
      <c r="K70" s="9"/>
      <c r="L70" s="9" t="str">
        <f t="shared" si="20"/>
        <v>1</v>
      </c>
      <c r="M70" s="9" t="str">
        <f t="shared" si="21"/>
        <v>1</v>
      </c>
      <c r="N70" s="38" t="s">
        <v>1039</v>
      </c>
      <c r="O70" s="38" t="s">
        <v>1042</v>
      </c>
      <c r="P70" s="9" t="str">
        <f t="shared" si="22"/>
        <v>1</v>
      </c>
      <c r="Q70" s="9" t="s">
        <v>987</v>
      </c>
      <c r="R70" s="9" t="s">
        <v>986</v>
      </c>
      <c r="S70" s="9" t="s">
        <v>987</v>
      </c>
      <c r="T70" s="9" t="s">
        <v>987</v>
      </c>
      <c r="U70" s="9" t="s">
        <v>985</v>
      </c>
      <c r="V70" s="9" t="s">
        <v>987</v>
      </c>
      <c r="W70" s="9" t="s">
        <v>987</v>
      </c>
      <c r="X70" s="9" t="s">
        <v>987</v>
      </c>
      <c r="Y70" s="9" t="s">
        <v>985</v>
      </c>
      <c r="Z70" s="9" t="s">
        <v>985</v>
      </c>
      <c r="AA70" s="9" t="s">
        <v>985</v>
      </c>
      <c r="AB70" s="9" t="s">
        <v>985</v>
      </c>
      <c r="AC70" s="9" t="s">
        <v>985</v>
      </c>
      <c r="AD70" s="9"/>
      <c r="AE70" s="9" t="str">
        <f t="shared" si="23"/>
        <v>N</v>
      </c>
      <c r="AF70" s="9" t="s">
        <v>986</v>
      </c>
      <c r="AG70" s="9"/>
      <c r="AH70" s="9">
        <v>2020000</v>
      </c>
      <c r="AI70" s="9">
        <v>4</v>
      </c>
      <c r="AJ70" s="57">
        <v>74</v>
      </c>
      <c r="AK70" s="10" t="s">
        <v>988</v>
      </c>
      <c r="AL70" s="10" t="s">
        <v>50</v>
      </c>
      <c r="AM70" s="6" t="str">
        <f t="shared" si="24"/>
        <v>14821/상품 코드 정보 관리/ item/ItemStore</v>
      </c>
      <c r="AN70" s="30"/>
      <c r="AO70" s="30"/>
      <c r="AP70" s="30"/>
      <c r="AQ70" s="30"/>
      <c r="AR70" s="31"/>
      <c r="AS70" s="31"/>
      <c r="AT70" s="31"/>
      <c r="AU70" s="31"/>
      <c r="AV70" s="31"/>
      <c r="AW70" s="31"/>
      <c r="AX70" s="31"/>
      <c r="AY70" s="31"/>
    </row>
    <row r="71" spans="2:51" s="29" customFormat="1" ht="14.5">
      <c r="B71" s="5" t="str">
        <f t="shared" si="15"/>
        <v xml:space="preserve">    └ 상품가격 변경 품의</v>
      </c>
      <c r="C71" s="33" t="s">
        <v>47</v>
      </c>
      <c r="D71" s="32"/>
      <c r="E71" s="9">
        <v>2020400</v>
      </c>
      <c r="F71" s="38" t="s">
        <v>1043</v>
      </c>
      <c r="G71" s="9"/>
      <c r="H71" s="9"/>
      <c r="I71" s="9"/>
      <c r="J71" s="9"/>
      <c r="K71" s="9"/>
      <c r="L71" s="9" t="str">
        <f t="shared" si="20"/>
        <v>1</v>
      </c>
      <c r="M71" s="9" t="str">
        <f t="shared" si="21"/>
        <v>1</v>
      </c>
      <c r="N71" s="38" t="s">
        <v>1039</v>
      </c>
      <c r="O71" s="38" t="s">
        <v>1044</v>
      </c>
      <c r="P71" s="9" t="str">
        <f t="shared" si="22"/>
        <v>1</v>
      </c>
      <c r="Q71" s="9" t="s">
        <v>987</v>
      </c>
      <c r="R71" s="9" t="s">
        <v>986</v>
      </c>
      <c r="S71" s="9" t="s">
        <v>987</v>
      </c>
      <c r="T71" s="9" t="s">
        <v>987</v>
      </c>
      <c r="U71" s="9" t="s">
        <v>985</v>
      </c>
      <c r="V71" s="9" t="s">
        <v>987</v>
      </c>
      <c r="W71" s="9" t="s">
        <v>987</v>
      </c>
      <c r="X71" s="9" t="s">
        <v>987</v>
      </c>
      <c r="Y71" s="9" t="s">
        <v>985</v>
      </c>
      <c r="Z71" s="9" t="s">
        <v>985</v>
      </c>
      <c r="AA71" s="9" t="s">
        <v>985</v>
      </c>
      <c r="AB71" s="9" t="s">
        <v>985</v>
      </c>
      <c r="AC71" s="9" t="s">
        <v>985</v>
      </c>
      <c r="AD71" s="9"/>
      <c r="AE71" s="9" t="str">
        <f t="shared" si="23"/>
        <v>N</v>
      </c>
      <c r="AF71" s="9" t="s">
        <v>986</v>
      </c>
      <c r="AG71" s="9"/>
      <c r="AH71" s="9">
        <v>2020000</v>
      </c>
      <c r="AI71" s="9">
        <v>4</v>
      </c>
      <c r="AJ71" s="57">
        <v>75</v>
      </c>
      <c r="AK71" s="10" t="s">
        <v>988</v>
      </c>
      <c r="AL71" s="10" t="s">
        <v>50</v>
      </c>
      <c r="AM71" s="6" t="str">
        <f t="shared" si="24"/>
        <v>14821/상품가격 변경 품의/ item/ItemPriceRequest</v>
      </c>
      <c r="AN71" s="30"/>
      <c r="AO71" s="30"/>
      <c r="AP71" s="30"/>
      <c r="AQ71" s="30"/>
      <c r="AR71" s="31"/>
      <c r="AS71" s="31"/>
      <c r="AT71" s="31"/>
      <c r="AU71" s="31"/>
      <c r="AV71" s="31"/>
      <c r="AW71" s="31"/>
      <c r="AX71" s="31"/>
      <c r="AY71" s="31"/>
    </row>
    <row r="72" spans="2:51" s="29" customFormat="1" ht="14.5">
      <c r="B72" s="5" t="str">
        <f t="shared" si="15"/>
        <v xml:space="preserve">    └ 상품가격 변경 승인</v>
      </c>
      <c r="C72" s="33" t="s">
        <v>47</v>
      </c>
      <c r="D72" s="32"/>
      <c r="E72" s="9">
        <v>2020500</v>
      </c>
      <c r="F72" s="38" t="s">
        <v>1045</v>
      </c>
      <c r="G72" s="9"/>
      <c r="H72" s="9"/>
      <c r="I72" s="9"/>
      <c r="J72" s="9"/>
      <c r="K72" s="9"/>
      <c r="L72" s="9" t="str">
        <f t="shared" si="20"/>
        <v>1</v>
      </c>
      <c r="M72" s="9" t="str">
        <f t="shared" si="21"/>
        <v>1</v>
      </c>
      <c r="N72" s="38" t="s">
        <v>1039</v>
      </c>
      <c r="O72" s="38" t="s">
        <v>1046</v>
      </c>
      <c r="P72" s="9" t="str">
        <f t="shared" si="22"/>
        <v>1</v>
      </c>
      <c r="Q72" s="9" t="s">
        <v>987</v>
      </c>
      <c r="R72" s="9" t="s">
        <v>987</v>
      </c>
      <c r="S72" s="9" t="s">
        <v>987</v>
      </c>
      <c r="T72" s="9" t="s">
        <v>987</v>
      </c>
      <c r="U72" s="9" t="s">
        <v>985</v>
      </c>
      <c r="V72" s="9" t="s">
        <v>987</v>
      </c>
      <c r="W72" s="9" t="s">
        <v>987</v>
      </c>
      <c r="X72" s="9" t="s">
        <v>987</v>
      </c>
      <c r="Y72" s="9" t="s">
        <v>985</v>
      </c>
      <c r="Z72" s="9" t="s">
        <v>985</v>
      </c>
      <c r="AA72" s="9" t="s">
        <v>985</v>
      </c>
      <c r="AB72" s="9" t="s">
        <v>985</v>
      </c>
      <c r="AC72" s="9" t="s">
        <v>985</v>
      </c>
      <c r="AD72" s="9"/>
      <c r="AE72" s="9" t="str">
        <f t="shared" si="23"/>
        <v>N</v>
      </c>
      <c r="AF72" s="9" t="s">
        <v>986</v>
      </c>
      <c r="AG72" s="9"/>
      <c r="AH72" s="9">
        <v>2020000</v>
      </c>
      <c r="AI72" s="9">
        <v>4</v>
      </c>
      <c r="AJ72" s="57">
        <v>76</v>
      </c>
      <c r="AK72" s="10" t="s">
        <v>988</v>
      </c>
      <c r="AL72" s="10" t="s">
        <v>50</v>
      </c>
      <c r="AM72" s="6" t="str">
        <f t="shared" si="24"/>
        <v>14821/상품가격 변경 승인/ item/ItemPriceConfirm</v>
      </c>
      <c r="AN72" s="30"/>
      <c r="AO72" s="30"/>
      <c r="AP72" s="30"/>
      <c r="AQ72" s="30"/>
      <c r="AR72" s="31"/>
      <c r="AS72" s="31"/>
      <c r="AT72" s="31"/>
      <c r="AU72" s="31"/>
      <c r="AV72" s="31"/>
      <c r="AW72" s="31"/>
      <c r="AX72" s="31"/>
      <c r="AY72" s="31"/>
    </row>
    <row r="73" spans="2:51" s="29" customFormat="1" ht="14.5">
      <c r="B73" s="5" t="str">
        <f t="shared" si="15"/>
        <v xml:space="preserve">    └ 상품 정보 수신 관리</v>
      </c>
      <c r="C73" s="33" t="s">
        <v>47</v>
      </c>
      <c r="D73" s="32"/>
      <c r="E73" s="9">
        <v>2020600</v>
      </c>
      <c r="F73" s="38" t="s">
        <v>1047</v>
      </c>
      <c r="G73" s="9"/>
      <c r="H73" s="9"/>
      <c r="I73" s="9"/>
      <c r="J73" s="9"/>
      <c r="K73" s="9"/>
      <c r="L73" s="9" t="str">
        <f t="shared" si="20"/>
        <v>1</v>
      </c>
      <c r="M73" s="9" t="str">
        <f t="shared" si="21"/>
        <v>1</v>
      </c>
      <c r="N73" s="38" t="s">
        <v>1039</v>
      </c>
      <c r="O73" s="38" t="s">
        <v>1048</v>
      </c>
      <c r="P73" s="9" t="str">
        <f t="shared" si="22"/>
        <v>1</v>
      </c>
      <c r="Q73" s="9" t="s">
        <v>986</v>
      </c>
      <c r="R73" s="9" t="s">
        <v>986</v>
      </c>
      <c r="S73" s="9" t="s">
        <v>987</v>
      </c>
      <c r="T73" s="9" t="s">
        <v>987</v>
      </c>
      <c r="U73" s="9" t="s">
        <v>985</v>
      </c>
      <c r="V73" s="9" t="s">
        <v>987</v>
      </c>
      <c r="W73" s="9" t="s">
        <v>987</v>
      </c>
      <c r="X73" s="9" t="s">
        <v>986</v>
      </c>
      <c r="Y73" s="9" t="s">
        <v>985</v>
      </c>
      <c r="Z73" s="9" t="s">
        <v>985</v>
      </c>
      <c r="AA73" s="9" t="s">
        <v>985</v>
      </c>
      <c r="AB73" s="9" t="s">
        <v>985</v>
      </c>
      <c r="AC73" s="9" t="s">
        <v>985</v>
      </c>
      <c r="AD73" s="9"/>
      <c r="AE73" s="9" t="str">
        <f t="shared" si="23"/>
        <v>N</v>
      </c>
      <c r="AF73" s="9" t="s">
        <v>986</v>
      </c>
      <c r="AG73" s="9"/>
      <c r="AH73" s="9">
        <v>2020000</v>
      </c>
      <c r="AI73" s="9">
        <v>4</v>
      </c>
      <c r="AJ73" s="57">
        <v>77</v>
      </c>
      <c r="AK73" s="10" t="s">
        <v>988</v>
      </c>
      <c r="AL73" s="10" t="s">
        <v>50</v>
      </c>
      <c r="AM73" s="6" t="str">
        <f t="shared" si="24"/>
        <v>14821/상품 정보 수신 관리/ item/ItemRecv</v>
      </c>
      <c r="AN73" s="30"/>
      <c r="AO73" s="30"/>
      <c r="AP73" s="30"/>
      <c r="AQ73" s="30"/>
      <c r="AR73" s="31"/>
      <c r="AS73" s="31"/>
      <c r="AT73" s="31"/>
      <c r="AU73" s="31"/>
      <c r="AV73" s="31"/>
      <c r="AW73" s="31"/>
      <c r="AX73" s="31"/>
      <c r="AY73" s="31"/>
    </row>
    <row r="74" spans="2:51" s="29" customFormat="1" ht="14.5">
      <c r="B74" s="5" t="str">
        <f t="shared" si="15"/>
        <v xml:space="preserve">    └ 지점 상품 가격 변경</v>
      </c>
      <c r="C74" s="33" t="s">
        <v>47</v>
      </c>
      <c r="D74" s="32"/>
      <c r="E74" s="9">
        <v>2020700</v>
      </c>
      <c r="F74" s="38" t="s">
        <v>1049</v>
      </c>
      <c r="G74" s="9"/>
      <c r="H74" s="9"/>
      <c r="I74" s="9"/>
      <c r="J74" s="9"/>
      <c r="K74" s="9"/>
      <c r="L74" s="9" t="str">
        <f t="shared" si="20"/>
        <v>1</v>
      </c>
      <c r="M74" s="9" t="str">
        <f t="shared" si="21"/>
        <v>1</v>
      </c>
      <c r="N74" s="38" t="s">
        <v>1039</v>
      </c>
      <c r="O74" s="38" t="s">
        <v>1050</v>
      </c>
      <c r="P74" s="9" t="str">
        <f t="shared" si="22"/>
        <v>1</v>
      </c>
      <c r="Q74" s="9" t="s">
        <v>987</v>
      </c>
      <c r="R74" s="9" t="s">
        <v>986</v>
      </c>
      <c r="S74" s="9" t="s">
        <v>987</v>
      </c>
      <c r="T74" s="9" t="s">
        <v>987</v>
      </c>
      <c r="U74" s="9" t="s">
        <v>985</v>
      </c>
      <c r="V74" s="9" t="s">
        <v>986</v>
      </c>
      <c r="W74" s="9" t="s">
        <v>986</v>
      </c>
      <c r="X74" s="9" t="s">
        <v>987</v>
      </c>
      <c r="Y74" s="9" t="s">
        <v>985</v>
      </c>
      <c r="Z74" s="9" t="s">
        <v>985</v>
      </c>
      <c r="AA74" s="9" t="s">
        <v>985</v>
      </c>
      <c r="AB74" s="9" t="s">
        <v>985</v>
      </c>
      <c r="AC74" s="9" t="s">
        <v>985</v>
      </c>
      <c r="AD74" s="9"/>
      <c r="AE74" s="9" t="str">
        <f t="shared" si="23"/>
        <v>N</v>
      </c>
      <c r="AF74" s="9" t="s">
        <v>986</v>
      </c>
      <c r="AG74" s="9"/>
      <c r="AH74" s="9">
        <v>2020000</v>
      </c>
      <c r="AI74" s="9">
        <v>4</v>
      </c>
      <c r="AJ74" s="57">
        <v>78</v>
      </c>
      <c r="AK74" s="10" t="s">
        <v>988</v>
      </c>
      <c r="AL74" s="10" t="s">
        <v>50</v>
      </c>
      <c r="AM74" s="6" t="str">
        <f t="shared" si="24"/>
        <v>14821/지점 상품 가격 변경/ item/ItemStorePriceChange</v>
      </c>
      <c r="AN74" s="30"/>
      <c r="AO74" s="30"/>
      <c r="AP74" s="30"/>
      <c r="AQ74" s="30"/>
      <c r="AR74" s="31"/>
      <c r="AS74" s="31"/>
      <c r="AT74" s="31"/>
      <c r="AU74" s="31"/>
      <c r="AV74" s="31"/>
      <c r="AW74" s="31"/>
      <c r="AX74" s="31"/>
      <c r="AY74" s="31"/>
    </row>
    <row r="75" spans="2:51" s="29" customFormat="1" ht="14.5">
      <c r="B75" s="5" t="str">
        <f t="shared" si="15"/>
        <v xml:space="preserve">    └ 사업장 상품 가격 정보</v>
      </c>
      <c r="C75" s="33" t="s">
        <v>47</v>
      </c>
      <c r="D75" s="32"/>
      <c r="E75" s="9">
        <v>2020800</v>
      </c>
      <c r="F75" s="38" t="s">
        <v>1051</v>
      </c>
      <c r="G75" s="9"/>
      <c r="H75" s="9"/>
      <c r="I75" s="9"/>
      <c r="J75" s="9"/>
      <c r="K75" s="9"/>
      <c r="L75" s="9" t="str">
        <f t="shared" si="20"/>
        <v>1</v>
      </c>
      <c r="M75" s="9" t="str">
        <f t="shared" si="21"/>
        <v>1</v>
      </c>
      <c r="N75" s="38" t="s">
        <v>1039</v>
      </c>
      <c r="O75" s="38" t="s">
        <v>1052</v>
      </c>
      <c r="P75" s="9" t="str">
        <f t="shared" si="22"/>
        <v>1</v>
      </c>
      <c r="Q75" s="9" t="s">
        <v>986</v>
      </c>
      <c r="R75" s="9" t="s">
        <v>986</v>
      </c>
      <c r="S75" s="9" t="s">
        <v>987</v>
      </c>
      <c r="T75" s="9" t="s">
        <v>987</v>
      </c>
      <c r="U75" s="9" t="s">
        <v>985</v>
      </c>
      <c r="V75" s="9" t="s">
        <v>987</v>
      </c>
      <c r="W75" s="9" t="s">
        <v>987</v>
      </c>
      <c r="X75" s="9" t="s">
        <v>986</v>
      </c>
      <c r="Y75" s="9" t="s">
        <v>985</v>
      </c>
      <c r="Z75" s="9" t="s">
        <v>985</v>
      </c>
      <c r="AA75" s="9" t="s">
        <v>985</v>
      </c>
      <c r="AB75" s="9" t="s">
        <v>985</v>
      </c>
      <c r="AC75" s="9" t="s">
        <v>985</v>
      </c>
      <c r="AD75" s="9"/>
      <c r="AE75" s="9" t="str">
        <f t="shared" si="23"/>
        <v>N</v>
      </c>
      <c r="AF75" s="9" t="s">
        <v>986</v>
      </c>
      <c r="AG75" s="9"/>
      <c r="AH75" s="9">
        <v>2020000</v>
      </c>
      <c r="AI75" s="9">
        <v>4</v>
      </c>
      <c r="AJ75" s="57">
        <v>79</v>
      </c>
      <c r="AK75" s="10" t="s">
        <v>988</v>
      </c>
      <c r="AL75" s="10" t="s">
        <v>50</v>
      </c>
      <c r="AM75" s="6" t="str">
        <f t="shared" si="24"/>
        <v>14821/사업장 상품 가격 정보/ item/ItemStoreInfo</v>
      </c>
      <c r="AN75" s="30"/>
      <c r="AO75" s="30"/>
      <c r="AP75" s="30"/>
      <c r="AQ75" s="30"/>
      <c r="AR75" s="31"/>
      <c r="AS75" s="31"/>
      <c r="AT75" s="31"/>
      <c r="AU75" s="31"/>
      <c r="AV75" s="31"/>
      <c r="AW75" s="31"/>
      <c r="AX75" s="31"/>
      <c r="AY75" s="31"/>
    </row>
    <row r="76" spans="2:51" s="29" customFormat="1" ht="14.5">
      <c r="B76" s="5" t="str">
        <f t="shared" si="15"/>
        <v xml:space="preserve">    └ 사업장별 EDI 상품관리</v>
      </c>
      <c r="C76" s="33" t="s">
        <v>47</v>
      </c>
      <c r="D76" s="32"/>
      <c r="E76" s="9">
        <v>2020900</v>
      </c>
      <c r="F76" s="38" t="s">
        <v>1053</v>
      </c>
      <c r="G76" s="9"/>
      <c r="H76" s="9"/>
      <c r="I76" s="9"/>
      <c r="J76" s="9"/>
      <c r="K76" s="9"/>
      <c r="L76" s="9" t="str">
        <f t="shared" si="20"/>
        <v>1</v>
      </c>
      <c r="M76" s="9" t="str">
        <f t="shared" si="21"/>
        <v>1</v>
      </c>
      <c r="N76" s="38" t="s">
        <v>1039</v>
      </c>
      <c r="O76" s="38" t="s">
        <v>1054</v>
      </c>
      <c r="P76" s="9" t="str">
        <f t="shared" si="22"/>
        <v>1</v>
      </c>
      <c r="Q76" s="9" t="s">
        <v>986</v>
      </c>
      <c r="R76" s="9" t="s">
        <v>986</v>
      </c>
      <c r="S76" s="9" t="s">
        <v>987</v>
      </c>
      <c r="T76" s="9" t="s">
        <v>987</v>
      </c>
      <c r="U76" s="9" t="s">
        <v>985</v>
      </c>
      <c r="V76" s="9" t="s">
        <v>987</v>
      </c>
      <c r="W76" s="9" t="s">
        <v>987</v>
      </c>
      <c r="X76" s="9" t="s">
        <v>986</v>
      </c>
      <c r="Y76" s="9" t="s">
        <v>985</v>
      </c>
      <c r="Z76" s="9" t="s">
        <v>985</v>
      </c>
      <c r="AA76" s="9" t="s">
        <v>985</v>
      </c>
      <c r="AB76" s="9" t="s">
        <v>985</v>
      </c>
      <c r="AC76" s="9" t="s">
        <v>985</v>
      </c>
      <c r="AD76" s="9"/>
      <c r="AE76" s="9" t="str">
        <f t="shared" si="23"/>
        <v>N</v>
      </c>
      <c r="AF76" s="9" t="s">
        <v>986</v>
      </c>
      <c r="AG76" s="9"/>
      <c r="AH76" s="9">
        <v>2020000</v>
      </c>
      <c r="AI76" s="9">
        <v>4</v>
      </c>
      <c r="AJ76" s="57">
        <v>80</v>
      </c>
      <c r="AK76" s="10" t="s">
        <v>988</v>
      </c>
      <c r="AL76" s="10" t="s">
        <v>50</v>
      </c>
      <c r="AM76" s="6" t="str">
        <f t="shared" si="24"/>
        <v>14821/사업장별 EDI 상품관리/ item/EpoItemStore</v>
      </c>
      <c r="AN76" s="30"/>
      <c r="AO76" s="30"/>
      <c r="AP76" s="30"/>
      <c r="AQ76" s="30"/>
      <c r="AR76" s="31"/>
      <c r="AS76" s="31"/>
      <c r="AT76" s="31"/>
      <c r="AU76" s="31"/>
      <c r="AV76" s="31"/>
      <c r="AW76" s="31"/>
      <c r="AX76" s="31"/>
      <c r="AY76" s="31"/>
    </row>
    <row r="77" spans="2:51" s="29" customFormat="1" ht="14.5">
      <c r="B77" s="5" t="str">
        <f t="shared" si="15"/>
        <v xml:space="preserve">    └ 그룹 상품 정보 관리</v>
      </c>
      <c r="C77" s="33" t="s">
        <v>47</v>
      </c>
      <c r="D77" s="32"/>
      <c r="E77" s="9">
        <v>2021000</v>
      </c>
      <c r="F77" s="38" t="s">
        <v>1055</v>
      </c>
      <c r="G77" s="9"/>
      <c r="H77" s="9"/>
      <c r="I77" s="9"/>
      <c r="J77" s="9"/>
      <c r="K77" s="9"/>
      <c r="L77" s="9" t="str">
        <f t="shared" si="20"/>
        <v>1</v>
      </c>
      <c r="M77" s="9" t="str">
        <f t="shared" si="21"/>
        <v>1</v>
      </c>
      <c r="N77" s="38" t="s">
        <v>1039</v>
      </c>
      <c r="O77" s="38" t="s">
        <v>1056</v>
      </c>
      <c r="P77" s="9" t="str">
        <f t="shared" si="22"/>
        <v>1</v>
      </c>
      <c r="Q77" s="9" t="s">
        <v>986</v>
      </c>
      <c r="R77" s="9" t="s">
        <v>986</v>
      </c>
      <c r="S77" s="9" t="s">
        <v>987</v>
      </c>
      <c r="T77" s="9" t="s">
        <v>987</v>
      </c>
      <c r="U77" s="9" t="s">
        <v>985</v>
      </c>
      <c r="V77" s="9" t="s">
        <v>987</v>
      </c>
      <c r="W77" s="9" t="s">
        <v>987</v>
      </c>
      <c r="X77" s="9" t="s">
        <v>986</v>
      </c>
      <c r="Y77" s="9" t="s">
        <v>985</v>
      </c>
      <c r="Z77" s="9" t="s">
        <v>985</v>
      </c>
      <c r="AA77" s="9" t="s">
        <v>985</v>
      </c>
      <c r="AB77" s="9" t="s">
        <v>985</v>
      </c>
      <c r="AC77" s="9" t="s">
        <v>985</v>
      </c>
      <c r="AD77" s="9"/>
      <c r="AE77" s="9" t="str">
        <f t="shared" si="23"/>
        <v>N</v>
      </c>
      <c r="AF77" s="9" t="s">
        <v>986</v>
      </c>
      <c r="AG77" s="9"/>
      <c r="AH77" s="9">
        <v>2020000</v>
      </c>
      <c r="AI77" s="9">
        <v>4</v>
      </c>
      <c r="AJ77" s="57">
        <v>81</v>
      </c>
      <c r="AK77" s="10" t="s">
        <v>988</v>
      </c>
      <c r="AL77" s="10" t="s">
        <v>50</v>
      </c>
      <c r="AM77" s="6" t="str">
        <f t="shared" si="24"/>
        <v>14821/그룹 상품 정보 관리/ item/ItemGroup</v>
      </c>
      <c r="AN77" s="30"/>
      <c r="AO77" s="30"/>
      <c r="AP77" s="30"/>
      <c r="AQ77" s="30"/>
      <c r="AR77" s="31"/>
      <c r="AS77" s="31"/>
      <c r="AT77" s="31"/>
      <c r="AU77" s="31"/>
      <c r="AV77" s="31"/>
      <c r="AW77" s="31"/>
      <c r="AX77" s="31"/>
      <c r="AY77" s="31"/>
    </row>
    <row r="78" spans="2:51" s="29" customFormat="1" ht="14.5">
      <c r="B78" s="5" t="str">
        <f t="shared" si="15"/>
        <v xml:space="preserve">    └ 세트 상품 정보 관리</v>
      </c>
      <c r="C78" s="33" t="s">
        <v>47</v>
      </c>
      <c r="D78" s="32"/>
      <c r="E78" s="9">
        <v>2021100</v>
      </c>
      <c r="F78" s="38" t="s">
        <v>1057</v>
      </c>
      <c r="G78" s="9"/>
      <c r="H78" s="9"/>
      <c r="I78" s="9"/>
      <c r="J78" s="9"/>
      <c r="K78" s="9"/>
      <c r="L78" s="9" t="str">
        <f t="shared" si="20"/>
        <v>1</v>
      </c>
      <c r="M78" s="9" t="str">
        <f t="shared" si="21"/>
        <v>1</v>
      </c>
      <c r="N78" s="38" t="s">
        <v>1039</v>
      </c>
      <c r="O78" s="38" t="s">
        <v>1058</v>
      </c>
      <c r="P78" s="9" t="str">
        <f t="shared" si="22"/>
        <v>1</v>
      </c>
      <c r="Q78" s="9" t="s">
        <v>987</v>
      </c>
      <c r="R78" s="9" t="s">
        <v>986</v>
      </c>
      <c r="S78" s="9" t="s">
        <v>987</v>
      </c>
      <c r="T78" s="9" t="s">
        <v>987</v>
      </c>
      <c r="U78" s="9" t="s">
        <v>985</v>
      </c>
      <c r="V78" s="9" t="s">
        <v>987</v>
      </c>
      <c r="W78" s="9" t="s">
        <v>987</v>
      </c>
      <c r="X78" s="9" t="s">
        <v>987</v>
      </c>
      <c r="Y78" s="9" t="s">
        <v>985</v>
      </c>
      <c r="Z78" s="9" t="s">
        <v>985</v>
      </c>
      <c r="AA78" s="9" t="s">
        <v>985</v>
      </c>
      <c r="AB78" s="9" t="s">
        <v>985</v>
      </c>
      <c r="AC78" s="9" t="s">
        <v>985</v>
      </c>
      <c r="AD78" s="9"/>
      <c r="AE78" s="9" t="str">
        <f t="shared" si="23"/>
        <v>N</v>
      </c>
      <c r="AF78" s="9" t="s">
        <v>986</v>
      </c>
      <c r="AG78" s="9"/>
      <c r="AH78" s="9">
        <v>2020000</v>
      </c>
      <c r="AI78" s="9">
        <v>4</v>
      </c>
      <c r="AJ78" s="57">
        <v>82</v>
      </c>
      <c r="AK78" s="10" t="s">
        <v>988</v>
      </c>
      <c r="AL78" s="10" t="s">
        <v>50</v>
      </c>
      <c r="AM78" s="6" t="str">
        <f t="shared" si="24"/>
        <v>14821/세트 상품 정보 관리/ item/ItemBunch</v>
      </c>
      <c r="AN78" s="30"/>
      <c r="AO78" s="30"/>
      <c r="AP78" s="30"/>
      <c r="AQ78" s="30"/>
      <c r="AR78" s="31"/>
      <c r="AS78" s="31"/>
      <c r="AT78" s="31"/>
      <c r="AU78" s="31"/>
      <c r="AV78" s="31"/>
      <c r="AW78" s="31"/>
      <c r="AX78" s="31"/>
      <c r="AY78" s="31"/>
    </row>
    <row r="79" spans="2:51" s="29" customFormat="1" ht="14.5">
      <c r="B79" s="5" t="str">
        <f t="shared" si="15"/>
        <v xml:space="preserve">    └ 다중 매장 상품코드 관리</v>
      </c>
      <c r="C79" s="33" t="s">
        <v>47</v>
      </c>
      <c r="D79" s="32"/>
      <c r="E79" s="9">
        <v>2021200</v>
      </c>
      <c r="F79" s="38" t="s">
        <v>1059</v>
      </c>
      <c r="G79" s="9"/>
      <c r="H79" s="9"/>
      <c r="I79" s="9"/>
      <c r="J79" s="9"/>
      <c r="K79" s="9"/>
      <c r="L79" s="9" t="str">
        <f t="shared" si="20"/>
        <v>1</v>
      </c>
      <c r="M79" s="9" t="str">
        <f t="shared" si="21"/>
        <v>1</v>
      </c>
      <c r="N79" s="38" t="s">
        <v>1039</v>
      </c>
      <c r="O79" s="38" t="s">
        <v>1060</v>
      </c>
      <c r="P79" s="9" t="str">
        <f t="shared" si="22"/>
        <v>1</v>
      </c>
      <c r="Q79" s="9" t="s">
        <v>986</v>
      </c>
      <c r="R79" s="9" t="s">
        <v>986</v>
      </c>
      <c r="S79" s="9" t="s">
        <v>986</v>
      </c>
      <c r="T79" s="9" t="s">
        <v>987</v>
      </c>
      <c r="U79" s="9" t="s">
        <v>985</v>
      </c>
      <c r="V79" s="9" t="s">
        <v>987</v>
      </c>
      <c r="W79" s="9" t="s">
        <v>987</v>
      </c>
      <c r="X79" s="9" t="s">
        <v>987</v>
      </c>
      <c r="Y79" s="9" t="s">
        <v>985</v>
      </c>
      <c r="Z79" s="9" t="s">
        <v>985</v>
      </c>
      <c r="AA79" s="9" t="s">
        <v>985</v>
      </c>
      <c r="AB79" s="9" t="s">
        <v>985</v>
      </c>
      <c r="AC79" s="9" t="s">
        <v>985</v>
      </c>
      <c r="AD79" s="9"/>
      <c r="AE79" s="9" t="str">
        <f t="shared" si="23"/>
        <v>N</v>
      </c>
      <c r="AF79" s="9" t="s">
        <v>986</v>
      </c>
      <c r="AG79" s="9"/>
      <c r="AH79" s="9">
        <v>2020000</v>
      </c>
      <c r="AI79" s="9">
        <v>4</v>
      </c>
      <c r="AJ79" s="57">
        <v>83</v>
      </c>
      <c r="AK79" s="10" t="s">
        <v>988</v>
      </c>
      <c r="AL79" s="10" t="s">
        <v>50</v>
      </c>
      <c r="AM79" s="6" t="str">
        <f t="shared" si="24"/>
        <v>14821/다중 매장 상품코드 관리/ item/ItemStoreGroup</v>
      </c>
      <c r="AN79" s="30"/>
      <c r="AO79" s="30"/>
      <c r="AP79" s="30"/>
      <c r="AQ79" s="30"/>
      <c r="AR79" s="31"/>
      <c r="AS79" s="31"/>
      <c r="AT79" s="31"/>
      <c r="AU79" s="31"/>
      <c r="AV79" s="31"/>
      <c r="AW79" s="31"/>
      <c r="AX79" s="31"/>
      <c r="AY79" s="31"/>
    </row>
    <row r="80" spans="2:51" s="29" customFormat="1" ht="14.5">
      <c r="B80" s="5" t="str">
        <f t="shared" si="15"/>
        <v xml:space="preserve">    └ 미사용 상품 리스트</v>
      </c>
      <c r="C80" s="33" t="s">
        <v>47</v>
      </c>
      <c r="D80" s="32"/>
      <c r="E80" s="9">
        <v>2021300</v>
      </c>
      <c r="F80" s="38" t="s">
        <v>1061</v>
      </c>
      <c r="G80" s="9"/>
      <c r="H80" s="9"/>
      <c r="I80" s="9"/>
      <c r="J80" s="9"/>
      <c r="K80" s="9"/>
      <c r="L80" s="9" t="str">
        <f t="shared" si="20"/>
        <v>1</v>
      </c>
      <c r="M80" s="9" t="str">
        <f t="shared" si="21"/>
        <v>1</v>
      </c>
      <c r="N80" s="38" t="s">
        <v>1039</v>
      </c>
      <c r="O80" s="38" t="s">
        <v>1062</v>
      </c>
      <c r="P80" s="9" t="str">
        <f t="shared" si="22"/>
        <v>1</v>
      </c>
      <c r="Q80" s="9" t="s">
        <v>986</v>
      </c>
      <c r="R80" s="9" t="s">
        <v>986</v>
      </c>
      <c r="S80" s="9" t="s">
        <v>987</v>
      </c>
      <c r="T80" s="9" t="s">
        <v>987</v>
      </c>
      <c r="U80" s="9" t="s">
        <v>985</v>
      </c>
      <c r="V80" s="9" t="s">
        <v>987</v>
      </c>
      <c r="W80" s="9" t="s">
        <v>987</v>
      </c>
      <c r="X80" s="9" t="s">
        <v>986</v>
      </c>
      <c r="Y80" s="9" t="s">
        <v>985</v>
      </c>
      <c r="Z80" s="9" t="s">
        <v>985</v>
      </c>
      <c r="AA80" s="9" t="s">
        <v>985</v>
      </c>
      <c r="AB80" s="9" t="s">
        <v>985</v>
      </c>
      <c r="AC80" s="9" t="s">
        <v>985</v>
      </c>
      <c r="AD80" s="9"/>
      <c r="AE80" s="9" t="str">
        <f t="shared" si="23"/>
        <v>N</v>
      </c>
      <c r="AF80" s="9" t="s">
        <v>986</v>
      </c>
      <c r="AG80" s="9"/>
      <c r="AH80" s="9">
        <v>2020000</v>
      </c>
      <c r="AI80" s="9">
        <v>4</v>
      </c>
      <c r="AJ80" s="57">
        <v>84</v>
      </c>
      <c r="AK80" s="10" t="s">
        <v>988</v>
      </c>
      <c r="AL80" s="10" t="s">
        <v>50</v>
      </c>
      <c r="AM80" s="6" t="str">
        <f t="shared" si="24"/>
        <v>14821/미사용 상품 리스트/ item/ItemNoActList</v>
      </c>
      <c r="AN80" s="30"/>
      <c r="AO80" s="30"/>
      <c r="AP80" s="30"/>
      <c r="AQ80" s="30"/>
      <c r="AR80" s="31"/>
      <c r="AS80" s="31"/>
      <c r="AT80" s="31"/>
      <c r="AU80" s="31"/>
      <c r="AV80" s="31"/>
      <c r="AW80" s="31"/>
      <c r="AX80" s="31"/>
      <c r="AY80" s="31"/>
    </row>
    <row r="81" spans="2:51" s="29" customFormat="1" ht="14.5">
      <c r="B81" s="5" t="str">
        <f t="shared" si="15"/>
        <v xml:space="preserve">    └ 상품코드 정리</v>
      </c>
      <c r="C81" s="33" t="s">
        <v>47</v>
      </c>
      <c r="D81" s="32"/>
      <c r="E81" s="9">
        <v>2021400</v>
      </c>
      <c r="F81" s="38" t="s">
        <v>1063</v>
      </c>
      <c r="G81" s="9"/>
      <c r="H81" s="9"/>
      <c r="I81" s="9"/>
      <c r="J81" s="9"/>
      <c r="K81" s="9"/>
      <c r="L81" s="9" t="str">
        <f t="shared" si="20"/>
        <v>1</v>
      </c>
      <c r="M81" s="9" t="str">
        <f t="shared" si="21"/>
        <v>1</v>
      </c>
      <c r="N81" s="38" t="s">
        <v>1039</v>
      </c>
      <c r="O81" s="38" t="s">
        <v>1064</v>
      </c>
      <c r="P81" s="9" t="str">
        <f t="shared" si="22"/>
        <v>1</v>
      </c>
      <c r="Q81" s="9" t="s">
        <v>986</v>
      </c>
      <c r="R81" s="9" t="s">
        <v>986</v>
      </c>
      <c r="S81" s="9" t="s">
        <v>986</v>
      </c>
      <c r="T81" s="9" t="s">
        <v>987</v>
      </c>
      <c r="U81" s="9" t="s">
        <v>985</v>
      </c>
      <c r="V81" s="9" t="s">
        <v>987</v>
      </c>
      <c r="W81" s="9" t="s">
        <v>987</v>
      </c>
      <c r="X81" s="9" t="s">
        <v>987</v>
      </c>
      <c r="Y81" s="9" t="s">
        <v>985</v>
      </c>
      <c r="Z81" s="9" t="s">
        <v>985</v>
      </c>
      <c r="AA81" s="9" t="s">
        <v>985</v>
      </c>
      <c r="AB81" s="9" t="s">
        <v>985</v>
      </c>
      <c r="AC81" s="9" t="s">
        <v>985</v>
      </c>
      <c r="AD81" s="9"/>
      <c r="AE81" s="9" t="str">
        <f t="shared" si="23"/>
        <v>N</v>
      </c>
      <c r="AF81" s="9" t="s">
        <v>986</v>
      </c>
      <c r="AG81" s="9"/>
      <c r="AH81" s="9">
        <v>2020000</v>
      </c>
      <c r="AI81" s="9">
        <v>4</v>
      </c>
      <c r="AJ81" s="57">
        <v>85</v>
      </c>
      <c r="AK81" s="10" t="s">
        <v>988</v>
      </c>
      <c r="AL81" s="10" t="s">
        <v>50</v>
      </c>
      <c r="AM81" s="6" t="str">
        <f t="shared" si="24"/>
        <v>14821/상품코드 정리/ item/ItemClean</v>
      </c>
      <c r="AN81" s="30"/>
      <c r="AO81" s="30"/>
      <c r="AP81" s="30"/>
      <c r="AQ81" s="30"/>
      <c r="AR81" s="31"/>
      <c r="AS81" s="31"/>
      <c r="AT81" s="31"/>
      <c r="AU81" s="31"/>
      <c r="AV81" s="31"/>
      <c r="AW81" s="31"/>
      <c r="AX81" s="31"/>
      <c r="AY81" s="31"/>
    </row>
    <row r="82" spans="2:51" s="29" customFormat="1" ht="14.5">
      <c r="B82" s="5" t="str">
        <f t="shared" si="15"/>
        <v xml:space="preserve">  └ 고객정보 관리</v>
      </c>
      <c r="C82" s="33" t="s">
        <v>47</v>
      </c>
      <c r="D82" s="19"/>
      <c r="E82" s="19">
        <v>2030000</v>
      </c>
      <c r="F82" s="42" t="s">
        <v>990</v>
      </c>
      <c r="G82" s="19"/>
      <c r="H82" s="19"/>
      <c r="I82" s="19"/>
      <c r="J82" s="19"/>
      <c r="K82" s="19"/>
      <c r="L82" s="19" t="str">
        <f t="shared" si="20"/>
        <v>1</v>
      </c>
      <c r="M82" s="19" t="str">
        <f t="shared" si="21"/>
        <v>0</v>
      </c>
      <c r="N82" s="19" t="s">
        <v>48</v>
      </c>
      <c r="O82" s="19"/>
      <c r="P82" s="19" t="str">
        <f t="shared" si="22"/>
        <v>1</v>
      </c>
      <c r="Q82" s="19" t="s">
        <v>399</v>
      </c>
      <c r="R82" s="19" t="s">
        <v>399</v>
      </c>
      <c r="S82" s="19" t="s">
        <v>399</v>
      </c>
      <c r="T82" s="19" t="s">
        <v>400</v>
      </c>
      <c r="U82" s="19" t="s">
        <v>48</v>
      </c>
      <c r="V82" s="19" t="s">
        <v>400</v>
      </c>
      <c r="W82" s="19" t="s">
        <v>400</v>
      </c>
      <c r="X82" s="19" t="s">
        <v>400</v>
      </c>
      <c r="Y82" s="19" t="s">
        <v>48</v>
      </c>
      <c r="Z82" s="19" t="s">
        <v>48</v>
      </c>
      <c r="AA82" s="19" t="s">
        <v>48</v>
      </c>
      <c r="AB82" s="19" t="s">
        <v>48</v>
      </c>
      <c r="AC82" s="19" t="s">
        <v>48</v>
      </c>
      <c r="AD82" s="19"/>
      <c r="AE82" s="19" t="str">
        <f t="shared" si="23"/>
        <v>N</v>
      </c>
      <c r="AF82" s="19" t="s">
        <v>399</v>
      </c>
      <c r="AG82" s="19"/>
      <c r="AH82" s="19">
        <v>2000000</v>
      </c>
      <c r="AI82" s="19">
        <v>3</v>
      </c>
      <c r="AJ82" s="57">
        <v>86</v>
      </c>
      <c r="AK82" s="10" t="s">
        <v>401</v>
      </c>
      <c r="AL82" s="10" t="s">
        <v>50</v>
      </c>
      <c r="AM82" s="6" t="str">
        <f t="shared" si="24"/>
        <v>14821/고객정보 관리/ /</v>
      </c>
      <c r="AN82" s="30"/>
      <c r="AO82" s="30"/>
      <c r="AP82" s="30"/>
      <c r="AQ82" s="30"/>
      <c r="AR82" s="31"/>
      <c r="AS82" s="31"/>
      <c r="AT82" s="31"/>
      <c r="AU82" s="31"/>
      <c r="AV82" s="31"/>
      <c r="AW82" s="31"/>
      <c r="AX82" s="31"/>
      <c r="AY82" s="31"/>
    </row>
    <row r="83" spans="2:51" s="29" customFormat="1" ht="14.5">
      <c r="B83" s="5" t="str">
        <f t="shared" si="15"/>
        <v xml:space="preserve">    └ 고객 기초</v>
      </c>
      <c r="C83" s="33" t="s">
        <v>47</v>
      </c>
      <c r="D83" s="32"/>
      <c r="E83" s="9">
        <v>2030100</v>
      </c>
      <c r="F83" s="38" t="s">
        <v>1065</v>
      </c>
      <c r="G83" s="9"/>
      <c r="H83" s="9"/>
      <c r="I83" s="9"/>
      <c r="J83" s="9"/>
      <c r="K83" s="9"/>
      <c r="L83" s="9" t="str">
        <f t="shared" si="20"/>
        <v>1</v>
      </c>
      <c r="M83" s="9" t="str">
        <f t="shared" si="21"/>
        <v>0</v>
      </c>
      <c r="N83" s="38" t="s">
        <v>985</v>
      </c>
      <c r="O83" s="38"/>
      <c r="P83" s="9" t="str">
        <f t="shared" si="22"/>
        <v>1</v>
      </c>
      <c r="Q83" s="9" t="s">
        <v>986</v>
      </c>
      <c r="R83" s="9" t="s">
        <v>986</v>
      </c>
      <c r="S83" s="9" t="s">
        <v>986</v>
      </c>
      <c r="T83" s="9" t="s">
        <v>987</v>
      </c>
      <c r="U83" s="9" t="s">
        <v>985</v>
      </c>
      <c r="V83" s="9" t="s">
        <v>987</v>
      </c>
      <c r="W83" s="9" t="s">
        <v>987</v>
      </c>
      <c r="X83" s="9" t="s">
        <v>987</v>
      </c>
      <c r="Y83" s="9" t="s">
        <v>985</v>
      </c>
      <c r="Z83" s="9" t="s">
        <v>985</v>
      </c>
      <c r="AA83" s="9" t="s">
        <v>985</v>
      </c>
      <c r="AB83" s="9" t="s">
        <v>985</v>
      </c>
      <c r="AC83" s="9" t="s">
        <v>985</v>
      </c>
      <c r="AD83" s="9"/>
      <c r="AE83" s="9" t="str">
        <f t="shared" si="23"/>
        <v>N</v>
      </c>
      <c r="AF83" s="9" t="s">
        <v>986</v>
      </c>
      <c r="AG83" s="9"/>
      <c r="AH83" s="9">
        <v>2030000</v>
      </c>
      <c r="AI83" s="9">
        <v>4</v>
      </c>
      <c r="AJ83" s="57">
        <v>87</v>
      </c>
      <c r="AK83" s="10" t="s">
        <v>988</v>
      </c>
      <c r="AL83" s="10" t="s">
        <v>50</v>
      </c>
      <c r="AM83" s="6" t="str">
        <f t="shared" si="24"/>
        <v>14821/고객 기초/ /</v>
      </c>
      <c r="AN83" s="30"/>
      <c r="AO83" s="30"/>
      <c r="AP83" s="30"/>
      <c r="AQ83" s="30"/>
      <c r="AR83" s="31"/>
      <c r="AS83" s="31"/>
      <c r="AT83" s="31"/>
      <c r="AU83" s="31"/>
      <c r="AV83" s="31"/>
      <c r="AW83" s="31"/>
      <c r="AX83" s="31"/>
      <c r="AY83" s="31"/>
    </row>
    <row r="84" spans="2:51" s="29" customFormat="1" ht="14.5">
      <c r="B84" s="5" t="str">
        <f t="shared" si="15"/>
        <v xml:space="preserve">        └ 고객 기초 코드 관리</v>
      </c>
      <c r="C84" s="33" t="s">
        <v>47</v>
      </c>
      <c r="D84" s="32"/>
      <c r="E84" s="33" t="s">
        <v>1070</v>
      </c>
      <c r="F84" s="44" t="s">
        <v>726</v>
      </c>
      <c r="G84" s="32"/>
      <c r="H84" s="32"/>
      <c r="I84" s="32"/>
      <c r="J84" s="34"/>
      <c r="K84" s="34"/>
      <c r="L84" s="27" t="str">
        <f t="shared" si="20"/>
        <v>1</v>
      </c>
      <c r="M84" s="27" t="str">
        <f t="shared" si="21"/>
        <v>1</v>
      </c>
      <c r="N84" s="32" t="s">
        <v>408</v>
      </c>
      <c r="O84" s="32" t="s">
        <v>456</v>
      </c>
      <c r="P84" s="27" t="str">
        <f t="shared" si="22"/>
        <v>1</v>
      </c>
      <c r="Q84" s="32" t="s">
        <v>400</v>
      </c>
      <c r="R84" s="32" t="s">
        <v>399</v>
      </c>
      <c r="S84" s="32" t="s">
        <v>399</v>
      </c>
      <c r="T84" s="32" t="s">
        <v>400</v>
      </c>
      <c r="U84" s="32" t="s">
        <v>48</v>
      </c>
      <c r="V84" s="32" t="s">
        <v>400</v>
      </c>
      <c r="W84" s="32" t="s">
        <v>400</v>
      </c>
      <c r="X84" s="32" t="s">
        <v>400</v>
      </c>
      <c r="Y84" s="32" t="s">
        <v>48</v>
      </c>
      <c r="Z84" s="32" t="s">
        <v>48</v>
      </c>
      <c r="AA84" s="32" t="s">
        <v>48</v>
      </c>
      <c r="AB84" s="32" t="s">
        <v>48</v>
      </c>
      <c r="AC84" s="32" t="s">
        <v>48</v>
      </c>
      <c r="AD84" s="32"/>
      <c r="AE84" s="27" t="str">
        <f t="shared" si="23"/>
        <v>N</v>
      </c>
      <c r="AF84" s="32" t="s">
        <v>399</v>
      </c>
      <c r="AG84" s="32"/>
      <c r="AH84" s="33" t="s">
        <v>1011</v>
      </c>
      <c r="AI84" s="35">
        <v>5</v>
      </c>
      <c r="AJ84" s="57">
        <v>88</v>
      </c>
      <c r="AK84" s="33" t="s">
        <v>401</v>
      </c>
      <c r="AL84" s="10" t="s">
        <v>50</v>
      </c>
      <c r="AM84" s="6" t="str">
        <f t="shared" si="24"/>
        <v>14821/고객 기초 코드 관리/ cust/CustBaseInfo</v>
      </c>
      <c r="AN84" s="30"/>
      <c r="AO84" s="30"/>
      <c r="AP84" s="30"/>
      <c r="AQ84" s="30"/>
      <c r="AR84" s="31"/>
      <c r="AS84" s="31"/>
      <c r="AT84" s="31"/>
      <c r="AU84" s="31"/>
      <c r="AV84" s="31"/>
      <c r="AW84" s="31"/>
      <c r="AX84" s="31"/>
      <c r="AY84" s="31"/>
    </row>
    <row r="85" spans="2:51" s="29" customFormat="1" ht="14.5">
      <c r="B85" s="5" t="str">
        <f t="shared" si="15"/>
        <v xml:space="preserve">        └ 고객 분류1 코드 관리</v>
      </c>
      <c r="C85" s="33" t="s">
        <v>47</v>
      </c>
      <c r="D85" s="32"/>
      <c r="E85" s="33" t="s">
        <v>1071</v>
      </c>
      <c r="F85" s="44" t="s">
        <v>727</v>
      </c>
      <c r="G85" s="32"/>
      <c r="H85" s="32"/>
      <c r="I85" s="32"/>
      <c r="J85" s="34"/>
      <c r="K85" s="34"/>
      <c r="L85" s="27" t="str">
        <f t="shared" si="20"/>
        <v>1</v>
      </c>
      <c r="M85" s="27" t="str">
        <f t="shared" si="21"/>
        <v>1</v>
      </c>
      <c r="N85" s="32" t="s">
        <v>408</v>
      </c>
      <c r="O85" s="32" t="s">
        <v>457</v>
      </c>
      <c r="P85" s="27" t="str">
        <f t="shared" si="22"/>
        <v>1</v>
      </c>
      <c r="Q85" s="32" t="s">
        <v>399</v>
      </c>
      <c r="R85" s="32" t="s">
        <v>399</v>
      </c>
      <c r="S85" s="32" t="s">
        <v>399</v>
      </c>
      <c r="T85" s="32" t="s">
        <v>400</v>
      </c>
      <c r="U85" s="32" t="s">
        <v>48</v>
      </c>
      <c r="V85" s="32" t="s">
        <v>400</v>
      </c>
      <c r="W85" s="32" t="s">
        <v>400</v>
      </c>
      <c r="X85" s="32" t="s">
        <v>400</v>
      </c>
      <c r="Y85" s="32" t="s">
        <v>48</v>
      </c>
      <c r="Z85" s="32" t="s">
        <v>48</v>
      </c>
      <c r="AA85" s="32" t="s">
        <v>48</v>
      </c>
      <c r="AB85" s="32" t="s">
        <v>48</v>
      </c>
      <c r="AC85" s="32" t="s">
        <v>48</v>
      </c>
      <c r="AD85" s="32"/>
      <c r="AE85" s="27" t="str">
        <f t="shared" si="23"/>
        <v>N</v>
      </c>
      <c r="AF85" s="32" t="s">
        <v>399</v>
      </c>
      <c r="AG85" s="32"/>
      <c r="AH85" s="33" t="s">
        <v>1011</v>
      </c>
      <c r="AI85" s="35">
        <v>5</v>
      </c>
      <c r="AJ85" s="57">
        <v>89</v>
      </c>
      <c r="AK85" s="33" t="s">
        <v>401</v>
      </c>
      <c r="AL85" s="10" t="s">
        <v>50</v>
      </c>
      <c r="AM85" s="6" t="str">
        <f t="shared" si="24"/>
        <v>14821/고객 분류1 코드 관리/ cust/CustClass1</v>
      </c>
      <c r="AN85" s="30"/>
      <c r="AO85" s="30"/>
      <c r="AP85" s="30"/>
      <c r="AQ85" s="30"/>
      <c r="AR85" s="31"/>
      <c r="AS85" s="31"/>
      <c r="AT85" s="31"/>
      <c r="AU85" s="31"/>
      <c r="AV85" s="31"/>
      <c r="AW85" s="31"/>
      <c r="AX85" s="31"/>
      <c r="AY85" s="31"/>
    </row>
    <row r="86" spans="2:51" s="29" customFormat="1" ht="14.5">
      <c r="B86" s="5" t="str">
        <f t="shared" si="15"/>
        <v xml:space="preserve">        └ 고객 분류2 코드 관리</v>
      </c>
      <c r="C86" s="33" t="s">
        <v>47</v>
      </c>
      <c r="D86" s="32"/>
      <c r="E86" s="33" t="s">
        <v>1072</v>
      </c>
      <c r="F86" s="44" t="s">
        <v>728</v>
      </c>
      <c r="G86" s="32"/>
      <c r="H86" s="32"/>
      <c r="I86" s="32"/>
      <c r="J86" s="34"/>
      <c r="K86" s="34"/>
      <c r="L86" s="27" t="str">
        <f t="shared" si="20"/>
        <v>1</v>
      </c>
      <c r="M86" s="27" t="str">
        <f t="shared" si="21"/>
        <v>1</v>
      </c>
      <c r="N86" s="32" t="s">
        <v>408</v>
      </c>
      <c r="O86" s="32" t="s">
        <v>458</v>
      </c>
      <c r="P86" s="27" t="str">
        <f t="shared" si="22"/>
        <v>1</v>
      </c>
      <c r="Q86" s="32" t="s">
        <v>399</v>
      </c>
      <c r="R86" s="32" t="s">
        <v>399</v>
      </c>
      <c r="S86" s="32" t="s">
        <v>399</v>
      </c>
      <c r="T86" s="32" t="s">
        <v>400</v>
      </c>
      <c r="U86" s="32" t="s">
        <v>48</v>
      </c>
      <c r="V86" s="32" t="s">
        <v>400</v>
      </c>
      <c r="W86" s="32" t="s">
        <v>400</v>
      </c>
      <c r="X86" s="32" t="s">
        <v>400</v>
      </c>
      <c r="Y86" s="32" t="s">
        <v>48</v>
      </c>
      <c r="Z86" s="32" t="s">
        <v>48</v>
      </c>
      <c r="AA86" s="32" t="s">
        <v>48</v>
      </c>
      <c r="AB86" s="32" t="s">
        <v>48</v>
      </c>
      <c r="AC86" s="32" t="s">
        <v>48</v>
      </c>
      <c r="AD86" s="32"/>
      <c r="AE86" s="27" t="str">
        <f t="shared" si="23"/>
        <v>N</v>
      </c>
      <c r="AF86" s="32" t="s">
        <v>399</v>
      </c>
      <c r="AG86" s="32"/>
      <c r="AH86" s="33" t="s">
        <v>1011</v>
      </c>
      <c r="AI86" s="35">
        <v>5</v>
      </c>
      <c r="AJ86" s="57">
        <v>90</v>
      </c>
      <c r="AK86" s="33" t="s">
        <v>401</v>
      </c>
      <c r="AL86" s="10" t="s">
        <v>50</v>
      </c>
      <c r="AM86" s="6" t="str">
        <f t="shared" si="24"/>
        <v>14821/고객 분류2 코드 관리/ cust/CustClass2</v>
      </c>
      <c r="AN86" s="30"/>
      <c r="AO86" s="30"/>
      <c r="AP86" s="30"/>
      <c r="AQ86" s="30"/>
      <c r="AR86" s="31"/>
      <c r="AS86" s="31"/>
      <c r="AT86" s="31"/>
      <c r="AU86" s="31"/>
      <c r="AV86" s="31"/>
      <c r="AW86" s="31"/>
      <c r="AX86" s="31"/>
      <c r="AY86" s="31"/>
    </row>
    <row r="87" spans="2:51" s="29" customFormat="1" ht="14.5">
      <c r="B87" s="5" t="str">
        <f t="shared" si="15"/>
        <v xml:space="preserve">        └ 고객 분류3 코드 관리</v>
      </c>
      <c r="C87" s="33" t="s">
        <v>47</v>
      </c>
      <c r="D87" s="32"/>
      <c r="E87" s="33" t="s">
        <v>1073</v>
      </c>
      <c r="F87" s="44" t="s">
        <v>729</v>
      </c>
      <c r="G87" s="32"/>
      <c r="H87" s="32"/>
      <c r="I87" s="32"/>
      <c r="J87" s="34"/>
      <c r="K87" s="34"/>
      <c r="L87" s="27" t="str">
        <f t="shared" si="20"/>
        <v>1</v>
      </c>
      <c r="M87" s="27" t="str">
        <f t="shared" si="21"/>
        <v>1</v>
      </c>
      <c r="N87" s="32" t="s">
        <v>408</v>
      </c>
      <c r="O87" s="32" t="s">
        <v>459</v>
      </c>
      <c r="P87" s="27" t="str">
        <f t="shared" si="22"/>
        <v>1</v>
      </c>
      <c r="Q87" s="32" t="s">
        <v>399</v>
      </c>
      <c r="R87" s="32" t="s">
        <v>399</v>
      </c>
      <c r="S87" s="32" t="s">
        <v>399</v>
      </c>
      <c r="T87" s="32" t="s">
        <v>400</v>
      </c>
      <c r="U87" s="32" t="s">
        <v>48</v>
      </c>
      <c r="V87" s="32" t="s">
        <v>400</v>
      </c>
      <c r="W87" s="32" t="s">
        <v>400</v>
      </c>
      <c r="X87" s="32" t="s">
        <v>400</v>
      </c>
      <c r="Y87" s="32" t="s">
        <v>48</v>
      </c>
      <c r="Z87" s="32" t="s">
        <v>48</v>
      </c>
      <c r="AA87" s="32" t="s">
        <v>48</v>
      </c>
      <c r="AB87" s="32" t="s">
        <v>48</v>
      </c>
      <c r="AC87" s="32" t="s">
        <v>48</v>
      </c>
      <c r="AD87" s="32"/>
      <c r="AE87" s="27" t="str">
        <f t="shared" si="23"/>
        <v>N</v>
      </c>
      <c r="AF87" s="32" t="s">
        <v>399</v>
      </c>
      <c r="AG87" s="32"/>
      <c r="AH87" s="33" t="s">
        <v>1011</v>
      </c>
      <c r="AI87" s="35">
        <v>5</v>
      </c>
      <c r="AJ87" s="57">
        <v>91</v>
      </c>
      <c r="AK87" s="33" t="s">
        <v>401</v>
      </c>
      <c r="AL87" s="10" t="s">
        <v>50</v>
      </c>
      <c r="AM87" s="6" t="str">
        <f t="shared" si="24"/>
        <v>14821/고객 분류3 코드 관리/ cust/CustClass3</v>
      </c>
      <c r="AN87" s="30"/>
      <c r="AO87" s="30"/>
      <c r="AP87" s="30"/>
      <c r="AQ87" s="30"/>
      <c r="AR87" s="31"/>
      <c r="AS87" s="31"/>
      <c r="AT87" s="31"/>
      <c r="AU87" s="31"/>
      <c r="AV87" s="31"/>
      <c r="AW87" s="31"/>
      <c r="AX87" s="31"/>
      <c r="AY87" s="31"/>
    </row>
    <row r="88" spans="2:51" s="29" customFormat="1" ht="14.5">
      <c r="B88" s="5" t="str">
        <f t="shared" si="15"/>
        <v xml:space="preserve">        └ 수금 기일 코드 관리</v>
      </c>
      <c r="C88" s="33" t="s">
        <v>47</v>
      </c>
      <c r="D88" s="32"/>
      <c r="E88" s="33" t="s">
        <v>1074</v>
      </c>
      <c r="F88" s="44" t="s">
        <v>730</v>
      </c>
      <c r="G88" s="32"/>
      <c r="H88" s="32"/>
      <c r="I88" s="32"/>
      <c r="J88" s="34"/>
      <c r="K88" s="34"/>
      <c r="L88" s="27" t="str">
        <f t="shared" si="20"/>
        <v>1</v>
      </c>
      <c r="M88" s="27" t="str">
        <f t="shared" si="21"/>
        <v>1</v>
      </c>
      <c r="N88" s="32" t="s">
        <v>408</v>
      </c>
      <c r="O88" s="32" t="s">
        <v>460</v>
      </c>
      <c r="P88" s="27" t="str">
        <f t="shared" si="22"/>
        <v>1</v>
      </c>
      <c r="Q88" s="32" t="s">
        <v>399</v>
      </c>
      <c r="R88" s="32" t="s">
        <v>399</v>
      </c>
      <c r="S88" s="32" t="s">
        <v>399</v>
      </c>
      <c r="T88" s="32" t="s">
        <v>400</v>
      </c>
      <c r="U88" s="32" t="s">
        <v>48</v>
      </c>
      <c r="V88" s="32" t="s">
        <v>400</v>
      </c>
      <c r="W88" s="32" t="s">
        <v>400</v>
      </c>
      <c r="X88" s="32" t="s">
        <v>400</v>
      </c>
      <c r="Y88" s="32" t="s">
        <v>48</v>
      </c>
      <c r="Z88" s="32" t="s">
        <v>48</v>
      </c>
      <c r="AA88" s="32" t="s">
        <v>48</v>
      </c>
      <c r="AB88" s="32" t="s">
        <v>48</v>
      </c>
      <c r="AC88" s="32" t="s">
        <v>48</v>
      </c>
      <c r="AD88" s="32"/>
      <c r="AE88" s="27" t="str">
        <f t="shared" si="23"/>
        <v>N</v>
      </c>
      <c r="AF88" s="32" t="s">
        <v>399</v>
      </c>
      <c r="AG88" s="32"/>
      <c r="AH88" s="33" t="s">
        <v>1011</v>
      </c>
      <c r="AI88" s="35">
        <v>5</v>
      </c>
      <c r="AJ88" s="57">
        <v>92</v>
      </c>
      <c r="AK88" s="33" t="s">
        <v>401</v>
      </c>
      <c r="AL88" s="10" t="s">
        <v>50</v>
      </c>
      <c r="AM88" s="6" t="str">
        <f t="shared" si="24"/>
        <v>14821/수금 기일 코드 관리/ cust/CustClass4</v>
      </c>
      <c r="AN88" s="30"/>
      <c r="AO88" s="30"/>
      <c r="AP88" s="30"/>
      <c r="AQ88" s="30"/>
      <c r="AR88" s="31"/>
      <c r="AS88" s="31"/>
      <c r="AT88" s="31"/>
      <c r="AU88" s="31"/>
      <c r="AV88" s="31"/>
      <c r="AW88" s="31"/>
      <c r="AX88" s="31"/>
      <c r="AY88" s="31"/>
    </row>
    <row r="89" spans="2:51" s="29" customFormat="1" ht="14.5">
      <c r="B89" s="5" t="str">
        <f t="shared" si="15"/>
        <v xml:space="preserve">        └ 배달 경로 코드 관리</v>
      </c>
      <c r="C89" s="33" t="s">
        <v>47</v>
      </c>
      <c r="D89" s="32"/>
      <c r="E89" s="33" t="s">
        <v>1075</v>
      </c>
      <c r="F89" s="44" t="s">
        <v>731</v>
      </c>
      <c r="G89" s="32"/>
      <c r="H89" s="32"/>
      <c r="I89" s="32"/>
      <c r="J89" s="34"/>
      <c r="K89" s="34"/>
      <c r="L89" s="27" t="str">
        <f t="shared" si="20"/>
        <v>1</v>
      </c>
      <c r="M89" s="27" t="str">
        <f t="shared" si="21"/>
        <v>1</v>
      </c>
      <c r="N89" s="32" t="s">
        <v>408</v>
      </c>
      <c r="O89" s="32" t="s">
        <v>461</v>
      </c>
      <c r="P89" s="27" t="str">
        <f t="shared" si="22"/>
        <v>1</v>
      </c>
      <c r="Q89" s="32" t="s">
        <v>399</v>
      </c>
      <c r="R89" s="32" t="s">
        <v>399</v>
      </c>
      <c r="S89" s="32" t="s">
        <v>399</v>
      </c>
      <c r="T89" s="32" t="s">
        <v>400</v>
      </c>
      <c r="U89" s="32" t="s">
        <v>48</v>
      </c>
      <c r="V89" s="32" t="s">
        <v>400</v>
      </c>
      <c r="W89" s="32" t="s">
        <v>400</v>
      </c>
      <c r="X89" s="32" t="s">
        <v>400</v>
      </c>
      <c r="Y89" s="32" t="s">
        <v>48</v>
      </c>
      <c r="Z89" s="32" t="s">
        <v>48</v>
      </c>
      <c r="AA89" s="32" t="s">
        <v>48</v>
      </c>
      <c r="AB89" s="32" t="s">
        <v>48</v>
      </c>
      <c r="AC89" s="32" t="s">
        <v>48</v>
      </c>
      <c r="AD89" s="32"/>
      <c r="AE89" s="27" t="str">
        <f t="shared" si="23"/>
        <v>N</v>
      </c>
      <c r="AF89" s="32" t="s">
        <v>399</v>
      </c>
      <c r="AG89" s="32"/>
      <c r="AH89" s="33" t="s">
        <v>1011</v>
      </c>
      <c r="AI89" s="35">
        <v>5</v>
      </c>
      <c r="AJ89" s="57">
        <v>93</v>
      </c>
      <c r="AK89" s="33" t="s">
        <v>401</v>
      </c>
      <c r="AL89" s="10" t="s">
        <v>50</v>
      </c>
      <c r="AM89" s="6" t="str">
        <f t="shared" si="24"/>
        <v>14821/배달 경로 코드 관리/ cust/CustClass6</v>
      </c>
      <c r="AN89" s="30"/>
      <c r="AO89" s="30"/>
      <c r="AP89" s="30"/>
      <c r="AQ89" s="30"/>
      <c r="AR89" s="31"/>
      <c r="AS89" s="31"/>
      <c r="AT89" s="31"/>
      <c r="AU89" s="31"/>
      <c r="AV89" s="31"/>
      <c r="AW89" s="31"/>
      <c r="AX89" s="31"/>
      <c r="AY89" s="31"/>
    </row>
    <row r="90" spans="2:51" s="29" customFormat="1" ht="14.5">
      <c r="B90" s="5" t="str">
        <f t="shared" si="15"/>
        <v xml:space="preserve">        └ 수금 방법 코드 관리</v>
      </c>
      <c r="C90" s="33" t="s">
        <v>47</v>
      </c>
      <c r="D90" s="32"/>
      <c r="E90" s="33" t="s">
        <v>1076</v>
      </c>
      <c r="F90" s="44" t="s">
        <v>732</v>
      </c>
      <c r="G90" s="32"/>
      <c r="H90" s="32"/>
      <c r="I90" s="32"/>
      <c r="J90" s="34"/>
      <c r="K90" s="34"/>
      <c r="L90" s="27" t="str">
        <f t="shared" si="20"/>
        <v>1</v>
      </c>
      <c r="M90" s="27" t="str">
        <f t="shared" si="21"/>
        <v>1</v>
      </c>
      <c r="N90" s="32" t="s">
        <v>408</v>
      </c>
      <c r="O90" s="32" t="s">
        <v>462</v>
      </c>
      <c r="P90" s="27" t="str">
        <f t="shared" si="22"/>
        <v>1</v>
      </c>
      <c r="Q90" s="32" t="s">
        <v>399</v>
      </c>
      <c r="R90" s="32" t="s">
        <v>399</v>
      </c>
      <c r="S90" s="32" t="s">
        <v>399</v>
      </c>
      <c r="T90" s="32" t="s">
        <v>400</v>
      </c>
      <c r="U90" s="32" t="s">
        <v>48</v>
      </c>
      <c r="V90" s="32" t="s">
        <v>400</v>
      </c>
      <c r="W90" s="32" t="s">
        <v>400</v>
      </c>
      <c r="X90" s="32" t="s">
        <v>400</v>
      </c>
      <c r="Y90" s="32" t="s">
        <v>48</v>
      </c>
      <c r="Z90" s="32" t="s">
        <v>48</v>
      </c>
      <c r="AA90" s="32" t="s">
        <v>48</v>
      </c>
      <c r="AB90" s="32" t="s">
        <v>48</v>
      </c>
      <c r="AC90" s="32" t="s">
        <v>48</v>
      </c>
      <c r="AD90" s="32"/>
      <c r="AE90" s="27" t="str">
        <f t="shared" si="23"/>
        <v>N</v>
      </c>
      <c r="AF90" s="32" t="s">
        <v>399</v>
      </c>
      <c r="AG90" s="32"/>
      <c r="AH90" s="33" t="s">
        <v>1011</v>
      </c>
      <c r="AI90" s="35">
        <v>5</v>
      </c>
      <c r="AJ90" s="57">
        <v>94</v>
      </c>
      <c r="AK90" s="33" t="s">
        <v>401</v>
      </c>
      <c r="AL90" s="10" t="s">
        <v>50</v>
      </c>
      <c r="AM90" s="6" t="str">
        <f t="shared" si="24"/>
        <v>14821/수금 방법 코드 관리/ cust/CustClass5</v>
      </c>
      <c r="AN90" s="30"/>
      <c r="AO90" s="30"/>
      <c r="AP90" s="30"/>
      <c r="AQ90" s="30"/>
      <c r="AR90" s="31"/>
      <c r="AS90" s="31"/>
      <c r="AT90" s="31"/>
      <c r="AU90" s="31"/>
      <c r="AV90" s="31"/>
      <c r="AW90" s="31"/>
      <c r="AX90" s="31"/>
      <c r="AY90" s="31"/>
    </row>
    <row r="91" spans="2:51" s="29" customFormat="1" ht="14.5">
      <c r="B91" s="5" t="str">
        <f t="shared" si="15"/>
        <v xml:space="preserve">    └ 고객정보</v>
      </c>
      <c r="C91" s="33" t="s">
        <v>47</v>
      </c>
      <c r="D91" s="32"/>
      <c r="E91" s="9">
        <v>2030200</v>
      </c>
      <c r="F91" s="38" t="s">
        <v>1066</v>
      </c>
      <c r="G91" s="9"/>
      <c r="H91" s="9"/>
      <c r="I91" s="9"/>
      <c r="J91" s="9"/>
      <c r="K91" s="9"/>
      <c r="L91" s="9" t="str">
        <f t="shared" si="20"/>
        <v>1</v>
      </c>
      <c r="M91" s="9" t="str">
        <f t="shared" si="21"/>
        <v>0</v>
      </c>
      <c r="N91" s="38" t="s">
        <v>985</v>
      </c>
      <c r="O91" s="38"/>
      <c r="P91" s="9" t="str">
        <f t="shared" si="22"/>
        <v>1</v>
      </c>
      <c r="Q91" s="9" t="s">
        <v>986</v>
      </c>
      <c r="R91" s="9" t="s">
        <v>986</v>
      </c>
      <c r="S91" s="9" t="s">
        <v>986</v>
      </c>
      <c r="T91" s="9" t="s">
        <v>987</v>
      </c>
      <c r="U91" s="9" t="s">
        <v>985</v>
      </c>
      <c r="V91" s="9" t="s">
        <v>987</v>
      </c>
      <c r="W91" s="9" t="s">
        <v>987</v>
      </c>
      <c r="X91" s="9" t="s">
        <v>987</v>
      </c>
      <c r="Y91" s="9" t="s">
        <v>985</v>
      </c>
      <c r="Z91" s="9" t="s">
        <v>985</v>
      </c>
      <c r="AA91" s="9" t="s">
        <v>985</v>
      </c>
      <c r="AB91" s="9" t="s">
        <v>985</v>
      </c>
      <c r="AC91" s="9" t="s">
        <v>985</v>
      </c>
      <c r="AD91" s="9"/>
      <c r="AE91" s="9" t="str">
        <f t="shared" si="23"/>
        <v>N</v>
      </c>
      <c r="AF91" s="9" t="s">
        <v>986</v>
      </c>
      <c r="AG91" s="9"/>
      <c r="AH91" s="9">
        <v>2030000</v>
      </c>
      <c r="AI91" s="9">
        <v>4</v>
      </c>
      <c r="AJ91" s="57">
        <v>95</v>
      </c>
      <c r="AK91" s="10" t="s">
        <v>988</v>
      </c>
      <c r="AL91" s="10" t="s">
        <v>50</v>
      </c>
      <c r="AM91" s="6" t="str">
        <f t="shared" si="24"/>
        <v>14821/고객정보/ /</v>
      </c>
      <c r="AN91" s="30"/>
      <c r="AO91" s="30"/>
      <c r="AP91" s="30"/>
      <c r="AQ91" s="30"/>
      <c r="AR91" s="31"/>
      <c r="AS91" s="31"/>
      <c r="AT91" s="31"/>
      <c r="AU91" s="31"/>
      <c r="AV91" s="31"/>
      <c r="AW91" s="31"/>
      <c r="AX91" s="31"/>
      <c r="AY91" s="31"/>
    </row>
    <row r="92" spans="2:51" s="29" customFormat="1" ht="14.5">
      <c r="B92" s="5" t="str">
        <f t="shared" si="15"/>
        <v xml:space="preserve">        └ 직영점 고객 정보 관리</v>
      </c>
      <c r="C92" s="33" t="s">
        <v>47</v>
      </c>
      <c r="D92" s="32"/>
      <c r="E92" s="33" t="s">
        <v>1077</v>
      </c>
      <c r="F92" s="44" t="s">
        <v>749</v>
      </c>
      <c r="G92" s="32"/>
      <c r="H92" s="32"/>
      <c r="I92" s="32"/>
      <c r="J92" s="34"/>
      <c r="K92" s="34"/>
      <c r="L92" s="27" t="str">
        <f t="shared" si="20"/>
        <v>1</v>
      </c>
      <c r="M92" s="27" t="str">
        <f t="shared" si="21"/>
        <v>1</v>
      </c>
      <c r="N92" s="32" t="s">
        <v>408</v>
      </c>
      <c r="O92" s="32" t="s">
        <v>477</v>
      </c>
      <c r="P92" s="27" t="str">
        <f t="shared" si="22"/>
        <v>1</v>
      </c>
      <c r="Q92" s="32" t="s">
        <v>400</v>
      </c>
      <c r="R92" s="32" t="s">
        <v>400</v>
      </c>
      <c r="S92" s="32" t="s">
        <v>400</v>
      </c>
      <c r="T92" s="32" t="s">
        <v>400</v>
      </c>
      <c r="U92" s="32" t="s">
        <v>48</v>
      </c>
      <c r="V92" s="32" t="s">
        <v>400</v>
      </c>
      <c r="W92" s="32" t="s">
        <v>400</v>
      </c>
      <c r="X92" s="32" t="s">
        <v>399</v>
      </c>
      <c r="Y92" s="32" t="s">
        <v>48</v>
      </c>
      <c r="Z92" s="32" t="s">
        <v>48</v>
      </c>
      <c r="AA92" s="32" t="s">
        <v>48</v>
      </c>
      <c r="AB92" s="32" t="s">
        <v>48</v>
      </c>
      <c r="AC92" s="32" t="s">
        <v>48</v>
      </c>
      <c r="AD92" s="32"/>
      <c r="AE92" s="27" t="str">
        <f t="shared" si="23"/>
        <v>N</v>
      </c>
      <c r="AF92" s="32" t="s">
        <v>399</v>
      </c>
      <c r="AG92" s="32"/>
      <c r="AH92" s="33" t="s">
        <v>1012</v>
      </c>
      <c r="AI92" s="35">
        <v>5</v>
      </c>
      <c r="AJ92" s="57">
        <v>96</v>
      </c>
      <c r="AK92" s="33" t="s">
        <v>401</v>
      </c>
      <c r="AL92" s="10" t="s">
        <v>50</v>
      </c>
      <c r="AM92" s="6" t="str">
        <f t="shared" si="24"/>
        <v>14821/직영점 고객 정보 관리/ cust/CustShare</v>
      </c>
      <c r="AN92" s="30"/>
      <c r="AO92" s="30"/>
      <c r="AP92" s="30"/>
      <c r="AQ92" s="30"/>
      <c r="AR92" s="31"/>
      <c r="AS92" s="31"/>
      <c r="AT92" s="31"/>
      <c r="AU92" s="31"/>
      <c r="AV92" s="31"/>
      <c r="AW92" s="31"/>
      <c r="AX92" s="31"/>
      <c r="AY92" s="31"/>
    </row>
    <row r="93" spans="2:51" s="29" customFormat="1" ht="14.5">
      <c r="B93" s="5" t="str">
        <f t="shared" si="15"/>
        <v xml:space="preserve">        └ 사업장 고객 정보 관리</v>
      </c>
      <c r="C93" s="33" t="s">
        <v>47</v>
      </c>
      <c r="D93" s="32"/>
      <c r="E93" s="33" t="s">
        <v>1078</v>
      </c>
      <c r="F93" s="44" t="s">
        <v>750</v>
      </c>
      <c r="G93" s="32"/>
      <c r="H93" s="32"/>
      <c r="I93" s="32"/>
      <c r="J93" s="34"/>
      <c r="K93" s="34"/>
      <c r="L93" s="27" t="str">
        <f t="shared" si="20"/>
        <v>1</v>
      </c>
      <c r="M93" s="27" t="str">
        <f t="shared" si="21"/>
        <v>1</v>
      </c>
      <c r="N93" s="32" t="s">
        <v>408</v>
      </c>
      <c r="O93" s="32" t="s">
        <v>478</v>
      </c>
      <c r="P93" s="27" t="str">
        <f t="shared" si="22"/>
        <v>1</v>
      </c>
      <c r="Q93" s="32" t="s">
        <v>400</v>
      </c>
      <c r="R93" s="32" t="s">
        <v>400</v>
      </c>
      <c r="S93" s="32" t="s">
        <v>400</v>
      </c>
      <c r="T93" s="32" t="s">
        <v>400</v>
      </c>
      <c r="U93" s="32" t="s">
        <v>48</v>
      </c>
      <c r="V93" s="32" t="s">
        <v>400</v>
      </c>
      <c r="W93" s="32" t="s">
        <v>400</v>
      </c>
      <c r="X93" s="32" t="s">
        <v>400</v>
      </c>
      <c r="Y93" s="32" t="s">
        <v>48</v>
      </c>
      <c r="Z93" s="32" t="s">
        <v>48</v>
      </c>
      <c r="AA93" s="32" t="s">
        <v>48</v>
      </c>
      <c r="AB93" s="32" t="s">
        <v>48</v>
      </c>
      <c r="AC93" s="32" t="s">
        <v>48</v>
      </c>
      <c r="AD93" s="32"/>
      <c r="AE93" s="27" t="str">
        <f t="shared" si="23"/>
        <v>N</v>
      </c>
      <c r="AF93" s="32" t="s">
        <v>399</v>
      </c>
      <c r="AG93" s="32"/>
      <c r="AH93" s="33" t="s">
        <v>1012</v>
      </c>
      <c r="AI93" s="35">
        <v>5</v>
      </c>
      <c r="AJ93" s="57">
        <v>97</v>
      </c>
      <c r="AK93" s="33" t="s">
        <v>401</v>
      </c>
      <c r="AL93" s="10" t="s">
        <v>50</v>
      </c>
      <c r="AM93" s="6" t="str">
        <f t="shared" si="24"/>
        <v>14821/사업장 고객 정보 관리/ cust/CustStore</v>
      </c>
      <c r="AN93" s="30"/>
      <c r="AO93" s="30"/>
      <c r="AP93" s="30"/>
      <c r="AQ93" s="30"/>
      <c r="AR93" s="31"/>
      <c r="AS93" s="31"/>
      <c r="AT93" s="31"/>
      <c r="AU93" s="31"/>
      <c r="AV93" s="31"/>
      <c r="AW93" s="31"/>
      <c r="AX93" s="31"/>
      <c r="AY93" s="31"/>
    </row>
    <row r="94" spans="2:51" s="29" customFormat="1" ht="14.5">
      <c r="B94" s="5" t="str">
        <f t="shared" si="15"/>
        <v xml:space="preserve">        └ 미수 고객 현황</v>
      </c>
      <c r="C94" s="33" t="s">
        <v>47</v>
      </c>
      <c r="D94" s="32"/>
      <c r="E94" s="33" t="s">
        <v>1079</v>
      </c>
      <c r="F94" s="44" t="s">
        <v>751</v>
      </c>
      <c r="G94" s="32"/>
      <c r="H94" s="32"/>
      <c r="I94" s="32"/>
      <c r="J94" s="34"/>
      <c r="K94" s="34"/>
      <c r="L94" s="27" t="str">
        <f t="shared" si="20"/>
        <v>1</v>
      </c>
      <c r="M94" s="27" t="str">
        <f t="shared" si="21"/>
        <v>1</v>
      </c>
      <c r="N94" s="32" t="s">
        <v>408</v>
      </c>
      <c r="O94" s="32" t="s">
        <v>479</v>
      </c>
      <c r="P94" s="27" t="str">
        <f t="shared" si="22"/>
        <v>1</v>
      </c>
      <c r="Q94" s="32" t="s">
        <v>399</v>
      </c>
      <c r="R94" s="32" t="s">
        <v>399</v>
      </c>
      <c r="S94" s="32" t="s">
        <v>399</v>
      </c>
      <c r="T94" s="32" t="s">
        <v>400</v>
      </c>
      <c r="U94" s="32" t="s">
        <v>48</v>
      </c>
      <c r="V94" s="32" t="s">
        <v>400</v>
      </c>
      <c r="W94" s="32" t="s">
        <v>400</v>
      </c>
      <c r="X94" s="32" t="s">
        <v>400</v>
      </c>
      <c r="Y94" s="32" t="s">
        <v>48</v>
      </c>
      <c r="Z94" s="32" t="s">
        <v>48</v>
      </c>
      <c r="AA94" s="32" t="s">
        <v>48</v>
      </c>
      <c r="AB94" s="32" t="s">
        <v>48</v>
      </c>
      <c r="AC94" s="32" t="s">
        <v>48</v>
      </c>
      <c r="AD94" s="32"/>
      <c r="AE94" s="27" t="str">
        <f t="shared" si="23"/>
        <v>N</v>
      </c>
      <c r="AF94" s="32" t="s">
        <v>399</v>
      </c>
      <c r="AG94" s="32"/>
      <c r="AH94" s="33" t="s">
        <v>1012</v>
      </c>
      <c r="AI94" s="35">
        <v>5</v>
      </c>
      <c r="AJ94" s="57">
        <v>98</v>
      </c>
      <c r="AK94" s="33" t="s">
        <v>401</v>
      </c>
      <c r="AL94" s="10" t="s">
        <v>50</v>
      </c>
      <c r="AM94" s="6" t="str">
        <f t="shared" si="24"/>
        <v>14821/미수 고객 현황/ cust/CustArList</v>
      </c>
      <c r="AN94" s="30"/>
      <c r="AO94" s="30"/>
      <c r="AP94" s="30"/>
      <c r="AQ94" s="30"/>
      <c r="AR94" s="31"/>
      <c r="AS94" s="31"/>
      <c r="AT94" s="31"/>
      <c r="AU94" s="31"/>
      <c r="AV94" s="31"/>
      <c r="AW94" s="31"/>
      <c r="AX94" s="31"/>
      <c r="AY94" s="31"/>
    </row>
    <row r="95" spans="2:51" s="29" customFormat="1" ht="14.5">
      <c r="B95" s="5" t="str">
        <f t="shared" si="15"/>
        <v xml:space="preserve">        └ 장기 미수 고객 현황</v>
      </c>
      <c r="C95" s="33" t="s">
        <v>47</v>
      </c>
      <c r="D95" s="32"/>
      <c r="E95" s="33" t="s">
        <v>1080</v>
      </c>
      <c r="F95" s="44" t="s">
        <v>752</v>
      </c>
      <c r="G95" s="32"/>
      <c r="H95" s="32"/>
      <c r="I95" s="32"/>
      <c r="J95" s="34"/>
      <c r="K95" s="34"/>
      <c r="L95" s="27" t="str">
        <f t="shared" si="20"/>
        <v>1</v>
      </c>
      <c r="M95" s="27" t="str">
        <f t="shared" si="21"/>
        <v>1</v>
      </c>
      <c r="N95" s="32" t="s">
        <v>408</v>
      </c>
      <c r="O95" s="32" t="s">
        <v>480</v>
      </c>
      <c r="P95" s="27" t="str">
        <f t="shared" si="22"/>
        <v>1</v>
      </c>
      <c r="Q95" s="32" t="s">
        <v>399</v>
      </c>
      <c r="R95" s="32" t="s">
        <v>399</v>
      </c>
      <c r="S95" s="32" t="s">
        <v>400</v>
      </c>
      <c r="T95" s="32" t="s">
        <v>400</v>
      </c>
      <c r="U95" s="32" t="s">
        <v>48</v>
      </c>
      <c r="V95" s="32" t="s">
        <v>400</v>
      </c>
      <c r="W95" s="32" t="s">
        <v>400</v>
      </c>
      <c r="X95" s="32" t="s">
        <v>400</v>
      </c>
      <c r="Y95" s="32" t="s">
        <v>48</v>
      </c>
      <c r="Z95" s="32" t="s">
        <v>48</v>
      </c>
      <c r="AA95" s="32" t="s">
        <v>48</v>
      </c>
      <c r="AB95" s="32" t="s">
        <v>48</v>
      </c>
      <c r="AC95" s="32" t="s">
        <v>48</v>
      </c>
      <c r="AD95" s="32"/>
      <c r="AE95" s="27" t="str">
        <f t="shared" si="23"/>
        <v>N</v>
      </c>
      <c r="AF95" s="32" t="s">
        <v>399</v>
      </c>
      <c r="AG95" s="32"/>
      <c r="AH95" s="33" t="s">
        <v>1012</v>
      </c>
      <c r="AI95" s="35">
        <v>5</v>
      </c>
      <c r="AJ95" s="57">
        <v>99</v>
      </c>
      <c r="AK95" s="33" t="s">
        <v>401</v>
      </c>
      <c r="AL95" s="10" t="s">
        <v>50</v>
      </c>
      <c r="AM95" s="6" t="str">
        <f t="shared" si="24"/>
        <v>14821/장기 미수 고객 현황/ cust/LongTermArList</v>
      </c>
      <c r="AN95" s="30"/>
      <c r="AO95" s="30"/>
      <c r="AP95" s="30"/>
      <c r="AQ95" s="30"/>
      <c r="AR95" s="31"/>
      <c r="AS95" s="31"/>
      <c r="AT95" s="31"/>
      <c r="AU95" s="31"/>
      <c r="AV95" s="31"/>
      <c r="AW95" s="31"/>
      <c r="AX95" s="31"/>
      <c r="AY95" s="31"/>
    </row>
    <row r="96" spans="2:51" s="29" customFormat="1" ht="14.5">
      <c r="B96" s="5" t="str">
        <f t="shared" si="15"/>
        <v xml:space="preserve">        └ 월별 미수금 보고서</v>
      </c>
      <c r="C96" s="33" t="s">
        <v>47</v>
      </c>
      <c r="D96" s="32"/>
      <c r="E96" s="33" t="s">
        <v>1081</v>
      </c>
      <c r="F96" s="44" t="s">
        <v>753</v>
      </c>
      <c r="G96" s="32"/>
      <c r="H96" s="32"/>
      <c r="I96" s="32"/>
      <c r="J96" s="34"/>
      <c r="K96" s="34"/>
      <c r="L96" s="27" t="str">
        <f t="shared" si="20"/>
        <v>1</v>
      </c>
      <c r="M96" s="27" t="str">
        <f t="shared" si="21"/>
        <v>1</v>
      </c>
      <c r="N96" s="32" t="s">
        <v>408</v>
      </c>
      <c r="O96" s="32" t="s">
        <v>481</v>
      </c>
      <c r="P96" s="27" t="str">
        <f t="shared" si="22"/>
        <v>1</v>
      </c>
      <c r="Q96" s="32" t="s">
        <v>399</v>
      </c>
      <c r="R96" s="32" t="s">
        <v>399</v>
      </c>
      <c r="S96" s="32" t="s">
        <v>400</v>
      </c>
      <c r="T96" s="32" t="s">
        <v>400</v>
      </c>
      <c r="U96" s="32" t="s">
        <v>48</v>
      </c>
      <c r="V96" s="32" t="s">
        <v>400</v>
      </c>
      <c r="W96" s="32" t="s">
        <v>400</v>
      </c>
      <c r="X96" s="32" t="s">
        <v>400</v>
      </c>
      <c r="Y96" s="32" t="s">
        <v>48</v>
      </c>
      <c r="Z96" s="32" t="s">
        <v>48</v>
      </c>
      <c r="AA96" s="32" t="s">
        <v>48</v>
      </c>
      <c r="AB96" s="32" t="s">
        <v>48</v>
      </c>
      <c r="AC96" s="32" t="s">
        <v>48</v>
      </c>
      <c r="AD96" s="32"/>
      <c r="AE96" s="27" t="str">
        <f t="shared" si="23"/>
        <v>N</v>
      </c>
      <c r="AF96" s="32" t="s">
        <v>399</v>
      </c>
      <c r="AG96" s="32"/>
      <c r="AH96" s="33" t="s">
        <v>1012</v>
      </c>
      <c r="AI96" s="35">
        <v>5</v>
      </c>
      <c r="AJ96" s="57">
        <v>100</v>
      </c>
      <c r="AK96" s="33" t="s">
        <v>401</v>
      </c>
      <c r="AL96" s="10" t="s">
        <v>50</v>
      </c>
      <c r="AM96" s="6" t="str">
        <f t="shared" si="24"/>
        <v>14821/월별 미수금 보고서/ cust/MonthlyArRpt</v>
      </c>
      <c r="AN96" s="30"/>
      <c r="AO96" s="30"/>
      <c r="AP96" s="30"/>
      <c r="AQ96" s="30"/>
      <c r="AR96" s="31"/>
      <c r="AS96" s="31"/>
      <c r="AT96" s="31"/>
      <c r="AU96" s="31"/>
      <c r="AV96" s="31"/>
      <c r="AW96" s="31"/>
      <c r="AX96" s="31"/>
      <c r="AY96" s="31"/>
    </row>
    <row r="97" spans="2:51" s="29" customFormat="1" ht="14.5">
      <c r="B97" s="5" t="str">
        <f t="shared" si="15"/>
        <v xml:space="preserve">        └ 출하통제관리</v>
      </c>
      <c r="C97" s="33" t="s">
        <v>47</v>
      </c>
      <c r="D97" s="32"/>
      <c r="E97" s="33" t="s">
        <v>1082</v>
      </c>
      <c r="F97" s="44" t="s">
        <v>754</v>
      </c>
      <c r="G97" s="32"/>
      <c r="H97" s="32"/>
      <c r="I97" s="32"/>
      <c r="J97" s="34"/>
      <c r="K97" s="34"/>
      <c r="L97" s="27" t="str">
        <f t="shared" si="20"/>
        <v>1</v>
      </c>
      <c r="M97" s="27" t="str">
        <f t="shared" si="21"/>
        <v>1</v>
      </c>
      <c r="N97" s="32" t="s">
        <v>408</v>
      </c>
      <c r="O97" s="32" t="s">
        <v>482</v>
      </c>
      <c r="P97" s="27" t="str">
        <f t="shared" si="22"/>
        <v>1</v>
      </c>
      <c r="Q97" s="32" t="s">
        <v>399</v>
      </c>
      <c r="R97" s="32" t="s">
        <v>399</v>
      </c>
      <c r="S97" s="32" t="s">
        <v>400</v>
      </c>
      <c r="T97" s="32" t="s">
        <v>400</v>
      </c>
      <c r="U97" s="32" t="s">
        <v>48</v>
      </c>
      <c r="V97" s="32" t="s">
        <v>400</v>
      </c>
      <c r="W97" s="32" t="s">
        <v>400</v>
      </c>
      <c r="X97" s="32" t="s">
        <v>399</v>
      </c>
      <c r="Y97" s="32" t="s">
        <v>48</v>
      </c>
      <c r="Z97" s="32" t="s">
        <v>48</v>
      </c>
      <c r="AA97" s="32" t="s">
        <v>48</v>
      </c>
      <c r="AB97" s="32" t="s">
        <v>48</v>
      </c>
      <c r="AC97" s="32" t="s">
        <v>48</v>
      </c>
      <c r="AD97" s="32"/>
      <c r="AE97" s="27" t="str">
        <f t="shared" si="23"/>
        <v>N</v>
      </c>
      <c r="AF97" s="32" t="s">
        <v>399</v>
      </c>
      <c r="AG97" s="32"/>
      <c r="AH97" s="33" t="s">
        <v>1012</v>
      </c>
      <c r="AI97" s="35">
        <v>5</v>
      </c>
      <c r="AJ97" s="57">
        <v>101</v>
      </c>
      <c r="AK97" s="33" t="s">
        <v>401</v>
      </c>
      <c r="AL97" s="10" t="s">
        <v>50</v>
      </c>
      <c r="AM97" s="6" t="str">
        <f t="shared" si="24"/>
        <v>14821/출하통제관리/ cust/CustSaleControlWork</v>
      </c>
      <c r="AN97" s="30"/>
      <c r="AO97" s="30"/>
      <c r="AP97" s="30"/>
      <c r="AQ97" s="30"/>
      <c r="AR97" s="31"/>
      <c r="AS97" s="31"/>
      <c r="AT97" s="31"/>
      <c r="AU97" s="31"/>
      <c r="AV97" s="31"/>
      <c r="AW97" s="31"/>
      <c r="AX97" s="31"/>
      <c r="AY97" s="31"/>
    </row>
    <row r="98" spans="2:51" s="29" customFormat="1" ht="14.5">
      <c r="B98" s="5" t="str">
        <f t="shared" ref="B98:B161" si="25">IF(AI98="","",IF(AI98=1,"",IF(AI98=2,"└ ",IF(AI98=3,"  └ ",IF(AI98=4,"    └ ",IF(AI98=5,"        └ ",IF(AI98=6,"           └ ",IF(AI98=7="             └ ",""))))))))&amp;F98</f>
        <v xml:space="preserve">        └ 출하통제현황</v>
      </c>
      <c r="C98" s="33" t="s">
        <v>47</v>
      </c>
      <c r="D98" s="32"/>
      <c r="E98" s="33" t="s">
        <v>1083</v>
      </c>
      <c r="F98" s="44" t="s">
        <v>755</v>
      </c>
      <c r="G98" s="32"/>
      <c r="H98" s="32"/>
      <c r="I98" s="32"/>
      <c r="J98" s="34"/>
      <c r="K98" s="34"/>
      <c r="L98" s="27" t="str">
        <f t="shared" si="20"/>
        <v>1</v>
      </c>
      <c r="M98" s="27" t="str">
        <f t="shared" si="21"/>
        <v>1</v>
      </c>
      <c r="N98" s="32" t="s">
        <v>408</v>
      </c>
      <c r="O98" s="32" t="s">
        <v>483</v>
      </c>
      <c r="P98" s="27" t="str">
        <f t="shared" si="22"/>
        <v>1</v>
      </c>
      <c r="Q98" s="32" t="s">
        <v>399</v>
      </c>
      <c r="R98" s="32" t="s">
        <v>399</v>
      </c>
      <c r="S98" s="32" t="s">
        <v>400</v>
      </c>
      <c r="T98" s="32" t="s">
        <v>400</v>
      </c>
      <c r="U98" s="32" t="s">
        <v>48</v>
      </c>
      <c r="V98" s="32" t="s">
        <v>400</v>
      </c>
      <c r="W98" s="32" t="s">
        <v>400</v>
      </c>
      <c r="X98" s="32" t="s">
        <v>400</v>
      </c>
      <c r="Y98" s="32" t="s">
        <v>48</v>
      </c>
      <c r="Z98" s="32" t="s">
        <v>48</v>
      </c>
      <c r="AA98" s="32" t="s">
        <v>48</v>
      </c>
      <c r="AB98" s="32" t="s">
        <v>48</v>
      </c>
      <c r="AC98" s="32" t="s">
        <v>48</v>
      </c>
      <c r="AD98" s="32"/>
      <c r="AE98" s="27" t="str">
        <f t="shared" si="23"/>
        <v>N</v>
      </c>
      <c r="AF98" s="32" t="s">
        <v>399</v>
      </c>
      <c r="AG98" s="32"/>
      <c r="AH98" s="33" t="s">
        <v>1012</v>
      </c>
      <c r="AI98" s="35">
        <v>5</v>
      </c>
      <c r="AJ98" s="57">
        <v>102</v>
      </c>
      <c r="AK98" s="33" t="s">
        <v>401</v>
      </c>
      <c r="AL98" s="10" t="s">
        <v>50</v>
      </c>
      <c r="AM98" s="6" t="str">
        <f t="shared" si="24"/>
        <v>14821/출하통제현황/ cust/CustSaleControl</v>
      </c>
      <c r="AN98" s="30"/>
      <c r="AO98" s="30"/>
      <c r="AP98" s="30"/>
      <c r="AQ98" s="30"/>
      <c r="AR98" s="31"/>
      <c r="AS98" s="31"/>
      <c r="AT98" s="31"/>
      <c r="AU98" s="31"/>
      <c r="AV98" s="31"/>
      <c r="AW98" s="31"/>
      <c r="AX98" s="31"/>
      <c r="AY98" s="31"/>
    </row>
    <row r="99" spans="2:51" s="29" customFormat="1" ht="14.5">
      <c r="B99" s="5" t="str">
        <f t="shared" si="25"/>
        <v xml:space="preserve">    └ 고객지원</v>
      </c>
      <c r="C99" s="33" t="s">
        <v>47</v>
      </c>
      <c r="D99" s="32"/>
      <c r="E99" s="9">
        <v>2030300</v>
      </c>
      <c r="F99" s="38" t="s">
        <v>1067</v>
      </c>
      <c r="G99" s="9"/>
      <c r="H99" s="9"/>
      <c r="I99" s="9"/>
      <c r="J99" s="9"/>
      <c r="K99" s="9"/>
      <c r="L99" s="9" t="str">
        <f t="shared" si="20"/>
        <v>1</v>
      </c>
      <c r="M99" s="9" t="str">
        <f t="shared" si="21"/>
        <v>0</v>
      </c>
      <c r="N99" s="38" t="s">
        <v>985</v>
      </c>
      <c r="O99" s="38"/>
      <c r="P99" s="9" t="str">
        <f t="shared" si="22"/>
        <v>1</v>
      </c>
      <c r="Q99" s="9" t="s">
        <v>986</v>
      </c>
      <c r="R99" s="9" t="s">
        <v>986</v>
      </c>
      <c r="S99" s="9" t="s">
        <v>986</v>
      </c>
      <c r="T99" s="9" t="s">
        <v>987</v>
      </c>
      <c r="U99" s="9" t="s">
        <v>985</v>
      </c>
      <c r="V99" s="9" t="s">
        <v>987</v>
      </c>
      <c r="W99" s="9" t="s">
        <v>987</v>
      </c>
      <c r="X99" s="9" t="s">
        <v>987</v>
      </c>
      <c r="Y99" s="9" t="s">
        <v>985</v>
      </c>
      <c r="Z99" s="9" t="s">
        <v>985</v>
      </c>
      <c r="AA99" s="9" t="s">
        <v>985</v>
      </c>
      <c r="AB99" s="9" t="s">
        <v>985</v>
      </c>
      <c r="AC99" s="9" t="s">
        <v>985</v>
      </c>
      <c r="AD99" s="9"/>
      <c r="AE99" s="9" t="str">
        <f t="shared" si="23"/>
        <v>N</v>
      </c>
      <c r="AF99" s="9" t="s">
        <v>986</v>
      </c>
      <c r="AG99" s="9"/>
      <c r="AH99" s="9">
        <v>2030000</v>
      </c>
      <c r="AI99" s="9">
        <v>4</v>
      </c>
      <c r="AJ99" s="57">
        <v>103</v>
      </c>
      <c r="AK99" s="10" t="s">
        <v>988</v>
      </c>
      <c r="AL99" s="10" t="s">
        <v>50</v>
      </c>
      <c r="AM99" s="6" t="str">
        <f t="shared" si="24"/>
        <v>14821/고객지원/ /</v>
      </c>
      <c r="AN99" s="30"/>
      <c r="AO99" s="30"/>
      <c r="AP99" s="30"/>
      <c r="AQ99" s="30"/>
      <c r="AR99" s="31"/>
      <c r="AS99" s="31"/>
      <c r="AT99" s="31"/>
      <c r="AU99" s="31"/>
      <c r="AV99" s="31"/>
      <c r="AW99" s="31"/>
      <c r="AX99" s="31"/>
      <c r="AY99" s="31"/>
    </row>
    <row r="100" spans="2:51" s="29" customFormat="1" ht="14.5">
      <c r="B100" s="5" t="str">
        <f t="shared" si="25"/>
        <v xml:space="preserve">        └ 체인점관리일지</v>
      </c>
      <c r="C100" s="33" t="s">
        <v>47</v>
      </c>
      <c r="D100" s="32"/>
      <c r="E100" s="33" t="s">
        <v>1084</v>
      </c>
      <c r="F100" s="45" t="s">
        <v>854</v>
      </c>
      <c r="G100" s="32"/>
      <c r="H100" s="32"/>
      <c r="I100" s="32"/>
      <c r="J100" s="34"/>
      <c r="K100" s="34"/>
      <c r="L100" s="27" t="str">
        <f t="shared" si="20"/>
        <v>1</v>
      </c>
      <c r="M100" s="27" t="str">
        <f t="shared" si="21"/>
        <v>1</v>
      </c>
      <c r="N100" s="32" t="s">
        <v>425</v>
      </c>
      <c r="O100" s="32" t="s">
        <v>581</v>
      </c>
      <c r="P100" s="27" t="str">
        <f t="shared" si="22"/>
        <v>1</v>
      </c>
      <c r="Q100" s="32" t="s">
        <v>400</v>
      </c>
      <c r="R100" s="32" t="s">
        <v>399</v>
      </c>
      <c r="S100" s="32" t="s">
        <v>400</v>
      </c>
      <c r="T100" s="32" t="s">
        <v>400</v>
      </c>
      <c r="U100" s="32" t="s">
        <v>48</v>
      </c>
      <c r="V100" s="32" t="s">
        <v>400</v>
      </c>
      <c r="W100" s="32" t="s">
        <v>400</v>
      </c>
      <c r="X100" s="32" t="s">
        <v>399</v>
      </c>
      <c r="Y100" s="32" t="s">
        <v>48</v>
      </c>
      <c r="Z100" s="32" t="s">
        <v>48</v>
      </c>
      <c r="AA100" s="32" t="s">
        <v>48</v>
      </c>
      <c r="AB100" s="32" t="s">
        <v>48</v>
      </c>
      <c r="AC100" s="32" t="s">
        <v>48</v>
      </c>
      <c r="AD100" s="32"/>
      <c r="AE100" s="27" t="str">
        <f t="shared" si="23"/>
        <v>N</v>
      </c>
      <c r="AF100" s="32" t="s">
        <v>399</v>
      </c>
      <c r="AG100" s="32"/>
      <c r="AH100" s="33" t="s">
        <v>1013</v>
      </c>
      <c r="AI100" s="35">
        <v>5</v>
      </c>
      <c r="AJ100" s="57">
        <v>104</v>
      </c>
      <c r="AK100" s="33" t="s">
        <v>401</v>
      </c>
      <c r="AL100" s="10" t="s">
        <v>50</v>
      </c>
      <c r="AM100" s="6" t="str">
        <f t="shared" si="24"/>
        <v>14821/체인점관리일지/ crm/ChainReport</v>
      </c>
      <c r="AN100" s="30"/>
      <c r="AO100" s="30"/>
      <c r="AP100" s="30"/>
      <c r="AQ100" s="30"/>
      <c r="AR100" s="31"/>
      <c r="AS100" s="31"/>
      <c r="AT100" s="31"/>
      <c r="AU100" s="31"/>
      <c r="AV100" s="31"/>
      <c r="AW100" s="31"/>
      <c r="AX100" s="31"/>
      <c r="AY100" s="31"/>
    </row>
    <row r="101" spans="2:51" s="29" customFormat="1" ht="14.5">
      <c r="B101" s="5" t="str">
        <f t="shared" si="25"/>
        <v xml:space="preserve">        └ 고객통화관리</v>
      </c>
      <c r="C101" s="33" t="s">
        <v>47</v>
      </c>
      <c r="D101" s="32"/>
      <c r="E101" s="33" t="s">
        <v>1085</v>
      </c>
      <c r="F101" s="44" t="s">
        <v>855</v>
      </c>
      <c r="G101" s="32"/>
      <c r="H101" s="32"/>
      <c r="I101" s="32"/>
      <c r="J101" s="34"/>
      <c r="K101" s="34"/>
      <c r="L101" s="27" t="str">
        <f t="shared" si="20"/>
        <v>1</v>
      </c>
      <c r="M101" s="27" t="str">
        <f t="shared" si="21"/>
        <v>1</v>
      </c>
      <c r="N101" s="32" t="s">
        <v>425</v>
      </c>
      <c r="O101" s="32" t="s">
        <v>582</v>
      </c>
      <c r="P101" s="27" t="str">
        <f t="shared" si="22"/>
        <v>1</v>
      </c>
      <c r="Q101" s="32" t="s">
        <v>400</v>
      </c>
      <c r="R101" s="32" t="s">
        <v>400</v>
      </c>
      <c r="S101" s="32" t="s">
        <v>400</v>
      </c>
      <c r="T101" s="32" t="s">
        <v>400</v>
      </c>
      <c r="U101" s="32" t="s">
        <v>48</v>
      </c>
      <c r="V101" s="32" t="s">
        <v>400</v>
      </c>
      <c r="W101" s="32" t="s">
        <v>400</v>
      </c>
      <c r="X101" s="32" t="s">
        <v>399</v>
      </c>
      <c r="Y101" s="32" t="s">
        <v>48</v>
      </c>
      <c r="Z101" s="32" t="s">
        <v>48</v>
      </c>
      <c r="AA101" s="32" t="s">
        <v>48</v>
      </c>
      <c r="AB101" s="32" t="s">
        <v>48</v>
      </c>
      <c r="AC101" s="32" t="s">
        <v>48</v>
      </c>
      <c r="AD101" s="32"/>
      <c r="AE101" s="27" t="str">
        <f t="shared" si="23"/>
        <v>N</v>
      </c>
      <c r="AF101" s="32" t="s">
        <v>399</v>
      </c>
      <c r="AG101" s="32"/>
      <c r="AH101" s="33" t="s">
        <v>1013</v>
      </c>
      <c r="AI101" s="35">
        <v>5</v>
      </c>
      <c r="AJ101" s="57">
        <v>105</v>
      </c>
      <c r="AK101" s="33" t="s">
        <v>401</v>
      </c>
      <c r="AL101" s="10" t="s">
        <v>50</v>
      </c>
      <c r="AM101" s="6" t="str">
        <f t="shared" si="24"/>
        <v>14821/고객통화관리/ crm/CsWork</v>
      </c>
      <c r="AN101" s="30"/>
      <c r="AO101" s="30"/>
      <c r="AP101" s="30"/>
      <c r="AQ101" s="30"/>
      <c r="AR101" s="31"/>
      <c r="AS101" s="31"/>
      <c r="AT101" s="31"/>
      <c r="AU101" s="31"/>
      <c r="AV101" s="31"/>
      <c r="AW101" s="31"/>
      <c r="AX101" s="31"/>
      <c r="AY101" s="31"/>
    </row>
    <row r="102" spans="2:51" s="29" customFormat="1" ht="14.5">
      <c r="B102" s="5" t="str">
        <f t="shared" si="25"/>
        <v xml:space="preserve">        └ 고객 상담 현황</v>
      </c>
      <c r="C102" s="33" t="s">
        <v>47</v>
      </c>
      <c r="D102" s="32"/>
      <c r="E102" s="33" t="s">
        <v>1086</v>
      </c>
      <c r="F102" s="44" t="s">
        <v>856</v>
      </c>
      <c r="G102" s="32"/>
      <c r="H102" s="32"/>
      <c r="I102" s="32"/>
      <c r="J102" s="34"/>
      <c r="K102" s="34"/>
      <c r="L102" s="27" t="str">
        <f t="shared" si="20"/>
        <v>1</v>
      </c>
      <c r="M102" s="27" t="str">
        <f t="shared" si="21"/>
        <v>1</v>
      </c>
      <c r="N102" s="32" t="s">
        <v>423</v>
      </c>
      <c r="O102" s="32" t="s">
        <v>583</v>
      </c>
      <c r="P102" s="27" t="str">
        <f t="shared" si="22"/>
        <v>1</v>
      </c>
      <c r="Q102" s="32" t="s">
        <v>400</v>
      </c>
      <c r="R102" s="32" t="s">
        <v>399</v>
      </c>
      <c r="S102" s="32" t="s">
        <v>400</v>
      </c>
      <c r="T102" s="32" t="s">
        <v>400</v>
      </c>
      <c r="U102" s="32" t="s">
        <v>48</v>
      </c>
      <c r="V102" s="32" t="s">
        <v>400</v>
      </c>
      <c r="W102" s="32" t="s">
        <v>400</v>
      </c>
      <c r="X102" s="32" t="s">
        <v>399</v>
      </c>
      <c r="Y102" s="32" t="s">
        <v>48</v>
      </c>
      <c r="Z102" s="32" t="s">
        <v>48</v>
      </c>
      <c r="AA102" s="32" t="s">
        <v>48</v>
      </c>
      <c r="AB102" s="32" t="s">
        <v>48</v>
      </c>
      <c r="AC102" s="32" t="s">
        <v>48</v>
      </c>
      <c r="AD102" s="32"/>
      <c r="AE102" s="27" t="str">
        <f t="shared" si="23"/>
        <v>N</v>
      </c>
      <c r="AF102" s="32" t="s">
        <v>399</v>
      </c>
      <c r="AG102" s="32"/>
      <c r="AH102" s="33" t="s">
        <v>1013</v>
      </c>
      <c r="AI102" s="35">
        <v>5</v>
      </c>
      <c r="AJ102" s="57">
        <v>106</v>
      </c>
      <c r="AK102" s="33" t="s">
        <v>401</v>
      </c>
      <c r="AL102" s="10" t="s">
        <v>50</v>
      </c>
      <c r="AM102" s="6" t="str">
        <f t="shared" si="24"/>
        <v>14821/고객 상담 현황/ namdemoon/ComAccept</v>
      </c>
      <c r="AN102" s="30"/>
      <c r="AO102" s="30"/>
      <c r="AP102" s="30"/>
      <c r="AQ102" s="30"/>
      <c r="AR102" s="31"/>
      <c r="AS102" s="31"/>
      <c r="AT102" s="31"/>
      <c r="AU102" s="31"/>
      <c r="AV102" s="31"/>
      <c r="AW102" s="31"/>
      <c r="AX102" s="31"/>
      <c r="AY102" s="31"/>
    </row>
    <row r="103" spans="2:51" s="29" customFormat="1" ht="14.5">
      <c r="B103" s="5" t="str">
        <f t="shared" si="25"/>
        <v xml:space="preserve">        └ 체인점정보관리</v>
      </c>
      <c r="C103" s="33" t="s">
        <v>47</v>
      </c>
      <c r="D103" s="32"/>
      <c r="E103" s="33" t="s">
        <v>1087</v>
      </c>
      <c r="F103" s="44" t="s">
        <v>857</v>
      </c>
      <c r="G103" s="32"/>
      <c r="H103" s="32"/>
      <c r="I103" s="32"/>
      <c r="J103" s="34"/>
      <c r="K103" s="34"/>
      <c r="L103" s="27" t="str">
        <f t="shared" si="20"/>
        <v>1</v>
      </c>
      <c r="M103" s="27" t="str">
        <f t="shared" si="21"/>
        <v>0</v>
      </c>
      <c r="N103" s="32" t="s">
        <v>48</v>
      </c>
      <c r="O103" s="32"/>
      <c r="P103" s="27" t="str">
        <f t="shared" si="22"/>
        <v>1</v>
      </c>
      <c r="Q103" s="32" t="s">
        <v>399</v>
      </c>
      <c r="R103" s="32" t="s">
        <v>399</v>
      </c>
      <c r="S103" s="32" t="s">
        <v>399</v>
      </c>
      <c r="T103" s="32" t="s">
        <v>400</v>
      </c>
      <c r="U103" s="32" t="s">
        <v>48</v>
      </c>
      <c r="V103" s="32" t="s">
        <v>399</v>
      </c>
      <c r="W103" s="32" t="s">
        <v>399</v>
      </c>
      <c r="X103" s="32" t="s">
        <v>399</v>
      </c>
      <c r="Y103" s="32" t="s">
        <v>48</v>
      </c>
      <c r="Z103" s="32" t="s">
        <v>48</v>
      </c>
      <c r="AA103" s="32" t="s">
        <v>48</v>
      </c>
      <c r="AB103" s="32" t="s">
        <v>48</v>
      </c>
      <c r="AC103" s="32" t="s">
        <v>48</v>
      </c>
      <c r="AD103" s="32"/>
      <c r="AE103" s="27" t="str">
        <f t="shared" si="23"/>
        <v>N</v>
      </c>
      <c r="AF103" s="32" t="s">
        <v>399</v>
      </c>
      <c r="AG103" s="32"/>
      <c r="AH103" s="33" t="s">
        <v>1013</v>
      </c>
      <c r="AI103" s="35">
        <v>5</v>
      </c>
      <c r="AJ103" s="57">
        <v>107</v>
      </c>
      <c r="AK103" s="33" t="s">
        <v>401</v>
      </c>
      <c r="AL103" s="10" t="s">
        <v>50</v>
      </c>
      <c r="AM103" s="6" t="str">
        <f t="shared" si="24"/>
        <v>14821/체인점정보관리/ /</v>
      </c>
      <c r="AN103" s="30"/>
      <c r="AO103" s="30"/>
      <c r="AP103" s="30"/>
      <c r="AQ103" s="30"/>
      <c r="AR103" s="31"/>
      <c r="AS103" s="31"/>
      <c r="AT103" s="31"/>
      <c r="AU103" s="31"/>
      <c r="AV103" s="31"/>
      <c r="AW103" s="31"/>
      <c r="AX103" s="31"/>
      <c r="AY103" s="31"/>
    </row>
    <row r="104" spans="2:51" s="29" customFormat="1" ht="14.5">
      <c r="B104" s="5" t="str">
        <f t="shared" si="25"/>
        <v xml:space="preserve">           └ 체인점관리일지</v>
      </c>
      <c r="C104" s="33" t="s">
        <v>47</v>
      </c>
      <c r="D104" s="32"/>
      <c r="E104" s="33" t="s">
        <v>1088</v>
      </c>
      <c r="F104" s="45" t="s">
        <v>854</v>
      </c>
      <c r="G104" s="32"/>
      <c r="H104" s="32"/>
      <c r="I104" s="32"/>
      <c r="J104" s="34"/>
      <c r="K104" s="34"/>
      <c r="L104" s="27" t="str">
        <f t="shared" si="20"/>
        <v>1</v>
      </c>
      <c r="M104" s="27" t="str">
        <f t="shared" si="21"/>
        <v>1</v>
      </c>
      <c r="N104" s="32" t="s">
        <v>420</v>
      </c>
      <c r="O104" s="32" t="s">
        <v>581</v>
      </c>
      <c r="P104" s="27" t="str">
        <f t="shared" si="22"/>
        <v>1</v>
      </c>
      <c r="Q104" s="32" t="s">
        <v>399</v>
      </c>
      <c r="R104" s="32" t="s">
        <v>399</v>
      </c>
      <c r="S104" s="32" t="s">
        <v>399</v>
      </c>
      <c r="T104" s="32" t="s">
        <v>400</v>
      </c>
      <c r="U104" s="32" t="s">
        <v>48</v>
      </c>
      <c r="V104" s="32" t="s">
        <v>400</v>
      </c>
      <c r="W104" s="32" t="s">
        <v>399</v>
      </c>
      <c r="X104" s="32" t="s">
        <v>399</v>
      </c>
      <c r="Y104" s="32" t="s">
        <v>48</v>
      </c>
      <c r="Z104" s="32" t="s">
        <v>48</v>
      </c>
      <c r="AA104" s="32" t="s">
        <v>48</v>
      </c>
      <c r="AB104" s="32" t="s">
        <v>48</v>
      </c>
      <c r="AC104" s="32" t="s">
        <v>48</v>
      </c>
      <c r="AD104" s="32"/>
      <c r="AE104" s="27" t="str">
        <f t="shared" si="23"/>
        <v>N</v>
      </c>
      <c r="AF104" s="32" t="s">
        <v>399</v>
      </c>
      <c r="AG104" s="32"/>
      <c r="AH104" s="33" t="s">
        <v>1013</v>
      </c>
      <c r="AI104" s="35">
        <v>6</v>
      </c>
      <c r="AJ104" s="57">
        <v>108</v>
      </c>
      <c r="AK104" s="33" t="s">
        <v>401</v>
      </c>
      <c r="AL104" s="10" t="s">
        <v>50</v>
      </c>
      <c r="AM104" s="6" t="str">
        <f t="shared" si="24"/>
        <v>14821/체인점관리일지/ sale/ChainReport</v>
      </c>
      <c r="AN104" s="30"/>
      <c r="AO104" s="30"/>
      <c r="AP104" s="30"/>
      <c r="AQ104" s="30"/>
      <c r="AR104" s="31"/>
      <c r="AS104" s="31"/>
      <c r="AT104" s="31"/>
      <c r="AU104" s="31"/>
      <c r="AV104" s="31"/>
      <c r="AW104" s="31"/>
      <c r="AX104" s="31"/>
      <c r="AY104" s="31"/>
    </row>
    <row r="105" spans="2:51" s="29" customFormat="1" ht="14.5">
      <c r="B105" s="5" t="str">
        <f t="shared" si="25"/>
        <v xml:space="preserve">    └ 포인트</v>
      </c>
      <c r="C105" s="33" t="s">
        <v>47</v>
      </c>
      <c r="D105" s="32"/>
      <c r="E105" s="9">
        <v>2030400</v>
      </c>
      <c r="F105" s="38" t="s">
        <v>1068</v>
      </c>
      <c r="G105" s="9"/>
      <c r="H105" s="9"/>
      <c r="I105" s="9"/>
      <c r="J105" s="9"/>
      <c r="K105" s="9"/>
      <c r="L105" s="9" t="str">
        <f t="shared" si="20"/>
        <v>1</v>
      </c>
      <c r="M105" s="9" t="str">
        <f t="shared" si="21"/>
        <v>0</v>
      </c>
      <c r="N105" s="38" t="s">
        <v>985</v>
      </c>
      <c r="O105" s="38"/>
      <c r="P105" s="9" t="str">
        <f t="shared" si="22"/>
        <v>1</v>
      </c>
      <c r="Q105" s="9" t="s">
        <v>986</v>
      </c>
      <c r="R105" s="9" t="s">
        <v>986</v>
      </c>
      <c r="S105" s="9" t="s">
        <v>986</v>
      </c>
      <c r="T105" s="9" t="s">
        <v>987</v>
      </c>
      <c r="U105" s="9" t="s">
        <v>985</v>
      </c>
      <c r="V105" s="9" t="s">
        <v>987</v>
      </c>
      <c r="W105" s="9" t="s">
        <v>987</v>
      </c>
      <c r="X105" s="9" t="s">
        <v>987</v>
      </c>
      <c r="Y105" s="9" t="s">
        <v>985</v>
      </c>
      <c r="Z105" s="9" t="s">
        <v>985</v>
      </c>
      <c r="AA105" s="9" t="s">
        <v>985</v>
      </c>
      <c r="AB105" s="9" t="s">
        <v>985</v>
      </c>
      <c r="AC105" s="9" t="s">
        <v>985</v>
      </c>
      <c r="AD105" s="9"/>
      <c r="AE105" s="9" t="str">
        <f t="shared" si="23"/>
        <v>N</v>
      </c>
      <c r="AF105" s="9" t="s">
        <v>986</v>
      </c>
      <c r="AG105" s="9"/>
      <c r="AH105" s="9">
        <v>2030000</v>
      </c>
      <c r="AI105" s="9">
        <v>4</v>
      </c>
      <c r="AJ105" s="57">
        <v>109</v>
      </c>
      <c r="AK105" s="10" t="s">
        <v>988</v>
      </c>
      <c r="AL105" s="10" t="s">
        <v>50</v>
      </c>
      <c r="AM105" s="6" t="str">
        <f t="shared" si="24"/>
        <v>14821/포인트/ /</v>
      </c>
      <c r="AN105" s="30"/>
      <c r="AO105" s="30"/>
      <c r="AP105" s="30"/>
      <c r="AQ105" s="30"/>
      <c r="AR105" s="31"/>
      <c r="AS105" s="31"/>
      <c r="AT105" s="31"/>
      <c r="AU105" s="31"/>
      <c r="AV105" s="31"/>
      <c r="AW105" s="31"/>
      <c r="AX105" s="31"/>
      <c r="AY105" s="31"/>
    </row>
    <row r="106" spans="2:51" s="29" customFormat="1" ht="14.5">
      <c r="B106" s="5" t="str">
        <f t="shared" si="25"/>
        <v xml:space="preserve">        └ 포인트 적립현황 및 수기적립</v>
      </c>
      <c r="C106" s="33" t="s">
        <v>47</v>
      </c>
      <c r="D106" s="32"/>
      <c r="E106" s="33" t="s">
        <v>1089</v>
      </c>
      <c r="F106" s="44" t="s">
        <v>756</v>
      </c>
      <c r="G106" s="32"/>
      <c r="H106" s="32"/>
      <c r="I106" s="32"/>
      <c r="J106" s="34"/>
      <c r="K106" s="34"/>
      <c r="L106" s="27" t="str">
        <f t="shared" si="20"/>
        <v>1</v>
      </c>
      <c r="M106" s="27" t="str">
        <f t="shared" si="21"/>
        <v>1</v>
      </c>
      <c r="N106" s="32" t="s">
        <v>408</v>
      </c>
      <c r="O106" s="32" t="s">
        <v>484</v>
      </c>
      <c r="P106" s="27" t="str">
        <f t="shared" si="22"/>
        <v>1</v>
      </c>
      <c r="Q106" s="32" t="s">
        <v>399</v>
      </c>
      <c r="R106" s="32" t="s">
        <v>399</v>
      </c>
      <c r="S106" s="32" t="s">
        <v>400</v>
      </c>
      <c r="T106" s="32" t="s">
        <v>400</v>
      </c>
      <c r="U106" s="32" t="s">
        <v>48</v>
      </c>
      <c r="V106" s="32" t="s">
        <v>400</v>
      </c>
      <c r="W106" s="32" t="s">
        <v>400</v>
      </c>
      <c r="X106" s="32" t="s">
        <v>400</v>
      </c>
      <c r="Y106" s="32" t="s">
        <v>48</v>
      </c>
      <c r="Z106" s="32" t="s">
        <v>48</v>
      </c>
      <c r="AA106" s="32" t="s">
        <v>48</v>
      </c>
      <c r="AB106" s="32" t="s">
        <v>48</v>
      </c>
      <c r="AC106" s="32" t="s">
        <v>48</v>
      </c>
      <c r="AD106" s="32"/>
      <c r="AE106" s="27" t="str">
        <f t="shared" si="23"/>
        <v>N</v>
      </c>
      <c r="AF106" s="32" t="s">
        <v>399</v>
      </c>
      <c r="AG106" s="32"/>
      <c r="AH106" s="33" t="s">
        <v>1091</v>
      </c>
      <c r="AI106" s="35">
        <v>5</v>
      </c>
      <c r="AJ106" s="57">
        <v>110</v>
      </c>
      <c r="AK106" s="33" t="s">
        <v>401</v>
      </c>
      <c r="AL106" s="10" t="s">
        <v>50</v>
      </c>
      <c r="AM106" s="6" t="str">
        <f t="shared" si="24"/>
        <v>14821/포인트 적립현황 및 수기적립/ cust/PointAddon</v>
      </c>
      <c r="AN106" s="30"/>
      <c r="AO106" s="30"/>
      <c r="AP106" s="30"/>
      <c r="AQ106" s="30"/>
      <c r="AR106" s="31"/>
      <c r="AS106" s="31"/>
      <c r="AT106" s="31"/>
      <c r="AU106" s="31"/>
      <c r="AV106" s="31"/>
      <c r="AW106" s="31"/>
      <c r="AX106" s="31"/>
      <c r="AY106" s="31"/>
    </row>
    <row r="107" spans="2:51" s="29" customFormat="1" ht="14.5">
      <c r="B107" s="5" t="str">
        <f t="shared" si="25"/>
        <v xml:space="preserve">        └ 고객 포인트 적립 현황</v>
      </c>
      <c r="C107" s="33" t="s">
        <v>47</v>
      </c>
      <c r="D107" s="32"/>
      <c r="E107" s="33" t="s">
        <v>1090</v>
      </c>
      <c r="F107" s="44" t="s">
        <v>757</v>
      </c>
      <c r="G107" s="32"/>
      <c r="H107" s="32"/>
      <c r="I107" s="32"/>
      <c r="J107" s="34"/>
      <c r="K107" s="34"/>
      <c r="L107" s="27" t="str">
        <f t="shared" si="20"/>
        <v>1</v>
      </c>
      <c r="M107" s="27" t="str">
        <f t="shared" si="21"/>
        <v>1</v>
      </c>
      <c r="N107" s="32" t="s">
        <v>408</v>
      </c>
      <c r="O107" s="32" t="s">
        <v>485</v>
      </c>
      <c r="P107" s="27" t="str">
        <f t="shared" si="22"/>
        <v>1</v>
      </c>
      <c r="Q107" s="32" t="s">
        <v>399</v>
      </c>
      <c r="R107" s="32" t="s">
        <v>399</v>
      </c>
      <c r="S107" s="32" t="s">
        <v>399</v>
      </c>
      <c r="T107" s="32" t="s">
        <v>400</v>
      </c>
      <c r="U107" s="32" t="s">
        <v>48</v>
      </c>
      <c r="V107" s="32" t="s">
        <v>400</v>
      </c>
      <c r="W107" s="32" t="s">
        <v>400</v>
      </c>
      <c r="X107" s="32" t="s">
        <v>400</v>
      </c>
      <c r="Y107" s="32" t="s">
        <v>48</v>
      </c>
      <c r="Z107" s="32" t="s">
        <v>48</v>
      </c>
      <c r="AA107" s="32" t="s">
        <v>48</v>
      </c>
      <c r="AB107" s="32" t="s">
        <v>48</v>
      </c>
      <c r="AC107" s="32" t="s">
        <v>48</v>
      </c>
      <c r="AD107" s="32"/>
      <c r="AE107" s="27" t="str">
        <f t="shared" si="23"/>
        <v>N</v>
      </c>
      <c r="AF107" s="32" t="s">
        <v>399</v>
      </c>
      <c r="AG107" s="32"/>
      <c r="AH107" s="33" t="s">
        <v>1091</v>
      </c>
      <c r="AI107" s="35">
        <v>5</v>
      </c>
      <c r="AJ107" s="57">
        <v>111</v>
      </c>
      <c r="AK107" s="33" t="s">
        <v>401</v>
      </c>
      <c r="AL107" s="10" t="s">
        <v>50</v>
      </c>
      <c r="AM107" s="6" t="str">
        <f t="shared" si="24"/>
        <v>14821/고객 포인트 적립 현황/ cust/PointReport</v>
      </c>
      <c r="AN107" s="30"/>
      <c r="AO107" s="30"/>
      <c r="AP107" s="30"/>
      <c r="AQ107" s="30"/>
      <c r="AR107" s="31"/>
      <c r="AS107" s="31"/>
      <c r="AT107" s="31"/>
      <c r="AU107" s="31"/>
      <c r="AV107" s="31"/>
      <c r="AW107" s="31"/>
      <c r="AX107" s="31"/>
      <c r="AY107" s="31"/>
    </row>
    <row r="108" spans="2:51" s="29" customFormat="1" ht="14.5">
      <c r="B108" s="5" t="str">
        <f t="shared" si="25"/>
        <v xml:space="preserve">    └ 현황 보고서</v>
      </c>
      <c r="C108" s="33" t="s">
        <v>47</v>
      </c>
      <c r="D108" s="32"/>
      <c r="E108" s="9">
        <v>2030500</v>
      </c>
      <c r="F108" s="38" t="s">
        <v>1069</v>
      </c>
      <c r="G108" s="9"/>
      <c r="H108" s="9"/>
      <c r="I108" s="9"/>
      <c r="J108" s="9"/>
      <c r="K108" s="9"/>
      <c r="L108" s="9" t="str">
        <f t="shared" si="20"/>
        <v>1</v>
      </c>
      <c r="M108" s="9" t="str">
        <f t="shared" si="21"/>
        <v>0</v>
      </c>
      <c r="N108" s="38" t="s">
        <v>985</v>
      </c>
      <c r="O108" s="38"/>
      <c r="P108" s="9" t="str">
        <f t="shared" si="22"/>
        <v>1</v>
      </c>
      <c r="Q108" s="9" t="s">
        <v>986</v>
      </c>
      <c r="R108" s="9" t="s">
        <v>986</v>
      </c>
      <c r="S108" s="9" t="s">
        <v>986</v>
      </c>
      <c r="T108" s="9" t="s">
        <v>987</v>
      </c>
      <c r="U108" s="9" t="s">
        <v>985</v>
      </c>
      <c r="V108" s="9" t="s">
        <v>987</v>
      </c>
      <c r="W108" s="9" t="s">
        <v>987</v>
      </c>
      <c r="X108" s="9" t="s">
        <v>987</v>
      </c>
      <c r="Y108" s="9" t="s">
        <v>985</v>
      </c>
      <c r="Z108" s="9" t="s">
        <v>985</v>
      </c>
      <c r="AA108" s="9" t="s">
        <v>985</v>
      </c>
      <c r="AB108" s="9" t="s">
        <v>985</v>
      </c>
      <c r="AC108" s="9" t="s">
        <v>985</v>
      </c>
      <c r="AD108" s="9"/>
      <c r="AE108" s="9" t="str">
        <f t="shared" si="23"/>
        <v>N</v>
      </c>
      <c r="AF108" s="9" t="s">
        <v>986</v>
      </c>
      <c r="AG108" s="9"/>
      <c r="AH108" s="9">
        <v>2030000</v>
      </c>
      <c r="AI108" s="9">
        <v>4</v>
      </c>
      <c r="AJ108" s="57">
        <v>112</v>
      </c>
      <c r="AK108" s="10" t="s">
        <v>988</v>
      </c>
      <c r="AL108" s="10" t="s">
        <v>50</v>
      </c>
      <c r="AM108" s="6" t="str">
        <f t="shared" si="24"/>
        <v>14821/현황 보고서/ /</v>
      </c>
      <c r="AN108" s="30"/>
      <c r="AO108" s="30"/>
      <c r="AP108" s="30"/>
      <c r="AQ108" s="30"/>
      <c r="AR108" s="31"/>
      <c r="AS108" s="31"/>
      <c r="AT108" s="31"/>
      <c r="AU108" s="31"/>
      <c r="AV108" s="31"/>
      <c r="AW108" s="31"/>
      <c r="AX108" s="31"/>
      <c r="AY108" s="31"/>
    </row>
    <row r="109" spans="2:51" s="29" customFormat="1" ht="14.5">
      <c r="B109" s="5" t="str">
        <f t="shared" si="25"/>
        <v xml:space="preserve">        └ 고객별 주문 현황</v>
      </c>
      <c r="C109" s="33" t="s">
        <v>47</v>
      </c>
      <c r="D109" s="32"/>
      <c r="E109" s="33" t="s">
        <v>1092</v>
      </c>
      <c r="F109" s="44" t="s">
        <v>758</v>
      </c>
      <c r="G109" s="32"/>
      <c r="H109" s="32"/>
      <c r="I109" s="32"/>
      <c r="J109" s="34"/>
      <c r="K109" s="34"/>
      <c r="L109" s="27" t="str">
        <f t="shared" si="20"/>
        <v>1</v>
      </c>
      <c r="M109" s="27" t="str">
        <f t="shared" si="21"/>
        <v>1</v>
      </c>
      <c r="N109" s="32" t="s">
        <v>417</v>
      </c>
      <c r="O109" s="32" t="s">
        <v>486</v>
      </c>
      <c r="P109" s="27" t="str">
        <f t="shared" si="22"/>
        <v>1</v>
      </c>
      <c r="Q109" s="32" t="s">
        <v>399</v>
      </c>
      <c r="R109" s="32" t="s">
        <v>399</v>
      </c>
      <c r="S109" s="32" t="s">
        <v>400</v>
      </c>
      <c r="T109" s="32" t="s">
        <v>400</v>
      </c>
      <c r="U109" s="32" t="s">
        <v>48</v>
      </c>
      <c r="V109" s="32" t="s">
        <v>400</v>
      </c>
      <c r="W109" s="32" t="s">
        <v>400</v>
      </c>
      <c r="X109" s="32" t="s">
        <v>400</v>
      </c>
      <c r="Y109" s="32" t="s">
        <v>48</v>
      </c>
      <c r="Z109" s="32" t="s">
        <v>48</v>
      </c>
      <c r="AA109" s="32" t="s">
        <v>48</v>
      </c>
      <c r="AB109" s="32" t="s">
        <v>48</v>
      </c>
      <c r="AC109" s="32" t="s">
        <v>48</v>
      </c>
      <c r="AD109" s="32"/>
      <c r="AE109" s="27" t="str">
        <f t="shared" si="23"/>
        <v>N</v>
      </c>
      <c r="AF109" s="32" t="s">
        <v>399</v>
      </c>
      <c r="AG109" s="32"/>
      <c r="AH109" s="33" t="s">
        <v>1099</v>
      </c>
      <c r="AI109" s="35">
        <v>5</v>
      </c>
      <c r="AJ109" s="57">
        <v>113</v>
      </c>
      <c r="AK109" s="33" t="s">
        <v>401</v>
      </c>
      <c r="AL109" s="10" t="s">
        <v>50</v>
      </c>
      <c r="AM109" s="6" t="str">
        <f t="shared" si="24"/>
        <v>14821/고객별 주문 현황/ report/CustOrderRpt</v>
      </c>
      <c r="AN109" s="30"/>
      <c r="AO109" s="30"/>
      <c r="AP109" s="30"/>
      <c r="AQ109" s="30"/>
      <c r="AR109" s="31"/>
      <c r="AS109" s="31"/>
      <c r="AT109" s="31"/>
      <c r="AU109" s="31"/>
      <c r="AV109" s="31"/>
      <c r="AW109" s="31"/>
      <c r="AX109" s="31"/>
      <c r="AY109" s="31"/>
    </row>
    <row r="110" spans="2:51" s="29" customFormat="1" ht="14.5">
      <c r="B110" s="5" t="str">
        <f t="shared" si="25"/>
        <v xml:space="preserve">        └ 고객분류별 주문 현황</v>
      </c>
      <c r="C110" s="33" t="s">
        <v>47</v>
      </c>
      <c r="D110" s="32"/>
      <c r="E110" s="33" t="s">
        <v>1093</v>
      </c>
      <c r="F110" s="44" t="s">
        <v>759</v>
      </c>
      <c r="G110" s="32"/>
      <c r="H110" s="32"/>
      <c r="I110" s="32"/>
      <c r="J110" s="34"/>
      <c r="K110" s="34"/>
      <c r="L110" s="27" t="str">
        <f t="shared" si="20"/>
        <v>1</v>
      </c>
      <c r="M110" s="27" t="str">
        <f t="shared" si="21"/>
        <v>1</v>
      </c>
      <c r="N110" s="32" t="s">
        <v>417</v>
      </c>
      <c r="O110" s="32" t="s">
        <v>487</v>
      </c>
      <c r="P110" s="27" t="str">
        <f t="shared" si="22"/>
        <v>1</v>
      </c>
      <c r="Q110" s="32" t="s">
        <v>399</v>
      </c>
      <c r="R110" s="32" t="s">
        <v>399</v>
      </c>
      <c r="S110" s="32" t="s">
        <v>400</v>
      </c>
      <c r="T110" s="32" t="s">
        <v>400</v>
      </c>
      <c r="U110" s="32" t="s">
        <v>48</v>
      </c>
      <c r="V110" s="32" t="s">
        <v>400</v>
      </c>
      <c r="W110" s="32" t="s">
        <v>400</v>
      </c>
      <c r="X110" s="32" t="s">
        <v>400</v>
      </c>
      <c r="Y110" s="32" t="s">
        <v>48</v>
      </c>
      <c r="Z110" s="32" t="s">
        <v>48</v>
      </c>
      <c r="AA110" s="32" t="s">
        <v>48</v>
      </c>
      <c r="AB110" s="32" t="s">
        <v>48</v>
      </c>
      <c r="AC110" s="32" t="s">
        <v>48</v>
      </c>
      <c r="AD110" s="32"/>
      <c r="AE110" s="27" t="str">
        <f t="shared" si="23"/>
        <v>N</v>
      </c>
      <c r="AF110" s="32" t="s">
        <v>399</v>
      </c>
      <c r="AG110" s="32"/>
      <c r="AH110" s="33" t="s">
        <v>1099</v>
      </c>
      <c r="AI110" s="35">
        <v>5</v>
      </c>
      <c r="AJ110" s="57">
        <v>114</v>
      </c>
      <c r="AK110" s="33" t="s">
        <v>401</v>
      </c>
      <c r="AL110" s="10" t="s">
        <v>50</v>
      </c>
      <c r="AM110" s="6" t="str">
        <f t="shared" si="24"/>
        <v>14821/고객분류별 주문 현황/ report/CustClassOrderRpt</v>
      </c>
      <c r="AN110" s="30"/>
      <c r="AO110" s="30"/>
      <c r="AP110" s="30"/>
      <c r="AQ110" s="30"/>
      <c r="AR110" s="31"/>
      <c r="AS110" s="31"/>
      <c r="AT110" s="31"/>
      <c r="AU110" s="31"/>
      <c r="AV110" s="31"/>
      <c r="AW110" s="31"/>
      <c r="AX110" s="31"/>
      <c r="AY110" s="31"/>
    </row>
    <row r="111" spans="2:51" s="29" customFormat="1" ht="14.5">
      <c r="B111" s="5" t="str">
        <f t="shared" si="25"/>
        <v xml:space="preserve">        └ 매출유형별 주문 현황</v>
      </c>
      <c r="C111" s="33" t="s">
        <v>47</v>
      </c>
      <c r="D111" s="32"/>
      <c r="E111" s="33" t="s">
        <v>1094</v>
      </c>
      <c r="F111" s="44" t="s">
        <v>760</v>
      </c>
      <c r="G111" s="32"/>
      <c r="H111" s="32"/>
      <c r="I111" s="32"/>
      <c r="J111" s="34"/>
      <c r="K111" s="34"/>
      <c r="L111" s="27" t="str">
        <f t="shared" si="20"/>
        <v>1</v>
      </c>
      <c r="M111" s="27" t="str">
        <f t="shared" si="21"/>
        <v>1</v>
      </c>
      <c r="N111" s="32" t="s">
        <v>417</v>
      </c>
      <c r="O111" s="32" t="s">
        <v>488</v>
      </c>
      <c r="P111" s="27" t="str">
        <f t="shared" si="22"/>
        <v>1</v>
      </c>
      <c r="Q111" s="32" t="s">
        <v>399</v>
      </c>
      <c r="R111" s="32" t="s">
        <v>399</v>
      </c>
      <c r="S111" s="32" t="s">
        <v>400</v>
      </c>
      <c r="T111" s="32" t="s">
        <v>400</v>
      </c>
      <c r="U111" s="32" t="s">
        <v>48</v>
      </c>
      <c r="V111" s="32" t="s">
        <v>400</v>
      </c>
      <c r="W111" s="32" t="s">
        <v>400</v>
      </c>
      <c r="X111" s="32" t="s">
        <v>400</v>
      </c>
      <c r="Y111" s="32" t="s">
        <v>48</v>
      </c>
      <c r="Z111" s="32" t="s">
        <v>48</v>
      </c>
      <c r="AA111" s="32" t="s">
        <v>48</v>
      </c>
      <c r="AB111" s="32" t="s">
        <v>48</v>
      </c>
      <c r="AC111" s="32" t="s">
        <v>48</v>
      </c>
      <c r="AD111" s="32"/>
      <c r="AE111" s="27" t="str">
        <f t="shared" si="23"/>
        <v>N</v>
      </c>
      <c r="AF111" s="32" t="s">
        <v>399</v>
      </c>
      <c r="AG111" s="32"/>
      <c r="AH111" s="33" t="s">
        <v>1099</v>
      </c>
      <c r="AI111" s="35">
        <v>5</v>
      </c>
      <c r="AJ111" s="57">
        <v>115</v>
      </c>
      <c r="AK111" s="33" t="s">
        <v>401</v>
      </c>
      <c r="AL111" s="10" t="s">
        <v>50</v>
      </c>
      <c r="AM111" s="6" t="str">
        <f t="shared" si="24"/>
        <v>14821/매출유형별 주문 현황/ report/CustPersonRpt</v>
      </c>
      <c r="AN111" s="30"/>
      <c r="AO111" s="30"/>
      <c r="AP111" s="30"/>
      <c r="AQ111" s="30"/>
      <c r="AR111" s="31"/>
      <c r="AS111" s="31"/>
      <c r="AT111" s="31"/>
      <c r="AU111" s="31"/>
      <c r="AV111" s="31"/>
      <c r="AW111" s="31"/>
      <c r="AX111" s="31"/>
      <c r="AY111" s="31"/>
    </row>
    <row r="112" spans="2:51" s="29" customFormat="1" ht="14.5">
      <c r="B112" s="5" t="str">
        <f t="shared" si="25"/>
        <v xml:space="preserve">        └ 고객별 매출 현황</v>
      </c>
      <c r="C112" s="33" t="s">
        <v>47</v>
      </c>
      <c r="D112" s="32"/>
      <c r="E112" s="33" t="s">
        <v>1095</v>
      </c>
      <c r="F112" s="44" t="s">
        <v>761</v>
      </c>
      <c r="G112" s="32"/>
      <c r="H112" s="32"/>
      <c r="I112" s="32"/>
      <c r="J112" s="34"/>
      <c r="K112" s="34"/>
      <c r="L112" s="27" t="str">
        <f t="shared" si="20"/>
        <v>1</v>
      </c>
      <c r="M112" s="27" t="str">
        <f t="shared" si="21"/>
        <v>1</v>
      </c>
      <c r="N112" s="32" t="s">
        <v>417</v>
      </c>
      <c r="O112" s="32" t="s">
        <v>489</v>
      </c>
      <c r="P112" s="27" t="str">
        <f t="shared" si="22"/>
        <v>1</v>
      </c>
      <c r="Q112" s="32" t="s">
        <v>399</v>
      </c>
      <c r="R112" s="32" t="s">
        <v>399</v>
      </c>
      <c r="S112" s="32" t="s">
        <v>399</v>
      </c>
      <c r="T112" s="32" t="s">
        <v>400</v>
      </c>
      <c r="U112" s="32" t="s">
        <v>48</v>
      </c>
      <c r="V112" s="32" t="s">
        <v>400</v>
      </c>
      <c r="W112" s="32" t="s">
        <v>400</v>
      </c>
      <c r="X112" s="32" t="s">
        <v>400</v>
      </c>
      <c r="Y112" s="32" t="s">
        <v>48</v>
      </c>
      <c r="Z112" s="32" t="s">
        <v>48</v>
      </c>
      <c r="AA112" s="32" t="s">
        <v>48</v>
      </c>
      <c r="AB112" s="32" t="s">
        <v>48</v>
      </c>
      <c r="AC112" s="32" t="s">
        <v>48</v>
      </c>
      <c r="AD112" s="32"/>
      <c r="AE112" s="27" t="str">
        <f t="shared" si="23"/>
        <v>N</v>
      </c>
      <c r="AF112" s="32" t="s">
        <v>399</v>
      </c>
      <c r="AG112" s="32"/>
      <c r="AH112" s="33" t="s">
        <v>1099</v>
      </c>
      <c r="AI112" s="35">
        <v>5</v>
      </c>
      <c r="AJ112" s="57">
        <v>116</v>
      </c>
      <c r="AK112" s="33" t="s">
        <v>401</v>
      </c>
      <c r="AL112" s="10" t="s">
        <v>50</v>
      </c>
      <c r="AM112" s="6" t="str">
        <f t="shared" si="24"/>
        <v>14821/고객별 매출 현황/ report/CustSaleRpt</v>
      </c>
      <c r="AN112" s="30"/>
      <c r="AO112" s="30"/>
      <c r="AP112" s="30"/>
      <c r="AQ112" s="30"/>
      <c r="AR112" s="31"/>
      <c r="AS112" s="31"/>
      <c r="AT112" s="31"/>
      <c r="AU112" s="31"/>
      <c r="AV112" s="31"/>
      <c r="AW112" s="31"/>
      <c r="AX112" s="31"/>
      <c r="AY112" s="31"/>
    </row>
    <row r="113" spans="2:51" s="29" customFormat="1" ht="14.5">
      <c r="B113" s="5" t="str">
        <f t="shared" si="25"/>
        <v xml:space="preserve">        └ 고객분류별 매출 현황</v>
      </c>
      <c r="C113" s="33" t="s">
        <v>47</v>
      </c>
      <c r="D113" s="32"/>
      <c r="E113" s="33" t="s">
        <v>1096</v>
      </c>
      <c r="F113" s="44" t="s">
        <v>762</v>
      </c>
      <c r="G113" s="32"/>
      <c r="H113" s="32"/>
      <c r="I113" s="32"/>
      <c r="J113" s="34"/>
      <c r="K113" s="34"/>
      <c r="L113" s="27" t="str">
        <f t="shared" si="20"/>
        <v>1</v>
      </c>
      <c r="M113" s="27" t="str">
        <f t="shared" si="21"/>
        <v>1</v>
      </c>
      <c r="N113" s="32" t="s">
        <v>417</v>
      </c>
      <c r="O113" s="32" t="s">
        <v>490</v>
      </c>
      <c r="P113" s="27" t="str">
        <f t="shared" si="22"/>
        <v>1</v>
      </c>
      <c r="Q113" s="32" t="s">
        <v>399</v>
      </c>
      <c r="R113" s="32" t="s">
        <v>399</v>
      </c>
      <c r="S113" s="32" t="s">
        <v>400</v>
      </c>
      <c r="T113" s="32" t="s">
        <v>400</v>
      </c>
      <c r="U113" s="32" t="s">
        <v>48</v>
      </c>
      <c r="V113" s="32" t="s">
        <v>400</v>
      </c>
      <c r="W113" s="32" t="s">
        <v>400</v>
      </c>
      <c r="X113" s="32" t="s">
        <v>400</v>
      </c>
      <c r="Y113" s="32" t="s">
        <v>48</v>
      </c>
      <c r="Z113" s="32" t="s">
        <v>48</v>
      </c>
      <c r="AA113" s="32" t="s">
        <v>48</v>
      </c>
      <c r="AB113" s="32" t="s">
        <v>48</v>
      </c>
      <c r="AC113" s="32" t="s">
        <v>48</v>
      </c>
      <c r="AD113" s="32"/>
      <c r="AE113" s="27" t="str">
        <f t="shared" si="23"/>
        <v>N</v>
      </c>
      <c r="AF113" s="32" t="s">
        <v>399</v>
      </c>
      <c r="AG113" s="32"/>
      <c r="AH113" s="33" t="s">
        <v>1099</v>
      </c>
      <c r="AI113" s="35">
        <v>5</v>
      </c>
      <c r="AJ113" s="57">
        <v>117</v>
      </c>
      <c r="AK113" s="33" t="s">
        <v>401</v>
      </c>
      <c r="AL113" s="10" t="s">
        <v>50</v>
      </c>
      <c r="AM113" s="6" t="str">
        <f t="shared" si="24"/>
        <v>14821/고객분류별 매출 현황/ report/CustClassSaleRpt</v>
      </c>
      <c r="AN113" s="30"/>
      <c r="AO113" s="30"/>
      <c r="AP113" s="30"/>
      <c r="AQ113" s="30"/>
      <c r="AR113" s="31"/>
      <c r="AS113" s="31"/>
      <c r="AT113" s="31"/>
      <c r="AU113" s="31"/>
      <c r="AV113" s="31"/>
      <c r="AW113" s="31"/>
      <c r="AX113" s="31"/>
      <c r="AY113" s="31"/>
    </row>
    <row r="114" spans="2:51" s="29" customFormat="1" ht="14.5">
      <c r="B114" s="5" t="str">
        <f t="shared" si="25"/>
        <v xml:space="preserve">        └ 상품별 고객분류별 매출 현황</v>
      </c>
      <c r="C114" s="33" t="s">
        <v>47</v>
      </c>
      <c r="D114" s="32"/>
      <c r="E114" s="33" t="s">
        <v>1097</v>
      </c>
      <c r="F114" s="44" t="s">
        <v>763</v>
      </c>
      <c r="G114" s="32"/>
      <c r="H114" s="32"/>
      <c r="I114" s="32"/>
      <c r="J114" s="34"/>
      <c r="K114" s="34"/>
      <c r="L114" s="27" t="str">
        <f t="shared" si="20"/>
        <v>1</v>
      </c>
      <c r="M114" s="27" t="str">
        <f t="shared" si="21"/>
        <v>1</v>
      </c>
      <c r="N114" s="32" t="s">
        <v>417</v>
      </c>
      <c r="O114" s="32" t="s">
        <v>491</v>
      </c>
      <c r="P114" s="27" t="str">
        <f t="shared" si="22"/>
        <v>1</v>
      </c>
      <c r="Q114" s="32" t="s">
        <v>399</v>
      </c>
      <c r="R114" s="32" t="s">
        <v>399</v>
      </c>
      <c r="S114" s="32" t="s">
        <v>400</v>
      </c>
      <c r="T114" s="32" t="s">
        <v>400</v>
      </c>
      <c r="U114" s="32" t="s">
        <v>48</v>
      </c>
      <c r="V114" s="32" t="s">
        <v>400</v>
      </c>
      <c r="W114" s="32" t="s">
        <v>400</v>
      </c>
      <c r="X114" s="32" t="s">
        <v>400</v>
      </c>
      <c r="Y114" s="32" t="s">
        <v>48</v>
      </c>
      <c r="Z114" s="32" t="s">
        <v>48</v>
      </c>
      <c r="AA114" s="32" t="s">
        <v>48</v>
      </c>
      <c r="AB114" s="32" t="s">
        <v>48</v>
      </c>
      <c r="AC114" s="32" t="s">
        <v>48</v>
      </c>
      <c r="AD114" s="32"/>
      <c r="AE114" s="27" t="str">
        <f t="shared" si="23"/>
        <v>N</v>
      </c>
      <c r="AF114" s="32" t="s">
        <v>399</v>
      </c>
      <c r="AG114" s="32"/>
      <c r="AH114" s="33" t="s">
        <v>1099</v>
      </c>
      <c r="AI114" s="35">
        <v>5</v>
      </c>
      <c r="AJ114" s="57">
        <v>118</v>
      </c>
      <c r="AK114" s="33" t="s">
        <v>401</v>
      </c>
      <c r="AL114" s="10" t="s">
        <v>50</v>
      </c>
      <c r="AM114" s="6" t="str">
        <f t="shared" si="24"/>
        <v>14821/상품별 고객분류별 매출 현황/ report/CustItemRpt</v>
      </c>
      <c r="AN114" s="30"/>
      <c r="AO114" s="30"/>
      <c r="AP114" s="30"/>
      <c r="AQ114" s="30"/>
      <c r="AR114" s="31"/>
      <c r="AS114" s="31"/>
      <c r="AT114" s="31"/>
      <c r="AU114" s="31"/>
      <c r="AV114" s="31"/>
      <c r="AW114" s="31"/>
      <c r="AX114" s="31"/>
      <c r="AY114" s="31"/>
    </row>
    <row r="115" spans="2:51" s="29" customFormat="1" ht="14.5">
      <c r="B115" s="5" t="str">
        <f t="shared" si="25"/>
        <v xml:space="preserve">        └ 고객별 거래원장</v>
      </c>
      <c r="C115" s="33" t="s">
        <v>47</v>
      </c>
      <c r="D115" s="32"/>
      <c r="E115" s="33" t="s">
        <v>1098</v>
      </c>
      <c r="F115" s="44" t="s">
        <v>764</v>
      </c>
      <c r="G115" s="32"/>
      <c r="H115" s="32"/>
      <c r="I115" s="32"/>
      <c r="J115" s="34"/>
      <c r="K115" s="34"/>
      <c r="L115" s="27" t="str">
        <f t="shared" si="20"/>
        <v>1</v>
      </c>
      <c r="M115" s="27" t="str">
        <f t="shared" si="21"/>
        <v>1</v>
      </c>
      <c r="N115" s="32" t="s">
        <v>417</v>
      </c>
      <c r="O115" s="32" t="s">
        <v>492</v>
      </c>
      <c r="P115" s="27" t="str">
        <f t="shared" si="22"/>
        <v>1</v>
      </c>
      <c r="Q115" s="32" t="s">
        <v>399</v>
      </c>
      <c r="R115" s="32" t="s">
        <v>400</v>
      </c>
      <c r="S115" s="32" t="s">
        <v>400</v>
      </c>
      <c r="T115" s="32" t="s">
        <v>400</v>
      </c>
      <c r="U115" s="32" t="s">
        <v>48</v>
      </c>
      <c r="V115" s="32" t="s">
        <v>400</v>
      </c>
      <c r="W115" s="32" t="s">
        <v>400</v>
      </c>
      <c r="X115" s="32" t="s">
        <v>400</v>
      </c>
      <c r="Y115" s="32" t="s">
        <v>48</v>
      </c>
      <c r="Z115" s="32" t="s">
        <v>48</v>
      </c>
      <c r="AA115" s="32" t="s">
        <v>48</v>
      </c>
      <c r="AB115" s="32" t="s">
        <v>48</v>
      </c>
      <c r="AC115" s="32" t="s">
        <v>48</v>
      </c>
      <c r="AD115" s="32"/>
      <c r="AE115" s="27" t="str">
        <f t="shared" si="23"/>
        <v>N</v>
      </c>
      <c r="AF115" s="32" t="s">
        <v>399</v>
      </c>
      <c r="AG115" s="32"/>
      <c r="AH115" s="33" t="s">
        <v>1099</v>
      </c>
      <c r="AI115" s="35">
        <v>5</v>
      </c>
      <c r="AJ115" s="57">
        <v>119</v>
      </c>
      <c r="AK115" s="33" t="s">
        <v>401</v>
      </c>
      <c r="AL115" s="10" t="s">
        <v>50</v>
      </c>
      <c r="AM115" s="6" t="str">
        <f t="shared" si="24"/>
        <v>14821/고객별 거래원장/ report/CustLedgerRpt</v>
      </c>
      <c r="AN115" s="30"/>
      <c r="AO115" s="30"/>
      <c r="AP115" s="30"/>
      <c r="AQ115" s="30"/>
      <c r="AR115" s="31"/>
      <c r="AS115" s="31"/>
      <c r="AT115" s="31"/>
      <c r="AU115" s="31"/>
      <c r="AV115" s="31"/>
      <c r="AW115" s="31"/>
      <c r="AX115" s="31"/>
      <c r="AY115" s="31"/>
    </row>
    <row r="116" spans="2:51" s="29" customFormat="1" ht="14.5">
      <c r="B116" s="5" t="str">
        <f t="shared" si="25"/>
        <v xml:space="preserve">  └ 구매</v>
      </c>
      <c r="C116" s="33" t="s">
        <v>47</v>
      </c>
      <c r="D116" s="19"/>
      <c r="E116" s="19">
        <v>2040000</v>
      </c>
      <c r="F116" s="42" t="s">
        <v>137</v>
      </c>
      <c r="G116" s="19"/>
      <c r="H116" s="19"/>
      <c r="I116" s="19"/>
      <c r="J116" s="19"/>
      <c r="K116" s="19"/>
      <c r="L116" s="19" t="str">
        <f t="shared" ref="L116:L132" si="26">IF(F116="","","1")</f>
        <v>1</v>
      </c>
      <c r="M116" s="19" t="str">
        <f t="shared" ref="M116:M132" si="27">IF(F116="","",IF(O116="","0","1"))</f>
        <v>0</v>
      </c>
      <c r="N116" s="19" t="s">
        <v>48</v>
      </c>
      <c r="O116" s="19"/>
      <c r="P116" s="19" t="str">
        <f t="shared" ref="P116:P132" si="28">IF(F116="","","1")</f>
        <v>1</v>
      </c>
      <c r="Q116" s="19" t="s">
        <v>399</v>
      </c>
      <c r="R116" s="19" t="s">
        <v>399</v>
      </c>
      <c r="S116" s="19" t="s">
        <v>399</v>
      </c>
      <c r="T116" s="19" t="s">
        <v>400</v>
      </c>
      <c r="U116" s="19" t="s">
        <v>48</v>
      </c>
      <c r="V116" s="19" t="s">
        <v>400</v>
      </c>
      <c r="W116" s="19" t="s">
        <v>400</v>
      </c>
      <c r="X116" s="19" t="s">
        <v>400</v>
      </c>
      <c r="Y116" s="19" t="s">
        <v>48</v>
      </c>
      <c r="Z116" s="19" t="s">
        <v>48</v>
      </c>
      <c r="AA116" s="19" t="s">
        <v>48</v>
      </c>
      <c r="AB116" s="19" t="s">
        <v>48</v>
      </c>
      <c r="AC116" s="19" t="s">
        <v>48</v>
      </c>
      <c r="AD116" s="19"/>
      <c r="AE116" s="19" t="str">
        <f t="shared" ref="AE116:AE132" si="29">IF(F116="","","N")</f>
        <v>N</v>
      </c>
      <c r="AF116" s="19" t="s">
        <v>399</v>
      </c>
      <c r="AG116" s="19"/>
      <c r="AH116" s="19">
        <v>2000000</v>
      </c>
      <c r="AI116" s="19">
        <v>3</v>
      </c>
      <c r="AJ116" s="57">
        <v>120</v>
      </c>
      <c r="AK116" s="10" t="s">
        <v>401</v>
      </c>
      <c r="AL116" s="10" t="s">
        <v>50</v>
      </c>
      <c r="AM116" s="6" t="str">
        <f t="shared" si="24"/>
        <v>14821/구매/ /</v>
      </c>
      <c r="AN116" s="30"/>
      <c r="AO116" s="30"/>
      <c r="AP116" s="30"/>
      <c r="AQ116" s="30"/>
      <c r="AR116" s="31"/>
      <c r="AS116" s="31"/>
      <c r="AT116" s="31"/>
      <c r="AU116" s="31"/>
      <c r="AV116" s="31"/>
      <c r="AW116" s="31"/>
      <c r="AX116" s="31"/>
      <c r="AY116" s="31"/>
    </row>
    <row r="117" spans="2:51" s="29" customFormat="1" ht="14.5">
      <c r="B117" s="5" t="str">
        <f t="shared" si="25"/>
        <v xml:space="preserve">    └ 매입처</v>
      </c>
      <c r="C117" s="33" t="s">
        <v>47</v>
      </c>
      <c r="D117" s="32"/>
      <c r="E117" s="9" t="s">
        <v>1100</v>
      </c>
      <c r="F117" s="38" t="s">
        <v>1113</v>
      </c>
      <c r="G117" s="9"/>
      <c r="H117" s="9"/>
      <c r="I117" s="9"/>
      <c r="J117" s="9"/>
      <c r="K117" s="9"/>
      <c r="L117" s="9" t="str">
        <f t="shared" si="26"/>
        <v>1</v>
      </c>
      <c r="M117" s="9" t="str">
        <f t="shared" si="27"/>
        <v>0</v>
      </c>
      <c r="N117" s="38" t="s">
        <v>985</v>
      </c>
      <c r="O117" s="38"/>
      <c r="P117" s="9" t="str">
        <f t="shared" si="28"/>
        <v>1</v>
      </c>
      <c r="Q117" s="9" t="s">
        <v>986</v>
      </c>
      <c r="R117" s="9" t="s">
        <v>986</v>
      </c>
      <c r="S117" s="9" t="s">
        <v>986</v>
      </c>
      <c r="T117" s="9" t="s">
        <v>987</v>
      </c>
      <c r="U117" s="9" t="s">
        <v>985</v>
      </c>
      <c r="V117" s="9" t="s">
        <v>987</v>
      </c>
      <c r="W117" s="9" t="s">
        <v>987</v>
      </c>
      <c r="X117" s="9" t="s">
        <v>987</v>
      </c>
      <c r="Y117" s="9" t="s">
        <v>985</v>
      </c>
      <c r="Z117" s="9" t="s">
        <v>985</v>
      </c>
      <c r="AA117" s="9" t="s">
        <v>985</v>
      </c>
      <c r="AB117" s="9" t="s">
        <v>985</v>
      </c>
      <c r="AC117" s="9" t="s">
        <v>985</v>
      </c>
      <c r="AD117" s="9"/>
      <c r="AE117" s="9" t="str">
        <f t="shared" si="29"/>
        <v>N</v>
      </c>
      <c r="AF117" s="9" t="s">
        <v>986</v>
      </c>
      <c r="AG117" s="9"/>
      <c r="AH117" s="9" t="s">
        <v>1112</v>
      </c>
      <c r="AI117" s="9">
        <v>4</v>
      </c>
      <c r="AJ117" s="57">
        <v>121</v>
      </c>
      <c r="AK117" s="10" t="s">
        <v>988</v>
      </c>
      <c r="AL117" s="10" t="s">
        <v>50</v>
      </c>
      <c r="AM117" s="6" t="str">
        <f t="shared" si="24"/>
        <v>14821/매입처/ /</v>
      </c>
      <c r="AN117" s="30"/>
      <c r="AO117" s="30"/>
      <c r="AP117" s="30"/>
      <c r="AQ117" s="30"/>
      <c r="AR117" s="31"/>
      <c r="AS117" s="31"/>
      <c r="AT117" s="31"/>
      <c r="AU117" s="31"/>
      <c r="AV117" s="31"/>
      <c r="AW117" s="31"/>
      <c r="AX117" s="31"/>
      <c r="AY117" s="31"/>
    </row>
    <row r="118" spans="2:51" s="29" customFormat="1" ht="14.5">
      <c r="B118" s="5" t="str">
        <f t="shared" si="25"/>
        <v xml:space="preserve">        └ 매입사 기초</v>
      </c>
      <c r="C118" s="33" t="s">
        <v>47</v>
      </c>
      <c r="D118" s="32"/>
      <c r="E118" s="33" t="s">
        <v>1101</v>
      </c>
      <c r="F118" s="44" t="s">
        <v>736</v>
      </c>
      <c r="G118" s="32"/>
      <c r="H118" s="32"/>
      <c r="I118" s="32"/>
      <c r="J118" s="36"/>
      <c r="K118" s="34"/>
      <c r="L118" s="27" t="str">
        <f t="shared" ref="L118:L126" si="30">IF(F118="","","1")</f>
        <v>1</v>
      </c>
      <c r="M118" s="27" t="str">
        <f t="shared" ref="M118:M126" si="31">IF(F118="","",IF(O118="","0","1"))</f>
        <v>0</v>
      </c>
      <c r="N118" s="32" t="s">
        <v>48</v>
      </c>
      <c r="O118" s="32"/>
      <c r="P118" s="27" t="str">
        <f t="shared" ref="P118:P126" si="32">IF(F118="","","1")</f>
        <v>1</v>
      </c>
      <c r="Q118" s="32" t="s">
        <v>399</v>
      </c>
      <c r="R118" s="32" t="s">
        <v>399</v>
      </c>
      <c r="S118" s="32" t="s">
        <v>399</v>
      </c>
      <c r="T118" s="32" t="s">
        <v>400</v>
      </c>
      <c r="U118" s="32" t="s">
        <v>48</v>
      </c>
      <c r="V118" s="32" t="s">
        <v>400</v>
      </c>
      <c r="W118" s="32" t="s">
        <v>400</v>
      </c>
      <c r="X118" s="32" t="s">
        <v>400</v>
      </c>
      <c r="Y118" s="32" t="s">
        <v>48</v>
      </c>
      <c r="Z118" s="32" t="s">
        <v>48</v>
      </c>
      <c r="AA118" s="32" t="s">
        <v>48</v>
      </c>
      <c r="AB118" s="32" t="s">
        <v>48</v>
      </c>
      <c r="AC118" s="32" t="s">
        <v>48</v>
      </c>
      <c r="AD118" s="32"/>
      <c r="AE118" s="27" t="str">
        <f t="shared" ref="AE118:AE126" si="33">IF(F118="","","N")</f>
        <v>N</v>
      </c>
      <c r="AF118" s="32" t="s">
        <v>399</v>
      </c>
      <c r="AG118" s="32"/>
      <c r="AH118" s="33" t="s">
        <v>1100</v>
      </c>
      <c r="AI118" s="37">
        <v>5</v>
      </c>
      <c r="AJ118" s="57">
        <v>122</v>
      </c>
      <c r="AK118" s="33" t="s">
        <v>401</v>
      </c>
      <c r="AL118" s="10" t="s">
        <v>50</v>
      </c>
      <c r="AM118" s="6" t="str">
        <f t="shared" si="24"/>
        <v>14821/매입사 기초/ /</v>
      </c>
      <c r="AN118" s="30"/>
      <c r="AO118" s="30"/>
      <c r="AP118" s="30"/>
      <c r="AQ118" s="30"/>
      <c r="AR118" s="31"/>
      <c r="AS118" s="31"/>
      <c r="AT118" s="31"/>
      <c r="AU118" s="31"/>
      <c r="AV118" s="31"/>
      <c r="AW118" s="31"/>
      <c r="AX118" s="31"/>
      <c r="AY118" s="31"/>
    </row>
    <row r="119" spans="2:51" s="29" customFormat="1" ht="14.5">
      <c r="B119" s="5" t="str">
        <f t="shared" si="25"/>
        <v xml:space="preserve">           └ 매입사 기초 코드 관리</v>
      </c>
      <c r="C119" s="33" t="s">
        <v>47</v>
      </c>
      <c r="D119" s="32"/>
      <c r="E119" s="33" t="s">
        <v>1102</v>
      </c>
      <c r="F119" s="44" t="s">
        <v>741</v>
      </c>
      <c r="G119" s="32"/>
      <c r="H119" s="32"/>
      <c r="I119" s="32"/>
      <c r="J119" s="34"/>
      <c r="K119" s="34"/>
      <c r="L119" s="27" t="str">
        <f t="shared" si="30"/>
        <v>1</v>
      </c>
      <c r="M119" s="27" t="str">
        <f t="shared" si="31"/>
        <v>1</v>
      </c>
      <c r="N119" s="32" t="s">
        <v>409</v>
      </c>
      <c r="O119" s="32" t="s">
        <v>470</v>
      </c>
      <c r="P119" s="27" t="str">
        <f t="shared" si="32"/>
        <v>1</v>
      </c>
      <c r="Q119" s="32" t="s">
        <v>400</v>
      </c>
      <c r="R119" s="32" t="s">
        <v>399</v>
      </c>
      <c r="S119" s="32" t="s">
        <v>399</v>
      </c>
      <c r="T119" s="32" t="s">
        <v>400</v>
      </c>
      <c r="U119" s="32" t="s">
        <v>48</v>
      </c>
      <c r="V119" s="32" t="s">
        <v>400</v>
      </c>
      <c r="W119" s="32" t="s">
        <v>400</v>
      </c>
      <c r="X119" s="32" t="s">
        <v>400</v>
      </c>
      <c r="Y119" s="32" t="s">
        <v>48</v>
      </c>
      <c r="Z119" s="32" t="s">
        <v>48</v>
      </c>
      <c r="AA119" s="32" t="s">
        <v>48</v>
      </c>
      <c r="AB119" s="32" t="s">
        <v>48</v>
      </c>
      <c r="AC119" s="32" t="s">
        <v>48</v>
      </c>
      <c r="AD119" s="32"/>
      <c r="AE119" s="27" t="str">
        <f t="shared" si="33"/>
        <v>N</v>
      </c>
      <c r="AF119" s="32" t="s">
        <v>399</v>
      </c>
      <c r="AG119" s="32"/>
      <c r="AH119" s="33" t="s">
        <v>1101</v>
      </c>
      <c r="AI119" s="35">
        <v>6</v>
      </c>
      <c r="AJ119" s="57">
        <v>123</v>
      </c>
      <c r="AK119" s="33" t="s">
        <v>401</v>
      </c>
      <c r="AL119" s="10" t="s">
        <v>50</v>
      </c>
      <c r="AM119" s="6" t="str">
        <f t="shared" si="24"/>
        <v>14821/매입사 기초 코드 관리/ vend/VendBaseInfo</v>
      </c>
      <c r="AN119" s="30"/>
      <c r="AO119" s="30"/>
      <c r="AP119" s="30"/>
      <c r="AQ119" s="30"/>
      <c r="AR119" s="31"/>
      <c r="AS119" s="31"/>
      <c r="AT119" s="31"/>
      <c r="AU119" s="31"/>
      <c r="AV119" s="31"/>
      <c r="AW119" s="31"/>
      <c r="AX119" s="31"/>
      <c r="AY119" s="31"/>
    </row>
    <row r="120" spans="2:51" s="29" customFormat="1" ht="14.5">
      <c r="B120" s="5" t="str">
        <f t="shared" si="25"/>
        <v xml:space="preserve">           └ 매입사 지급 기일 코드 관리</v>
      </c>
      <c r="C120" s="33" t="s">
        <v>47</v>
      </c>
      <c r="D120" s="32"/>
      <c r="E120" s="33" t="s">
        <v>1103</v>
      </c>
      <c r="F120" s="44" t="s">
        <v>739</v>
      </c>
      <c r="G120" s="32"/>
      <c r="H120" s="32"/>
      <c r="I120" s="32"/>
      <c r="J120" s="34"/>
      <c r="K120" s="34"/>
      <c r="L120" s="27" t="str">
        <f t="shared" si="30"/>
        <v>1</v>
      </c>
      <c r="M120" s="27" t="str">
        <f t="shared" si="31"/>
        <v>1</v>
      </c>
      <c r="N120" s="32" t="s">
        <v>409</v>
      </c>
      <c r="O120" s="32" t="s">
        <v>468</v>
      </c>
      <c r="P120" s="27" t="str">
        <f t="shared" si="32"/>
        <v>1</v>
      </c>
      <c r="Q120" s="32" t="s">
        <v>399</v>
      </c>
      <c r="R120" s="32" t="s">
        <v>399</v>
      </c>
      <c r="S120" s="32" t="s">
        <v>399</v>
      </c>
      <c r="T120" s="32" t="s">
        <v>400</v>
      </c>
      <c r="U120" s="32" t="s">
        <v>48</v>
      </c>
      <c r="V120" s="32" t="s">
        <v>400</v>
      </c>
      <c r="W120" s="32" t="s">
        <v>400</v>
      </c>
      <c r="X120" s="32" t="s">
        <v>400</v>
      </c>
      <c r="Y120" s="32" t="s">
        <v>48</v>
      </c>
      <c r="Z120" s="32" t="s">
        <v>48</v>
      </c>
      <c r="AA120" s="32" t="s">
        <v>48</v>
      </c>
      <c r="AB120" s="32" t="s">
        <v>48</v>
      </c>
      <c r="AC120" s="32" t="s">
        <v>48</v>
      </c>
      <c r="AD120" s="32"/>
      <c r="AE120" s="27" t="str">
        <f t="shared" si="33"/>
        <v>N</v>
      </c>
      <c r="AF120" s="32" t="s">
        <v>399</v>
      </c>
      <c r="AG120" s="32"/>
      <c r="AH120" s="33" t="s">
        <v>1101</v>
      </c>
      <c r="AI120" s="35">
        <v>6</v>
      </c>
      <c r="AJ120" s="57">
        <v>124</v>
      </c>
      <c r="AK120" s="33" t="s">
        <v>401</v>
      </c>
      <c r="AL120" s="10" t="s">
        <v>50</v>
      </c>
      <c r="AM120" s="6" t="str">
        <f t="shared" si="24"/>
        <v>14821/매입사 지급 기일 코드 관리/ vend/VendClass4</v>
      </c>
      <c r="AN120" s="30"/>
      <c r="AO120" s="30"/>
      <c r="AP120" s="30"/>
      <c r="AQ120" s="30"/>
      <c r="AR120" s="31"/>
      <c r="AS120" s="31"/>
      <c r="AT120" s="31"/>
      <c r="AU120" s="31"/>
      <c r="AV120" s="31"/>
      <c r="AW120" s="31"/>
      <c r="AX120" s="31"/>
      <c r="AY120" s="31"/>
    </row>
    <row r="121" spans="2:51" s="29" customFormat="1" ht="14.5">
      <c r="B121" s="5" t="str">
        <f t="shared" si="25"/>
        <v xml:space="preserve">           └ 매입사 지급 방법 코드 관리</v>
      </c>
      <c r="C121" s="33" t="s">
        <v>47</v>
      </c>
      <c r="D121" s="32"/>
      <c r="E121" s="33" t="s">
        <v>1104</v>
      </c>
      <c r="F121" s="44" t="s">
        <v>742</v>
      </c>
      <c r="G121" s="32"/>
      <c r="H121" s="32"/>
      <c r="I121" s="32"/>
      <c r="J121" s="34"/>
      <c r="K121" s="34"/>
      <c r="L121" s="27" t="str">
        <f t="shared" si="30"/>
        <v>1</v>
      </c>
      <c r="M121" s="27" t="str">
        <f t="shared" si="31"/>
        <v>1</v>
      </c>
      <c r="N121" s="32" t="s">
        <v>409</v>
      </c>
      <c r="O121" s="32" t="s">
        <v>471</v>
      </c>
      <c r="P121" s="27" t="str">
        <f t="shared" si="32"/>
        <v>1</v>
      </c>
      <c r="Q121" s="32" t="s">
        <v>399</v>
      </c>
      <c r="R121" s="32" t="s">
        <v>399</v>
      </c>
      <c r="S121" s="32" t="s">
        <v>399</v>
      </c>
      <c r="T121" s="32" t="s">
        <v>400</v>
      </c>
      <c r="U121" s="32" t="s">
        <v>48</v>
      </c>
      <c r="V121" s="32" t="s">
        <v>400</v>
      </c>
      <c r="W121" s="32" t="s">
        <v>400</v>
      </c>
      <c r="X121" s="32" t="s">
        <v>400</v>
      </c>
      <c r="Y121" s="32" t="s">
        <v>48</v>
      </c>
      <c r="Z121" s="32" t="s">
        <v>48</v>
      </c>
      <c r="AA121" s="32" t="s">
        <v>48</v>
      </c>
      <c r="AB121" s="32" t="s">
        <v>48</v>
      </c>
      <c r="AC121" s="32" t="s">
        <v>48</v>
      </c>
      <c r="AD121" s="32"/>
      <c r="AE121" s="27" t="str">
        <f t="shared" si="33"/>
        <v>N</v>
      </c>
      <c r="AF121" s="32" t="s">
        <v>399</v>
      </c>
      <c r="AG121" s="32"/>
      <c r="AH121" s="33" t="s">
        <v>1101</v>
      </c>
      <c r="AI121" s="35">
        <v>6</v>
      </c>
      <c r="AJ121" s="57">
        <v>125</v>
      </c>
      <c r="AK121" s="33" t="s">
        <v>401</v>
      </c>
      <c r="AL121" s="10" t="s">
        <v>50</v>
      </c>
      <c r="AM121" s="6" t="str">
        <f t="shared" si="24"/>
        <v>14821/매입사 지급 방법 코드 관리/ vend/VendClass5</v>
      </c>
      <c r="AN121" s="30"/>
      <c r="AO121" s="30"/>
      <c r="AP121" s="30"/>
      <c r="AQ121" s="30"/>
      <c r="AR121" s="31"/>
      <c r="AS121" s="31"/>
      <c r="AT121" s="31"/>
      <c r="AU121" s="31"/>
      <c r="AV121" s="31"/>
      <c r="AW121" s="31"/>
      <c r="AX121" s="31"/>
      <c r="AY121" s="31"/>
    </row>
    <row r="122" spans="2:51" s="29" customFormat="1" ht="14.5">
      <c r="B122" s="5" t="str">
        <f t="shared" si="25"/>
        <v xml:space="preserve">           └ 매입사 배달 경로 코드 관리</v>
      </c>
      <c r="C122" s="33" t="s">
        <v>47</v>
      </c>
      <c r="D122" s="32"/>
      <c r="E122" s="33" t="s">
        <v>1105</v>
      </c>
      <c r="F122" s="44" t="s">
        <v>743</v>
      </c>
      <c r="G122" s="32"/>
      <c r="H122" s="32"/>
      <c r="I122" s="32"/>
      <c r="J122" s="34"/>
      <c r="K122" s="34"/>
      <c r="L122" s="27" t="str">
        <f t="shared" si="30"/>
        <v>1</v>
      </c>
      <c r="M122" s="27" t="str">
        <f t="shared" si="31"/>
        <v>1</v>
      </c>
      <c r="N122" s="32" t="s">
        <v>409</v>
      </c>
      <c r="O122" s="32" t="s">
        <v>472</v>
      </c>
      <c r="P122" s="27" t="str">
        <f t="shared" si="32"/>
        <v>1</v>
      </c>
      <c r="Q122" s="32" t="s">
        <v>399</v>
      </c>
      <c r="R122" s="32" t="s">
        <v>399</v>
      </c>
      <c r="S122" s="32" t="s">
        <v>399</v>
      </c>
      <c r="T122" s="32" t="s">
        <v>400</v>
      </c>
      <c r="U122" s="32" t="s">
        <v>48</v>
      </c>
      <c r="V122" s="32" t="s">
        <v>400</v>
      </c>
      <c r="W122" s="32" t="s">
        <v>400</v>
      </c>
      <c r="X122" s="32" t="s">
        <v>400</v>
      </c>
      <c r="Y122" s="32" t="s">
        <v>48</v>
      </c>
      <c r="Z122" s="32" t="s">
        <v>48</v>
      </c>
      <c r="AA122" s="32" t="s">
        <v>48</v>
      </c>
      <c r="AB122" s="32" t="s">
        <v>48</v>
      </c>
      <c r="AC122" s="32" t="s">
        <v>48</v>
      </c>
      <c r="AD122" s="32"/>
      <c r="AE122" s="27" t="str">
        <f t="shared" si="33"/>
        <v>N</v>
      </c>
      <c r="AF122" s="32" t="s">
        <v>399</v>
      </c>
      <c r="AG122" s="32"/>
      <c r="AH122" s="33" t="s">
        <v>1101</v>
      </c>
      <c r="AI122" s="35">
        <v>6</v>
      </c>
      <c r="AJ122" s="57">
        <v>126</v>
      </c>
      <c r="AK122" s="33" t="s">
        <v>401</v>
      </c>
      <c r="AL122" s="10" t="s">
        <v>50</v>
      </c>
      <c r="AM122" s="6" t="str">
        <f t="shared" si="24"/>
        <v>14821/매입사 배달 경로 코드 관리/ vend/VendClass6</v>
      </c>
      <c r="AN122" s="30"/>
      <c r="AO122" s="30"/>
      <c r="AP122" s="30"/>
      <c r="AQ122" s="30"/>
      <c r="AR122" s="31"/>
      <c r="AS122" s="31"/>
      <c r="AT122" s="31"/>
      <c r="AU122" s="31"/>
      <c r="AV122" s="31"/>
      <c r="AW122" s="31"/>
      <c r="AX122" s="31"/>
      <c r="AY122" s="31"/>
    </row>
    <row r="123" spans="2:51" s="29" customFormat="1" ht="14.5">
      <c r="B123" s="5" t="str">
        <f t="shared" si="25"/>
        <v xml:space="preserve">           └ 매입사 분류1 코드 관리</v>
      </c>
      <c r="C123" s="33" t="s">
        <v>47</v>
      </c>
      <c r="D123" s="32"/>
      <c r="E123" s="33" t="s">
        <v>1106</v>
      </c>
      <c r="F123" s="44" t="s">
        <v>738</v>
      </c>
      <c r="G123" s="32"/>
      <c r="H123" s="32"/>
      <c r="I123" s="32"/>
      <c r="J123" s="34"/>
      <c r="K123" s="34"/>
      <c r="L123" s="27" t="str">
        <f t="shared" si="30"/>
        <v>1</v>
      </c>
      <c r="M123" s="27" t="str">
        <f t="shared" si="31"/>
        <v>1</v>
      </c>
      <c r="N123" s="32" t="s">
        <v>409</v>
      </c>
      <c r="O123" s="32" t="s">
        <v>467</v>
      </c>
      <c r="P123" s="27" t="str">
        <f t="shared" si="32"/>
        <v>1</v>
      </c>
      <c r="Q123" s="32" t="s">
        <v>399</v>
      </c>
      <c r="R123" s="32" t="s">
        <v>399</v>
      </c>
      <c r="S123" s="32" t="s">
        <v>399</v>
      </c>
      <c r="T123" s="32" t="s">
        <v>400</v>
      </c>
      <c r="U123" s="32" t="s">
        <v>48</v>
      </c>
      <c r="V123" s="32" t="s">
        <v>400</v>
      </c>
      <c r="W123" s="32" t="s">
        <v>400</v>
      </c>
      <c r="X123" s="32" t="s">
        <v>400</v>
      </c>
      <c r="Y123" s="32" t="s">
        <v>48</v>
      </c>
      <c r="Z123" s="32" t="s">
        <v>48</v>
      </c>
      <c r="AA123" s="32" t="s">
        <v>48</v>
      </c>
      <c r="AB123" s="32" t="s">
        <v>48</v>
      </c>
      <c r="AC123" s="32" t="s">
        <v>48</v>
      </c>
      <c r="AD123" s="32"/>
      <c r="AE123" s="27" t="str">
        <f t="shared" si="33"/>
        <v>N</v>
      </c>
      <c r="AF123" s="32" t="s">
        <v>399</v>
      </c>
      <c r="AG123" s="32"/>
      <c r="AH123" s="33" t="s">
        <v>1101</v>
      </c>
      <c r="AI123" s="35">
        <v>6</v>
      </c>
      <c r="AJ123" s="57">
        <v>127</v>
      </c>
      <c r="AK123" s="33" t="s">
        <v>401</v>
      </c>
      <c r="AL123" s="10" t="s">
        <v>50</v>
      </c>
      <c r="AM123" s="6" t="str">
        <f t="shared" si="24"/>
        <v>14821/매입사 분류1 코드 관리/ vend/VendClass1</v>
      </c>
      <c r="AN123" s="30"/>
      <c r="AO123" s="30"/>
      <c r="AP123" s="30"/>
      <c r="AQ123" s="30"/>
      <c r="AR123" s="31"/>
      <c r="AS123" s="31"/>
      <c r="AT123" s="31"/>
      <c r="AU123" s="31"/>
      <c r="AV123" s="31"/>
      <c r="AW123" s="31"/>
      <c r="AX123" s="31"/>
      <c r="AY123" s="31"/>
    </row>
    <row r="124" spans="2:51" s="29" customFormat="1" ht="14.5">
      <c r="B124" s="5" t="str">
        <f t="shared" si="25"/>
        <v xml:space="preserve">           └ 매입사 분류2 코드 관리</v>
      </c>
      <c r="C124" s="33" t="s">
        <v>47</v>
      </c>
      <c r="D124" s="32"/>
      <c r="E124" s="33" t="s">
        <v>1107</v>
      </c>
      <c r="F124" s="44" t="s">
        <v>740</v>
      </c>
      <c r="G124" s="32"/>
      <c r="H124" s="32"/>
      <c r="I124" s="32"/>
      <c r="J124" s="34"/>
      <c r="K124" s="34"/>
      <c r="L124" s="27" t="str">
        <f t="shared" si="30"/>
        <v>1</v>
      </c>
      <c r="M124" s="27" t="str">
        <f t="shared" si="31"/>
        <v>1</v>
      </c>
      <c r="N124" s="32" t="s">
        <v>409</v>
      </c>
      <c r="O124" s="32" t="s">
        <v>469</v>
      </c>
      <c r="P124" s="27" t="str">
        <f t="shared" si="32"/>
        <v>1</v>
      </c>
      <c r="Q124" s="32" t="s">
        <v>399</v>
      </c>
      <c r="R124" s="32" t="s">
        <v>399</v>
      </c>
      <c r="S124" s="32" t="s">
        <v>399</v>
      </c>
      <c r="T124" s="32" t="s">
        <v>400</v>
      </c>
      <c r="U124" s="32" t="s">
        <v>48</v>
      </c>
      <c r="V124" s="32" t="s">
        <v>400</v>
      </c>
      <c r="W124" s="32" t="s">
        <v>400</v>
      </c>
      <c r="X124" s="32" t="s">
        <v>400</v>
      </c>
      <c r="Y124" s="32" t="s">
        <v>48</v>
      </c>
      <c r="Z124" s="32" t="s">
        <v>48</v>
      </c>
      <c r="AA124" s="32" t="s">
        <v>48</v>
      </c>
      <c r="AB124" s="32" t="s">
        <v>48</v>
      </c>
      <c r="AC124" s="32" t="s">
        <v>48</v>
      </c>
      <c r="AD124" s="32"/>
      <c r="AE124" s="27" t="str">
        <f t="shared" si="33"/>
        <v>N</v>
      </c>
      <c r="AF124" s="32" t="s">
        <v>399</v>
      </c>
      <c r="AG124" s="32"/>
      <c r="AH124" s="33" t="s">
        <v>1101</v>
      </c>
      <c r="AI124" s="35">
        <v>6</v>
      </c>
      <c r="AJ124" s="57">
        <v>128</v>
      </c>
      <c r="AK124" s="33" t="s">
        <v>401</v>
      </c>
      <c r="AL124" s="10" t="s">
        <v>50</v>
      </c>
      <c r="AM124" s="6" t="str">
        <f t="shared" si="24"/>
        <v>14821/매입사 분류2 코드 관리/ vend/VendClass2</v>
      </c>
      <c r="AN124" s="30"/>
      <c r="AO124" s="30"/>
      <c r="AP124" s="30"/>
      <c r="AQ124" s="30"/>
      <c r="AR124" s="31"/>
      <c r="AS124" s="31"/>
      <c r="AT124" s="31"/>
      <c r="AU124" s="31"/>
      <c r="AV124" s="31"/>
      <c r="AW124" s="31"/>
      <c r="AX124" s="31"/>
      <c r="AY124" s="31"/>
    </row>
    <row r="125" spans="2:51" s="29" customFormat="1" ht="14.5">
      <c r="B125" s="5" t="str">
        <f t="shared" si="25"/>
        <v xml:space="preserve">           └ 매입사 분류3 코드 관리</v>
      </c>
      <c r="C125" s="33" t="s">
        <v>47</v>
      </c>
      <c r="D125" s="32"/>
      <c r="E125" s="33" t="s">
        <v>1108</v>
      </c>
      <c r="F125" s="44" t="s">
        <v>737</v>
      </c>
      <c r="G125" s="32"/>
      <c r="H125" s="32"/>
      <c r="I125" s="32"/>
      <c r="J125" s="34"/>
      <c r="K125" s="34"/>
      <c r="L125" s="27" t="str">
        <f t="shared" si="30"/>
        <v>1</v>
      </c>
      <c r="M125" s="27" t="str">
        <f t="shared" si="31"/>
        <v>1</v>
      </c>
      <c r="N125" s="32" t="s">
        <v>409</v>
      </c>
      <c r="O125" s="32" t="s">
        <v>466</v>
      </c>
      <c r="P125" s="27" t="str">
        <f t="shared" si="32"/>
        <v>1</v>
      </c>
      <c r="Q125" s="32" t="s">
        <v>399</v>
      </c>
      <c r="R125" s="32" t="s">
        <v>399</v>
      </c>
      <c r="S125" s="32" t="s">
        <v>399</v>
      </c>
      <c r="T125" s="32" t="s">
        <v>400</v>
      </c>
      <c r="U125" s="32" t="s">
        <v>48</v>
      </c>
      <c r="V125" s="32" t="s">
        <v>400</v>
      </c>
      <c r="W125" s="32" t="s">
        <v>400</v>
      </c>
      <c r="X125" s="32" t="s">
        <v>400</v>
      </c>
      <c r="Y125" s="32" t="s">
        <v>48</v>
      </c>
      <c r="Z125" s="32" t="s">
        <v>48</v>
      </c>
      <c r="AA125" s="32" t="s">
        <v>48</v>
      </c>
      <c r="AB125" s="32" t="s">
        <v>48</v>
      </c>
      <c r="AC125" s="32" t="s">
        <v>48</v>
      </c>
      <c r="AD125" s="32"/>
      <c r="AE125" s="27" t="str">
        <f t="shared" si="33"/>
        <v>N</v>
      </c>
      <c r="AF125" s="32" t="s">
        <v>399</v>
      </c>
      <c r="AG125" s="32"/>
      <c r="AH125" s="33" t="s">
        <v>1101</v>
      </c>
      <c r="AI125" s="35">
        <v>6</v>
      </c>
      <c r="AJ125" s="57">
        <v>129</v>
      </c>
      <c r="AK125" s="33" t="s">
        <v>401</v>
      </c>
      <c r="AL125" s="10" t="s">
        <v>50</v>
      </c>
      <c r="AM125" s="6" t="str">
        <f t="shared" si="24"/>
        <v>14821/매입사 분류3 코드 관리/ vend/VendClass3</v>
      </c>
      <c r="AN125" s="30"/>
      <c r="AO125" s="30"/>
      <c r="AP125" s="30"/>
      <c r="AQ125" s="30"/>
      <c r="AR125" s="31"/>
      <c r="AS125" s="31"/>
      <c r="AT125" s="31"/>
      <c r="AU125" s="31"/>
      <c r="AV125" s="31"/>
      <c r="AW125" s="31"/>
      <c r="AX125" s="31"/>
      <c r="AY125" s="31"/>
    </row>
    <row r="126" spans="2:51" s="29" customFormat="1" ht="14.5">
      <c r="B126" s="5" t="str">
        <f t="shared" si="25"/>
        <v xml:space="preserve">        └ 매입처 정보 관리</v>
      </c>
      <c r="C126" s="33" t="s">
        <v>47</v>
      </c>
      <c r="D126" s="32"/>
      <c r="E126" s="33" t="s">
        <v>1109</v>
      </c>
      <c r="F126" s="44" t="s">
        <v>766</v>
      </c>
      <c r="G126" s="32"/>
      <c r="H126" s="32"/>
      <c r="I126" s="32"/>
      <c r="J126" s="34"/>
      <c r="K126" s="34"/>
      <c r="L126" s="27" t="str">
        <f t="shared" si="30"/>
        <v>1</v>
      </c>
      <c r="M126" s="27" t="str">
        <f t="shared" si="31"/>
        <v>1</v>
      </c>
      <c r="N126" s="32" t="s">
        <v>409</v>
      </c>
      <c r="O126" s="32" t="s">
        <v>494</v>
      </c>
      <c r="P126" s="27" t="str">
        <f t="shared" si="32"/>
        <v>1</v>
      </c>
      <c r="Q126" s="32" t="s">
        <v>400</v>
      </c>
      <c r="R126" s="32" t="s">
        <v>400</v>
      </c>
      <c r="S126" s="32" t="s">
        <v>400</v>
      </c>
      <c r="T126" s="32" t="s">
        <v>400</v>
      </c>
      <c r="U126" s="32" t="s">
        <v>48</v>
      </c>
      <c r="V126" s="32" t="s">
        <v>400</v>
      </c>
      <c r="W126" s="32" t="s">
        <v>400</v>
      </c>
      <c r="X126" s="32" t="s">
        <v>400</v>
      </c>
      <c r="Y126" s="32" t="s">
        <v>48</v>
      </c>
      <c r="Z126" s="32" t="s">
        <v>48</v>
      </c>
      <c r="AA126" s="32" t="s">
        <v>48</v>
      </c>
      <c r="AB126" s="32" t="s">
        <v>48</v>
      </c>
      <c r="AC126" s="32" t="s">
        <v>48</v>
      </c>
      <c r="AD126" s="32"/>
      <c r="AE126" s="27" t="str">
        <f t="shared" si="33"/>
        <v>N</v>
      </c>
      <c r="AF126" s="32" t="s">
        <v>399</v>
      </c>
      <c r="AG126" s="32"/>
      <c r="AH126" s="33" t="s">
        <v>1100</v>
      </c>
      <c r="AI126" s="35">
        <v>5</v>
      </c>
      <c r="AJ126" s="57">
        <v>130</v>
      </c>
      <c r="AK126" s="33" t="s">
        <v>401</v>
      </c>
      <c r="AL126" s="10" t="s">
        <v>50</v>
      </c>
      <c r="AM126" s="6" t="str">
        <f t="shared" si="24"/>
        <v>14821/매입처 정보 관리/ vend/VendStore</v>
      </c>
      <c r="AN126" s="30"/>
      <c r="AO126" s="30"/>
      <c r="AP126" s="30"/>
      <c r="AQ126" s="30"/>
      <c r="AR126" s="31"/>
      <c r="AS126" s="31"/>
      <c r="AT126" s="31"/>
      <c r="AU126" s="31"/>
      <c r="AV126" s="31"/>
      <c r="AW126" s="31"/>
      <c r="AX126" s="31"/>
      <c r="AY126" s="31"/>
    </row>
    <row r="127" spans="2:51" s="29" customFormat="1" ht="14.5">
      <c r="B127" s="5" t="str">
        <f t="shared" si="25"/>
        <v xml:space="preserve">        └ 직납사 정보 관리</v>
      </c>
      <c r="C127" s="33" t="s">
        <v>47</v>
      </c>
      <c r="D127" s="32"/>
      <c r="E127" s="33" t="s">
        <v>1110</v>
      </c>
      <c r="F127" s="44" t="s">
        <v>765</v>
      </c>
      <c r="G127" s="32"/>
      <c r="H127" s="32"/>
      <c r="I127" s="32"/>
      <c r="J127" s="34"/>
      <c r="K127" s="34"/>
      <c r="L127" s="27" t="str">
        <f t="shared" si="26"/>
        <v>1</v>
      </c>
      <c r="M127" s="27" t="str">
        <f t="shared" si="27"/>
        <v>1</v>
      </c>
      <c r="N127" s="32" t="s">
        <v>409</v>
      </c>
      <c r="O127" s="32" t="s">
        <v>493</v>
      </c>
      <c r="P127" s="27" t="str">
        <f t="shared" si="28"/>
        <v>1</v>
      </c>
      <c r="Q127" s="32" t="s">
        <v>400</v>
      </c>
      <c r="R127" s="32" t="s">
        <v>400</v>
      </c>
      <c r="S127" s="32" t="s">
        <v>400</v>
      </c>
      <c r="T127" s="32" t="s">
        <v>400</v>
      </c>
      <c r="U127" s="32" t="s">
        <v>48</v>
      </c>
      <c r="V127" s="32" t="s">
        <v>400</v>
      </c>
      <c r="W127" s="32" t="s">
        <v>399</v>
      </c>
      <c r="X127" s="32" t="s">
        <v>399</v>
      </c>
      <c r="Y127" s="32" t="s">
        <v>48</v>
      </c>
      <c r="Z127" s="32" t="s">
        <v>48</v>
      </c>
      <c r="AA127" s="32" t="s">
        <v>48</v>
      </c>
      <c r="AB127" s="32" t="s">
        <v>48</v>
      </c>
      <c r="AC127" s="32" t="s">
        <v>48</v>
      </c>
      <c r="AD127" s="32"/>
      <c r="AE127" s="27" t="str">
        <f t="shared" si="29"/>
        <v>N</v>
      </c>
      <c r="AF127" s="32" t="s">
        <v>399</v>
      </c>
      <c r="AG127" s="32"/>
      <c r="AH127" s="33" t="s">
        <v>1100</v>
      </c>
      <c r="AI127" s="35">
        <v>5</v>
      </c>
      <c r="AJ127" s="57">
        <v>131</v>
      </c>
      <c r="AK127" s="33" t="s">
        <v>401</v>
      </c>
      <c r="AL127" s="10" t="s">
        <v>50</v>
      </c>
      <c r="AM127" s="6" t="str">
        <f t="shared" si="24"/>
        <v>14821/직납사 정보 관리/ vend/VendScm</v>
      </c>
      <c r="AN127" s="30"/>
      <c r="AO127" s="30"/>
      <c r="AP127" s="30"/>
      <c r="AQ127" s="30"/>
      <c r="AR127" s="31"/>
      <c r="AS127" s="31"/>
      <c r="AT127" s="31"/>
      <c r="AU127" s="31"/>
      <c r="AV127" s="31"/>
      <c r="AW127" s="31"/>
      <c r="AX127" s="31"/>
      <c r="AY127" s="31"/>
    </row>
    <row r="128" spans="2:51" s="29" customFormat="1" ht="14.5">
      <c r="B128" s="5" t="str">
        <f t="shared" si="25"/>
        <v xml:space="preserve">        └ 다중 매장 매입처 정보 관리</v>
      </c>
      <c r="C128" s="33" t="s">
        <v>47</v>
      </c>
      <c r="D128" s="32"/>
      <c r="E128" s="33" t="s">
        <v>1111</v>
      </c>
      <c r="F128" s="44" t="s">
        <v>767</v>
      </c>
      <c r="G128" s="32"/>
      <c r="H128" s="32"/>
      <c r="I128" s="32"/>
      <c r="J128" s="34"/>
      <c r="K128" s="34"/>
      <c r="L128" s="27" t="str">
        <f t="shared" si="26"/>
        <v>1</v>
      </c>
      <c r="M128" s="27" t="str">
        <f t="shared" si="27"/>
        <v>1</v>
      </c>
      <c r="N128" s="32" t="s">
        <v>409</v>
      </c>
      <c r="O128" s="32" t="s">
        <v>495</v>
      </c>
      <c r="P128" s="27" t="str">
        <f t="shared" si="28"/>
        <v>1</v>
      </c>
      <c r="Q128" s="32" t="s">
        <v>399</v>
      </c>
      <c r="R128" s="32" t="s">
        <v>399</v>
      </c>
      <c r="S128" s="32" t="s">
        <v>399</v>
      </c>
      <c r="T128" s="32" t="s">
        <v>400</v>
      </c>
      <c r="U128" s="32" t="s">
        <v>48</v>
      </c>
      <c r="V128" s="32" t="s">
        <v>400</v>
      </c>
      <c r="W128" s="32" t="s">
        <v>400</v>
      </c>
      <c r="X128" s="32" t="s">
        <v>400</v>
      </c>
      <c r="Y128" s="32" t="s">
        <v>48</v>
      </c>
      <c r="Z128" s="32" t="s">
        <v>48</v>
      </c>
      <c r="AA128" s="32" t="s">
        <v>48</v>
      </c>
      <c r="AB128" s="32" t="s">
        <v>48</v>
      </c>
      <c r="AC128" s="32" t="s">
        <v>48</v>
      </c>
      <c r="AD128" s="32"/>
      <c r="AE128" s="27" t="str">
        <f t="shared" si="29"/>
        <v>N</v>
      </c>
      <c r="AF128" s="32" t="s">
        <v>399</v>
      </c>
      <c r="AG128" s="32"/>
      <c r="AH128" s="33" t="s">
        <v>1100</v>
      </c>
      <c r="AI128" s="35">
        <v>5</v>
      </c>
      <c r="AJ128" s="57">
        <v>132</v>
      </c>
      <c r="AK128" s="33" t="s">
        <v>401</v>
      </c>
      <c r="AL128" s="10" t="s">
        <v>50</v>
      </c>
      <c r="AM128" s="6" t="str">
        <f t="shared" si="24"/>
        <v>14821/다중 매장 매입처 정보 관리/ vend/VendorInfo</v>
      </c>
      <c r="AN128" s="30"/>
      <c r="AO128" s="30"/>
      <c r="AP128" s="30"/>
      <c r="AQ128" s="30"/>
      <c r="AR128" s="31"/>
      <c r="AS128" s="31"/>
      <c r="AT128" s="31"/>
      <c r="AU128" s="31"/>
      <c r="AV128" s="31"/>
      <c r="AW128" s="31"/>
      <c r="AX128" s="31"/>
      <c r="AY128" s="31"/>
    </row>
    <row r="129" spans="2:51" s="29" customFormat="1" ht="14.5">
      <c r="B129" s="5" t="str">
        <f t="shared" si="25"/>
        <v xml:space="preserve">    └ EDI 발주</v>
      </c>
      <c r="C129" s="33" t="s">
        <v>47</v>
      </c>
      <c r="D129" s="32"/>
      <c r="E129" s="9">
        <v>2040200</v>
      </c>
      <c r="F129" s="38" t="s">
        <v>1114</v>
      </c>
      <c r="G129" s="9"/>
      <c r="H129" s="9"/>
      <c r="I129" s="9"/>
      <c r="J129" s="9"/>
      <c r="K129" s="9"/>
      <c r="L129" s="9" t="str">
        <f t="shared" si="26"/>
        <v>1</v>
      </c>
      <c r="M129" s="9" t="str">
        <f t="shared" si="27"/>
        <v>0</v>
      </c>
      <c r="N129" s="38" t="s">
        <v>985</v>
      </c>
      <c r="O129" s="38"/>
      <c r="P129" s="9" t="str">
        <f t="shared" si="28"/>
        <v>1</v>
      </c>
      <c r="Q129" s="9" t="s">
        <v>986</v>
      </c>
      <c r="R129" s="9" t="s">
        <v>986</v>
      </c>
      <c r="S129" s="9" t="s">
        <v>986</v>
      </c>
      <c r="T129" s="9" t="s">
        <v>987</v>
      </c>
      <c r="U129" s="9" t="s">
        <v>985</v>
      </c>
      <c r="V129" s="9" t="s">
        <v>987</v>
      </c>
      <c r="W129" s="9" t="s">
        <v>987</v>
      </c>
      <c r="X129" s="9" t="s">
        <v>987</v>
      </c>
      <c r="Y129" s="9" t="s">
        <v>985</v>
      </c>
      <c r="Z129" s="9" t="s">
        <v>985</v>
      </c>
      <c r="AA129" s="9" t="s">
        <v>985</v>
      </c>
      <c r="AB129" s="9" t="s">
        <v>985</v>
      </c>
      <c r="AC129" s="9" t="s">
        <v>985</v>
      </c>
      <c r="AD129" s="9"/>
      <c r="AE129" s="9" t="str">
        <f t="shared" si="29"/>
        <v>N</v>
      </c>
      <c r="AF129" s="9" t="s">
        <v>986</v>
      </c>
      <c r="AG129" s="9"/>
      <c r="AH129" s="9">
        <v>2040000</v>
      </c>
      <c r="AI129" s="9">
        <v>4</v>
      </c>
      <c r="AJ129" s="57">
        <v>133</v>
      </c>
      <c r="AK129" s="10" t="s">
        <v>988</v>
      </c>
      <c r="AL129" s="10" t="s">
        <v>50</v>
      </c>
      <c r="AM129" s="6" t="str">
        <f t="shared" si="24"/>
        <v>14821/EDI 발주/ /</v>
      </c>
      <c r="AN129" s="30"/>
      <c r="AO129" s="30"/>
      <c r="AP129" s="30"/>
      <c r="AQ129" s="30"/>
      <c r="AR129" s="31"/>
      <c r="AS129" s="31"/>
      <c r="AT129" s="31"/>
      <c r="AU129" s="31"/>
      <c r="AV129" s="31"/>
      <c r="AW129" s="31"/>
      <c r="AX129" s="31"/>
      <c r="AY129" s="31"/>
    </row>
    <row r="130" spans="2:51" s="29" customFormat="1" ht="14.5">
      <c r="B130" s="5" t="str">
        <f t="shared" si="25"/>
        <v xml:space="preserve">        └ EDI 품목 정보</v>
      </c>
      <c r="C130" s="33" t="s">
        <v>47</v>
      </c>
      <c r="D130" s="32"/>
      <c r="E130" s="33" t="s">
        <v>1115</v>
      </c>
      <c r="F130" s="44" t="s">
        <v>768</v>
      </c>
      <c r="G130" s="32"/>
      <c r="H130" s="32"/>
      <c r="I130" s="32"/>
      <c r="J130" s="34"/>
      <c r="K130" s="34"/>
      <c r="L130" s="27" t="str">
        <f t="shared" si="26"/>
        <v>1</v>
      </c>
      <c r="M130" s="27" t="str">
        <f t="shared" si="27"/>
        <v>1</v>
      </c>
      <c r="N130" s="32" t="s">
        <v>418</v>
      </c>
      <c r="O130" s="32" t="s">
        <v>496</v>
      </c>
      <c r="P130" s="27" t="str">
        <f t="shared" si="28"/>
        <v>1</v>
      </c>
      <c r="Q130" s="32" t="s">
        <v>400</v>
      </c>
      <c r="R130" s="32" t="s">
        <v>400</v>
      </c>
      <c r="S130" s="32" t="s">
        <v>400</v>
      </c>
      <c r="T130" s="32" t="s">
        <v>400</v>
      </c>
      <c r="U130" s="32" t="s">
        <v>48</v>
      </c>
      <c r="V130" s="32" t="s">
        <v>400</v>
      </c>
      <c r="W130" s="32" t="s">
        <v>400</v>
      </c>
      <c r="X130" s="32" t="s">
        <v>400</v>
      </c>
      <c r="Y130" s="32" t="s">
        <v>48</v>
      </c>
      <c r="Z130" s="32" t="s">
        <v>48</v>
      </c>
      <c r="AA130" s="32" t="s">
        <v>48</v>
      </c>
      <c r="AB130" s="32" t="s">
        <v>48</v>
      </c>
      <c r="AC130" s="32" t="s">
        <v>48</v>
      </c>
      <c r="AD130" s="32"/>
      <c r="AE130" s="27" t="str">
        <f t="shared" si="29"/>
        <v>N</v>
      </c>
      <c r="AF130" s="32" t="s">
        <v>399</v>
      </c>
      <c r="AG130" s="32"/>
      <c r="AH130" s="33" t="s">
        <v>1122</v>
      </c>
      <c r="AI130" s="35">
        <v>5</v>
      </c>
      <c r="AJ130" s="57">
        <v>134</v>
      </c>
      <c r="AK130" s="33" t="s">
        <v>401</v>
      </c>
      <c r="AL130" s="10" t="s">
        <v>50</v>
      </c>
      <c r="AM130" s="6" t="str">
        <f t="shared" si="24"/>
        <v>14821/EDI 품목 정보/ edi/EdiBookMark</v>
      </c>
      <c r="AN130" s="30"/>
      <c r="AO130" s="30"/>
      <c r="AP130" s="30"/>
      <c r="AQ130" s="30"/>
      <c r="AR130" s="31"/>
      <c r="AS130" s="31"/>
      <c r="AT130" s="31"/>
      <c r="AU130" s="31"/>
      <c r="AV130" s="31"/>
      <c r="AW130" s="31"/>
      <c r="AX130" s="31"/>
      <c r="AY130" s="31"/>
    </row>
    <row r="131" spans="2:51" s="29" customFormat="1" ht="14.5">
      <c r="B131" s="5" t="str">
        <f t="shared" si="25"/>
        <v xml:space="preserve">        └ EDI 주문 등록</v>
      </c>
      <c r="C131" s="33" t="s">
        <v>47</v>
      </c>
      <c r="D131" s="32"/>
      <c r="E131" s="33" t="s">
        <v>1116</v>
      </c>
      <c r="F131" s="44" t="s">
        <v>769</v>
      </c>
      <c r="G131" s="32"/>
      <c r="H131" s="32"/>
      <c r="I131" s="32"/>
      <c r="J131" s="34"/>
      <c r="K131" s="34"/>
      <c r="L131" s="27" t="str">
        <f t="shared" si="26"/>
        <v>1</v>
      </c>
      <c r="M131" s="27" t="str">
        <f t="shared" si="27"/>
        <v>1</v>
      </c>
      <c r="N131" s="32" t="s">
        <v>418</v>
      </c>
      <c r="O131" s="32" t="s">
        <v>497</v>
      </c>
      <c r="P131" s="27" t="str">
        <f t="shared" si="28"/>
        <v>1</v>
      </c>
      <c r="Q131" s="32" t="s">
        <v>400</v>
      </c>
      <c r="R131" s="32" t="s">
        <v>400</v>
      </c>
      <c r="S131" s="32" t="s">
        <v>400</v>
      </c>
      <c r="T131" s="32" t="s">
        <v>400</v>
      </c>
      <c r="U131" s="32" t="s">
        <v>48</v>
      </c>
      <c r="V131" s="32" t="s">
        <v>400</v>
      </c>
      <c r="W131" s="32" t="s">
        <v>400</v>
      </c>
      <c r="X131" s="32" t="s">
        <v>400</v>
      </c>
      <c r="Y131" s="32" t="s">
        <v>48</v>
      </c>
      <c r="Z131" s="32" t="s">
        <v>48</v>
      </c>
      <c r="AA131" s="32" t="s">
        <v>48</v>
      </c>
      <c r="AB131" s="32" t="s">
        <v>48</v>
      </c>
      <c r="AC131" s="32" t="s">
        <v>48</v>
      </c>
      <c r="AD131" s="32"/>
      <c r="AE131" s="27" t="str">
        <f t="shared" si="29"/>
        <v>N</v>
      </c>
      <c r="AF131" s="32" t="s">
        <v>399</v>
      </c>
      <c r="AG131" s="32"/>
      <c r="AH131" s="33" t="s">
        <v>1122</v>
      </c>
      <c r="AI131" s="35">
        <v>5</v>
      </c>
      <c r="AJ131" s="57">
        <v>135</v>
      </c>
      <c r="AK131" s="33" t="s">
        <v>401</v>
      </c>
      <c r="AL131" s="10" t="s">
        <v>50</v>
      </c>
      <c r="AM131" s="6" t="str">
        <f t="shared" si="24"/>
        <v>14821/EDI 주문 등록/ edi/EdiWork</v>
      </c>
      <c r="AN131" s="30"/>
      <c r="AO131" s="30"/>
      <c r="AP131" s="30"/>
      <c r="AQ131" s="30"/>
      <c r="AR131" s="31"/>
      <c r="AS131" s="31"/>
      <c r="AT131" s="31"/>
      <c r="AU131" s="31"/>
      <c r="AV131" s="31"/>
      <c r="AW131" s="31"/>
      <c r="AX131" s="31"/>
      <c r="AY131" s="31"/>
    </row>
    <row r="132" spans="2:51" s="29" customFormat="1" ht="14.5">
      <c r="B132" s="5" t="str">
        <f t="shared" si="25"/>
        <v xml:space="preserve">        └ EDI 주문 현황</v>
      </c>
      <c r="C132" s="33" t="s">
        <v>47</v>
      </c>
      <c r="D132" s="32"/>
      <c r="E132" s="33" t="s">
        <v>1117</v>
      </c>
      <c r="F132" s="44" t="s">
        <v>770</v>
      </c>
      <c r="G132" s="32"/>
      <c r="H132" s="32"/>
      <c r="I132" s="32"/>
      <c r="J132" s="34"/>
      <c r="K132" s="34"/>
      <c r="L132" s="27" t="str">
        <f t="shared" si="26"/>
        <v>1</v>
      </c>
      <c r="M132" s="27" t="str">
        <f t="shared" si="27"/>
        <v>1</v>
      </c>
      <c r="N132" s="32" t="s">
        <v>418</v>
      </c>
      <c r="O132" s="32" t="s">
        <v>498</v>
      </c>
      <c r="P132" s="27" t="str">
        <f t="shared" si="28"/>
        <v>1</v>
      </c>
      <c r="Q132" s="32" t="s">
        <v>400</v>
      </c>
      <c r="R132" s="32" t="s">
        <v>400</v>
      </c>
      <c r="S132" s="32" t="s">
        <v>400</v>
      </c>
      <c r="T132" s="32" t="s">
        <v>400</v>
      </c>
      <c r="U132" s="32" t="s">
        <v>48</v>
      </c>
      <c r="V132" s="32" t="s">
        <v>400</v>
      </c>
      <c r="W132" s="32" t="s">
        <v>400</v>
      </c>
      <c r="X132" s="32" t="s">
        <v>400</v>
      </c>
      <c r="Y132" s="32" t="s">
        <v>48</v>
      </c>
      <c r="Z132" s="32" t="s">
        <v>48</v>
      </c>
      <c r="AA132" s="32" t="s">
        <v>48</v>
      </c>
      <c r="AB132" s="32" t="s">
        <v>48</v>
      </c>
      <c r="AC132" s="32" t="s">
        <v>48</v>
      </c>
      <c r="AD132" s="32"/>
      <c r="AE132" s="27" t="str">
        <f t="shared" si="29"/>
        <v>N</v>
      </c>
      <c r="AF132" s="32" t="s">
        <v>399</v>
      </c>
      <c r="AG132" s="32"/>
      <c r="AH132" s="33" t="s">
        <v>1122</v>
      </c>
      <c r="AI132" s="35">
        <v>5</v>
      </c>
      <c r="AJ132" s="57">
        <v>136</v>
      </c>
      <c r="AK132" s="33" t="s">
        <v>401</v>
      </c>
      <c r="AL132" s="10" t="s">
        <v>50</v>
      </c>
      <c r="AM132" s="6" t="str">
        <f t="shared" ref="AM132:AM195" si="34">IF(C132="","",C132&amp;"/"&amp;F132&amp;"/"&amp;N132&amp;"/"&amp;O132)</f>
        <v>14821/EDI 주문 현황/ edi/EdiOrderWork</v>
      </c>
      <c r="AN132" s="30"/>
      <c r="AO132" s="30"/>
      <c r="AP132" s="30"/>
      <c r="AQ132" s="30"/>
      <c r="AR132" s="31"/>
      <c r="AS132" s="31"/>
      <c r="AT132" s="31"/>
      <c r="AU132" s="31"/>
      <c r="AV132" s="31"/>
      <c r="AW132" s="31"/>
      <c r="AX132" s="31"/>
      <c r="AY132" s="31"/>
    </row>
    <row r="133" spans="2:51" s="29" customFormat="1" ht="14.5">
      <c r="B133" s="5" t="str">
        <f t="shared" si="25"/>
        <v xml:space="preserve">        └ EDI 프로모션 주문</v>
      </c>
      <c r="C133" s="33" t="s">
        <v>47</v>
      </c>
      <c r="D133" s="32"/>
      <c r="E133" s="33" t="s">
        <v>1118</v>
      </c>
      <c r="F133" s="44" t="s">
        <v>771</v>
      </c>
      <c r="G133" s="32"/>
      <c r="H133" s="32"/>
      <c r="I133" s="32"/>
      <c r="J133" s="34"/>
      <c r="K133" s="34"/>
      <c r="L133" s="27" t="str">
        <f t="shared" ref="L133:L193" si="35">IF(F133="","","1")</f>
        <v>1</v>
      </c>
      <c r="M133" s="27" t="str">
        <f t="shared" ref="M133:M193" si="36">IF(F133="","",IF(O133="","0","1"))</f>
        <v>1</v>
      </c>
      <c r="N133" s="32" t="s">
        <v>418</v>
      </c>
      <c r="O133" s="32" t="s">
        <v>499</v>
      </c>
      <c r="P133" s="27" t="str">
        <f t="shared" ref="P133:P193" si="37">IF(F133="","","1")</f>
        <v>1</v>
      </c>
      <c r="Q133" s="32" t="s">
        <v>399</v>
      </c>
      <c r="R133" s="32" t="s">
        <v>399</v>
      </c>
      <c r="S133" s="32" t="s">
        <v>400</v>
      </c>
      <c r="T133" s="32" t="s">
        <v>400</v>
      </c>
      <c r="U133" s="32" t="s">
        <v>48</v>
      </c>
      <c r="V133" s="32" t="s">
        <v>400</v>
      </c>
      <c r="W133" s="32" t="s">
        <v>400</v>
      </c>
      <c r="X133" s="32" t="s">
        <v>400</v>
      </c>
      <c r="Y133" s="32" t="s">
        <v>48</v>
      </c>
      <c r="Z133" s="32" t="s">
        <v>48</v>
      </c>
      <c r="AA133" s="32" t="s">
        <v>48</v>
      </c>
      <c r="AB133" s="32" t="s">
        <v>48</v>
      </c>
      <c r="AC133" s="32" t="s">
        <v>48</v>
      </c>
      <c r="AD133" s="32"/>
      <c r="AE133" s="27" t="str">
        <f t="shared" ref="AE133:AE193" si="38">IF(F133="","","N")</f>
        <v>N</v>
      </c>
      <c r="AF133" s="32" t="s">
        <v>399</v>
      </c>
      <c r="AG133" s="32"/>
      <c r="AH133" s="33" t="s">
        <v>1122</v>
      </c>
      <c r="AI133" s="35">
        <v>5</v>
      </c>
      <c r="AJ133" s="57">
        <v>137</v>
      </c>
      <c r="AK133" s="33" t="s">
        <v>401</v>
      </c>
      <c r="AL133" s="10" t="s">
        <v>50</v>
      </c>
      <c r="AM133" s="6" t="str">
        <f t="shared" si="34"/>
        <v>14821/EDI 프로모션 주문/ edi/EdiPromotion</v>
      </c>
      <c r="AN133" s="30"/>
      <c r="AO133" s="30"/>
      <c r="AP133" s="30"/>
      <c r="AQ133" s="30"/>
      <c r="AR133" s="31"/>
      <c r="AS133" s="31"/>
      <c r="AT133" s="31"/>
      <c r="AU133" s="31"/>
      <c r="AV133" s="31"/>
      <c r="AW133" s="31"/>
      <c r="AX133" s="31"/>
      <c r="AY133" s="31"/>
    </row>
    <row r="134" spans="2:51" s="29" customFormat="1" ht="14.5">
      <c r="B134" s="5" t="str">
        <f t="shared" si="25"/>
        <v xml:space="preserve">        └ EDI 매입 대기 현황</v>
      </c>
      <c r="C134" s="33" t="s">
        <v>47</v>
      </c>
      <c r="D134" s="32"/>
      <c r="E134" s="33" t="s">
        <v>1119</v>
      </c>
      <c r="F134" s="44" t="s">
        <v>772</v>
      </c>
      <c r="G134" s="32"/>
      <c r="H134" s="32"/>
      <c r="I134" s="32"/>
      <c r="J134" s="34"/>
      <c r="K134" s="34"/>
      <c r="L134" s="27" t="str">
        <f t="shared" si="35"/>
        <v>1</v>
      </c>
      <c r="M134" s="27" t="str">
        <f t="shared" si="36"/>
        <v>1</v>
      </c>
      <c r="N134" s="32" t="s">
        <v>418</v>
      </c>
      <c r="O134" s="32" t="s">
        <v>500</v>
      </c>
      <c r="P134" s="27" t="str">
        <f t="shared" si="37"/>
        <v>1</v>
      </c>
      <c r="Q134" s="32" t="s">
        <v>399</v>
      </c>
      <c r="R134" s="32" t="s">
        <v>400</v>
      </c>
      <c r="S134" s="32" t="s">
        <v>400</v>
      </c>
      <c r="T134" s="32" t="s">
        <v>400</v>
      </c>
      <c r="U134" s="32" t="s">
        <v>48</v>
      </c>
      <c r="V134" s="32" t="s">
        <v>400</v>
      </c>
      <c r="W134" s="32" t="s">
        <v>400</v>
      </c>
      <c r="X134" s="32" t="s">
        <v>400</v>
      </c>
      <c r="Y134" s="32" t="s">
        <v>48</v>
      </c>
      <c r="Z134" s="32" t="s">
        <v>48</v>
      </c>
      <c r="AA134" s="32" t="s">
        <v>48</v>
      </c>
      <c r="AB134" s="32" t="s">
        <v>48</v>
      </c>
      <c r="AC134" s="32" t="s">
        <v>48</v>
      </c>
      <c r="AD134" s="32"/>
      <c r="AE134" s="27" t="str">
        <f t="shared" si="38"/>
        <v>N</v>
      </c>
      <c r="AF134" s="32" t="s">
        <v>399</v>
      </c>
      <c r="AG134" s="32"/>
      <c r="AH134" s="33" t="s">
        <v>1122</v>
      </c>
      <c r="AI134" s="35">
        <v>5</v>
      </c>
      <c r="AJ134" s="57">
        <v>138</v>
      </c>
      <c r="AK134" s="33" t="s">
        <v>401</v>
      </c>
      <c r="AL134" s="10" t="s">
        <v>50</v>
      </c>
      <c r="AM134" s="6" t="str">
        <f t="shared" si="34"/>
        <v>14821/EDI 매입 대기 현황/ edi/EdiRecvList</v>
      </c>
      <c r="AN134" s="30"/>
      <c r="AO134" s="30"/>
      <c r="AP134" s="30"/>
      <c r="AQ134" s="30"/>
      <c r="AR134" s="31"/>
      <c r="AS134" s="31"/>
      <c r="AT134" s="31"/>
      <c r="AU134" s="31"/>
      <c r="AV134" s="31"/>
      <c r="AW134" s="31"/>
      <c r="AX134" s="31"/>
      <c r="AY134" s="31"/>
    </row>
    <row r="135" spans="2:51" s="29" customFormat="1" ht="14.5">
      <c r="B135" s="5" t="str">
        <f t="shared" si="25"/>
        <v xml:space="preserve">        └ 반품 요청 등록</v>
      </c>
      <c r="C135" s="33" t="s">
        <v>47</v>
      </c>
      <c r="D135" s="32"/>
      <c r="E135" s="33" t="s">
        <v>1120</v>
      </c>
      <c r="F135" s="44" t="s">
        <v>773</v>
      </c>
      <c r="G135" s="32"/>
      <c r="H135" s="32"/>
      <c r="I135" s="32"/>
      <c r="J135" s="34"/>
      <c r="K135" s="34"/>
      <c r="L135" s="27" t="str">
        <f t="shared" si="35"/>
        <v>1</v>
      </c>
      <c r="M135" s="27" t="str">
        <f t="shared" si="36"/>
        <v>1</v>
      </c>
      <c r="N135" s="32" t="s">
        <v>418</v>
      </c>
      <c r="O135" s="32" t="s">
        <v>501</v>
      </c>
      <c r="P135" s="27" t="str">
        <f t="shared" si="37"/>
        <v>1</v>
      </c>
      <c r="Q135" s="32" t="s">
        <v>400</v>
      </c>
      <c r="R135" s="32" t="s">
        <v>400</v>
      </c>
      <c r="S135" s="32" t="s">
        <v>400</v>
      </c>
      <c r="T135" s="32" t="s">
        <v>400</v>
      </c>
      <c r="U135" s="32" t="s">
        <v>48</v>
      </c>
      <c r="V135" s="32" t="s">
        <v>400</v>
      </c>
      <c r="W135" s="32" t="s">
        <v>400</v>
      </c>
      <c r="X135" s="32" t="s">
        <v>400</v>
      </c>
      <c r="Y135" s="32" t="s">
        <v>48</v>
      </c>
      <c r="Z135" s="32" t="s">
        <v>48</v>
      </c>
      <c r="AA135" s="32" t="s">
        <v>48</v>
      </c>
      <c r="AB135" s="32" t="s">
        <v>48</v>
      </c>
      <c r="AC135" s="32" t="s">
        <v>48</v>
      </c>
      <c r="AD135" s="32"/>
      <c r="AE135" s="27" t="str">
        <f t="shared" si="38"/>
        <v>N</v>
      </c>
      <c r="AF135" s="32" t="s">
        <v>399</v>
      </c>
      <c r="AG135" s="32"/>
      <c r="AH135" s="33" t="s">
        <v>1122</v>
      </c>
      <c r="AI135" s="35">
        <v>5</v>
      </c>
      <c r="AJ135" s="57">
        <v>139</v>
      </c>
      <c r="AK135" s="33" t="s">
        <v>401</v>
      </c>
      <c r="AL135" s="10" t="s">
        <v>50</v>
      </c>
      <c r="AM135" s="6" t="str">
        <f t="shared" si="34"/>
        <v>14821/반품 요청 등록/ edi/EdiRetReq</v>
      </c>
      <c r="AN135" s="30"/>
      <c r="AO135" s="30"/>
      <c r="AP135" s="30"/>
      <c r="AQ135" s="30"/>
      <c r="AR135" s="31"/>
      <c r="AS135" s="31"/>
      <c r="AT135" s="31"/>
      <c r="AU135" s="31"/>
      <c r="AV135" s="31"/>
      <c r="AW135" s="31"/>
      <c r="AX135" s="31"/>
      <c r="AY135" s="31"/>
    </row>
    <row r="136" spans="2:51" s="29" customFormat="1" ht="14.5">
      <c r="B136" s="5" t="str">
        <f t="shared" si="25"/>
        <v xml:space="preserve">        └ 거래원장</v>
      </c>
      <c r="C136" s="33" t="s">
        <v>47</v>
      </c>
      <c r="D136" s="32"/>
      <c r="E136" s="33" t="s">
        <v>1121</v>
      </c>
      <c r="F136" s="44" t="s">
        <v>774</v>
      </c>
      <c r="G136" s="32"/>
      <c r="H136" s="32"/>
      <c r="I136" s="32"/>
      <c r="J136" s="34"/>
      <c r="K136" s="34"/>
      <c r="L136" s="27" t="str">
        <f t="shared" si="35"/>
        <v>1</v>
      </c>
      <c r="M136" s="27" t="str">
        <f t="shared" si="36"/>
        <v>1</v>
      </c>
      <c r="N136" s="32" t="s">
        <v>418</v>
      </c>
      <c r="O136" s="32" t="s">
        <v>502</v>
      </c>
      <c r="P136" s="27" t="str">
        <f t="shared" si="37"/>
        <v>1</v>
      </c>
      <c r="Q136" s="32" t="s">
        <v>400</v>
      </c>
      <c r="R136" s="32" t="s">
        <v>400</v>
      </c>
      <c r="S136" s="32" t="s">
        <v>400</v>
      </c>
      <c r="T136" s="32" t="s">
        <v>400</v>
      </c>
      <c r="U136" s="32" t="s">
        <v>48</v>
      </c>
      <c r="V136" s="32" t="s">
        <v>400</v>
      </c>
      <c r="W136" s="32" t="s">
        <v>400</v>
      </c>
      <c r="X136" s="32" t="s">
        <v>400</v>
      </c>
      <c r="Y136" s="32" t="s">
        <v>48</v>
      </c>
      <c r="Z136" s="32" t="s">
        <v>48</v>
      </c>
      <c r="AA136" s="32" t="s">
        <v>48</v>
      </c>
      <c r="AB136" s="32" t="s">
        <v>48</v>
      </c>
      <c r="AC136" s="32" t="s">
        <v>48</v>
      </c>
      <c r="AD136" s="32"/>
      <c r="AE136" s="27" t="str">
        <f t="shared" si="38"/>
        <v>N</v>
      </c>
      <c r="AF136" s="32" t="s">
        <v>399</v>
      </c>
      <c r="AG136" s="32"/>
      <c r="AH136" s="33" t="s">
        <v>1122</v>
      </c>
      <c r="AI136" s="35">
        <v>5</v>
      </c>
      <c r="AJ136" s="57">
        <v>140</v>
      </c>
      <c r="AK136" s="33" t="s">
        <v>401</v>
      </c>
      <c r="AL136" s="10" t="s">
        <v>50</v>
      </c>
      <c r="AM136" s="6" t="str">
        <f t="shared" si="34"/>
        <v>14821/거래원장/ edi/EdiBook</v>
      </c>
      <c r="AN136" s="30"/>
      <c r="AO136" s="30"/>
      <c r="AP136" s="30"/>
      <c r="AQ136" s="30"/>
      <c r="AR136" s="31"/>
      <c r="AS136" s="31"/>
      <c r="AT136" s="31"/>
      <c r="AU136" s="31"/>
      <c r="AV136" s="31"/>
      <c r="AW136" s="31"/>
      <c r="AX136" s="31"/>
      <c r="AY136" s="31"/>
    </row>
    <row r="137" spans="2:51" s="29" customFormat="1" ht="14.5">
      <c r="B137" s="5" t="str">
        <f t="shared" si="25"/>
        <v xml:space="preserve">    └ 발주</v>
      </c>
      <c r="C137" s="33" t="s">
        <v>47</v>
      </c>
      <c r="D137" s="32"/>
      <c r="E137" s="9">
        <v>2040300</v>
      </c>
      <c r="F137" s="38" t="s">
        <v>1123</v>
      </c>
      <c r="G137" s="9"/>
      <c r="H137" s="9"/>
      <c r="I137" s="9"/>
      <c r="J137" s="9"/>
      <c r="K137" s="9"/>
      <c r="L137" s="9" t="str">
        <f t="shared" si="35"/>
        <v>1</v>
      </c>
      <c r="M137" s="9" t="str">
        <f t="shared" si="36"/>
        <v>0</v>
      </c>
      <c r="N137" s="38" t="s">
        <v>985</v>
      </c>
      <c r="O137" s="38"/>
      <c r="P137" s="9" t="str">
        <f t="shared" si="37"/>
        <v>1</v>
      </c>
      <c r="Q137" s="9" t="s">
        <v>986</v>
      </c>
      <c r="R137" s="9" t="s">
        <v>986</v>
      </c>
      <c r="S137" s="9" t="s">
        <v>986</v>
      </c>
      <c r="T137" s="9" t="s">
        <v>987</v>
      </c>
      <c r="U137" s="9" t="s">
        <v>985</v>
      </c>
      <c r="V137" s="9" t="s">
        <v>987</v>
      </c>
      <c r="W137" s="9" t="s">
        <v>987</v>
      </c>
      <c r="X137" s="9" t="s">
        <v>987</v>
      </c>
      <c r="Y137" s="9" t="s">
        <v>985</v>
      </c>
      <c r="Z137" s="9" t="s">
        <v>985</v>
      </c>
      <c r="AA137" s="9" t="s">
        <v>985</v>
      </c>
      <c r="AB137" s="9" t="s">
        <v>985</v>
      </c>
      <c r="AC137" s="9" t="s">
        <v>985</v>
      </c>
      <c r="AD137" s="9"/>
      <c r="AE137" s="9" t="str">
        <f t="shared" si="38"/>
        <v>N</v>
      </c>
      <c r="AF137" s="9" t="s">
        <v>986</v>
      </c>
      <c r="AG137" s="9"/>
      <c r="AH137" s="9">
        <v>2040000</v>
      </c>
      <c r="AI137" s="9">
        <v>4</v>
      </c>
      <c r="AJ137" s="57">
        <v>141</v>
      </c>
      <c r="AK137" s="10" t="s">
        <v>988</v>
      </c>
      <c r="AL137" s="10" t="s">
        <v>50</v>
      </c>
      <c r="AM137" s="6" t="str">
        <f t="shared" si="34"/>
        <v>14821/발주/ /</v>
      </c>
      <c r="AN137" s="30"/>
      <c r="AO137" s="30"/>
      <c r="AP137" s="30"/>
      <c r="AQ137" s="30"/>
      <c r="AR137" s="31"/>
      <c r="AS137" s="31"/>
      <c r="AT137" s="31"/>
      <c r="AU137" s="31"/>
      <c r="AV137" s="31"/>
      <c r="AW137" s="31"/>
      <c r="AX137" s="31"/>
      <c r="AY137" s="31"/>
    </row>
    <row r="138" spans="2:51" s="29" customFormat="1" ht="14.5">
      <c r="B138" s="5" t="str">
        <f t="shared" si="25"/>
        <v xml:space="preserve">        └ 발주 요청</v>
      </c>
      <c r="C138" s="33" t="s">
        <v>47</v>
      </c>
      <c r="D138" s="32"/>
      <c r="E138" s="33" t="s">
        <v>1124</v>
      </c>
      <c r="F138" s="44" t="s">
        <v>775</v>
      </c>
      <c r="G138" s="32"/>
      <c r="H138" s="32"/>
      <c r="I138" s="32"/>
      <c r="J138" s="34"/>
      <c r="K138" s="34"/>
      <c r="L138" s="27" t="str">
        <f t="shared" si="35"/>
        <v>1</v>
      </c>
      <c r="M138" s="27" t="str">
        <f t="shared" si="36"/>
        <v>1</v>
      </c>
      <c r="N138" s="32" t="s">
        <v>419</v>
      </c>
      <c r="O138" s="32" t="s">
        <v>503</v>
      </c>
      <c r="P138" s="27" t="str">
        <f t="shared" si="37"/>
        <v>1</v>
      </c>
      <c r="Q138" s="32" t="s">
        <v>400</v>
      </c>
      <c r="R138" s="32" t="s">
        <v>400</v>
      </c>
      <c r="S138" s="32" t="s">
        <v>400</v>
      </c>
      <c r="T138" s="32" t="s">
        <v>400</v>
      </c>
      <c r="U138" s="32" t="s">
        <v>48</v>
      </c>
      <c r="V138" s="32" t="s">
        <v>400</v>
      </c>
      <c r="W138" s="32" t="s">
        <v>400</v>
      </c>
      <c r="X138" s="32" t="s">
        <v>400</v>
      </c>
      <c r="Y138" s="32" t="s">
        <v>48</v>
      </c>
      <c r="Z138" s="32" t="s">
        <v>48</v>
      </c>
      <c r="AA138" s="32" t="s">
        <v>48</v>
      </c>
      <c r="AB138" s="32" t="s">
        <v>48</v>
      </c>
      <c r="AC138" s="32" t="s">
        <v>48</v>
      </c>
      <c r="AD138" s="32"/>
      <c r="AE138" s="27" t="str">
        <f t="shared" si="38"/>
        <v>N</v>
      </c>
      <c r="AF138" s="32" t="s">
        <v>399</v>
      </c>
      <c r="AG138" s="32"/>
      <c r="AH138" s="33" t="s">
        <v>1129</v>
      </c>
      <c r="AI138" s="35">
        <v>5</v>
      </c>
      <c r="AJ138" s="57">
        <v>142</v>
      </c>
      <c r="AK138" s="33" t="s">
        <v>401</v>
      </c>
      <c r="AL138" s="10" t="s">
        <v>50</v>
      </c>
      <c r="AM138" s="6" t="str">
        <f t="shared" si="34"/>
        <v>14821/발주 요청/ recv/PoWork</v>
      </c>
      <c r="AN138" s="30"/>
      <c r="AO138" s="30"/>
      <c r="AP138" s="30"/>
      <c r="AQ138" s="30"/>
      <c r="AR138" s="31"/>
      <c r="AS138" s="31"/>
      <c r="AT138" s="31"/>
      <c r="AU138" s="31"/>
      <c r="AV138" s="31"/>
      <c r="AW138" s="31"/>
      <c r="AX138" s="31"/>
      <c r="AY138" s="31"/>
    </row>
    <row r="139" spans="2:51" s="29" customFormat="1" ht="14.5">
      <c r="B139" s="5" t="str">
        <f t="shared" si="25"/>
        <v xml:space="preserve">        └ 발주 승인</v>
      </c>
      <c r="C139" s="33" t="s">
        <v>47</v>
      </c>
      <c r="D139" s="32"/>
      <c r="E139" s="33" t="s">
        <v>1125</v>
      </c>
      <c r="F139" s="44" t="s">
        <v>776</v>
      </c>
      <c r="G139" s="32"/>
      <c r="H139" s="32"/>
      <c r="I139" s="32"/>
      <c r="J139" s="34"/>
      <c r="K139" s="34"/>
      <c r="L139" s="27" t="str">
        <f t="shared" si="35"/>
        <v>1</v>
      </c>
      <c r="M139" s="27" t="str">
        <f t="shared" si="36"/>
        <v>1</v>
      </c>
      <c r="N139" s="32" t="s">
        <v>419</v>
      </c>
      <c r="O139" s="32" t="s">
        <v>504</v>
      </c>
      <c r="P139" s="27" t="str">
        <f t="shared" si="37"/>
        <v>1</v>
      </c>
      <c r="Q139" s="32" t="s">
        <v>400</v>
      </c>
      <c r="R139" s="32" t="s">
        <v>400</v>
      </c>
      <c r="S139" s="32" t="s">
        <v>400</v>
      </c>
      <c r="T139" s="32" t="s">
        <v>400</v>
      </c>
      <c r="U139" s="32" t="s">
        <v>48</v>
      </c>
      <c r="V139" s="32" t="s">
        <v>400</v>
      </c>
      <c r="W139" s="32" t="s">
        <v>400</v>
      </c>
      <c r="X139" s="32" t="s">
        <v>400</v>
      </c>
      <c r="Y139" s="32" t="s">
        <v>48</v>
      </c>
      <c r="Z139" s="32" t="s">
        <v>48</v>
      </c>
      <c r="AA139" s="32" t="s">
        <v>48</v>
      </c>
      <c r="AB139" s="32" t="s">
        <v>48</v>
      </c>
      <c r="AC139" s="32" t="s">
        <v>48</v>
      </c>
      <c r="AD139" s="32"/>
      <c r="AE139" s="27" t="str">
        <f t="shared" si="38"/>
        <v>N</v>
      </c>
      <c r="AF139" s="32" t="s">
        <v>399</v>
      </c>
      <c r="AG139" s="32"/>
      <c r="AH139" s="33" t="s">
        <v>1129</v>
      </c>
      <c r="AI139" s="35">
        <v>5</v>
      </c>
      <c r="AJ139" s="57">
        <v>143</v>
      </c>
      <c r="AK139" s="33" t="s">
        <v>401</v>
      </c>
      <c r="AL139" s="10" t="s">
        <v>50</v>
      </c>
      <c r="AM139" s="6" t="str">
        <f t="shared" si="34"/>
        <v>14821/발주 승인/ recv/PoConfirm</v>
      </c>
      <c r="AN139" s="30"/>
      <c r="AO139" s="30"/>
      <c r="AP139" s="30"/>
      <c r="AQ139" s="30"/>
      <c r="AR139" s="31"/>
      <c r="AS139" s="31"/>
      <c r="AT139" s="31"/>
      <c r="AU139" s="31"/>
      <c r="AV139" s="31"/>
      <c r="AW139" s="31"/>
      <c r="AX139" s="31"/>
      <c r="AY139" s="31"/>
    </row>
    <row r="140" spans="2:51" s="29" customFormat="1" ht="14.5">
      <c r="B140" s="5" t="str">
        <f t="shared" si="25"/>
        <v xml:space="preserve">        └ 직납 매입 대기 현황</v>
      </c>
      <c r="C140" s="33" t="s">
        <v>47</v>
      </c>
      <c r="D140" s="32"/>
      <c r="E140" s="33" t="s">
        <v>1126</v>
      </c>
      <c r="F140" s="44" t="s">
        <v>777</v>
      </c>
      <c r="G140" s="32"/>
      <c r="H140" s="32"/>
      <c r="I140" s="32"/>
      <c r="J140" s="34"/>
      <c r="K140" s="34"/>
      <c r="L140" s="27" t="str">
        <f t="shared" si="35"/>
        <v>1</v>
      </c>
      <c r="M140" s="27" t="str">
        <f t="shared" si="36"/>
        <v>1</v>
      </c>
      <c r="N140" s="32" t="s">
        <v>419</v>
      </c>
      <c r="O140" s="32" t="s">
        <v>505</v>
      </c>
      <c r="P140" s="27" t="str">
        <f t="shared" si="37"/>
        <v>1</v>
      </c>
      <c r="Q140" s="32" t="s">
        <v>399</v>
      </c>
      <c r="R140" s="32" t="s">
        <v>399</v>
      </c>
      <c r="S140" s="32" t="s">
        <v>400</v>
      </c>
      <c r="T140" s="32" t="s">
        <v>400</v>
      </c>
      <c r="U140" s="32" t="s">
        <v>48</v>
      </c>
      <c r="V140" s="32" t="s">
        <v>400</v>
      </c>
      <c r="W140" s="32" t="s">
        <v>400</v>
      </c>
      <c r="X140" s="32" t="s">
        <v>399</v>
      </c>
      <c r="Y140" s="32" t="s">
        <v>48</v>
      </c>
      <c r="Z140" s="32" t="s">
        <v>48</v>
      </c>
      <c r="AA140" s="32" t="s">
        <v>48</v>
      </c>
      <c r="AB140" s="32" t="s">
        <v>48</v>
      </c>
      <c r="AC140" s="32" t="s">
        <v>48</v>
      </c>
      <c r="AD140" s="32"/>
      <c r="AE140" s="27" t="str">
        <f t="shared" si="38"/>
        <v>N</v>
      </c>
      <c r="AF140" s="32" t="s">
        <v>399</v>
      </c>
      <c r="AG140" s="32"/>
      <c r="AH140" s="33" t="s">
        <v>1129</v>
      </c>
      <c r="AI140" s="35">
        <v>5</v>
      </c>
      <c r="AJ140" s="57">
        <v>144</v>
      </c>
      <c r="AK140" s="33" t="s">
        <v>401</v>
      </c>
      <c r="AL140" s="10" t="s">
        <v>50</v>
      </c>
      <c r="AM140" s="6" t="str">
        <f t="shared" si="34"/>
        <v>14821/직납 매입 대기 현황/ recv/RecvScmList</v>
      </c>
      <c r="AN140" s="30"/>
      <c r="AO140" s="30"/>
      <c r="AP140" s="30"/>
      <c r="AQ140" s="30"/>
      <c r="AR140" s="31"/>
      <c r="AS140" s="31"/>
      <c r="AT140" s="31"/>
      <c r="AU140" s="31"/>
      <c r="AV140" s="31"/>
      <c r="AW140" s="31"/>
      <c r="AX140" s="31"/>
      <c r="AY140" s="31"/>
    </row>
    <row r="141" spans="2:51" s="29" customFormat="1" ht="14.5">
      <c r="B141" s="5" t="str">
        <f t="shared" si="25"/>
        <v xml:space="preserve">        └ 납품 진행 현황</v>
      </c>
      <c r="C141" s="33" t="s">
        <v>47</v>
      </c>
      <c r="D141" s="32"/>
      <c r="E141" s="33" t="s">
        <v>1127</v>
      </c>
      <c r="F141" s="44" t="s">
        <v>778</v>
      </c>
      <c r="G141" s="32"/>
      <c r="H141" s="32"/>
      <c r="I141" s="32"/>
      <c r="J141" s="34"/>
      <c r="K141" s="34"/>
      <c r="L141" s="27" t="str">
        <f t="shared" si="35"/>
        <v>1</v>
      </c>
      <c r="M141" s="27" t="str">
        <f t="shared" si="36"/>
        <v>1</v>
      </c>
      <c r="N141" s="32" t="s">
        <v>419</v>
      </c>
      <c r="O141" s="32" t="s">
        <v>506</v>
      </c>
      <c r="P141" s="27" t="str">
        <f t="shared" si="37"/>
        <v>1</v>
      </c>
      <c r="Q141" s="32" t="s">
        <v>399</v>
      </c>
      <c r="R141" s="32" t="s">
        <v>400</v>
      </c>
      <c r="S141" s="32" t="s">
        <v>400</v>
      </c>
      <c r="T141" s="32" t="s">
        <v>400</v>
      </c>
      <c r="U141" s="32" t="s">
        <v>48</v>
      </c>
      <c r="V141" s="32" t="s">
        <v>400</v>
      </c>
      <c r="W141" s="32" t="s">
        <v>400</v>
      </c>
      <c r="X141" s="32" t="s">
        <v>399</v>
      </c>
      <c r="Y141" s="32" t="s">
        <v>48</v>
      </c>
      <c r="Z141" s="32" t="s">
        <v>48</v>
      </c>
      <c r="AA141" s="32" t="s">
        <v>48</v>
      </c>
      <c r="AB141" s="32" t="s">
        <v>48</v>
      </c>
      <c r="AC141" s="32" t="s">
        <v>48</v>
      </c>
      <c r="AD141" s="32"/>
      <c r="AE141" s="27" t="str">
        <f t="shared" si="38"/>
        <v>N</v>
      </c>
      <c r="AF141" s="32" t="s">
        <v>399</v>
      </c>
      <c r="AG141" s="32"/>
      <c r="AH141" s="33" t="s">
        <v>1129</v>
      </c>
      <c r="AI141" s="35">
        <v>5</v>
      </c>
      <c r="AJ141" s="57">
        <v>145</v>
      </c>
      <c r="AK141" s="33" t="s">
        <v>401</v>
      </c>
      <c r="AL141" s="10" t="s">
        <v>50</v>
      </c>
      <c r="AM141" s="6" t="str">
        <f t="shared" si="34"/>
        <v>14821/납품 진행 현황/ recv/PoStsList</v>
      </c>
      <c r="AN141" s="30"/>
      <c r="AO141" s="30"/>
      <c r="AP141" s="30"/>
      <c r="AQ141" s="30"/>
      <c r="AR141" s="31"/>
      <c r="AS141" s="31"/>
      <c r="AT141" s="31"/>
      <c r="AU141" s="31"/>
      <c r="AV141" s="31"/>
      <c r="AW141" s="31"/>
      <c r="AX141" s="31"/>
      <c r="AY141" s="31"/>
    </row>
    <row r="142" spans="2:51" s="29" customFormat="1" ht="14.5">
      <c r="B142" s="5" t="str">
        <f t="shared" si="25"/>
        <v xml:space="preserve">        └ EDI 발주 반품 관리</v>
      </c>
      <c r="C142" s="33" t="s">
        <v>47</v>
      </c>
      <c r="D142" s="32"/>
      <c r="E142" s="33" t="s">
        <v>1128</v>
      </c>
      <c r="F142" s="44" t="s">
        <v>779</v>
      </c>
      <c r="G142" s="32"/>
      <c r="H142" s="32"/>
      <c r="I142" s="32"/>
      <c r="J142" s="34"/>
      <c r="K142" s="34"/>
      <c r="L142" s="27" t="str">
        <f t="shared" si="35"/>
        <v>1</v>
      </c>
      <c r="M142" s="27" t="str">
        <f t="shared" si="36"/>
        <v>1</v>
      </c>
      <c r="N142" s="32" t="s">
        <v>419</v>
      </c>
      <c r="O142" s="32" t="s">
        <v>507</v>
      </c>
      <c r="P142" s="27" t="str">
        <f t="shared" si="37"/>
        <v>1</v>
      </c>
      <c r="Q142" s="32" t="s">
        <v>400</v>
      </c>
      <c r="R142" s="32" t="s">
        <v>400</v>
      </c>
      <c r="S142" s="32" t="s">
        <v>400</v>
      </c>
      <c r="T142" s="32" t="s">
        <v>400</v>
      </c>
      <c r="U142" s="32" t="s">
        <v>48</v>
      </c>
      <c r="V142" s="32" t="s">
        <v>399</v>
      </c>
      <c r="W142" s="32" t="s">
        <v>399</v>
      </c>
      <c r="X142" s="32" t="s">
        <v>400</v>
      </c>
      <c r="Y142" s="32" t="s">
        <v>48</v>
      </c>
      <c r="Z142" s="32" t="s">
        <v>48</v>
      </c>
      <c r="AA142" s="32" t="s">
        <v>48</v>
      </c>
      <c r="AB142" s="32" t="s">
        <v>48</v>
      </c>
      <c r="AC142" s="32" t="s">
        <v>48</v>
      </c>
      <c r="AD142" s="32"/>
      <c r="AE142" s="27" t="str">
        <f t="shared" si="38"/>
        <v>N</v>
      </c>
      <c r="AF142" s="32" t="s">
        <v>399</v>
      </c>
      <c r="AG142" s="32"/>
      <c r="AH142" s="33" t="s">
        <v>1129</v>
      </c>
      <c r="AI142" s="35">
        <v>5</v>
      </c>
      <c r="AJ142" s="57">
        <v>146</v>
      </c>
      <c r="AK142" s="33" t="s">
        <v>401</v>
      </c>
      <c r="AL142" s="10" t="s">
        <v>50</v>
      </c>
      <c r="AM142" s="6" t="str">
        <f t="shared" si="34"/>
        <v>14821/EDI 발주 반품 관리/ recv/EdiRecvRetWork</v>
      </c>
      <c r="AN142" s="30"/>
      <c r="AO142" s="30"/>
      <c r="AP142" s="30"/>
      <c r="AQ142" s="30"/>
      <c r="AR142" s="31"/>
      <c r="AS142" s="31"/>
      <c r="AT142" s="31"/>
      <c r="AU142" s="31"/>
      <c r="AV142" s="31"/>
      <c r="AW142" s="31"/>
      <c r="AX142" s="31"/>
      <c r="AY142" s="31"/>
    </row>
    <row r="143" spans="2:51" s="29" customFormat="1" ht="14.5">
      <c r="B143" s="5" t="str">
        <f t="shared" si="25"/>
        <v xml:space="preserve">    └ 입고</v>
      </c>
      <c r="C143" s="33" t="s">
        <v>47</v>
      </c>
      <c r="D143" s="32"/>
      <c r="E143" s="9">
        <v>2040400</v>
      </c>
      <c r="F143" s="38" t="s">
        <v>1130</v>
      </c>
      <c r="G143" s="9"/>
      <c r="H143" s="9"/>
      <c r="I143" s="9"/>
      <c r="J143" s="9"/>
      <c r="K143" s="9"/>
      <c r="L143" s="9" t="str">
        <f t="shared" si="35"/>
        <v>1</v>
      </c>
      <c r="M143" s="9" t="str">
        <f t="shared" si="36"/>
        <v>0</v>
      </c>
      <c r="N143" s="38" t="s">
        <v>985</v>
      </c>
      <c r="O143" s="38"/>
      <c r="P143" s="9" t="str">
        <f t="shared" si="37"/>
        <v>1</v>
      </c>
      <c r="Q143" s="9" t="s">
        <v>986</v>
      </c>
      <c r="R143" s="9" t="s">
        <v>986</v>
      </c>
      <c r="S143" s="9" t="s">
        <v>986</v>
      </c>
      <c r="T143" s="9" t="s">
        <v>987</v>
      </c>
      <c r="U143" s="9" t="s">
        <v>985</v>
      </c>
      <c r="V143" s="9" t="s">
        <v>987</v>
      </c>
      <c r="W143" s="9" t="s">
        <v>987</v>
      </c>
      <c r="X143" s="9" t="s">
        <v>987</v>
      </c>
      <c r="Y143" s="9" t="s">
        <v>985</v>
      </c>
      <c r="Z143" s="9" t="s">
        <v>985</v>
      </c>
      <c r="AA143" s="9" t="s">
        <v>985</v>
      </c>
      <c r="AB143" s="9" t="s">
        <v>985</v>
      </c>
      <c r="AC143" s="9" t="s">
        <v>985</v>
      </c>
      <c r="AD143" s="9"/>
      <c r="AE143" s="9" t="str">
        <f t="shared" si="38"/>
        <v>N</v>
      </c>
      <c r="AF143" s="9" t="s">
        <v>986</v>
      </c>
      <c r="AG143" s="9"/>
      <c r="AH143" s="9">
        <v>2040000</v>
      </c>
      <c r="AI143" s="9">
        <v>4</v>
      </c>
      <c r="AJ143" s="57">
        <v>147</v>
      </c>
      <c r="AK143" s="10" t="s">
        <v>988</v>
      </c>
      <c r="AL143" s="10" t="s">
        <v>50</v>
      </c>
      <c r="AM143" s="6" t="str">
        <f t="shared" si="34"/>
        <v>14821/입고/ /</v>
      </c>
      <c r="AN143" s="30"/>
      <c r="AO143" s="30"/>
      <c r="AP143" s="30"/>
      <c r="AQ143" s="30"/>
      <c r="AR143" s="31"/>
      <c r="AS143" s="31"/>
      <c r="AT143" s="31"/>
      <c r="AU143" s="31"/>
      <c r="AV143" s="31"/>
      <c r="AW143" s="31"/>
      <c r="AX143" s="31"/>
      <c r="AY143" s="31"/>
    </row>
    <row r="144" spans="2:51" s="29" customFormat="1" ht="14.5">
      <c r="B144" s="5" t="str">
        <f t="shared" si="25"/>
        <v xml:space="preserve">        └ 발주 현황</v>
      </c>
      <c r="C144" s="33" t="s">
        <v>47</v>
      </c>
      <c r="D144" s="32"/>
      <c r="E144" s="33" t="s">
        <v>1131</v>
      </c>
      <c r="F144" s="44" t="s">
        <v>780</v>
      </c>
      <c r="G144" s="32"/>
      <c r="H144" s="32"/>
      <c r="I144" s="32"/>
      <c r="J144" s="34"/>
      <c r="K144" s="34"/>
      <c r="L144" s="27" t="str">
        <f t="shared" si="35"/>
        <v>1</v>
      </c>
      <c r="M144" s="27" t="str">
        <f t="shared" si="36"/>
        <v>1</v>
      </c>
      <c r="N144" s="32" t="s">
        <v>419</v>
      </c>
      <c r="O144" s="32" t="s">
        <v>508</v>
      </c>
      <c r="P144" s="27" t="str">
        <f t="shared" si="37"/>
        <v>1</v>
      </c>
      <c r="Q144" s="32" t="s">
        <v>399</v>
      </c>
      <c r="R144" s="32" t="s">
        <v>399</v>
      </c>
      <c r="S144" s="32" t="s">
        <v>400</v>
      </c>
      <c r="T144" s="32" t="s">
        <v>400</v>
      </c>
      <c r="U144" s="32" t="s">
        <v>48</v>
      </c>
      <c r="V144" s="32" t="s">
        <v>400</v>
      </c>
      <c r="W144" s="32" t="s">
        <v>400</v>
      </c>
      <c r="X144" s="32" t="s">
        <v>400</v>
      </c>
      <c r="Y144" s="32" t="s">
        <v>48</v>
      </c>
      <c r="Z144" s="32" t="s">
        <v>48</v>
      </c>
      <c r="AA144" s="32" t="s">
        <v>48</v>
      </c>
      <c r="AB144" s="32" t="s">
        <v>48</v>
      </c>
      <c r="AC144" s="32" t="s">
        <v>48</v>
      </c>
      <c r="AD144" s="32"/>
      <c r="AE144" s="27" t="str">
        <f t="shared" si="38"/>
        <v>N</v>
      </c>
      <c r="AF144" s="32" t="s">
        <v>399</v>
      </c>
      <c r="AG144" s="32"/>
      <c r="AH144" s="33" t="s">
        <v>1137</v>
      </c>
      <c r="AI144" s="35">
        <v>5</v>
      </c>
      <c r="AJ144" s="57">
        <v>148</v>
      </c>
      <c r="AK144" s="33" t="s">
        <v>401</v>
      </c>
      <c r="AL144" s="10" t="s">
        <v>50</v>
      </c>
      <c r="AM144" s="6" t="str">
        <f t="shared" si="34"/>
        <v>14821/발주 현황/ recv/PoList</v>
      </c>
      <c r="AN144" s="30"/>
      <c r="AO144" s="30"/>
      <c r="AP144" s="30"/>
      <c r="AQ144" s="30"/>
      <c r="AR144" s="31"/>
      <c r="AS144" s="31"/>
      <c r="AT144" s="31"/>
      <c r="AU144" s="31"/>
      <c r="AV144" s="31"/>
      <c r="AW144" s="31"/>
      <c r="AX144" s="31"/>
      <c r="AY144" s="31"/>
    </row>
    <row r="145" spans="2:51" s="29" customFormat="1" ht="14.5">
      <c r="B145" s="5" t="str">
        <f t="shared" si="25"/>
        <v xml:space="preserve">        └ 입고 검수</v>
      </c>
      <c r="C145" s="33" t="s">
        <v>47</v>
      </c>
      <c r="D145" s="32"/>
      <c r="E145" s="33" t="s">
        <v>1132</v>
      </c>
      <c r="F145" s="44" t="s">
        <v>781</v>
      </c>
      <c r="G145" s="32"/>
      <c r="H145" s="32"/>
      <c r="I145" s="32"/>
      <c r="J145" s="34"/>
      <c r="K145" s="34"/>
      <c r="L145" s="27" t="str">
        <f t="shared" si="35"/>
        <v>1</v>
      </c>
      <c r="M145" s="27" t="str">
        <f t="shared" si="36"/>
        <v>1</v>
      </c>
      <c r="N145" s="32" t="s">
        <v>419</v>
      </c>
      <c r="O145" s="32" t="s">
        <v>509</v>
      </c>
      <c r="P145" s="27" t="str">
        <f t="shared" si="37"/>
        <v>1</v>
      </c>
      <c r="Q145" s="32" t="s">
        <v>399</v>
      </c>
      <c r="R145" s="32" t="s">
        <v>399</v>
      </c>
      <c r="S145" s="32" t="s">
        <v>399</v>
      </c>
      <c r="T145" s="32" t="s">
        <v>400</v>
      </c>
      <c r="U145" s="32" t="s">
        <v>48</v>
      </c>
      <c r="V145" s="32" t="s">
        <v>400</v>
      </c>
      <c r="W145" s="32" t="s">
        <v>400</v>
      </c>
      <c r="X145" s="32" t="s">
        <v>399</v>
      </c>
      <c r="Y145" s="32" t="s">
        <v>48</v>
      </c>
      <c r="Z145" s="32" t="s">
        <v>48</v>
      </c>
      <c r="AA145" s="32" t="s">
        <v>48</v>
      </c>
      <c r="AB145" s="32" t="s">
        <v>48</v>
      </c>
      <c r="AC145" s="32" t="s">
        <v>48</v>
      </c>
      <c r="AD145" s="32"/>
      <c r="AE145" s="27" t="str">
        <f t="shared" si="38"/>
        <v>N</v>
      </c>
      <c r="AF145" s="32" t="s">
        <v>399</v>
      </c>
      <c r="AG145" s="32"/>
      <c r="AH145" s="33" t="s">
        <v>1137</v>
      </c>
      <c r="AI145" s="35">
        <v>5</v>
      </c>
      <c r="AJ145" s="57">
        <v>149</v>
      </c>
      <c r="AK145" s="33" t="s">
        <v>401</v>
      </c>
      <c r="AL145" s="10" t="s">
        <v>50</v>
      </c>
      <c r="AM145" s="6" t="str">
        <f t="shared" si="34"/>
        <v>14821/입고 검수/ recv/RecvCheck</v>
      </c>
      <c r="AN145" s="30"/>
      <c r="AO145" s="30"/>
      <c r="AP145" s="30"/>
      <c r="AQ145" s="30"/>
      <c r="AR145" s="31"/>
      <c r="AS145" s="31"/>
      <c r="AT145" s="31"/>
      <c r="AU145" s="31"/>
      <c r="AV145" s="31"/>
      <c r="AW145" s="31"/>
      <c r="AX145" s="31"/>
      <c r="AY145" s="31"/>
    </row>
    <row r="146" spans="2:51" s="29" customFormat="1" ht="14.5">
      <c r="B146" s="5" t="str">
        <f t="shared" si="25"/>
        <v xml:space="preserve">        └ 입고 관리</v>
      </c>
      <c r="C146" s="33" t="s">
        <v>47</v>
      </c>
      <c r="D146" s="32"/>
      <c r="E146" s="33" t="s">
        <v>1133</v>
      </c>
      <c r="F146" s="44" t="s">
        <v>782</v>
      </c>
      <c r="G146" s="32"/>
      <c r="H146" s="32"/>
      <c r="I146" s="32"/>
      <c r="J146" s="34"/>
      <c r="K146" s="34"/>
      <c r="L146" s="27" t="str">
        <f t="shared" si="35"/>
        <v>1</v>
      </c>
      <c r="M146" s="27" t="str">
        <f t="shared" si="36"/>
        <v>1</v>
      </c>
      <c r="N146" s="32" t="s">
        <v>419</v>
      </c>
      <c r="O146" s="32" t="s">
        <v>510</v>
      </c>
      <c r="P146" s="27" t="str">
        <f t="shared" si="37"/>
        <v>1</v>
      </c>
      <c r="Q146" s="32" t="s">
        <v>400</v>
      </c>
      <c r="R146" s="32" t="s">
        <v>400</v>
      </c>
      <c r="S146" s="32" t="s">
        <v>400</v>
      </c>
      <c r="T146" s="32" t="s">
        <v>400</v>
      </c>
      <c r="U146" s="32" t="s">
        <v>48</v>
      </c>
      <c r="V146" s="32" t="s">
        <v>400</v>
      </c>
      <c r="W146" s="32" t="s">
        <v>400</v>
      </c>
      <c r="X146" s="32" t="s">
        <v>400</v>
      </c>
      <c r="Y146" s="32" t="s">
        <v>48</v>
      </c>
      <c r="Z146" s="32" t="s">
        <v>48</v>
      </c>
      <c r="AA146" s="32" t="s">
        <v>48</v>
      </c>
      <c r="AB146" s="32" t="s">
        <v>48</v>
      </c>
      <c r="AC146" s="32" t="s">
        <v>48</v>
      </c>
      <c r="AD146" s="32"/>
      <c r="AE146" s="27" t="str">
        <f t="shared" si="38"/>
        <v>N</v>
      </c>
      <c r="AF146" s="32" t="s">
        <v>399</v>
      </c>
      <c r="AG146" s="32"/>
      <c r="AH146" s="33" t="s">
        <v>1137</v>
      </c>
      <c r="AI146" s="35">
        <v>5</v>
      </c>
      <c r="AJ146" s="57">
        <v>150</v>
      </c>
      <c r="AK146" s="33" t="s">
        <v>401</v>
      </c>
      <c r="AL146" s="10" t="s">
        <v>50</v>
      </c>
      <c r="AM146" s="6" t="str">
        <f t="shared" si="34"/>
        <v>14821/입고 관리/ recv/RecvWork</v>
      </c>
      <c r="AN146" s="30"/>
      <c r="AO146" s="30"/>
      <c r="AP146" s="30"/>
      <c r="AQ146" s="30"/>
      <c r="AR146" s="31"/>
      <c r="AS146" s="31"/>
      <c r="AT146" s="31"/>
      <c r="AU146" s="31"/>
      <c r="AV146" s="31"/>
      <c r="AW146" s="31"/>
      <c r="AX146" s="31"/>
      <c r="AY146" s="31"/>
    </row>
    <row r="147" spans="2:51" s="29" customFormat="1" ht="14.5">
      <c r="B147" s="5" t="str">
        <f t="shared" si="25"/>
        <v xml:space="preserve">        └ 입고 현황</v>
      </c>
      <c r="C147" s="33" t="s">
        <v>47</v>
      </c>
      <c r="D147" s="32"/>
      <c r="E147" s="33" t="s">
        <v>1134</v>
      </c>
      <c r="F147" s="44" t="s">
        <v>783</v>
      </c>
      <c r="G147" s="32"/>
      <c r="H147" s="32"/>
      <c r="I147" s="32"/>
      <c r="J147" s="34"/>
      <c r="K147" s="34"/>
      <c r="L147" s="27" t="str">
        <f t="shared" si="35"/>
        <v>1</v>
      </c>
      <c r="M147" s="27" t="str">
        <f t="shared" si="36"/>
        <v>1</v>
      </c>
      <c r="N147" s="32" t="s">
        <v>415</v>
      </c>
      <c r="O147" s="32" t="s">
        <v>511</v>
      </c>
      <c r="P147" s="27" t="str">
        <f t="shared" si="37"/>
        <v>1</v>
      </c>
      <c r="Q147" s="32" t="s">
        <v>399</v>
      </c>
      <c r="R147" s="32" t="s">
        <v>399</v>
      </c>
      <c r="S147" s="32" t="s">
        <v>400</v>
      </c>
      <c r="T147" s="32" t="s">
        <v>400</v>
      </c>
      <c r="U147" s="32" t="s">
        <v>48</v>
      </c>
      <c r="V147" s="32" t="s">
        <v>400</v>
      </c>
      <c r="W147" s="32" t="s">
        <v>400</v>
      </c>
      <c r="X147" s="32" t="s">
        <v>400</v>
      </c>
      <c r="Y147" s="32" t="s">
        <v>48</v>
      </c>
      <c r="Z147" s="32" t="s">
        <v>48</v>
      </c>
      <c r="AA147" s="32" t="s">
        <v>48</v>
      </c>
      <c r="AB147" s="32" t="s">
        <v>48</v>
      </c>
      <c r="AC147" s="32" t="s">
        <v>48</v>
      </c>
      <c r="AD147" s="32"/>
      <c r="AE147" s="27" t="str">
        <f t="shared" si="38"/>
        <v>N</v>
      </c>
      <c r="AF147" s="32" t="s">
        <v>399</v>
      </c>
      <c r="AG147" s="32"/>
      <c r="AH147" s="33" t="s">
        <v>1137</v>
      </c>
      <c r="AI147" s="35">
        <v>5</v>
      </c>
      <c r="AJ147" s="57">
        <v>151</v>
      </c>
      <c r="AK147" s="33" t="s">
        <v>401</v>
      </c>
      <c r="AL147" s="10" t="s">
        <v>50</v>
      </c>
      <c r="AM147" s="6" t="str">
        <f t="shared" si="34"/>
        <v>14821/입고 현황/ zreport/RecvList</v>
      </c>
      <c r="AN147" s="30"/>
      <c r="AO147" s="30"/>
      <c r="AP147" s="30"/>
      <c r="AQ147" s="30"/>
      <c r="AR147" s="31"/>
      <c r="AS147" s="31"/>
      <c r="AT147" s="31"/>
      <c r="AU147" s="31"/>
      <c r="AV147" s="31"/>
      <c r="AW147" s="31"/>
      <c r="AX147" s="31"/>
      <c r="AY147" s="31"/>
    </row>
    <row r="148" spans="2:51" s="29" customFormat="1" ht="14.5">
      <c r="B148" s="5" t="str">
        <f t="shared" si="25"/>
        <v xml:space="preserve">        └ 입고 반품 관리</v>
      </c>
      <c r="C148" s="33" t="s">
        <v>47</v>
      </c>
      <c r="D148" s="32"/>
      <c r="E148" s="33" t="s">
        <v>1135</v>
      </c>
      <c r="F148" s="44" t="s">
        <v>784</v>
      </c>
      <c r="G148" s="32"/>
      <c r="H148" s="32"/>
      <c r="I148" s="32"/>
      <c r="J148" s="34"/>
      <c r="K148" s="34"/>
      <c r="L148" s="27" t="str">
        <f t="shared" si="35"/>
        <v>1</v>
      </c>
      <c r="M148" s="27" t="str">
        <f t="shared" si="36"/>
        <v>1</v>
      </c>
      <c r="N148" s="32" t="s">
        <v>419</v>
      </c>
      <c r="O148" s="32" t="s">
        <v>512</v>
      </c>
      <c r="P148" s="27" t="str">
        <f t="shared" si="37"/>
        <v>1</v>
      </c>
      <c r="Q148" s="32" t="s">
        <v>400</v>
      </c>
      <c r="R148" s="32" t="s">
        <v>399</v>
      </c>
      <c r="S148" s="32" t="s">
        <v>400</v>
      </c>
      <c r="T148" s="32" t="s">
        <v>400</v>
      </c>
      <c r="U148" s="32" t="s">
        <v>48</v>
      </c>
      <c r="V148" s="32" t="s">
        <v>400</v>
      </c>
      <c r="W148" s="32" t="s">
        <v>400</v>
      </c>
      <c r="X148" s="32" t="s">
        <v>400</v>
      </c>
      <c r="Y148" s="32" t="s">
        <v>48</v>
      </c>
      <c r="Z148" s="32" t="s">
        <v>48</v>
      </c>
      <c r="AA148" s="32" t="s">
        <v>48</v>
      </c>
      <c r="AB148" s="32" t="s">
        <v>48</v>
      </c>
      <c r="AC148" s="32" t="s">
        <v>48</v>
      </c>
      <c r="AD148" s="32"/>
      <c r="AE148" s="27" t="str">
        <f t="shared" si="38"/>
        <v>N</v>
      </c>
      <c r="AF148" s="32" t="s">
        <v>399</v>
      </c>
      <c r="AG148" s="32"/>
      <c r="AH148" s="33" t="s">
        <v>1137</v>
      </c>
      <c r="AI148" s="35">
        <v>5</v>
      </c>
      <c r="AJ148" s="57">
        <v>152</v>
      </c>
      <c r="AK148" s="33" t="s">
        <v>401</v>
      </c>
      <c r="AL148" s="10" t="s">
        <v>50</v>
      </c>
      <c r="AM148" s="6" t="str">
        <f t="shared" si="34"/>
        <v>14821/입고 반품 관리/ recv/RecvRetWork</v>
      </c>
      <c r="AN148" s="30"/>
      <c r="AO148" s="30"/>
      <c r="AP148" s="30"/>
      <c r="AQ148" s="30"/>
      <c r="AR148" s="31"/>
      <c r="AS148" s="31"/>
      <c r="AT148" s="31"/>
      <c r="AU148" s="31"/>
      <c r="AV148" s="31"/>
      <c r="AW148" s="31"/>
      <c r="AX148" s="31"/>
      <c r="AY148" s="31"/>
    </row>
    <row r="149" spans="2:51" s="29" customFormat="1" ht="14.5">
      <c r="B149" s="5" t="str">
        <f t="shared" si="25"/>
        <v xml:space="preserve">        └ EDI 입고 반품 관리</v>
      </c>
      <c r="C149" s="33" t="s">
        <v>47</v>
      </c>
      <c r="D149" s="32"/>
      <c r="E149" s="33" t="s">
        <v>1136</v>
      </c>
      <c r="F149" s="44" t="s">
        <v>785</v>
      </c>
      <c r="G149" s="32"/>
      <c r="H149" s="32"/>
      <c r="I149" s="32"/>
      <c r="J149" s="34"/>
      <c r="K149" s="34"/>
      <c r="L149" s="27" t="str">
        <f t="shared" si="35"/>
        <v>1</v>
      </c>
      <c r="M149" s="27" t="str">
        <f t="shared" si="36"/>
        <v>1</v>
      </c>
      <c r="N149" s="32" t="s">
        <v>419</v>
      </c>
      <c r="O149" s="32" t="s">
        <v>507</v>
      </c>
      <c r="P149" s="27" t="str">
        <f t="shared" si="37"/>
        <v>1</v>
      </c>
      <c r="Q149" s="32" t="s">
        <v>400</v>
      </c>
      <c r="R149" s="32" t="s">
        <v>400</v>
      </c>
      <c r="S149" s="32" t="s">
        <v>400</v>
      </c>
      <c r="T149" s="32" t="s">
        <v>400</v>
      </c>
      <c r="U149" s="32" t="s">
        <v>48</v>
      </c>
      <c r="V149" s="32" t="s">
        <v>399</v>
      </c>
      <c r="W149" s="32" t="s">
        <v>399</v>
      </c>
      <c r="X149" s="32" t="s">
        <v>400</v>
      </c>
      <c r="Y149" s="32" t="s">
        <v>48</v>
      </c>
      <c r="Z149" s="32" t="s">
        <v>48</v>
      </c>
      <c r="AA149" s="32" t="s">
        <v>48</v>
      </c>
      <c r="AB149" s="32" t="s">
        <v>48</v>
      </c>
      <c r="AC149" s="32" t="s">
        <v>48</v>
      </c>
      <c r="AD149" s="32"/>
      <c r="AE149" s="27" t="str">
        <f t="shared" si="38"/>
        <v>N</v>
      </c>
      <c r="AF149" s="32" t="s">
        <v>399</v>
      </c>
      <c r="AG149" s="32"/>
      <c r="AH149" s="33" t="s">
        <v>1137</v>
      </c>
      <c r="AI149" s="35">
        <v>5</v>
      </c>
      <c r="AJ149" s="57">
        <v>153</v>
      </c>
      <c r="AK149" s="33" t="s">
        <v>401</v>
      </c>
      <c r="AL149" s="10" t="s">
        <v>50</v>
      </c>
      <c r="AM149" s="6" t="str">
        <f t="shared" si="34"/>
        <v>14821/EDI 입고 반품 관리/ recv/EdiRecvRetWork</v>
      </c>
      <c r="AN149" s="30"/>
      <c r="AO149" s="30"/>
      <c r="AP149" s="30"/>
      <c r="AQ149" s="30"/>
      <c r="AR149" s="31"/>
      <c r="AS149" s="31"/>
      <c r="AT149" s="31"/>
      <c r="AU149" s="31"/>
      <c r="AV149" s="31"/>
      <c r="AW149" s="31"/>
      <c r="AX149" s="31"/>
      <c r="AY149" s="31"/>
    </row>
    <row r="150" spans="2:51" s="29" customFormat="1" ht="14.5">
      <c r="B150" s="5" t="str">
        <f t="shared" si="25"/>
        <v xml:space="preserve">    └ 지급</v>
      </c>
      <c r="C150" s="33" t="s">
        <v>47</v>
      </c>
      <c r="D150" s="32"/>
      <c r="E150" s="9">
        <v>2040500</v>
      </c>
      <c r="F150" s="38" t="s">
        <v>1138</v>
      </c>
      <c r="G150" s="9"/>
      <c r="H150" s="9"/>
      <c r="I150" s="9"/>
      <c r="J150" s="9"/>
      <c r="K150" s="9"/>
      <c r="L150" s="9" t="str">
        <f t="shared" si="35"/>
        <v>1</v>
      </c>
      <c r="M150" s="9" t="str">
        <f t="shared" si="36"/>
        <v>0</v>
      </c>
      <c r="N150" s="38" t="s">
        <v>985</v>
      </c>
      <c r="O150" s="38"/>
      <c r="P150" s="9" t="str">
        <f t="shared" si="37"/>
        <v>1</v>
      </c>
      <c r="Q150" s="9" t="s">
        <v>986</v>
      </c>
      <c r="R150" s="9" t="s">
        <v>986</v>
      </c>
      <c r="S150" s="9" t="s">
        <v>986</v>
      </c>
      <c r="T150" s="9" t="s">
        <v>987</v>
      </c>
      <c r="U150" s="9" t="s">
        <v>985</v>
      </c>
      <c r="V150" s="9" t="s">
        <v>987</v>
      </c>
      <c r="W150" s="9" t="s">
        <v>987</v>
      </c>
      <c r="X150" s="9" t="s">
        <v>987</v>
      </c>
      <c r="Y150" s="9" t="s">
        <v>985</v>
      </c>
      <c r="Z150" s="9" t="s">
        <v>985</v>
      </c>
      <c r="AA150" s="9" t="s">
        <v>985</v>
      </c>
      <c r="AB150" s="9" t="s">
        <v>985</v>
      </c>
      <c r="AC150" s="9" t="s">
        <v>985</v>
      </c>
      <c r="AD150" s="9"/>
      <c r="AE150" s="9" t="str">
        <f t="shared" si="38"/>
        <v>N</v>
      </c>
      <c r="AF150" s="9" t="s">
        <v>986</v>
      </c>
      <c r="AG150" s="9"/>
      <c r="AH150" s="9">
        <v>2040000</v>
      </c>
      <c r="AI150" s="9">
        <v>4</v>
      </c>
      <c r="AJ150" s="57">
        <v>154</v>
      </c>
      <c r="AK150" s="10" t="s">
        <v>988</v>
      </c>
      <c r="AL150" s="10" t="s">
        <v>50</v>
      </c>
      <c r="AM150" s="6" t="str">
        <f t="shared" si="34"/>
        <v>14821/지급/ /</v>
      </c>
      <c r="AN150" s="30"/>
      <c r="AO150" s="30"/>
      <c r="AP150" s="30"/>
      <c r="AQ150" s="30"/>
      <c r="AR150" s="31"/>
      <c r="AS150" s="31"/>
      <c r="AT150" s="31"/>
      <c r="AU150" s="31"/>
      <c r="AV150" s="31"/>
      <c r="AW150" s="31"/>
      <c r="AX150" s="31"/>
      <c r="AY150" s="31"/>
    </row>
    <row r="151" spans="2:51" s="29" customFormat="1" ht="14.5">
      <c r="B151" s="5" t="str">
        <f t="shared" si="25"/>
        <v xml:space="preserve">        └ 지급관리</v>
      </c>
      <c r="C151" s="33" t="s">
        <v>47</v>
      </c>
      <c r="D151" s="32"/>
      <c r="E151" s="33" t="s">
        <v>1140</v>
      </c>
      <c r="F151" s="44" t="s">
        <v>786</v>
      </c>
      <c r="G151" s="32"/>
      <c r="H151" s="32"/>
      <c r="I151" s="32"/>
      <c r="J151" s="34"/>
      <c r="K151" s="34"/>
      <c r="L151" s="27" t="str">
        <f t="shared" si="35"/>
        <v>1</v>
      </c>
      <c r="M151" s="27" t="str">
        <f t="shared" si="36"/>
        <v>1</v>
      </c>
      <c r="N151" s="32" t="s">
        <v>419</v>
      </c>
      <c r="O151" s="32" t="s">
        <v>513</v>
      </c>
      <c r="P151" s="27" t="str">
        <f t="shared" si="37"/>
        <v>1</v>
      </c>
      <c r="Q151" s="32" t="s">
        <v>400</v>
      </c>
      <c r="R151" s="32" t="s">
        <v>399</v>
      </c>
      <c r="S151" s="32" t="s">
        <v>400</v>
      </c>
      <c r="T151" s="32" t="s">
        <v>400</v>
      </c>
      <c r="U151" s="32" t="s">
        <v>48</v>
      </c>
      <c r="V151" s="32" t="s">
        <v>400</v>
      </c>
      <c r="W151" s="32" t="s">
        <v>400</v>
      </c>
      <c r="X151" s="32" t="s">
        <v>400</v>
      </c>
      <c r="Y151" s="32" t="s">
        <v>48</v>
      </c>
      <c r="Z151" s="32" t="s">
        <v>48</v>
      </c>
      <c r="AA151" s="32" t="s">
        <v>48</v>
      </c>
      <c r="AB151" s="32" t="s">
        <v>48</v>
      </c>
      <c r="AC151" s="32" t="s">
        <v>48</v>
      </c>
      <c r="AD151" s="32"/>
      <c r="AE151" s="27" t="str">
        <f t="shared" si="38"/>
        <v>N</v>
      </c>
      <c r="AF151" s="32" t="s">
        <v>399</v>
      </c>
      <c r="AG151" s="32"/>
      <c r="AH151" s="33" t="s">
        <v>1144</v>
      </c>
      <c r="AI151" s="35">
        <v>5</v>
      </c>
      <c r="AJ151" s="57">
        <v>155</v>
      </c>
      <c r="AK151" s="33" t="s">
        <v>401</v>
      </c>
      <c r="AL151" s="10" t="s">
        <v>50</v>
      </c>
      <c r="AM151" s="6" t="str">
        <f t="shared" si="34"/>
        <v>14821/지급관리/ recv/ApWork</v>
      </c>
      <c r="AN151" s="30"/>
      <c r="AO151" s="30"/>
      <c r="AP151" s="30"/>
      <c r="AQ151" s="30"/>
      <c r="AR151" s="31"/>
      <c r="AS151" s="31"/>
      <c r="AT151" s="31"/>
      <c r="AU151" s="31"/>
      <c r="AV151" s="31"/>
      <c r="AW151" s="31"/>
      <c r="AX151" s="31"/>
      <c r="AY151" s="31"/>
    </row>
    <row r="152" spans="2:51" s="29" customFormat="1" ht="14.5">
      <c r="B152" s="5" t="str">
        <f t="shared" si="25"/>
        <v xml:space="preserve">        └ 지급현황</v>
      </c>
      <c r="C152" s="33" t="s">
        <v>47</v>
      </c>
      <c r="D152" s="32"/>
      <c r="E152" s="33" t="s">
        <v>1141</v>
      </c>
      <c r="F152" s="44" t="s">
        <v>787</v>
      </c>
      <c r="G152" s="32"/>
      <c r="H152" s="32"/>
      <c r="I152" s="32"/>
      <c r="J152" s="34"/>
      <c r="K152" s="34"/>
      <c r="L152" s="27" t="str">
        <f t="shared" si="35"/>
        <v>1</v>
      </c>
      <c r="M152" s="27" t="str">
        <f t="shared" si="36"/>
        <v>1</v>
      </c>
      <c r="N152" s="32" t="s">
        <v>419</v>
      </c>
      <c r="O152" s="32" t="s">
        <v>514</v>
      </c>
      <c r="P152" s="27" t="str">
        <f t="shared" si="37"/>
        <v>1</v>
      </c>
      <c r="Q152" s="32" t="s">
        <v>399</v>
      </c>
      <c r="R152" s="32" t="s">
        <v>399</v>
      </c>
      <c r="S152" s="32" t="s">
        <v>400</v>
      </c>
      <c r="T152" s="32" t="s">
        <v>400</v>
      </c>
      <c r="U152" s="32" t="s">
        <v>48</v>
      </c>
      <c r="V152" s="32" t="s">
        <v>400</v>
      </c>
      <c r="W152" s="32" t="s">
        <v>400</v>
      </c>
      <c r="X152" s="32" t="s">
        <v>400</v>
      </c>
      <c r="Y152" s="32" t="s">
        <v>48</v>
      </c>
      <c r="Z152" s="32" t="s">
        <v>48</v>
      </c>
      <c r="AA152" s="32" t="s">
        <v>48</v>
      </c>
      <c r="AB152" s="32" t="s">
        <v>48</v>
      </c>
      <c r="AC152" s="32" t="s">
        <v>48</v>
      </c>
      <c r="AD152" s="32"/>
      <c r="AE152" s="27" t="str">
        <f t="shared" si="38"/>
        <v>N</v>
      </c>
      <c r="AF152" s="32" t="s">
        <v>399</v>
      </c>
      <c r="AG152" s="32"/>
      <c r="AH152" s="33" t="s">
        <v>1144</v>
      </c>
      <c r="AI152" s="35">
        <v>5</v>
      </c>
      <c r="AJ152" s="57">
        <v>156</v>
      </c>
      <c r="AK152" s="33" t="s">
        <v>401</v>
      </c>
      <c r="AL152" s="10" t="s">
        <v>50</v>
      </c>
      <c r="AM152" s="6" t="str">
        <f t="shared" si="34"/>
        <v>14821/지급현황/ recv/ApList</v>
      </c>
      <c r="AN152" s="30"/>
      <c r="AO152" s="30"/>
      <c r="AP152" s="30"/>
      <c r="AQ152" s="30"/>
      <c r="AR152" s="31"/>
      <c r="AS152" s="31"/>
      <c r="AT152" s="31"/>
      <c r="AU152" s="31"/>
      <c r="AV152" s="31"/>
      <c r="AW152" s="31"/>
      <c r="AX152" s="31"/>
      <c r="AY152" s="31"/>
    </row>
    <row r="153" spans="2:51" s="29" customFormat="1" ht="14.5">
      <c r="B153" s="5" t="str">
        <f t="shared" si="25"/>
        <v xml:space="preserve">        └ 매입 세금계산서 발행 현황</v>
      </c>
      <c r="C153" s="33" t="s">
        <v>47</v>
      </c>
      <c r="D153" s="32"/>
      <c r="E153" s="33" t="s">
        <v>1142</v>
      </c>
      <c r="F153" s="44" t="s">
        <v>788</v>
      </c>
      <c r="G153" s="32"/>
      <c r="H153" s="32"/>
      <c r="I153" s="32"/>
      <c r="J153" s="34"/>
      <c r="K153" s="34"/>
      <c r="L153" s="27" t="str">
        <f t="shared" si="35"/>
        <v>1</v>
      </c>
      <c r="M153" s="27" t="str">
        <f t="shared" si="36"/>
        <v>1</v>
      </c>
      <c r="N153" s="32" t="s">
        <v>419</v>
      </c>
      <c r="O153" s="32" t="s">
        <v>515</v>
      </c>
      <c r="P153" s="27" t="str">
        <f t="shared" si="37"/>
        <v>1</v>
      </c>
      <c r="Q153" s="32" t="s">
        <v>399</v>
      </c>
      <c r="R153" s="32" t="s">
        <v>399</v>
      </c>
      <c r="S153" s="32" t="s">
        <v>399</v>
      </c>
      <c r="T153" s="32" t="s">
        <v>400</v>
      </c>
      <c r="U153" s="32" t="s">
        <v>48</v>
      </c>
      <c r="V153" s="32" t="s">
        <v>400</v>
      </c>
      <c r="W153" s="32" t="s">
        <v>400</v>
      </c>
      <c r="X153" s="32" t="s">
        <v>400</v>
      </c>
      <c r="Y153" s="32" t="s">
        <v>48</v>
      </c>
      <c r="Z153" s="32" t="s">
        <v>48</v>
      </c>
      <c r="AA153" s="32" t="s">
        <v>48</v>
      </c>
      <c r="AB153" s="32" t="s">
        <v>48</v>
      </c>
      <c r="AC153" s="32" t="s">
        <v>48</v>
      </c>
      <c r="AD153" s="32"/>
      <c r="AE153" s="27" t="str">
        <f t="shared" si="38"/>
        <v>N</v>
      </c>
      <c r="AF153" s="32" t="s">
        <v>399</v>
      </c>
      <c r="AG153" s="32"/>
      <c r="AH153" s="33" t="s">
        <v>1144</v>
      </c>
      <c r="AI153" s="35">
        <v>5</v>
      </c>
      <c r="AJ153" s="57">
        <v>157</v>
      </c>
      <c r="AK153" s="33" t="s">
        <v>401</v>
      </c>
      <c r="AL153" s="10" t="s">
        <v>50</v>
      </c>
      <c r="AM153" s="6" t="str">
        <f t="shared" si="34"/>
        <v>14821/매입 세금계산서 발행 현황/ recv/RecvTaxList</v>
      </c>
      <c r="AN153" s="30"/>
      <c r="AO153" s="30"/>
      <c r="AP153" s="30"/>
      <c r="AQ153" s="30"/>
      <c r="AR153" s="31"/>
      <c r="AS153" s="31"/>
      <c r="AT153" s="31"/>
      <c r="AU153" s="31"/>
      <c r="AV153" s="31"/>
      <c r="AW153" s="31"/>
      <c r="AX153" s="31"/>
      <c r="AY153" s="31"/>
    </row>
    <row r="154" spans="2:51" s="29" customFormat="1" ht="14.5">
      <c r="B154" s="5" t="str">
        <f t="shared" si="25"/>
        <v xml:space="preserve">        └ 매입 거래원장</v>
      </c>
      <c r="C154" s="33" t="s">
        <v>47</v>
      </c>
      <c r="D154" s="32"/>
      <c r="E154" s="33" t="s">
        <v>1143</v>
      </c>
      <c r="F154" s="44" t="s">
        <v>789</v>
      </c>
      <c r="G154" s="32"/>
      <c r="H154" s="32"/>
      <c r="I154" s="32"/>
      <c r="J154" s="34"/>
      <c r="K154" s="34"/>
      <c r="L154" s="27" t="str">
        <f t="shared" si="35"/>
        <v>1</v>
      </c>
      <c r="M154" s="27" t="str">
        <f t="shared" si="36"/>
        <v>1</v>
      </c>
      <c r="N154" s="32" t="s">
        <v>419</v>
      </c>
      <c r="O154" s="32" t="s">
        <v>516</v>
      </c>
      <c r="P154" s="27" t="str">
        <f t="shared" si="37"/>
        <v>1</v>
      </c>
      <c r="Q154" s="32" t="s">
        <v>399</v>
      </c>
      <c r="R154" s="32" t="s">
        <v>399</v>
      </c>
      <c r="S154" s="32" t="s">
        <v>400</v>
      </c>
      <c r="T154" s="32" t="s">
        <v>400</v>
      </c>
      <c r="U154" s="32" t="s">
        <v>48</v>
      </c>
      <c r="V154" s="32" t="s">
        <v>400</v>
      </c>
      <c r="W154" s="32" t="s">
        <v>400</v>
      </c>
      <c r="X154" s="32" t="s">
        <v>400</v>
      </c>
      <c r="Y154" s="32" t="s">
        <v>48</v>
      </c>
      <c r="Z154" s="32" t="s">
        <v>48</v>
      </c>
      <c r="AA154" s="32" t="s">
        <v>48</v>
      </c>
      <c r="AB154" s="32" t="s">
        <v>48</v>
      </c>
      <c r="AC154" s="32" t="s">
        <v>48</v>
      </c>
      <c r="AD154" s="32"/>
      <c r="AE154" s="27" t="str">
        <f t="shared" si="38"/>
        <v>N</v>
      </c>
      <c r="AF154" s="32" t="s">
        <v>399</v>
      </c>
      <c r="AG154" s="32"/>
      <c r="AH154" s="33" t="s">
        <v>1144</v>
      </c>
      <c r="AI154" s="35">
        <v>5</v>
      </c>
      <c r="AJ154" s="57">
        <v>158</v>
      </c>
      <c r="AK154" s="33" t="s">
        <v>401</v>
      </c>
      <c r="AL154" s="10" t="s">
        <v>50</v>
      </c>
      <c r="AM154" s="6" t="str">
        <f t="shared" si="34"/>
        <v>14821/매입 거래원장/ recv/RecvLedger</v>
      </c>
      <c r="AN154" s="30"/>
      <c r="AO154" s="30"/>
      <c r="AP154" s="30"/>
      <c r="AQ154" s="30"/>
      <c r="AR154" s="31"/>
      <c r="AS154" s="31"/>
      <c r="AT154" s="31"/>
      <c r="AU154" s="31"/>
      <c r="AV154" s="31"/>
      <c r="AW154" s="31"/>
      <c r="AX154" s="31"/>
      <c r="AY154" s="31"/>
    </row>
    <row r="155" spans="2:51" s="29" customFormat="1" ht="14.5">
      <c r="B155" s="5" t="str">
        <f t="shared" si="25"/>
        <v xml:space="preserve">    └ 매입 현황 보고서</v>
      </c>
      <c r="C155" s="33" t="s">
        <v>47</v>
      </c>
      <c r="D155" s="32"/>
      <c r="E155" s="9">
        <v>2040600</v>
      </c>
      <c r="F155" s="38" t="s">
        <v>1139</v>
      </c>
      <c r="G155" s="9"/>
      <c r="H155" s="9"/>
      <c r="I155" s="9"/>
      <c r="J155" s="9"/>
      <c r="K155" s="9"/>
      <c r="L155" s="9" t="str">
        <f t="shared" si="35"/>
        <v>1</v>
      </c>
      <c r="M155" s="9" t="str">
        <f t="shared" si="36"/>
        <v>0</v>
      </c>
      <c r="N155" s="38" t="s">
        <v>985</v>
      </c>
      <c r="O155" s="38"/>
      <c r="P155" s="9" t="str">
        <f t="shared" si="37"/>
        <v>1</v>
      </c>
      <c r="Q155" s="9" t="s">
        <v>986</v>
      </c>
      <c r="R155" s="9" t="s">
        <v>986</v>
      </c>
      <c r="S155" s="9" t="s">
        <v>986</v>
      </c>
      <c r="T155" s="9" t="s">
        <v>987</v>
      </c>
      <c r="U155" s="9" t="s">
        <v>985</v>
      </c>
      <c r="V155" s="9" t="s">
        <v>987</v>
      </c>
      <c r="W155" s="9" t="s">
        <v>987</v>
      </c>
      <c r="X155" s="9" t="s">
        <v>987</v>
      </c>
      <c r="Y155" s="9" t="s">
        <v>985</v>
      </c>
      <c r="Z155" s="9" t="s">
        <v>985</v>
      </c>
      <c r="AA155" s="9" t="s">
        <v>985</v>
      </c>
      <c r="AB155" s="9" t="s">
        <v>985</v>
      </c>
      <c r="AC155" s="9" t="s">
        <v>985</v>
      </c>
      <c r="AD155" s="9"/>
      <c r="AE155" s="9" t="str">
        <f t="shared" si="38"/>
        <v>N</v>
      </c>
      <c r="AF155" s="9" t="s">
        <v>986</v>
      </c>
      <c r="AG155" s="9"/>
      <c r="AH155" s="9">
        <v>2040000</v>
      </c>
      <c r="AI155" s="9">
        <v>4</v>
      </c>
      <c r="AJ155" s="57">
        <v>159</v>
      </c>
      <c r="AK155" s="10" t="s">
        <v>988</v>
      </c>
      <c r="AL155" s="10" t="s">
        <v>50</v>
      </c>
      <c r="AM155" s="6" t="str">
        <f t="shared" si="34"/>
        <v>14821/매입 현황 보고서/ /</v>
      </c>
      <c r="AN155" s="30"/>
      <c r="AO155" s="30"/>
      <c r="AP155" s="30"/>
      <c r="AQ155" s="30"/>
      <c r="AR155" s="31"/>
      <c r="AS155" s="31"/>
      <c r="AT155" s="31"/>
      <c r="AU155" s="31"/>
      <c r="AV155" s="31"/>
      <c r="AW155" s="31"/>
      <c r="AX155" s="31"/>
      <c r="AY155" s="31"/>
    </row>
    <row r="156" spans="2:51" s="29" customFormat="1" ht="14.5">
      <c r="B156" s="5" t="str">
        <f t="shared" si="25"/>
        <v xml:space="preserve">        └ 사업장별 매입현황</v>
      </c>
      <c r="C156" s="33" t="s">
        <v>47</v>
      </c>
      <c r="D156" s="32"/>
      <c r="E156" s="33" t="s">
        <v>1145</v>
      </c>
      <c r="F156" s="44" t="s">
        <v>790</v>
      </c>
      <c r="G156" s="32"/>
      <c r="H156" s="32"/>
      <c r="I156" s="32"/>
      <c r="J156" s="34"/>
      <c r="K156" s="34"/>
      <c r="L156" s="27" t="str">
        <f t="shared" si="35"/>
        <v>1</v>
      </c>
      <c r="M156" s="27" t="str">
        <f t="shared" si="36"/>
        <v>1</v>
      </c>
      <c r="N156" s="32" t="s">
        <v>417</v>
      </c>
      <c r="O156" s="32" t="s">
        <v>517</v>
      </c>
      <c r="P156" s="27" t="str">
        <f t="shared" si="37"/>
        <v>1</v>
      </c>
      <c r="Q156" s="32" t="s">
        <v>399</v>
      </c>
      <c r="R156" s="32" t="s">
        <v>399</v>
      </c>
      <c r="S156" s="32" t="s">
        <v>400</v>
      </c>
      <c r="T156" s="32" t="s">
        <v>400</v>
      </c>
      <c r="U156" s="32" t="s">
        <v>48</v>
      </c>
      <c r="V156" s="32" t="s">
        <v>400</v>
      </c>
      <c r="W156" s="32" t="s">
        <v>400</v>
      </c>
      <c r="X156" s="32" t="s">
        <v>400</v>
      </c>
      <c r="Y156" s="32" t="s">
        <v>48</v>
      </c>
      <c r="Z156" s="32" t="s">
        <v>48</v>
      </c>
      <c r="AA156" s="32" t="s">
        <v>48</v>
      </c>
      <c r="AB156" s="32" t="s">
        <v>48</v>
      </c>
      <c r="AC156" s="32" t="s">
        <v>48</v>
      </c>
      <c r="AD156" s="32"/>
      <c r="AE156" s="27" t="str">
        <f t="shared" si="38"/>
        <v>N</v>
      </c>
      <c r="AF156" s="32" t="s">
        <v>399</v>
      </c>
      <c r="AG156" s="32"/>
      <c r="AH156" s="33" t="s">
        <v>1153</v>
      </c>
      <c r="AI156" s="35">
        <v>5</v>
      </c>
      <c r="AJ156" s="57">
        <v>160</v>
      </c>
      <c r="AK156" s="33" t="s">
        <v>401</v>
      </c>
      <c r="AL156" s="10" t="s">
        <v>50</v>
      </c>
      <c r="AM156" s="6" t="str">
        <f t="shared" si="34"/>
        <v>14821/사업장별 매입현황/ report/RecvStoreRpt</v>
      </c>
      <c r="AN156" s="30"/>
      <c r="AO156" s="30"/>
      <c r="AP156" s="30"/>
      <c r="AQ156" s="30"/>
      <c r="AR156" s="31"/>
      <c r="AS156" s="31"/>
      <c r="AT156" s="31"/>
      <c r="AU156" s="31"/>
      <c r="AV156" s="31"/>
      <c r="AW156" s="31"/>
      <c r="AX156" s="31"/>
      <c r="AY156" s="31"/>
    </row>
    <row r="157" spans="2:51" s="29" customFormat="1" ht="14.5">
      <c r="B157" s="5" t="str">
        <f t="shared" si="25"/>
        <v xml:space="preserve">        └ 매입처별 매입현황</v>
      </c>
      <c r="C157" s="33" t="s">
        <v>47</v>
      </c>
      <c r="D157" s="32"/>
      <c r="E157" s="33" t="s">
        <v>1146</v>
      </c>
      <c r="F157" s="44" t="s">
        <v>791</v>
      </c>
      <c r="G157" s="32"/>
      <c r="H157" s="32"/>
      <c r="I157" s="32"/>
      <c r="J157" s="34"/>
      <c r="K157" s="34"/>
      <c r="L157" s="27" t="str">
        <f t="shared" si="35"/>
        <v>1</v>
      </c>
      <c r="M157" s="27" t="str">
        <f t="shared" si="36"/>
        <v>1</v>
      </c>
      <c r="N157" s="32" t="s">
        <v>415</v>
      </c>
      <c r="O157" s="32" t="s">
        <v>518</v>
      </c>
      <c r="P157" s="27" t="str">
        <f t="shared" si="37"/>
        <v>1</v>
      </c>
      <c r="Q157" s="32" t="s">
        <v>399</v>
      </c>
      <c r="R157" s="32" t="s">
        <v>399</v>
      </c>
      <c r="S157" s="32" t="s">
        <v>400</v>
      </c>
      <c r="T157" s="32" t="s">
        <v>400</v>
      </c>
      <c r="U157" s="32" t="s">
        <v>48</v>
      </c>
      <c r="V157" s="32" t="s">
        <v>400</v>
      </c>
      <c r="W157" s="32" t="s">
        <v>400</v>
      </c>
      <c r="X157" s="32" t="s">
        <v>400</v>
      </c>
      <c r="Y157" s="32" t="s">
        <v>48</v>
      </c>
      <c r="Z157" s="32" t="s">
        <v>48</v>
      </c>
      <c r="AA157" s="32" t="s">
        <v>48</v>
      </c>
      <c r="AB157" s="32" t="s">
        <v>48</v>
      </c>
      <c r="AC157" s="32" t="s">
        <v>48</v>
      </c>
      <c r="AD157" s="32"/>
      <c r="AE157" s="27" t="str">
        <f t="shared" si="38"/>
        <v>N</v>
      </c>
      <c r="AF157" s="32" t="s">
        <v>399</v>
      </c>
      <c r="AG157" s="32"/>
      <c r="AH157" s="33" t="s">
        <v>1153</v>
      </c>
      <c r="AI157" s="35">
        <v>5</v>
      </c>
      <c r="AJ157" s="57">
        <v>161</v>
      </c>
      <c r="AK157" s="33" t="s">
        <v>401</v>
      </c>
      <c r="AL157" s="10" t="s">
        <v>50</v>
      </c>
      <c r="AM157" s="6" t="str">
        <f t="shared" si="34"/>
        <v>14821/매입처별 매입현황/ zreport/RecvVendorRpt</v>
      </c>
      <c r="AN157" s="30"/>
      <c r="AO157" s="30"/>
      <c r="AP157" s="30"/>
      <c r="AQ157" s="30"/>
      <c r="AR157" s="31"/>
      <c r="AS157" s="31"/>
      <c r="AT157" s="31"/>
      <c r="AU157" s="31"/>
      <c r="AV157" s="31"/>
      <c r="AW157" s="31"/>
      <c r="AX157" s="31"/>
      <c r="AY157" s="31"/>
    </row>
    <row r="158" spans="2:51" s="29" customFormat="1" ht="14.5">
      <c r="B158" s="5" t="str">
        <f t="shared" si="25"/>
        <v xml:space="preserve">        └ 구매담당별 매입현황</v>
      </c>
      <c r="C158" s="33" t="s">
        <v>47</v>
      </c>
      <c r="D158" s="32"/>
      <c r="E158" s="33" t="s">
        <v>1147</v>
      </c>
      <c r="F158" s="44" t="s">
        <v>792</v>
      </c>
      <c r="G158" s="32"/>
      <c r="H158" s="32"/>
      <c r="I158" s="32"/>
      <c r="J158" s="34"/>
      <c r="K158" s="34"/>
      <c r="L158" s="27" t="str">
        <f t="shared" si="35"/>
        <v>1</v>
      </c>
      <c r="M158" s="27" t="str">
        <f t="shared" si="36"/>
        <v>1</v>
      </c>
      <c r="N158" s="32" t="s">
        <v>417</v>
      </c>
      <c r="O158" s="32" t="s">
        <v>519</v>
      </c>
      <c r="P158" s="27" t="str">
        <f t="shared" si="37"/>
        <v>1</v>
      </c>
      <c r="Q158" s="32" t="s">
        <v>399</v>
      </c>
      <c r="R158" s="32" t="s">
        <v>399</v>
      </c>
      <c r="S158" s="32" t="s">
        <v>400</v>
      </c>
      <c r="T158" s="32" t="s">
        <v>400</v>
      </c>
      <c r="U158" s="32" t="s">
        <v>48</v>
      </c>
      <c r="V158" s="32" t="s">
        <v>400</v>
      </c>
      <c r="W158" s="32" t="s">
        <v>400</v>
      </c>
      <c r="X158" s="32" t="s">
        <v>400</v>
      </c>
      <c r="Y158" s="32" t="s">
        <v>48</v>
      </c>
      <c r="Z158" s="32" t="s">
        <v>48</v>
      </c>
      <c r="AA158" s="32" t="s">
        <v>48</v>
      </c>
      <c r="AB158" s="32" t="s">
        <v>48</v>
      </c>
      <c r="AC158" s="32" t="s">
        <v>48</v>
      </c>
      <c r="AD158" s="32"/>
      <c r="AE158" s="27" t="str">
        <f t="shared" si="38"/>
        <v>N</v>
      </c>
      <c r="AF158" s="32" t="s">
        <v>399</v>
      </c>
      <c r="AG158" s="32"/>
      <c r="AH158" s="33" t="s">
        <v>1153</v>
      </c>
      <c r="AI158" s="35">
        <v>5</v>
      </c>
      <c r="AJ158" s="57">
        <v>162</v>
      </c>
      <c r="AK158" s="33" t="s">
        <v>401</v>
      </c>
      <c r="AL158" s="10" t="s">
        <v>50</v>
      </c>
      <c r="AM158" s="6" t="str">
        <f t="shared" si="34"/>
        <v>14821/구매담당별 매입현황/ report/RecvUserRpt</v>
      </c>
      <c r="AN158" s="30"/>
      <c r="AO158" s="30"/>
      <c r="AP158" s="30"/>
      <c r="AQ158" s="30"/>
      <c r="AR158" s="31"/>
      <c r="AS158" s="31"/>
      <c r="AT158" s="31"/>
      <c r="AU158" s="31"/>
      <c r="AV158" s="31"/>
      <c r="AW158" s="31"/>
      <c r="AX158" s="31"/>
      <c r="AY158" s="31"/>
    </row>
    <row r="159" spans="2:51" s="29" customFormat="1" ht="14.5">
      <c r="B159" s="5" t="str">
        <f t="shared" si="25"/>
        <v xml:space="preserve">        └ 상품별 매입 현황</v>
      </c>
      <c r="C159" s="33" t="s">
        <v>47</v>
      </c>
      <c r="D159" s="32"/>
      <c r="E159" s="33" t="s">
        <v>1148</v>
      </c>
      <c r="F159" s="44" t="s">
        <v>793</v>
      </c>
      <c r="G159" s="32"/>
      <c r="H159" s="32"/>
      <c r="I159" s="32"/>
      <c r="J159" s="34"/>
      <c r="K159" s="34"/>
      <c r="L159" s="27" t="str">
        <f t="shared" si="35"/>
        <v>1</v>
      </c>
      <c r="M159" s="27" t="str">
        <f t="shared" si="36"/>
        <v>1</v>
      </c>
      <c r="N159" s="32" t="s">
        <v>417</v>
      </c>
      <c r="O159" s="32" t="s">
        <v>520</v>
      </c>
      <c r="P159" s="27" t="str">
        <f t="shared" si="37"/>
        <v>1</v>
      </c>
      <c r="Q159" s="32" t="s">
        <v>399</v>
      </c>
      <c r="R159" s="32" t="s">
        <v>399</v>
      </c>
      <c r="S159" s="32" t="s">
        <v>400</v>
      </c>
      <c r="T159" s="32" t="s">
        <v>400</v>
      </c>
      <c r="U159" s="32" t="s">
        <v>48</v>
      </c>
      <c r="V159" s="32" t="s">
        <v>400</v>
      </c>
      <c r="W159" s="32" t="s">
        <v>400</v>
      </c>
      <c r="X159" s="32" t="s">
        <v>400</v>
      </c>
      <c r="Y159" s="32" t="s">
        <v>48</v>
      </c>
      <c r="Z159" s="32" t="s">
        <v>48</v>
      </c>
      <c r="AA159" s="32" t="s">
        <v>48</v>
      </c>
      <c r="AB159" s="32" t="s">
        <v>48</v>
      </c>
      <c r="AC159" s="32" t="s">
        <v>48</v>
      </c>
      <c r="AD159" s="32"/>
      <c r="AE159" s="27" t="str">
        <f t="shared" si="38"/>
        <v>N</v>
      </c>
      <c r="AF159" s="32" t="s">
        <v>399</v>
      </c>
      <c r="AG159" s="32"/>
      <c r="AH159" s="33" t="s">
        <v>1153</v>
      </c>
      <c r="AI159" s="35">
        <v>5</v>
      </c>
      <c r="AJ159" s="57">
        <v>163</v>
      </c>
      <c r="AK159" s="33" t="s">
        <v>401</v>
      </c>
      <c r="AL159" s="10" t="s">
        <v>50</v>
      </c>
      <c r="AM159" s="6" t="str">
        <f t="shared" si="34"/>
        <v>14821/상품별 매입 현황/ report/RecvItemRpt</v>
      </c>
      <c r="AN159" s="30"/>
      <c r="AO159" s="30"/>
      <c r="AP159" s="30"/>
      <c r="AQ159" s="30"/>
      <c r="AR159" s="31"/>
      <c r="AS159" s="31"/>
      <c r="AT159" s="31"/>
      <c r="AU159" s="31"/>
      <c r="AV159" s="31"/>
      <c r="AW159" s="31"/>
      <c r="AX159" s="31"/>
      <c r="AY159" s="31"/>
    </row>
    <row r="160" spans="2:51" s="29" customFormat="1" ht="14.5">
      <c r="B160" s="5" t="str">
        <f t="shared" si="25"/>
        <v xml:space="preserve">        └ 제조사별 매입 현황</v>
      </c>
      <c r="C160" s="33" t="s">
        <v>47</v>
      </c>
      <c r="D160" s="32"/>
      <c r="E160" s="33" t="s">
        <v>1149</v>
      </c>
      <c r="F160" s="44" t="s">
        <v>794</v>
      </c>
      <c r="G160" s="32"/>
      <c r="H160" s="32"/>
      <c r="I160" s="32"/>
      <c r="J160" s="34"/>
      <c r="K160" s="34"/>
      <c r="L160" s="27" t="str">
        <f t="shared" si="35"/>
        <v>1</v>
      </c>
      <c r="M160" s="27" t="str">
        <f t="shared" si="36"/>
        <v>1</v>
      </c>
      <c r="N160" s="32" t="s">
        <v>417</v>
      </c>
      <c r="O160" s="32" t="s">
        <v>521</v>
      </c>
      <c r="P160" s="27" t="str">
        <f t="shared" si="37"/>
        <v>1</v>
      </c>
      <c r="Q160" s="32" t="s">
        <v>399</v>
      </c>
      <c r="R160" s="32" t="s">
        <v>399</v>
      </c>
      <c r="S160" s="32" t="s">
        <v>400</v>
      </c>
      <c r="T160" s="32" t="s">
        <v>400</v>
      </c>
      <c r="U160" s="32" t="s">
        <v>48</v>
      </c>
      <c r="V160" s="32" t="s">
        <v>400</v>
      </c>
      <c r="W160" s="32" t="s">
        <v>400</v>
      </c>
      <c r="X160" s="32" t="s">
        <v>400</v>
      </c>
      <c r="Y160" s="32" t="s">
        <v>48</v>
      </c>
      <c r="Z160" s="32" t="s">
        <v>48</v>
      </c>
      <c r="AA160" s="32" t="s">
        <v>48</v>
      </c>
      <c r="AB160" s="32" t="s">
        <v>48</v>
      </c>
      <c r="AC160" s="32" t="s">
        <v>48</v>
      </c>
      <c r="AD160" s="32"/>
      <c r="AE160" s="27" t="str">
        <f t="shared" si="38"/>
        <v>N</v>
      </c>
      <c r="AF160" s="32" t="s">
        <v>399</v>
      </c>
      <c r="AG160" s="32"/>
      <c r="AH160" s="33" t="s">
        <v>1153</v>
      </c>
      <c r="AI160" s="35">
        <v>5</v>
      </c>
      <c r="AJ160" s="57">
        <v>164</v>
      </c>
      <c r="AK160" s="33" t="s">
        <v>401</v>
      </c>
      <c r="AL160" s="10" t="s">
        <v>50</v>
      </c>
      <c r="AM160" s="6" t="str">
        <f t="shared" si="34"/>
        <v>14821/제조사별 매입 현황/ report/RecvItemMfgRpt</v>
      </c>
      <c r="AN160" s="30"/>
      <c r="AO160" s="30"/>
      <c r="AP160" s="30"/>
      <c r="AQ160" s="30"/>
      <c r="AR160" s="31"/>
      <c r="AS160" s="31"/>
      <c r="AT160" s="31"/>
      <c r="AU160" s="31"/>
      <c r="AV160" s="31"/>
      <c r="AW160" s="31"/>
      <c r="AX160" s="31"/>
      <c r="AY160" s="31"/>
    </row>
    <row r="161" spans="2:51" s="29" customFormat="1" ht="14.5">
      <c r="B161" s="5" t="str">
        <f t="shared" si="25"/>
        <v xml:space="preserve">        └ 공급사별 매입 현황</v>
      </c>
      <c r="C161" s="33" t="s">
        <v>47</v>
      </c>
      <c r="D161" s="32"/>
      <c r="E161" s="33" t="s">
        <v>1150</v>
      </c>
      <c r="F161" s="44" t="s">
        <v>795</v>
      </c>
      <c r="G161" s="32"/>
      <c r="H161" s="32"/>
      <c r="I161" s="32"/>
      <c r="J161" s="34"/>
      <c r="K161" s="34"/>
      <c r="L161" s="27" t="str">
        <f t="shared" si="35"/>
        <v>1</v>
      </c>
      <c r="M161" s="27" t="str">
        <f t="shared" si="36"/>
        <v>1</v>
      </c>
      <c r="N161" s="32" t="s">
        <v>417</v>
      </c>
      <c r="O161" s="32" t="s">
        <v>518</v>
      </c>
      <c r="P161" s="27" t="str">
        <f t="shared" si="37"/>
        <v>1</v>
      </c>
      <c r="Q161" s="32" t="s">
        <v>399</v>
      </c>
      <c r="R161" s="32" t="s">
        <v>399</v>
      </c>
      <c r="S161" s="32" t="s">
        <v>399</v>
      </c>
      <c r="T161" s="32" t="s">
        <v>400</v>
      </c>
      <c r="U161" s="32" t="s">
        <v>48</v>
      </c>
      <c r="V161" s="32" t="s">
        <v>400</v>
      </c>
      <c r="W161" s="32" t="s">
        <v>400</v>
      </c>
      <c r="X161" s="32" t="s">
        <v>400</v>
      </c>
      <c r="Y161" s="32" t="s">
        <v>48</v>
      </c>
      <c r="Z161" s="32" t="s">
        <v>48</v>
      </c>
      <c r="AA161" s="32" t="s">
        <v>48</v>
      </c>
      <c r="AB161" s="32" t="s">
        <v>48</v>
      </c>
      <c r="AC161" s="32" t="s">
        <v>48</v>
      </c>
      <c r="AD161" s="32"/>
      <c r="AE161" s="27" t="str">
        <f t="shared" si="38"/>
        <v>N</v>
      </c>
      <c r="AF161" s="32" t="s">
        <v>399</v>
      </c>
      <c r="AG161" s="32"/>
      <c r="AH161" s="33" t="s">
        <v>1153</v>
      </c>
      <c r="AI161" s="35">
        <v>5</v>
      </c>
      <c r="AJ161" s="57">
        <v>165</v>
      </c>
      <c r="AK161" s="33" t="s">
        <v>401</v>
      </c>
      <c r="AL161" s="10" t="s">
        <v>50</v>
      </c>
      <c r="AM161" s="6" t="str">
        <f t="shared" si="34"/>
        <v>14821/공급사별 매입 현황/ report/RecvVendorRpt</v>
      </c>
      <c r="AN161" s="30"/>
      <c r="AO161" s="30"/>
      <c r="AP161" s="30"/>
      <c r="AQ161" s="30"/>
      <c r="AR161" s="31"/>
      <c r="AS161" s="31"/>
      <c r="AT161" s="31"/>
      <c r="AU161" s="31"/>
      <c r="AV161" s="31"/>
      <c r="AW161" s="31"/>
      <c r="AX161" s="31"/>
      <c r="AY161" s="31"/>
    </row>
    <row r="162" spans="2:51" s="29" customFormat="1" ht="14.5">
      <c r="B162" s="5" t="str">
        <f t="shared" ref="B162:B225" si="39">IF(AI162="","",IF(AI162=1,"",IF(AI162=2,"└ ",IF(AI162=3,"  └ ",IF(AI162=4,"    └ ",IF(AI162=5,"        └ ",IF(AI162=6,"           └ ",IF(AI162=7="             └ ",""))))))))&amp;F162</f>
        <v xml:space="preserve">        └ 매입실적 분석(최저가분석)</v>
      </c>
      <c r="C162" s="33" t="s">
        <v>47</v>
      </c>
      <c r="D162" s="32"/>
      <c r="E162" s="33" t="s">
        <v>1151</v>
      </c>
      <c r="F162" s="44" t="s">
        <v>796</v>
      </c>
      <c r="G162" s="32"/>
      <c r="H162" s="32"/>
      <c r="I162" s="32"/>
      <c r="J162" s="34"/>
      <c r="K162" s="34"/>
      <c r="L162" s="27" t="str">
        <f t="shared" si="35"/>
        <v>1</v>
      </c>
      <c r="M162" s="27" t="str">
        <f t="shared" si="36"/>
        <v>1</v>
      </c>
      <c r="N162" s="32" t="s">
        <v>417</v>
      </c>
      <c r="O162" s="32" t="s">
        <v>522</v>
      </c>
      <c r="P162" s="27" t="str">
        <f t="shared" si="37"/>
        <v>1</v>
      </c>
      <c r="Q162" s="32" t="s">
        <v>399</v>
      </c>
      <c r="R162" s="32" t="s">
        <v>399</v>
      </c>
      <c r="S162" s="32" t="s">
        <v>400</v>
      </c>
      <c r="T162" s="32" t="s">
        <v>400</v>
      </c>
      <c r="U162" s="32" t="s">
        <v>48</v>
      </c>
      <c r="V162" s="32" t="s">
        <v>400</v>
      </c>
      <c r="W162" s="32" t="s">
        <v>400</v>
      </c>
      <c r="X162" s="32" t="s">
        <v>400</v>
      </c>
      <c r="Y162" s="32" t="s">
        <v>48</v>
      </c>
      <c r="Z162" s="32" t="s">
        <v>48</v>
      </c>
      <c r="AA162" s="32" t="s">
        <v>48</v>
      </c>
      <c r="AB162" s="32" t="s">
        <v>48</v>
      </c>
      <c r="AC162" s="32" t="s">
        <v>48</v>
      </c>
      <c r="AD162" s="32"/>
      <c r="AE162" s="27" t="str">
        <f t="shared" si="38"/>
        <v>N</v>
      </c>
      <c r="AF162" s="32" t="s">
        <v>399</v>
      </c>
      <c r="AG162" s="32"/>
      <c r="AH162" s="33" t="s">
        <v>1153</v>
      </c>
      <c r="AI162" s="35">
        <v>5</v>
      </c>
      <c r="AJ162" s="57">
        <v>166</v>
      </c>
      <c r="AK162" s="33" t="s">
        <v>401</v>
      </c>
      <c r="AL162" s="10" t="s">
        <v>50</v>
      </c>
      <c r="AM162" s="6" t="str">
        <f t="shared" si="34"/>
        <v>14821/매입실적 분석(최저가분석)/ report/RecvAnalysisRpt</v>
      </c>
      <c r="AN162" s="30"/>
      <c r="AO162" s="30"/>
      <c r="AP162" s="30"/>
      <c r="AQ162" s="30"/>
      <c r="AR162" s="31"/>
      <c r="AS162" s="31"/>
      <c r="AT162" s="31"/>
      <c r="AU162" s="31"/>
      <c r="AV162" s="31"/>
      <c r="AW162" s="31"/>
      <c r="AX162" s="31"/>
      <c r="AY162" s="31"/>
    </row>
    <row r="163" spans="2:51" s="29" customFormat="1" ht="14.5">
      <c r="B163" s="5" t="str">
        <f t="shared" si="39"/>
        <v xml:space="preserve">        └ 사업장별 매입현황 총괄표</v>
      </c>
      <c r="C163" s="33" t="s">
        <v>47</v>
      </c>
      <c r="D163" s="32"/>
      <c r="E163" s="33" t="s">
        <v>1152</v>
      </c>
      <c r="F163" s="44" t="s">
        <v>797</v>
      </c>
      <c r="G163" s="32"/>
      <c r="H163" s="32"/>
      <c r="I163" s="32"/>
      <c r="J163" s="34"/>
      <c r="K163" s="34"/>
      <c r="L163" s="27" t="str">
        <f t="shared" si="35"/>
        <v>1</v>
      </c>
      <c r="M163" s="27" t="str">
        <f t="shared" si="36"/>
        <v>1</v>
      </c>
      <c r="N163" s="32" t="s">
        <v>415</v>
      </c>
      <c r="O163" s="32" t="s">
        <v>523</v>
      </c>
      <c r="P163" s="27" t="str">
        <f t="shared" si="37"/>
        <v>1</v>
      </c>
      <c r="Q163" s="32" t="s">
        <v>400</v>
      </c>
      <c r="R163" s="32" t="s">
        <v>400</v>
      </c>
      <c r="S163" s="32" t="s">
        <v>400</v>
      </c>
      <c r="T163" s="32" t="s">
        <v>400</v>
      </c>
      <c r="U163" s="32" t="s">
        <v>48</v>
      </c>
      <c r="V163" s="32" t="s">
        <v>400</v>
      </c>
      <c r="W163" s="32" t="s">
        <v>400</v>
      </c>
      <c r="X163" s="32" t="s">
        <v>399</v>
      </c>
      <c r="Y163" s="32" t="s">
        <v>48</v>
      </c>
      <c r="Z163" s="32" t="s">
        <v>48</v>
      </c>
      <c r="AA163" s="32" t="s">
        <v>48</v>
      </c>
      <c r="AB163" s="32" t="s">
        <v>48</v>
      </c>
      <c r="AC163" s="32" t="s">
        <v>48</v>
      </c>
      <c r="AD163" s="32"/>
      <c r="AE163" s="27" t="str">
        <f t="shared" si="38"/>
        <v>N</v>
      </c>
      <c r="AF163" s="32" t="s">
        <v>399</v>
      </c>
      <c r="AG163" s="32"/>
      <c r="AH163" s="33" t="s">
        <v>1153</v>
      </c>
      <c r="AI163" s="35">
        <v>5</v>
      </c>
      <c r="AJ163" s="57">
        <v>167</v>
      </c>
      <c r="AK163" s="33" t="s">
        <v>401</v>
      </c>
      <c r="AL163" s="10" t="s">
        <v>50</v>
      </c>
      <c r="AM163" s="6" t="str">
        <f t="shared" si="34"/>
        <v>14821/사업장별 매입현황 총괄표/ zreport/RecvVendorTotal</v>
      </c>
      <c r="AN163" s="30"/>
      <c r="AO163" s="30"/>
      <c r="AP163" s="30"/>
      <c r="AQ163" s="30"/>
      <c r="AR163" s="31"/>
      <c r="AS163" s="31"/>
      <c r="AT163" s="31"/>
      <c r="AU163" s="31"/>
      <c r="AV163" s="31"/>
      <c r="AW163" s="31"/>
      <c r="AX163" s="31"/>
      <c r="AY163" s="31"/>
    </row>
    <row r="164" spans="2:51" s="29" customFormat="1" ht="14.5">
      <c r="B164" s="5" t="str">
        <f t="shared" si="39"/>
        <v xml:space="preserve">  └ 영업</v>
      </c>
      <c r="C164" s="33" t="s">
        <v>47</v>
      </c>
      <c r="D164" s="19"/>
      <c r="E164" s="19">
        <v>2050000</v>
      </c>
      <c r="F164" s="42" t="s">
        <v>1154</v>
      </c>
      <c r="G164" s="19"/>
      <c r="H164" s="19"/>
      <c r="I164" s="19"/>
      <c r="J164" s="19"/>
      <c r="K164" s="19"/>
      <c r="L164" s="19" t="str">
        <f t="shared" si="35"/>
        <v>1</v>
      </c>
      <c r="M164" s="19" t="str">
        <f t="shared" si="36"/>
        <v>0</v>
      </c>
      <c r="N164" s="19" t="s">
        <v>48</v>
      </c>
      <c r="O164" s="19"/>
      <c r="P164" s="19" t="str">
        <f t="shared" si="37"/>
        <v>1</v>
      </c>
      <c r="Q164" s="19" t="s">
        <v>399</v>
      </c>
      <c r="R164" s="19" t="s">
        <v>399</v>
      </c>
      <c r="S164" s="19" t="s">
        <v>399</v>
      </c>
      <c r="T164" s="19" t="s">
        <v>400</v>
      </c>
      <c r="U164" s="19" t="s">
        <v>48</v>
      </c>
      <c r="V164" s="19" t="s">
        <v>400</v>
      </c>
      <c r="W164" s="19" t="s">
        <v>400</v>
      </c>
      <c r="X164" s="19" t="s">
        <v>400</v>
      </c>
      <c r="Y164" s="19" t="s">
        <v>48</v>
      </c>
      <c r="Z164" s="19" t="s">
        <v>48</v>
      </c>
      <c r="AA164" s="19" t="s">
        <v>48</v>
      </c>
      <c r="AB164" s="19" t="s">
        <v>48</v>
      </c>
      <c r="AC164" s="19" t="s">
        <v>48</v>
      </c>
      <c r="AD164" s="19"/>
      <c r="AE164" s="19" t="str">
        <f t="shared" si="38"/>
        <v>N</v>
      </c>
      <c r="AF164" s="19" t="s">
        <v>399</v>
      </c>
      <c r="AG164" s="19"/>
      <c r="AH164" s="19">
        <v>2000000</v>
      </c>
      <c r="AI164" s="19">
        <v>3</v>
      </c>
      <c r="AJ164" s="57">
        <v>168</v>
      </c>
      <c r="AK164" s="10" t="s">
        <v>401</v>
      </c>
      <c r="AL164" s="10" t="s">
        <v>50</v>
      </c>
      <c r="AM164" s="6" t="str">
        <f t="shared" si="34"/>
        <v>14821/영업/ /</v>
      </c>
      <c r="AN164" s="30"/>
      <c r="AO164" s="30"/>
      <c r="AP164" s="30"/>
      <c r="AQ164" s="30"/>
      <c r="AR164" s="31"/>
      <c r="AS164" s="31"/>
      <c r="AT164" s="31"/>
      <c r="AU164" s="31"/>
      <c r="AV164" s="31"/>
      <c r="AW164" s="31"/>
      <c r="AX164" s="31"/>
      <c r="AY164" s="31"/>
    </row>
    <row r="165" spans="2:51" s="29" customFormat="1" ht="14.5">
      <c r="B165" s="5" t="str">
        <f t="shared" si="39"/>
        <v xml:space="preserve">    └ 견적</v>
      </c>
      <c r="C165" s="33" t="s">
        <v>47</v>
      </c>
      <c r="D165" s="32"/>
      <c r="E165" s="9" t="s">
        <v>1155</v>
      </c>
      <c r="F165" s="38" t="s">
        <v>1158</v>
      </c>
      <c r="G165" s="9"/>
      <c r="H165" s="9"/>
      <c r="I165" s="9"/>
      <c r="J165" s="9"/>
      <c r="K165" s="9"/>
      <c r="L165" s="9" t="str">
        <f t="shared" si="35"/>
        <v>1</v>
      </c>
      <c r="M165" s="9" t="str">
        <f t="shared" si="36"/>
        <v>0</v>
      </c>
      <c r="N165" s="38" t="s">
        <v>985</v>
      </c>
      <c r="O165" s="38"/>
      <c r="P165" s="9" t="str">
        <f t="shared" si="37"/>
        <v>1</v>
      </c>
      <c r="Q165" s="9" t="s">
        <v>986</v>
      </c>
      <c r="R165" s="9" t="s">
        <v>986</v>
      </c>
      <c r="S165" s="9" t="s">
        <v>986</v>
      </c>
      <c r="T165" s="9" t="s">
        <v>987</v>
      </c>
      <c r="U165" s="9" t="s">
        <v>985</v>
      </c>
      <c r="V165" s="9" t="s">
        <v>987</v>
      </c>
      <c r="W165" s="9" t="s">
        <v>987</v>
      </c>
      <c r="X165" s="9" t="s">
        <v>987</v>
      </c>
      <c r="Y165" s="9" t="s">
        <v>985</v>
      </c>
      <c r="Z165" s="9" t="s">
        <v>985</v>
      </c>
      <c r="AA165" s="9" t="s">
        <v>985</v>
      </c>
      <c r="AB165" s="9" t="s">
        <v>985</v>
      </c>
      <c r="AC165" s="9" t="s">
        <v>985</v>
      </c>
      <c r="AD165" s="9"/>
      <c r="AE165" s="9" t="str">
        <f t="shared" si="38"/>
        <v>N</v>
      </c>
      <c r="AF165" s="9" t="s">
        <v>986</v>
      </c>
      <c r="AG165" s="9"/>
      <c r="AH165" s="9">
        <v>2050000</v>
      </c>
      <c r="AI165" s="9">
        <v>4</v>
      </c>
      <c r="AJ165" s="57">
        <v>169</v>
      </c>
      <c r="AK165" s="10" t="s">
        <v>988</v>
      </c>
      <c r="AL165" s="10" t="s">
        <v>50</v>
      </c>
      <c r="AM165" s="6" t="str">
        <f t="shared" si="34"/>
        <v>14821/견적/ /</v>
      </c>
      <c r="AN165" s="30"/>
      <c r="AO165" s="30"/>
      <c r="AP165" s="30"/>
      <c r="AQ165" s="30"/>
      <c r="AR165" s="31"/>
      <c r="AS165" s="31"/>
      <c r="AT165" s="31"/>
      <c r="AU165" s="31"/>
      <c r="AV165" s="31"/>
      <c r="AW165" s="31"/>
      <c r="AX165" s="31"/>
      <c r="AY165" s="31"/>
    </row>
    <row r="166" spans="2:51" s="29" customFormat="1" ht="14.5">
      <c r="B166" s="5" t="str">
        <f t="shared" si="39"/>
        <v xml:space="preserve">        └ 견적 관리</v>
      </c>
      <c r="C166" s="33" t="s">
        <v>47</v>
      </c>
      <c r="D166" s="32"/>
      <c r="E166" s="33" t="s">
        <v>1157</v>
      </c>
      <c r="F166" s="44" t="s">
        <v>798</v>
      </c>
      <c r="G166" s="32"/>
      <c r="H166" s="32"/>
      <c r="I166" s="32"/>
      <c r="J166" s="34"/>
      <c r="K166" s="34"/>
      <c r="L166" s="27" t="str">
        <f t="shared" si="35"/>
        <v>1</v>
      </c>
      <c r="M166" s="27" t="str">
        <f t="shared" si="36"/>
        <v>1</v>
      </c>
      <c r="N166" s="32" t="s">
        <v>420</v>
      </c>
      <c r="O166" s="32" t="s">
        <v>524</v>
      </c>
      <c r="P166" s="27" t="str">
        <f t="shared" si="37"/>
        <v>1</v>
      </c>
      <c r="Q166" s="32" t="s">
        <v>400</v>
      </c>
      <c r="R166" s="32" t="s">
        <v>400</v>
      </c>
      <c r="S166" s="32" t="s">
        <v>400</v>
      </c>
      <c r="T166" s="32" t="s">
        <v>400</v>
      </c>
      <c r="U166" s="32" t="s">
        <v>48</v>
      </c>
      <c r="V166" s="32" t="s">
        <v>400</v>
      </c>
      <c r="W166" s="32" t="s">
        <v>400</v>
      </c>
      <c r="X166" s="32" t="s">
        <v>400</v>
      </c>
      <c r="Y166" s="32" t="s">
        <v>48</v>
      </c>
      <c r="Z166" s="32" t="s">
        <v>48</v>
      </c>
      <c r="AA166" s="32" t="s">
        <v>48</v>
      </c>
      <c r="AB166" s="32" t="s">
        <v>48</v>
      </c>
      <c r="AC166" s="32" t="s">
        <v>48</v>
      </c>
      <c r="AD166" s="32"/>
      <c r="AE166" s="27" t="str">
        <f t="shared" si="38"/>
        <v>N</v>
      </c>
      <c r="AF166" s="32" t="s">
        <v>399</v>
      </c>
      <c r="AG166" s="32"/>
      <c r="AH166" s="33" t="s">
        <v>1155</v>
      </c>
      <c r="AI166" s="35">
        <v>5</v>
      </c>
      <c r="AJ166" s="57">
        <v>170</v>
      </c>
      <c r="AK166" s="33" t="s">
        <v>401</v>
      </c>
      <c r="AL166" s="10" t="s">
        <v>50</v>
      </c>
      <c r="AM166" s="6" t="str">
        <f t="shared" si="34"/>
        <v>14821/견적 관리/ sale/EstiWork</v>
      </c>
      <c r="AN166" s="30"/>
      <c r="AO166" s="30"/>
      <c r="AP166" s="30"/>
      <c r="AQ166" s="30"/>
      <c r="AR166" s="31"/>
      <c r="AS166" s="31"/>
      <c r="AT166" s="31"/>
      <c r="AU166" s="31"/>
      <c r="AV166" s="31"/>
      <c r="AW166" s="31"/>
      <c r="AX166" s="31"/>
      <c r="AY166" s="31"/>
    </row>
    <row r="167" spans="2:51" s="29" customFormat="1" ht="14.5">
      <c r="B167" s="5" t="str">
        <f t="shared" si="39"/>
        <v xml:space="preserve">        └ 견적 현황</v>
      </c>
      <c r="C167" s="33" t="s">
        <v>47</v>
      </c>
      <c r="D167" s="32"/>
      <c r="E167" s="33" t="s">
        <v>1156</v>
      </c>
      <c r="F167" s="44" t="s">
        <v>799</v>
      </c>
      <c r="G167" s="32"/>
      <c r="H167" s="32"/>
      <c r="I167" s="32"/>
      <c r="J167" s="34"/>
      <c r="K167" s="34"/>
      <c r="L167" s="27" t="str">
        <f t="shared" si="35"/>
        <v>1</v>
      </c>
      <c r="M167" s="27" t="str">
        <f t="shared" si="36"/>
        <v>1</v>
      </c>
      <c r="N167" s="32" t="s">
        <v>420</v>
      </c>
      <c r="O167" s="32" t="s">
        <v>525</v>
      </c>
      <c r="P167" s="27" t="str">
        <f t="shared" si="37"/>
        <v>1</v>
      </c>
      <c r="Q167" s="32" t="s">
        <v>399</v>
      </c>
      <c r="R167" s="32" t="s">
        <v>399</v>
      </c>
      <c r="S167" s="32" t="s">
        <v>400</v>
      </c>
      <c r="T167" s="32" t="s">
        <v>400</v>
      </c>
      <c r="U167" s="32" t="s">
        <v>48</v>
      </c>
      <c r="V167" s="32" t="s">
        <v>400</v>
      </c>
      <c r="W167" s="32" t="s">
        <v>400</v>
      </c>
      <c r="X167" s="32" t="s">
        <v>400</v>
      </c>
      <c r="Y167" s="32" t="s">
        <v>48</v>
      </c>
      <c r="Z167" s="32" t="s">
        <v>48</v>
      </c>
      <c r="AA167" s="32" t="s">
        <v>48</v>
      </c>
      <c r="AB167" s="32" t="s">
        <v>48</v>
      </c>
      <c r="AC167" s="32" t="s">
        <v>48</v>
      </c>
      <c r="AD167" s="32"/>
      <c r="AE167" s="27" t="str">
        <f t="shared" si="38"/>
        <v>N</v>
      </c>
      <c r="AF167" s="32" t="s">
        <v>399</v>
      </c>
      <c r="AG167" s="32"/>
      <c r="AH167" s="33" t="s">
        <v>1155</v>
      </c>
      <c r="AI167" s="35">
        <v>5</v>
      </c>
      <c r="AJ167" s="57">
        <v>171</v>
      </c>
      <c r="AK167" s="33" t="s">
        <v>401</v>
      </c>
      <c r="AL167" s="10" t="s">
        <v>50</v>
      </c>
      <c r="AM167" s="6" t="str">
        <f t="shared" si="34"/>
        <v>14821/견적 현황/ sale/EstiList</v>
      </c>
      <c r="AN167" s="30"/>
      <c r="AO167" s="30"/>
      <c r="AP167" s="30"/>
      <c r="AQ167" s="30"/>
      <c r="AR167" s="31"/>
      <c r="AS167" s="31"/>
      <c r="AT167" s="31"/>
      <c r="AU167" s="31"/>
      <c r="AV167" s="31"/>
      <c r="AW167" s="31"/>
      <c r="AX167" s="31"/>
      <c r="AY167" s="31"/>
    </row>
    <row r="168" spans="2:51" s="29" customFormat="1" ht="14.5">
      <c r="B168" s="5" t="str">
        <f t="shared" si="39"/>
        <v xml:space="preserve">    └ 주문</v>
      </c>
      <c r="C168" s="33" t="s">
        <v>47</v>
      </c>
      <c r="D168" s="32"/>
      <c r="E168" s="9">
        <v>2050200</v>
      </c>
      <c r="F168" s="38" t="s">
        <v>1159</v>
      </c>
      <c r="G168" s="9"/>
      <c r="H168" s="9"/>
      <c r="I168" s="9"/>
      <c r="J168" s="9"/>
      <c r="K168" s="9"/>
      <c r="L168" s="9" t="str">
        <f t="shared" si="35"/>
        <v>1</v>
      </c>
      <c r="M168" s="9" t="str">
        <f t="shared" si="36"/>
        <v>0</v>
      </c>
      <c r="N168" s="38" t="s">
        <v>985</v>
      </c>
      <c r="O168" s="38"/>
      <c r="P168" s="9" t="str">
        <f t="shared" si="37"/>
        <v>1</v>
      </c>
      <c r="Q168" s="9" t="s">
        <v>986</v>
      </c>
      <c r="R168" s="9" t="s">
        <v>986</v>
      </c>
      <c r="S168" s="9" t="s">
        <v>986</v>
      </c>
      <c r="T168" s="9" t="s">
        <v>987</v>
      </c>
      <c r="U168" s="9" t="s">
        <v>985</v>
      </c>
      <c r="V168" s="9" t="s">
        <v>987</v>
      </c>
      <c r="W168" s="9" t="s">
        <v>987</v>
      </c>
      <c r="X168" s="9" t="s">
        <v>987</v>
      </c>
      <c r="Y168" s="9" t="s">
        <v>985</v>
      </c>
      <c r="Z168" s="9" t="s">
        <v>985</v>
      </c>
      <c r="AA168" s="9" t="s">
        <v>985</v>
      </c>
      <c r="AB168" s="9" t="s">
        <v>985</v>
      </c>
      <c r="AC168" s="9" t="s">
        <v>985</v>
      </c>
      <c r="AD168" s="9"/>
      <c r="AE168" s="9" t="str">
        <f t="shared" si="38"/>
        <v>N</v>
      </c>
      <c r="AF168" s="9" t="s">
        <v>986</v>
      </c>
      <c r="AG168" s="9"/>
      <c r="AH168" s="9">
        <v>2050000</v>
      </c>
      <c r="AI168" s="9">
        <v>4</v>
      </c>
      <c r="AJ168" s="57">
        <v>172</v>
      </c>
      <c r="AK168" s="10" t="s">
        <v>988</v>
      </c>
      <c r="AL168" s="10" t="s">
        <v>50</v>
      </c>
      <c r="AM168" s="6" t="str">
        <f t="shared" si="34"/>
        <v>14821/주문/ /</v>
      </c>
      <c r="AN168" s="30"/>
      <c r="AO168" s="30"/>
      <c r="AP168" s="30"/>
      <c r="AQ168" s="30"/>
      <c r="AR168" s="31"/>
      <c r="AS168" s="31"/>
      <c r="AT168" s="31"/>
      <c r="AU168" s="31"/>
      <c r="AV168" s="31"/>
      <c r="AW168" s="31"/>
      <c r="AX168" s="31"/>
      <c r="AY168" s="31"/>
    </row>
    <row r="169" spans="2:51" s="29" customFormat="1" ht="14.5">
      <c r="B169" s="5" t="str">
        <f t="shared" si="39"/>
        <v xml:space="preserve">        └ 주문서 접수</v>
      </c>
      <c r="C169" s="33" t="s">
        <v>47</v>
      </c>
      <c r="D169" s="32"/>
      <c r="E169" s="33" t="s">
        <v>1160</v>
      </c>
      <c r="F169" s="44" t="s">
        <v>800</v>
      </c>
      <c r="G169" s="32"/>
      <c r="H169" s="32"/>
      <c r="I169" s="32"/>
      <c r="J169" s="34"/>
      <c r="K169" s="34"/>
      <c r="L169" s="27" t="str">
        <f t="shared" si="35"/>
        <v>1</v>
      </c>
      <c r="M169" s="27" t="str">
        <f t="shared" si="36"/>
        <v>1</v>
      </c>
      <c r="N169" s="32" t="s">
        <v>420</v>
      </c>
      <c r="O169" s="32" t="s">
        <v>526</v>
      </c>
      <c r="P169" s="27" t="str">
        <f t="shared" si="37"/>
        <v>1</v>
      </c>
      <c r="Q169" s="32" t="s">
        <v>399</v>
      </c>
      <c r="R169" s="32" t="s">
        <v>400</v>
      </c>
      <c r="S169" s="32" t="s">
        <v>400</v>
      </c>
      <c r="T169" s="32" t="s">
        <v>400</v>
      </c>
      <c r="U169" s="32" t="s">
        <v>48</v>
      </c>
      <c r="V169" s="32" t="s">
        <v>400</v>
      </c>
      <c r="W169" s="32" t="s">
        <v>400</v>
      </c>
      <c r="X169" s="32" t="s">
        <v>399</v>
      </c>
      <c r="Y169" s="32" t="s">
        <v>48</v>
      </c>
      <c r="Z169" s="32" t="s">
        <v>48</v>
      </c>
      <c r="AA169" s="32" t="s">
        <v>48</v>
      </c>
      <c r="AB169" s="32" t="s">
        <v>48</v>
      </c>
      <c r="AC169" s="32" t="s">
        <v>48</v>
      </c>
      <c r="AD169" s="32"/>
      <c r="AE169" s="27" t="str">
        <f t="shared" si="38"/>
        <v>N</v>
      </c>
      <c r="AF169" s="32" t="s">
        <v>399</v>
      </c>
      <c r="AG169" s="32"/>
      <c r="AH169" s="33" t="s">
        <v>1173</v>
      </c>
      <c r="AI169" s="35">
        <v>5</v>
      </c>
      <c r="AJ169" s="57">
        <v>173</v>
      </c>
      <c r="AK169" s="33" t="s">
        <v>401</v>
      </c>
      <c r="AL169" s="10" t="s">
        <v>50</v>
      </c>
      <c r="AM169" s="6" t="str">
        <f t="shared" si="34"/>
        <v>14821/주문서 접수/ sale/OrderAcceptor</v>
      </c>
      <c r="AN169" s="30"/>
      <c r="AO169" s="30"/>
      <c r="AP169" s="30"/>
      <c r="AQ169" s="30"/>
      <c r="AR169" s="31"/>
      <c r="AS169" s="31"/>
      <c r="AT169" s="31"/>
      <c r="AU169" s="31"/>
      <c r="AV169" s="31"/>
      <c r="AW169" s="31"/>
      <c r="AX169" s="31"/>
      <c r="AY169" s="31"/>
    </row>
    <row r="170" spans="2:51" s="29" customFormat="1" ht="14.5">
      <c r="B170" s="5" t="str">
        <f t="shared" si="39"/>
        <v xml:space="preserve">        └ 주문서 등록</v>
      </c>
      <c r="C170" s="33" t="s">
        <v>47</v>
      </c>
      <c r="D170" s="32"/>
      <c r="E170" s="33" t="s">
        <v>1161</v>
      </c>
      <c r="F170" s="44" t="s">
        <v>805</v>
      </c>
      <c r="G170" s="32"/>
      <c r="H170" s="32"/>
      <c r="I170" s="32"/>
      <c r="J170" s="34"/>
      <c r="K170" s="34"/>
      <c r="L170" s="27" t="str">
        <f>IF(F170="","","1")</f>
        <v>1</v>
      </c>
      <c r="M170" s="27" t="str">
        <f>IF(F170="","",IF(O170="","0","1"))</f>
        <v>1</v>
      </c>
      <c r="N170" s="32" t="s">
        <v>420</v>
      </c>
      <c r="O170" s="32" t="s">
        <v>531</v>
      </c>
      <c r="P170" s="27" t="str">
        <f>IF(F170="","","1")</f>
        <v>1</v>
      </c>
      <c r="Q170" s="32" t="s">
        <v>399</v>
      </c>
      <c r="R170" s="32" t="s">
        <v>399</v>
      </c>
      <c r="S170" s="32" t="s">
        <v>399</v>
      </c>
      <c r="T170" s="32" t="s">
        <v>400</v>
      </c>
      <c r="U170" s="32" t="s">
        <v>48</v>
      </c>
      <c r="V170" s="32" t="s">
        <v>400</v>
      </c>
      <c r="W170" s="32" t="s">
        <v>400</v>
      </c>
      <c r="X170" s="32" t="s">
        <v>399</v>
      </c>
      <c r="Y170" s="32" t="s">
        <v>48</v>
      </c>
      <c r="Z170" s="32" t="s">
        <v>48</v>
      </c>
      <c r="AA170" s="32" t="s">
        <v>48</v>
      </c>
      <c r="AB170" s="32" t="s">
        <v>48</v>
      </c>
      <c r="AC170" s="32" t="s">
        <v>48</v>
      </c>
      <c r="AD170" s="32"/>
      <c r="AE170" s="27" t="str">
        <f>IF(F170="","","N")</f>
        <v>N</v>
      </c>
      <c r="AF170" s="32" t="s">
        <v>399</v>
      </c>
      <c r="AG170" s="32"/>
      <c r="AH170" s="33" t="s">
        <v>1173</v>
      </c>
      <c r="AI170" s="35">
        <v>5</v>
      </c>
      <c r="AJ170" s="57">
        <v>174</v>
      </c>
      <c r="AK170" s="33" t="s">
        <v>401</v>
      </c>
      <c r="AL170" s="10" t="s">
        <v>50</v>
      </c>
      <c r="AM170" s="6" t="str">
        <f t="shared" si="34"/>
        <v>14821/주문서 등록/ sale/OrderRegi</v>
      </c>
      <c r="AN170" s="30"/>
      <c r="AO170" s="30"/>
      <c r="AP170" s="30"/>
      <c r="AQ170" s="30"/>
      <c r="AR170" s="31"/>
      <c r="AS170" s="31"/>
      <c r="AT170" s="31"/>
      <c r="AU170" s="31"/>
      <c r="AV170" s="31"/>
      <c r="AW170" s="31"/>
      <c r="AX170" s="31"/>
      <c r="AY170" s="31"/>
    </row>
    <row r="171" spans="2:51" s="29" customFormat="1" ht="14.5">
      <c r="B171" s="5" t="str">
        <f t="shared" si="39"/>
        <v xml:space="preserve">        └ 주문서 관리</v>
      </c>
      <c r="C171" s="33" t="s">
        <v>47</v>
      </c>
      <c r="D171" s="32"/>
      <c r="E171" s="33" t="s">
        <v>1162</v>
      </c>
      <c r="F171" s="44" t="s">
        <v>801</v>
      </c>
      <c r="G171" s="32"/>
      <c r="H171" s="32"/>
      <c r="I171" s="32"/>
      <c r="J171" s="34"/>
      <c r="K171" s="34"/>
      <c r="L171" s="27" t="str">
        <f t="shared" si="35"/>
        <v>1</v>
      </c>
      <c r="M171" s="27" t="str">
        <f t="shared" si="36"/>
        <v>1</v>
      </c>
      <c r="N171" s="32" t="s">
        <v>420</v>
      </c>
      <c r="O171" s="32" t="s">
        <v>527</v>
      </c>
      <c r="P171" s="27" t="str">
        <f t="shared" si="37"/>
        <v>1</v>
      </c>
      <c r="Q171" s="32" t="s">
        <v>400</v>
      </c>
      <c r="R171" s="32" t="s">
        <v>400</v>
      </c>
      <c r="S171" s="32" t="s">
        <v>400</v>
      </c>
      <c r="T171" s="32" t="s">
        <v>400</v>
      </c>
      <c r="U171" s="32" t="s">
        <v>48</v>
      </c>
      <c r="V171" s="32" t="s">
        <v>400</v>
      </c>
      <c r="W171" s="32" t="s">
        <v>400</v>
      </c>
      <c r="X171" s="32" t="s">
        <v>400</v>
      </c>
      <c r="Y171" s="32" t="s">
        <v>48</v>
      </c>
      <c r="Z171" s="32" t="s">
        <v>48</v>
      </c>
      <c r="AA171" s="32" t="s">
        <v>48</v>
      </c>
      <c r="AB171" s="32" t="s">
        <v>48</v>
      </c>
      <c r="AC171" s="32" t="s">
        <v>48</v>
      </c>
      <c r="AD171" s="32"/>
      <c r="AE171" s="27" t="str">
        <f t="shared" si="38"/>
        <v>N</v>
      </c>
      <c r="AF171" s="32" t="s">
        <v>399</v>
      </c>
      <c r="AG171" s="32"/>
      <c r="AH171" s="33" t="s">
        <v>1173</v>
      </c>
      <c r="AI171" s="35">
        <v>5</v>
      </c>
      <c r="AJ171" s="57">
        <v>175</v>
      </c>
      <c r="AK171" s="33" t="s">
        <v>401</v>
      </c>
      <c r="AL171" s="10" t="s">
        <v>50</v>
      </c>
      <c r="AM171" s="6" t="str">
        <f t="shared" si="34"/>
        <v>14821/주문서 관리/ sale/OrderWork</v>
      </c>
      <c r="AN171" s="30"/>
      <c r="AO171" s="30"/>
      <c r="AP171" s="30"/>
      <c r="AQ171" s="30"/>
      <c r="AR171" s="31"/>
      <c r="AS171" s="31"/>
      <c r="AT171" s="31"/>
      <c r="AU171" s="31"/>
      <c r="AV171" s="31"/>
      <c r="AW171" s="31"/>
      <c r="AX171" s="31"/>
      <c r="AY171" s="31"/>
    </row>
    <row r="172" spans="2:51" s="29" customFormat="1" ht="14.5">
      <c r="B172" s="5" t="str">
        <f t="shared" si="39"/>
        <v xml:space="preserve">        └ 주문서 현황</v>
      </c>
      <c r="C172" s="33" t="s">
        <v>47</v>
      </c>
      <c r="D172" s="32"/>
      <c r="E172" s="33" t="s">
        <v>1163</v>
      </c>
      <c r="F172" s="44" t="s">
        <v>802</v>
      </c>
      <c r="G172" s="32"/>
      <c r="H172" s="32"/>
      <c r="I172" s="32"/>
      <c r="J172" s="34"/>
      <c r="K172" s="34"/>
      <c r="L172" s="27" t="str">
        <f t="shared" si="35"/>
        <v>1</v>
      </c>
      <c r="M172" s="27" t="str">
        <f t="shared" si="36"/>
        <v>1</v>
      </c>
      <c r="N172" s="32" t="s">
        <v>420</v>
      </c>
      <c r="O172" s="32" t="s">
        <v>528</v>
      </c>
      <c r="P172" s="27" t="str">
        <f t="shared" si="37"/>
        <v>1</v>
      </c>
      <c r="Q172" s="32" t="s">
        <v>399</v>
      </c>
      <c r="R172" s="32" t="s">
        <v>399</v>
      </c>
      <c r="S172" s="32" t="s">
        <v>400</v>
      </c>
      <c r="T172" s="32" t="s">
        <v>400</v>
      </c>
      <c r="U172" s="32" t="s">
        <v>48</v>
      </c>
      <c r="V172" s="32" t="s">
        <v>400</v>
      </c>
      <c r="W172" s="32" t="s">
        <v>400</v>
      </c>
      <c r="X172" s="32" t="s">
        <v>400</v>
      </c>
      <c r="Y172" s="32" t="s">
        <v>48</v>
      </c>
      <c r="Z172" s="32" t="s">
        <v>48</v>
      </c>
      <c r="AA172" s="32" t="s">
        <v>48</v>
      </c>
      <c r="AB172" s="32" t="s">
        <v>48</v>
      </c>
      <c r="AC172" s="32" t="s">
        <v>48</v>
      </c>
      <c r="AD172" s="32"/>
      <c r="AE172" s="27" t="str">
        <f t="shared" si="38"/>
        <v>N</v>
      </c>
      <c r="AF172" s="32" t="s">
        <v>399</v>
      </c>
      <c r="AG172" s="32"/>
      <c r="AH172" s="33" t="s">
        <v>1173</v>
      </c>
      <c r="AI172" s="35">
        <v>5</v>
      </c>
      <c r="AJ172" s="57">
        <v>176</v>
      </c>
      <c r="AK172" s="33" t="s">
        <v>401</v>
      </c>
      <c r="AL172" s="10" t="s">
        <v>50</v>
      </c>
      <c r="AM172" s="6" t="str">
        <f t="shared" si="34"/>
        <v>14821/주문서 현황/ sale/OrderList</v>
      </c>
      <c r="AN172" s="30"/>
      <c r="AO172" s="30"/>
      <c r="AP172" s="30"/>
      <c r="AQ172" s="30"/>
      <c r="AR172" s="31"/>
      <c r="AS172" s="31"/>
      <c r="AT172" s="31"/>
      <c r="AU172" s="31"/>
      <c r="AV172" s="31"/>
      <c r="AW172" s="31"/>
      <c r="AX172" s="31"/>
      <c r="AY172" s="31"/>
    </row>
    <row r="173" spans="2:51" s="29" customFormat="1" ht="14.5">
      <c r="B173" s="5" t="str">
        <f t="shared" si="39"/>
        <v xml:space="preserve">        └ 온라인 주문 현황</v>
      </c>
      <c r="C173" s="33" t="s">
        <v>47</v>
      </c>
      <c r="D173" s="32"/>
      <c r="E173" s="33" t="s">
        <v>1164</v>
      </c>
      <c r="F173" s="44" t="s">
        <v>803</v>
      </c>
      <c r="G173" s="32"/>
      <c r="H173" s="32"/>
      <c r="I173" s="32"/>
      <c r="J173" s="34"/>
      <c r="K173" s="34"/>
      <c r="L173" s="27" t="str">
        <f t="shared" si="35"/>
        <v>1</v>
      </c>
      <c r="M173" s="27" t="str">
        <f t="shared" si="36"/>
        <v>1</v>
      </c>
      <c r="N173" s="32" t="s">
        <v>415</v>
      </c>
      <c r="O173" s="32" t="s">
        <v>529</v>
      </c>
      <c r="P173" s="27" t="str">
        <f t="shared" si="37"/>
        <v>1</v>
      </c>
      <c r="Q173" s="32" t="s">
        <v>399</v>
      </c>
      <c r="R173" s="32" t="s">
        <v>400</v>
      </c>
      <c r="S173" s="32" t="s">
        <v>400</v>
      </c>
      <c r="T173" s="32" t="s">
        <v>400</v>
      </c>
      <c r="U173" s="32" t="s">
        <v>48</v>
      </c>
      <c r="V173" s="32" t="s">
        <v>400</v>
      </c>
      <c r="W173" s="32" t="s">
        <v>400</v>
      </c>
      <c r="X173" s="32" t="s">
        <v>399</v>
      </c>
      <c r="Y173" s="32" t="s">
        <v>48</v>
      </c>
      <c r="Z173" s="32" t="s">
        <v>48</v>
      </c>
      <c r="AA173" s="32" t="s">
        <v>48</v>
      </c>
      <c r="AB173" s="32" t="s">
        <v>48</v>
      </c>
      <c r="AC173" s="32" t="s">
        <v>48</v>
      </c>
      <c r="AD173" s="32"/>
      <c r="AE173" s="27" t="str">
        <f t="shared" si="38"/>
        <v>N</v>
      </c>
      <c r="AF173" s="32" t="s">
        <v>399</v>
      </c>
      <c r="AG173" s="32"/>
      <c r="AH173" s="33" t="s">
        <v>1173</v>
      </c>
      <c r="AI173" s="35">
        <v>5</v>
      </c>
      <c r="AJ173" s="57">
        <v>177</v>
      </c>
      <c r="AK173" s="33" t="s">
        <v>401</v>
      </c>
      <c r="AL173" s="10" t="s">
        <v>50</v>
      </c>
      <c r="AM173" s="6" t="str">
        <f t="shared" si="34"/>
        <v>14821/온라인 주문 현황/ zreport/OnlineOrderList</v>
      </c>
      <c r="AN173" s="30"/>
      <c r="AO173" s="30"/>
      <c r="AP173" s="30"/>
      <c r="AQ173" s="30"/>
      <c r="AR173" s="31"/>
      <c r="AS173" s="31"/>
      <c r="AT173" s="31"/>
      <c r="AU173" s="31"/>
      <c r="AV173" s="31"/>
      <c r="AW173" s="31"/>
      <c r="AX173" s="31"/>
      <c r="AY173" s="31"/>
    </row>
    <row r="174" spans="2:51" s="29" customFormat="1" ht="14.5">
      <c r="B174" s="5" t="str">
        <f t="shared" si="39"/>
        <v xml:space="preserve">        └ 반품 주문서 관리</v>
      </c>
      <c r="C174" s="33" t="s">
        <v>47</v>
      </c>
      <c r="D174" s="32"/>
      <c r="E174" s="33" t="s">
        <v>1165</v>
      </c>
      <c r="F174" s="44" t="s">
        <v>804</v>
      </c>
      <c r="G174" s="32"/>
      <c r="H174" s="32"/>
      <c r="I174" s="32"/>
      <c r="J174" s="34"/>
      <c r="K174" s="34"/>
      <c r="L174" s="27" t="str">
        <f t="shared" si="35"/>
        <v>1</v>
      </c>
      <c r="M174" s="27" t="str">
        <f t="shared" si="36"/>
        <v>1</v>
      </c>
      <c r="N174" s="32" t="s">
        <v>420</v>
      </c>
      <c r="O174" s="32" t="s">
        <v>530</v>
      </c>
      <c r="P174" s="27" t="str">
        <f t="shared" si="37"/>
        <v>1</v>
      </c>
      <c r="Q174" s="32" t="s">
        <v>400</v>
      </c>
      <c r="R174" s="32" t="s">
        <v>400</v>
      </c>
      <c r="S174" s="32" t="s">
        <v>400</v>
      </c>
      <c r="T174" s="32" t="s">
        <v>400</v>
      </c>
      <c r="U174" s="32" t="s">
        <v>48</v>
      </c>
      <c r="V174" s="32" t="s">
        <v>400</v>
      </c>
      <c r="W174" s="32" t="s">
        <v>400</v>
      </c>
      <c r="X174" s="32" t="s">
        <v>400</v>
      </c>
      <c r="Y174" s="32" t="s">
        <v>48</v>
      </c>
      <c r="Z174" s="32" t="s">
        <v>48</v>
      </c>
      <c r="AA174" s="32" t="s">
        <v>48</v>
      </c>
      <c r="AB174" s="32" t="s">
        <v>48</v>
      </c>
      <c r="AC174" s="32" t="s">
        <v>48</v>
      </c>
      <c r="AD174" s="32"/>
      <c r="AE174" s="27" t="str">
        <f t="shared" si="38"/>
        <v>N</v>
      </c>
      <c r="AF174" s="32" t="s">
        <v>399</v>
      </c>
      <c r="AG174" s="32"/>
      <c r="AH174" s="33" t="s">
        <v>1173</v>
      </c>
      <c r="AI174" s="35">
        <v>5</v>
      </c>
      <c r="AJ174" s="57">
        <v>178</v>
      </c>
      <c r="AK174" s="33" t="s">
        <v>401</v>
      </c>
      <c r="AL174" s="10" t="s">
        <v>50</v>
      </c>
      <c r="AM174" s="6" t="str">
        <f t="shared" si="34"/>
        <v>14821/반품 주문서 관리/ sale/ReturnWork</v>
      </c>
      <c r="AN174" s="30"/>
      <c r="AO174" s="30"/>
      <c r="AP174" s="30"/>
      <c r="AQ174" s="30"/>
      <c r="AR174" s="31"/>
      <c r="AS174" s="31"/>
      <c r="AT174" s="31"/>
      <c r="AU174" s="31"/>
      <c r="AV174" s="31"/>
      <c r="AW174" s="31"/>
      <c r="AX174" s="31"/>
      <c r="AY174" s="31"/>
    </row>
    <row r="175" spans="2:51" s="29" customFormat="1" ht="14.5">
      <c r="B175" s="5" t="str">
        <f t="shared" si="39"/>
        <v xml:space="preserve">        └ 미출고 현황</v>
      </c>
      <c r="C175" s="33" t="s">
        <v>47</v>
      </c>
      <c r="D175" s="32"/>
      <c r="E175" s="33" t="s">
        <v>1166</v>
      </c>
      <c r="F175" s="44" t="s">
        <v>810</v>
      </c>
      <c r="G175" s="32"/>
      <c r="H175" s="32"/>
      <c r="I175" s="32"/>
      <c r="J175" s="34"/>
      <c r="K175" s="34"/>
      <c r="L175" s="27" t="str">
        <f>IF(F175="","","1")</f>
        <v>1</v>
      </c>
      <c r="M175" s="27" t="str">
        <f>IF(F175="","",IF(O175="","0","1"))</f>
        <v>1</v>
      </c>
      <c r="N175" s="32" t="s">
        <v>415</v>
      </c>
      <c r="O175" s="32" t="s">
        <v>536</v>
      </c>
      <c r="P175" s="27" t="str">
        <f>IF(F175="","","1")</f>
        <v>1</v>
      </c>
      <c r="Q175" s="32" t="s">
        <v>399</v>
      </c>
      <c r="R175" s="32" t="s">
        <v>399</v>
      </c>
      <c r="S175" s="32" t="s">
        <v>400</v>
      </c>
      <c r="T175" s="32" t="s">
        <v>400</v>
      </c>
      <c r="U175" s="32" t="s">
        <v>48</v>
      </c>
      <c r="V175" s="32" t="s">
        <v>400</v>
      </c>
      <c r="W175" s="32" t="s">
        <v>400</v>
      </c>
      <c r="X175" s="32" t="s">
        <v>400</v>
      </c>
      <c r="Y175" s="32" t="s">
        <v>48</v>
      </c>
      <c r="Z175" s="32" t="s">
        <v>48</v>
      </c>
      <c r="AA175" s="32" t="s">
        <v>48</v>
      </c>
      <c r="AB175" s="32" t="s">
        <v>48</v>
      </c>
      <c r="AC175" s="32" t="s">
        <v>48</v>
      </c>
      <c r="AD175" s="32"/>
      <c r="AE175" s="27" t="str">
        <f>IF(F175="","","N")</f>
        <v>N</v>
      </c>
      <c r="AF175" s="32" t="s">
        <v>399</v>
      </c>
      <c r="AG175" s="32"/>
      <c r="AH175" s="33" t="s">
        <v>1173</v>
      </c>
      <c r="AI175" s="35">
        <v>5</v>
      </c>
      <c r="AJ175" s="57">
        <v>179</v>
      </c>
      <c r="AK175" s="33" t="s">
        <v>401</v>
      </c>
      <c r="AL175" s="10" t="s">
        <v>50</v>
      </c>
      <c r="AM175" s="6" t="str">
        <f t="shared" si="34"/>
        <v>14821/미출고 현황/ zreport/SaleNotList</v>
      </c>
      <c r="AN175" s="30"/>
      <c r="AO175" s="30"/>
      <c r="AP175" s="30"/>
      <c r="AQ175" s="30"/>
      <c r="AR175" s="31"/>
      <c r="AS175" s="31"/>
      <c r="AT175" s="31"/>
      <c r="AU175" s="31"/>
      <c r="AV175" s="31"/>
      <c r="AW175" s="31"/>
      <c r="AX175" s="31"/>
      <c r="AY175" s="31"/>
    </row>
    <row r="176" spans="2:51" s="29" customFormat="1" ht="14.5">
      <c r="B176" s="5" t="str">
        <f t="shared" si="39"/>
        <v xml:space="preserve">        └ 주문 매출 검수</v>
      </c>
      <c r="C176" s="33" t="s">
        <v>47</v>
      </c>
      <c r="D176" s="32"/>
      <c r="E176" s="33" t="s">
        <v>1167</v>
      </c>
      <c r="F176" s="44" t="s">
        <v>806</v>
      </c>
      <c r="G176" s="32"/>
      <c r="H176" s="32"/>
      <c r="I176" s="32"/>
      <c r="J176" s="34"/>
      <c r="K176" s="34"/>
      <c r="L176" s="27" t="str">
        <f t="shared" si="35"/>
        <v>1</v>
      </c>
      <c r="M176" s="27" t="str">
        <f t="shared" si="36"/>
        <v>1</v>
      </c>
      <c r="N176" s="32" t="s">
        <v>420</v>
      </c>
      <c r="O176" s="32" t="s">
        <v>532</v>
      </c>
      <c r="P176" s="27" t="str">
        <f t="shared" si="37"/>
        <v>1</v>
      </c>
      <c r="Q176" s="32" t="s">
        <v>399</v>
      </c>
      <c r="R176" s="32" t="s">
        <v>399</v>
      </c>
      <c r="S176" s="32" t="s">
        <v>399</v>
      </c>
      <c r="T176" s="32" t="s">
        <v>400</v>
      </c>
      <c r="U176" s="32" t="s">
        <v>48</v>
      </c>
      <c r="V176" s="32" t="s">
        <v>400</v>
      </c>
      <c r="W176" s="32" t="s">
        <v>400</v>
      </c>
      <c r="X176" s="32" t="s">
        <v>399</v>
      </c>
      <c r="Y176" s="32" t="s">
        <v>48</v>
      </c>
      <c r="Z176" s="32" t="s">
        <v>48</v>
      </c>
      <c r="AA176" s="32" t="s">
        <v>48</v>
      </c>
      <c r="AB176" s="32" t="s">
        <v>48</v>
      </c>
      <c r="AC176" s="32" t="s">
        <v>48</v>
      </c>
      <c r="AD176" s="32"/>
      <c r="AE176" s="27" t="str">
        <f t="shared" si="38"/>
        <v>N</v>
      </c>
      <c r="AF176" s="32" t="s">
        <v>399</v>
      </c>
      <c r="AG176" s="32"/>
      <c r="AH176" s="33" t="s">
        <v>1173</v>
      </c>
      <c r="AI176" s="35">
        <v>5</v>
      </c>
      <c r="AJ176" s="57">
        <v>180</v>
      </c>
      <c r="AK176" s="33" t="s">
        <v>401</v>
      </c>
      <c r="AL176" s="10" t="s">
        <v>50</v>
      </c>
      <c r="AM176" s="6" t="str">
        <f t="shared" si="34"/>
        <v>14821/주문 매출 검수/ sale/SaleCheck</v>
      </c>
      <c r="AN176" s="30"/>
      <c r="AO176" s="30"/>
      <c r="AP176" s="30"/>
      <c r="AQ176" s="30"/>
      <c r="AR176" s="31"/>
      <c r="AS176" s="31"/>
      <c r="AT176" s="31"/>
      <c r="AU176" s="31"/>
      <c r="AV176" s="31"/>
      <c r="AW176" s="31"/>
      <c r="AX176" s="31"/>
      <c r="AY176" s="31"/>
    </row>
    <row r="177" spans="2:51" s="29" customFormat="1" ht="14.5">
      <c r="B177" s="5" t="str">
        <f t="shared" si="39"/>
        <v xml:space="preserve">        └ 배송(매출)완료 현황</v>
      </c>
      <c r="C177" s="33" t="s">
        <v>47</v>
      </c>
      <c r="D177" s="32"/>
      <c r="E177" s="33" t="s">
        <v>1168</v>
      </c>
      <c r="F177" s="44" t="s">
        <v>807</v>
      </c>
      <c r="G177" s="32"/>
      <c r="H177" s="32"/>
      <c r="I177" s="32"/>
      <c r="J177" s="34"/>
      <c r="K177" s="34"/>
      <c r="L177" s="27" t="str">
        <f t="shared" si="35"/>
        <v>1</v>
      </c>
      <c r="M177" s="27" t="str">
        <f t="shared" si="36"/>
        <v>1</v>
      </c>
      <c r="N177" s="32" t="s">
        <v>420</v>
      </c>
      <c r="O177" s="32" t="s">
        <v>533</v>
      </c>
      <c r="P177" s="27" t="str">
        <f t="shared" si="37"/>
        <v>1</v>
      </c>
      <c r="Q177" s="32" t="s">
        <v>399</v>
      </c>
      <c r="R177" s="32" t="s">
        <v>400</v>
      </c>
      <c r="S177" s="32" t="s">
        <v>400</v>
      </c>
      <c r="T177" s="32" t="s">
        <v>400</v>
      </c>
      <c r="U177" s="32" t="s">
        <v>48</v>
      </c>
      <c r="V177" s="32" t="s">
        <v>400</v>
      </c>
      <c r="W177" s="32" t="s">
        <v>400</v>
      </c>
      <c r="X177" s="32" t="s">
        <v>400</v>
      </c>
      <c r="Y177" s="32" t="s">
        <v>48</v>
      </c>
      <c r="Z177" s="32" t="s">
        <v>48</v>
      </c>
      <c r="AA177" s="32" t="s">
        <v>48</v>
      </c>
      <c r="AB177" s="32" t="s">
        <v>48</v>
      </c>
      <c r="AC177" s="32" t="s">
        <v>48</v>
      </c>
      <c r="AD177" s="32"/>
      <c r="AE177" s="27" t="str">
        <f t="shared" si="38"/>
        <v>N</v>
      </c>
      <c r="AF177" s="32" t="s">
        <v>399</v>
      </c>
      <c r="AG177" s="32"/>
      <c r="AH177" s="33" t="s">
        <v>1173</v>
      </c>
      <c r="AI177" s="35">
        <v>5</v>
      </c>
      <c r="AJ177" s="57">
        <v>181</v>
      </c>
      <c r="AK177" s="33" t="s">
        <v>401</v>
      </c>
      <c r="AL177" s="10" t="s">
        <v>50</v>
      </c>
      <c r="AM177" s="6" t="str">
        <f t="shared" si="34"/>
        <v>14821/배송(매출)완료 현황/ sale/DeliveryClose</v>
      </c>
      <c r="AN177" s="30"/>
      <c r="AO177" s="30"/>
      <c r="AP177" s="30"/>
      <c r="AQ177" s="30"/>
      <c r="AR177" s="31"/>
      <c r="AS177" s="31"/>
      <c r="AT177" s="31"/>
      <c r="AU177" s="31"/>
      <c r="AV177" s="31"/>
      <c r="AW177" s="31"/>
      <c r="AX177" s="31"/>
      <c r="AY177" s="31"/>
    </row>
    <row r="178" spans="2:51" s="29" customFormat="1" ht="14.5">
      <c r="B178" s="5" t="str">
        <f t="shared" si="39"/>
        <v xml:space="preserve">        └ 가매출 현황</v>
      </c>
      <c r="C178" s="33" t="s">
        <v>47</v>
      </c>
      <c r="D178" s="32"/>
      <c r="E178" s="33" t="s">
        <v>1169</v>
      </c>
      <c r="F178" s="44" t="s">
        <v>808</v>
      </c>
      <c r="G178" s="32"/>
      <c r="H178" s="32"/>
      <c r="I178" s="32"/>
      <c r="J178" s="34"/>
      <c r="K178" s="34"/>
      <c r="L178" s="27" t="str">
        <f t="shared" si="35"/>
        <v>1</v>
      </c>
      <c r="M178" s="27" t="str">
        <f t="shared" si="36"/>
        <v>1</v>
      </c>
      <c r="N178" s="32" t="s">
        <v>420</v>
      </c>
      <c r="O178" s="32" t="s">
        <v>534</v>
      </c>
      <c r="P178" s="27" t="str">
        <f t="shared" si="37"/>
        <v>1</v>
      </c>
      <c r="Q178" s="32" t="s">
        <v>399</v>
      </c>
      <c r="R178" s="32" t="s">
        <v>400</v>
      </c>
      <c r="S178" s="32" t="s">
        <v>400</v>
      </c>
      <c r="T178" s="32" t="s">
        <v>400</v>
      </c>
      <c r="U178" s="32" t="s">
        <v>48</v>
      </c>
      <c r="V178" s="32" t="s">
        <v>400</v>
      </c>
      <c r="W178" s="32" t="s">
        <v>400</v>
      </c>
      <c r="X178" s="32" t="s">
        <v>400</v>
      </c>
      <c r="Y178" s="32" t="s">
        <v>48</v>
      </c>
      <c r="Z178" s="32" t="s">
        <v>48</v>
      </c>
      <c r="AA178" s="32" t="s">
        <v>48</v>
      </c>
      <c r="AB178" s="32" t="s">
        <v>48</v>
      </c>
      <c r="AC178" s="32" t="s">
        <v>48</v>
      </c>
      <c r="AD178" s="32"/>
      <c r="AE178" s="27" t="str">
        <f t="shared" si="38"/>
        <v>N</v>
      </c>
      <c r="AF178" s="32" t="s">
        <v>399</v>
      </c>
      <c r="AG178" s="32"/>
      <c r="AH178" s="33" t="s">
        <v>1173</v>
      </c>
      <c r="AI178" s="35">
        <v>5</v>
      </c>
      <c r="AJ178" s="57">
        <v>182</v>
      </c>
      <c r="AK178" s="33" t="s">
        <v>401</v>
      </c>
      <c r="AL178" s="10" t="s">
        <v>50</v>
      </c>
      <c r="AM178" s="6" t="str">
        <f t="shared" si="34"/>
        <v>14821/가매출 현황/ sale/TempSaleList</v>
      </c>
      <c r="AN178" s="30"/>
      <c r="AO178" s="30"/>
      <c r="AP178" s="30"/>
      <c r="AQ178" s="30"/>
      <c r="AR178" s="31"/>
      <c r="AS178" s="31"/>
      <c r="AT178" s="31"/>
      <c r="AU178" s="31"/>
      <c r="AV178" s="31"/>
      <c r="AW178" s="31"/>
      <c r="AX178" s="31"/>
      <c r="AY178" s="31"/>
    </row>
    <row r="179" spans="2:51" s="29" customFormat="1" ht="14.5">
      <c r="B179" s="5" t="str">
        <f t="shared" si="39"/>
        <v xml:space="preserve">        └ 매출 작업</v>
      </c>
      <c r="C179" s="33" t="s">
        <v>47</v>
      </c>
      <c r="D179" s="32"/>
      <c r="E179" s="33" t="s">
        <v>1170</v>
      </c>
      <c r="F179" s="44" t="s">
        <v>809</v>
      </c>
      <c r="G179" s="32"/>
      <c r="H179" s="32"/>
      <c r="I179" s="32"/>
      <c r="J179" s="34"/>
      <c r="K179" s="34"/>
      <c r="L179" s="27" t="str">
        <f t="shared" si="35"/>
        <v>1</v>
      </c>
      <c r="M179" s="27" t="str">
        <f t="shared" si="36"/>
        <v>1</v>
      </c>
      <c r="N179" s="32" t="s">
        <v>420</v>
      </c>
      <c r="O179" s="32" t="s">
        <v>535</v>
      </c>
      <c r="P179" s="27" t="str">
        <f t="shared" si="37"/>
        <v>1</v>
      </c>
      <c r="Q179" s="32" t="s">
        <v>400</v>
      </c>
      <c r="R179" s="32" t="s">
        <v>400</v>
      </c>
      <c r="S179" s="32" t="s">
        <v>400</v>
      </c>
      <c r="T179" s="32" t="s">
        <v>400</v>
      </c>
      <c r="U179" s="32" t="s">
        <v>48</v>
      </c>
      <c r="V179" s="32" t="s">
        <v>399</v>
      </c>
      <c r="W179" s="32" t="s">
        <v>399</v>
      </c>
      <c r="X179" s="32" t="s">
        <v>400</v>
      </c>
      <c r="Y179" s="32" t="s">
        <v>48</v>
      </c>
      <c r="Z179" s="32" t="s">
        <v>48</v>
      </c>
      <c r="AA179" s="32" t="s">
        <v>48</v>
      </c>
      <c r="AB179" s="32" t="s">
        <v>48</v>
      </c>
      <c r="AC179" s="32" t="s">
        <v>48</v>
      </c>
      <c r="AD179" s="32"/>
      <c r="AE179" s="27" t="str">
        <f t="shared" si="38"/>
        <v>N</v>
      </c>
      <c r="AF179" s="32" t="s">
        <v>399</v>
      </c>
      <c r="AG179" s="32"/>
      <c r="AH179" s="33" t="s">
        <v>1173</v>
      </c>
      <c r="AI179" s="35">
        <v>5</v>
      </c>
      <c r="AJ179" s="57">
        <v>183</v>
      </c>
      <c r="AK179" s="33" t="s">
        <v>401</v>
      </c>
      <c r="AL179" s="10" t="s">
        <v>50</v>
      </c>
      <c r="AM179" s="6" t="str">
        <f t="shared" si="34"/>
        <v>14821/매출 작업/ sale/SaleWork</v>
      </c>
      <c r="AN179" s="30"/>
      <c r="AO179" s="30"/>
      <c r="AP179" s="30"/>
      <c r="AQ179" s="30"/>
      <c r="AR179" s="31"/>
      <c r="AS179" s="31"/>
      <c r="AT179" s="31"/>
      <c r="AU179" s="31"/>
      <c r="AV179" s="31"/>
      <c r="AW179" s="31"/>
      <c r="AX179" s="31"/>
      <c r="AY179" s="31"/>
    </row>
    <row r="180" spans="2:51" s="29" customFormat="1" ht="14.5">
      <c r="B180" s="5" t="str">
        <f t="shared" si="39"/>
        <v xml:space="preserve">        └ 선수금 결제 확정</v>
      </c>
      <c r="C180" s="33" t="s">
        <v>47</v>
      </c>
      <c r="D180" s="32"/>
      <c r="E180" s="33" t="s">
        <v>1171</v>
      </c>
      <c r="F180" s="44" t="s">
        <v>811</v>
      </c>
      <c r="G180" s="32"/>
      <c r="H180" s="32"/>
      <c r="I180" s="32"/>
      <c r="J180" s="34"/>
      <c r="K180" s="34"/>
      <c r="L180" s="27" t="str">
        <f t="shared" si="35"/>
        <v>1</v>
      </c>
      <c r="M180" s="27" t="str">
        <f t="shared" si="36"/>
        <v>1</v>
      </c>
      <c r="N180" s="32" t="s">
        <v>420</v>
      </c>
      <c r="O180" s="32" t="s">
        <v>537</v>
      </c>
      <c r="P180" s="27" t="str">
        <f t="shared" si="37"/>
        <v>1</v>
      </c>
      <c r="Q180" s="32" t="s">
        <v>399</v>
      </c>
      <c r="R180" s="32" t="s">
        <v>399</v>
      </c>
      <c r="S180" s="32" t="s">
        <v>400</v>
      </c>
      <c r="T180" s="32" t="s">
        <v>400</v>
      </c>
      <c r="U180" s="32" t="s">
        <v>48</v>
      </c>
      <c r="V180" s="32" t="s">
        <v>400</v>
      </c>
      <c r="W180" s="32" t="s">
        <v>400</v>
      </c>
      <c r="X180" s="32" t="s">
        <v>400</v>
      </c>
      <c r="Y180" s="32" t="s">
        <v>48</v>
      </c>
      <c r="Z180" s="32" t="s">
        <v>48</v>
      </c>
      <c r="AA180" s="32" t="s">
        <v>48</v>
      </c>
      <c r="AB180" s="32" t="s">
        <v>48</v>
      </c>
      <c r="AC180" s="32" t="s">
        <v>48</v>
      </c>
      <c r="AD180" s="32"/>
      <c r="AE180" s="27" t="str">
        <f t="shared" si="38"/>
        <v>N</v>
      </c>
      <c r="AF180" s="32" t="s">
        <v>399</v>
      </c>
      <c r="AG180" s="32"/>
      <c r="AH180" s="33" t="s">
        <v>1173</v>
      </c>
      <c r="AI180" s="35">
        <v>5</v>
      </c>
      <c r="AJ180" s="57">
        <v>184</v>
      </c>
      <c r="AK180" s="33" t="s">
        <v>401</v>
      </c>
      <c r="AL180" s="10" t="s">
        <v>50</v>
      </c>
      <c r="AM180" s="6" t="str">
        <f t="shared" si="34"/>
        <v>14821/선수금 결제 확정/ sale/PreArWork</v>
      </c>
      <c r="AN180" s="30"/>
      <c r="AO180" s="30"/>
      <c r="AP180" s="30"/>
      <c r="AQ180" s="30"/>
      <c r="AR180" s="31"/>
      <c r="AS180" s="31"/>
      <c r="AT180" s="31"/>
      <c r="AU180" s="31"/>
      <c r="AV180" s="31"/>
      <c r="AW180" s="31"/>
      <c r="AX180" s="31"/>
      <c r="AY180" s="31"/>
    </row>
    <row r="181" spans="2:51" s="29" customFormat="1" ht="14.5">
      <c r="B181" s="5" t="str">
        <f t="shared" si="39"/>
        <v xml:space="preserve">        └ 거래명세서 임의 발행</v>
      </c>
      <c r="C181" s="33" t="s">
        <v>47</v>
      </c>
      <c r="D181" s="32"/>
      <c r="E181" s="33" t="s">
        <v>1172</v>
      </c>
      <c r="F181" s="44" t="s">
        <v>812</v>
      </c>
      <c r="G181" s="32"/>
      <c r="H181" s="32"/>
      <c r="I181" s="32"/>
      <c r="J181" s="34"/>
      <c r="K181" s="34"/>
      <c r="L181" s="27" t="str">
        <f t="shared" si="35"/>
        <v>1</v>
      </c>
      <c r="M181" s="27" t="str">
        <f t="shared" si="36"/>
        <v>1</v>
      </c>
      <c r="N181" s="32" t="s">
        <v>420</v>
      </c>
      <c r="O181" s="32" t="s">
        <v>538</v>
      </c>
      <c r="P181" s="27" t="str">
        <f t="shared" si="37"/>
        <v>1</v>
      </c>
      <c r="Q181" s="32" t="s">
        <v>400</v>
      </c>
      <c r="R181" s="32" t="s">
        <v>400</v>
      </c>
      <c r="S181" s="32" t="s">
        <v>399</v>
      </c>
      <c r="T181" s="32" t="s">
        <v>400</v>
      </c>
      <c r="U181" s="32" t="s">
        <v>48</v>
      </c>
      <c r="V181" s="32" t="s">
        <v>400</v>
      </c>
      <c r="W181" s="32" t="s">
        <v>400</v>
      </c>
      <c r="X181" s="32" t="s">
        <v>400</v>
      </c>
      <c r="Y181" s="32" t="s">
        <v>48</v>
      </c>
      <c r="Z181" s="32" t="s">
        <v>48</v>
      </c>
      <c r="AA181" s="32" t="s">
        <v>48</v>
      </c>
      <c r="AB181" s="32" t="s">
        <v>48</v>
      </c>
      <c r="AC181" s="32" t="s">
        <v>48</v>
      </c>
      <c r="AD181" s="32"/>
      <c r="AE181" s="27" t="str">
        <f t="shared" si="38"/>
        <v>N</v>
      </c>
      <c r="AF181" s="32" t="s">
        <v>399</v>
      </c>
      <c r="AG181" s="32"/>
      <c r="AH181" s="33" t="s">
        <v>1173</v>
      </c>
      <c r="AI181" s="35">
        <v>5</v>
      </c>
      <c r="AJ181" s="57">
        <v>185</v>
      </c>
      <c r="AK181" s="33" t="s">
        <v>401</v>
      </c>
      <c r="AL181" s="10" t="s">
        <v>50</v>
      </c>
      <c r="AM181" s="6" t="str">
        <f t="shared" si="34"/>
        <v>14821/거래명세서 임의 발행/ sale/SaleReportPrint</v>
      </c>
      <c r="AN181" s="30"/>
      <c r="AO181" s="30"/>
      <c r="AP181" s="30"/>
      <c r="AQ181" s="30"/>
      <c r="AR181" s="31"/>
      <c r="AS181" s="31"/>
      <c r="AT181" s="31"/>
      <c r="AU181" s="31"/>
      <c r="AV181" s="31"/>
      <c r="AW181" s="31"/>
      <c r="AX181" s="31"/>
      <c r="AY181" s="31"/>
    </row>
    <row r="182" spans="2:51" s="29" customFormat="1" ht="14.5">
      <c r="B182" s="5" t="str">
        <f t="shared" si="39"/>
        <v xml:space="preserve">    └ 수금</v>
      </c>
      <c r="C182" s="33" t="s">
        <v>47</v>
      </c>
      <c r="D182" s="32"/>
      <c r="E182" s="9">
        <v>2050300</v>
      </c>
      <c r="F182" s="38" t="s">
        <v>1174</v>
      </c>
      <c r="G182" s="9"/>
      <c r="H182" s="9"/>
      <c r="I182" s="9"/>
      <c r="J182" s="9"/>
      <c r="K182" s="9"/>
      <c r="L182" s="9" t="str">
        <f t="shared" si="35"/>
        <v>1</v>
      </c>
      <c r="M182" s="9" t="str">
        <f t="shared" si="36"/>
        <v>0</v>
      </c>
      <c r="N182" s="38" t="s">
        <v>985</v>
      </c>
      <c r="O182" s="38"/>
      <c r="P182" s="9" t="str">
        <f t="shared" si="37"/>
        <v>1</v>
      </c>
      <c r="Q182" s="9" t="s">
        <v>986</v>
      </c>
      <c r="R182" s="9" t="s">
        <v>986</v>
      </c>
      <c r="S182" s="9" t="s">
        <v>986</v>
      </c>
      <c r="T182" s="9" t="s">
        <v>987</v>
      </c>
      <c r="U182" s="9" t="s">
        <v>985</v>
      </c>
      <c r="V182" s="9" t="s">
        <v>987</v>
      </c>
      <c r="W182" s="9" t="s">
        <v>987</v>
      </c>
      <c r="X182" s="9" t="s">
        <v>987</v>
      </c>
      <c r="Y182" s="9" t="s">
        <v>985</v>
      </c>
      <c r="Z182" s="9" t="s">
        <v>985</v>
      </c>
      <c r="AA182" s="9" t="s">
        <v>985</v>
      </c>
      <c r="AB182" s="9" t="s">
        <v>985</v>
      </c>
      <c r="AC182" s="9" t="s">
        <v>985</v>
      </c>
      <c r="AD182" s="9"/>
      <c r="AE182" s="9" t="str">
        <f t="shared" si="38"/>
        <v>N</v>
      </c>
      <c r="AF182" s="9" t="s">
        <v>986</v>
      </c>
      <c r="AG182" s="9"/>
      <c r="AH182" s="9">
        <v>2050000</v>
      </c>
      <c r="AI182" s="9">
        <v>4</v>
      </c>
      <c r="AJ182" s="57">
        <v>186</v>
      </c>
      <c r="AK182" s="10" t="s">
        <v>988</v>
      </c>
      <c r="AL182" s="10" t="s">
        <v>50</v>
      </c>
      <c r="AM182" s="6" t="str">
        <f t="shared" si="34"/>
        <v>14821/수금/ /</v>
      </c>
      <c r="AN182" s="30"/>
      <c r="AO182" s="30"/>
      <c r="AP182" s="30"/>
      <c r="AQ182" s="30"/>
      <c r="AR182" s="31"/>
      <c r="AS182" s="31"/>
      <c r="AT182" s="31"/>
      <c r="AU182" s="31"/>
      <c r="AV182" s="31"/>
      <c r="AW182" s="31"/>
      <c r="AX182" s="31"/>
      <c r="AY182" s="31"/>
    </row>
    <row r="183" spans="2:51" s="29" customFormat="1" ht="14.5">
      <c r="B183" s="5" t="str">
        <f t="shared" si="39"/>
        <v xml:space="preserve">        └ 세금계산서 발행</v>
      </c>
      <c r="C183" s="33" t="s">
        <v>47</v>
      </c>
      <c r="D183" s="32"/>
      <c r="E183" s="33" t="s">
        <v>1180</v>
      </c>
      <c r="F183" s="44" t="s">
        <v>815</v>
      </c>
      <c r="G183" s="32"/>
      <c r="H183" s="32"/>
      <c r="I183" s="32"/>
      <c r="J183" s="34"/>
      <c r="K183" s="34"/>
      <c r="L183" s="27" t="str">
        <f>IF(F183="","","1")</f>
        <v>1</v>
      </c>
      <c r="M183" s="27" t="str">
        <f>IF(F183="","",IF(O183="","0","1"))</f>
        <v>1</v>
      </c>
      <c r="N183" s="32" t="s">
        <v>420</v>
      </c>
      <c r="O183" s="32" t="s">
        <v>541</v>
      </c>
      <c r="P183" s="27" t="str">
        <f>IF(F183="","","1")</f>
        <v>1</v>
      </c>
      <c r="Q183" s="32" t="s">
        <v>399</v>
      </c>
      <c r="R183" s="32" t="s">
        <v>400</v>
      </c>
      <c r="S183" s="32" t="s">
        <v>400</v>
      </c>
      <c r="T183" s="32" t="s">
        <v>400</v>
      </c>
      <c r="U183" s="32" t="s">
        <v>48</v>
      </c>
      <c r="V183" s="32" t="s">
        <v>400</v>
      </c>
      <c r="W183" s="32" t="s">
        <v>400</v>
      </c>
      <c r="X183" s="32" t="s">
        <v>400</v>
      </c>
      <c r="Y183" s="32" t="s">
        <v>48</v>
      </c>
      <c r="Z183" s="32" t="s">
        <v>48</v>
      </c>
      <c r="AA183" s="32" t="s">
        <v>48</v>
      </c>
      <c r="AB183" s="32" t="s">
        <v>48</v>
      </c>
      <c r="AC183" s="32" t="s">
        <v>48</v>
      </c>
      <c r="AD183" s="32"/>
      <c r="AE183" s="27" t="str">
        <f>IF(F183="","","N")</f>
        <v>N</v>
      </c>
      <c r="AF183" s="32" t="s">
        <v>399</v>
      </c>
      <c r="AG183" s="32"/>
      <c r="AH183" s="33" t="s">
        <v>1186</v>
      </c>
      <c r="AI183" s="35">
        <v>5</v>
      </c>
      <c r="AJ183" s="57">
        <v>187</v>
      </c>
      <c r="AK183" s="33" t="s">
        <v>401</v>
      </c>
      <c r="AL183" s="10" t="s">
        <v>50</v>
      </c>
      <c r="AM183" s="6" t="str">
        <f t="shared" si="34"/>
        <v>14821/세금계산서 발행/ sale/SaleTaxWork</v>
      </c>
      <c r="AN183" s="30"/>
      <c r="AO183" s="30"/>
      <c r="AP183" s="30"/>
      <c r="AQ183" s="30"/>
      <c r="AR183" s="31"/>
      <c r="AS183" s="31"/>
      <c r="AT183" s="31"/>
      <c r="AU183" s="31"/>
      <c r="AV183" s="31"/>
      <c r="AW183" s="31"/>
      <c r="AX183" s="31"/>
      <c r="AY183" s="31"/>
    </row>
    <row r="184" spans="2:51" s="29" customFormat="1" ht="14.5">
      <c r="B184" s="5" t="str">
        <f t="shared" si="39"/>
        <v xml:space="preserve">        └ 세금계산서 현황</v>
      </c>
      <c r="C184" s="33" t="s">
        <v>47</v>
      </c>
      <c r="D184" s="32"/>
      <c r="E184" s="33" t="s">
        <v>1181</v>
      </c>
      <c r="F184" s="44" t="s">
        <v>816</v>
      </c>
      <c r="G184" s="32"/>
      <c r="H184" s="32"/>
      <c r="I184" s="32"/>
      <c r="J184" s="34"/>
      <c r="K184" s="34"/>
      <c r="L184" s="27" t="str">
        <f>IF(F184="","","1")</f>
        <v>1</v>
      </c>
      <c r="M184" s="27" t="str">
        <f>IF(F184="","",IF(O184="","0","1"))</f>
        <v>1</v>
      </c>
      <c r="N184" s="32" t="s">
        <v>420</v>
      </c>
      <c r="O184" s="32" t="s">
        <v>542</v>
      </c>
      <c r="P184" s="27" t="str">
        <f>IF(F184="","","1")</f>
        <v>1</v>
      </c>
      <c r="Q184" s="32" t="s">
        <v>400</v>
      </c>
      <c r="R184" s="32" t="s">
        <v>400</v>
      </c>
      <c r="S184" s="32" t="s">
        <v>400</v>
      </c>
      <c r="T184" s="32" t="s">
        <v>400</v>
      </c>
      <c r="U184" s="32" t="s">
        <v>48</v>
      </c>
      <c r="V184" s="32" t="s">
        <v>400</v>
      </c>
      <c r="W184" s="32" t="s">
        <v>400</v>
      </c>
      <c r="X184" s="32" t="s">
        <v>400</v>
      </c>
      <c r="Y184" s="32" t="s">
        <v>48</v>
      </c>
      <c r="Z184" s="32" t="s">
        <v>48</v>
      </c>
      <c r="AA184" s="32" t="s">
        <v>48</v>
      </c>
      <c r="AB184" s="32" t="s">
        <v>48</v>
      </c>
      <c r="AC184" s="32" t="s">
        <v>48</v>
      </c>
      <c r="AD184" s="32"/>
      <c r="AE184" s="27" t="str">
        <f>IF(F184="","","N")</f>
        <v>N</v>
      </c>
      <c r="AF184" s="32" t="s">
        <v>399</v>
      </c>
      <c r="AG184" s="32"/>
      <c r="AH184" s="33" t="s">
        <v>1186</v>
      </c>
      <c r="AI184" s="35">
        <v>5</v>
      </c>
      <c r="AJ184" s="57">
        <v>188</v>
      </c>
      <c r="AK184" s="33" t="s">
        <v>401</v>
      </c>
      <c r="AL184" s="10" t="s">
        <v>50</v>
      </c>
      <c r="AM184" s="6" t="str">
        <f t="shared" si="34"/>
        <v>14821/세금계산서 현황/ sale/SaleTaxList</v>
      </c>
      <c r="AN184" s="30"/>
      <c r="AO184" s="30"/>
      <c r="AP184" s="30"/>
      <c r="AQ184" s="30"/>
      <c r="AR184" s="31"/>
      <c r="AS184" s="31"/>
      <c r="AT184" s="31"/>
      <c r="AU184" s="31"/>
      <c r="AV184" s="31"/>
      <c r="AW184" s="31"/>
      <c r="AX184" s="31"/>
      <c r="AY184" s="31"/>
    </row>
    <row r="185" spans="2:51" s="29" customFormat="1" ht="14.5">
      <c r="B185" s="5" t="str">
        <f t="shared" si="39"/>
        <v xml:space="preserve">        └ 기타매출 관리</v>
      </c>
      <c r="C185" s="33" t="s">
        <v>47</v>
      </c>
      <c r="D185" s="32"/>
      <c r="E185" s="33" t="s">
        <v>1182</v>
      </c>
      <c r="F185" s="44" t="s">
        <v>817</v>
      </c>
      <c r="G185" s="32"/>
      <c r="H185" s="32"/>
      <c r="I185" s="32"/>
      <c r="J185" s="34"/>
      <c r="K185" s="34"/>
      <c r="L185" s="27" t="str">
        <f>IF(F185="","","1")</f>
        <v>1</v>
      </c>
      <c r="M185" s="27" t="str">
        <f>IF(F185="","",IF(O185="","0","1"))</f>
        <v>1</v>
      </c>
      <c r="N185" s="32" t="s">
        <v>420</v>
      </c>
      <c r="O185" s="32" t="s">
        <v>543</v>
      </c>
      <c r="P185" s="27" t="str">
        <f>IF(F185="","","1")</f>
        <v>1</v>
      </c>
      <c r="Q185" s="32" t="s">
        <v>399</v>
      </c>
      <c r="R185" s="32" t="s">
        <v>399</v>
      </c>
      <c r="S185" s="32" t="s">
        <v>400</v>
      </c>
      <c r="T185" s="32" t="s">
        <v>400</v>
      </c>
      <c r="U185" s="32" t="s">
        <v>48</v>
      </c>
      <c r="V185" s="32" t="s">
        <v>400</v>
      </c>
      <c r="W185" s="32" t="s">
        <v>400</v>
      </c>
      <c r="X185" s="32" t="s">
        <v>400</v>
      </c>
      <c r="Y185" s="32" t="s">
        <v>48</v>
      </c>
      <c r="Z185" s="32" t="s">
        <v>48</v>
      </c>
      <c r="AA185" s="32" t="s">
        <v>48</v>
      </c>
      <c r="AB185" s="32" t="s">
        <v>48</v>
      </c>
      <c r="AC185" s="32" t="s">
        <v>48</v>
      </c>
      <c r="AD185" s="32"/>
      <c r="AE185" s="27" t="str">
        <f>IF(F185="","","N")</f>
        <v>N</v>
      </c>
      <c r="AF185" s="32" t="s">
        <v>399</v>
      </c>
      <c r="AG185" s="32"/>
      <c r="AH185" s="33" t="s">
        <v>1186</v>
      </c>
      <c r="AI185" s="35">
        <v>5</v>
      </c>
      <c r="AJ185" s="57">
        <v>189</v>
      </c>
      <c r="AK185" s="33" t="s">
        <v>401</v>
      </c>
      <c r="AL185" s="10" t="s">
        <v>50</v>
      </c>
      <c r="AM185" s="6" t="str">
        <f t="shared" si="34"/>
        <v>14821/기타매출 관리/ sale/EtcSaleWork</v>
      </c>
      <c r="AN185" s="30"/>
      <c r="AO185" s="30"/>
      <c r="AP185" s="30"/>
      <c r="AQ185" s="30"/>
      <c r="AR185" s="31"/>
      <c r="AS185" s="31"/>
      <c r="AT185" s="31"/>
      <c r="AU185" s="31"/>
      <c r="AV185" s="31"/>
      <c r="AW185" s="31"/>
      <c r="AX185" s="31"/>
      <c r="AY185" s="31"/>
    </row>
    <row r="186" spans="2:51" s="29" customFormat="1" ht="14.5">
      <c r="B186" s="5" t="str">
        <f t="shared" si="39"/>
        <v xml:space="preserve">        └ 수금 관리</v>
      </c>
      <c r="C186" s="33" t="s">
        <v>47</v>
      </c>
      <c r="D186" s="32"/>
      <c r="E186" s="33" t="s">
        <v>1183</v>
      </c>
      <c r="F186" s="44" t="s">
        <v>813</v>
      </c>
      <c r="G186" s="32"/>
      <c r="H186" s="32"/>
      <c r="I186" s="32"/>
      <c r="J186" s="34"/>
      <c r="K186" s="34"/>
      <c r="L186" s="27" t="str">
        <f t="shared" si="35"/>
        <v>1</v>
      </c>
      <c r="M186" s="27" t="str">
        <f t="shared" si="36"/>
        <v>1</v>
      </c>
      <c r="N186" s="32" t="s">
        <v>420</v>
      </c>
      <c r="O186" s="32" t="s">
        <v>539</v>
      </c>
      <c r="P186" s="27" t="str">
        <f t="shared" si="37"/>
        <v>1</v>
      </c>
      <c r="Q186" s="32" t="s">
        <v>400</v>
      </c>
      <c r="R186" s="32" t="s">
        <v>399</v>
      </c>
      <c r="S186" s="32" t="s">
        <v>400</v>
      </c>
      <c r="T186" s="32" t="s">
        <v>400</v>
      </c>
      <c r="U186" s="32" t="s">
        <v>48</v>
      </c>
      <c r="V186" s="32" t="s">
        <v>400</v>
      </c>
      <c r="W186" s="32" t="s">
        <v>400</v>
      </c>
      <c r="X186" s="32" t="s">
        <v>400</v>
      </c>
      <c r="Y186" s="32" t="s">
        <v>48</v>
      </c>
      <c r="Z186" s="32" t="s">
        <v>48</v>
      </c>
      <c r="AA186" s="32" t="s">
        <v>48</v>
      </c>
      <c r="AB186" s="32" t="s">
        <v>48</v>
      </c>
      <c r="AC186" s="32" t="s">
        <v>48</v>
      </c>
      <c r="AD186" s="32"/>
      <c r="AE186" s="27" t="str">
        <f t="shared" si="38"/>
        <v>N</v>
      </c>
      <c r="AF186" s="32" t="s">
        <v>399</v>
      </c>
      <c r="AG186" s="32"/>
      <c r="AH186" s="33" t="s">
        <v>1186</v>
      </c>
      <c r="AI186" s="35">
        <v>5</v>
      </c>
      <c r="AJ186" s="57">
        <v>190</v>
      </c>
      <c r="AK186" s="33" t="s">
        <v>401</v>
      </c>
      <c r="AL186" s="10" t="s">
        <v>50</v>
      </c>
      <c r="AM186" s="6" t="str">
        <f t="shared" si="34"/>
        <v>14821/수금 관리/ sale/ArWork</v>
      </c>
      <c r="AN186" s="30"/>
      <c r="AO186" s="30"/>
      <c r="AP186" s="30"/>
      <c r="AQ186" s="30"/>
      <c r="AR186" s="31"/>
      <c r="AS186" s="31"/>
      <c r="AT186" s="31"/>
      <c r="AU186" s="31"/>
      <c r="AV186" s="31"/>
      <c r="AW186" s="31"/>
      <c r="AX186" s="31"/>
      <c r="AY186" s="31"/>
    </row>
    <row r="187" spans="2:51" s="29" customFormat="1" ht="14.5">
      <c r="B187" s="5" t="str">
        <f t="shared" si="39"/>
        <v xml:space="preserve">        └ 수금 현황</v>
      </c>
      <c r="C187" s="33" t="s">
        <v>47</v>
      </c>
      <c r="D187" s="32"/>
      <c r="E187" s="33" t="s">
        <v>1184</v>
      </c>
      <c r="F187" s="44" t="s">
        <v>814</v>
      </c>
      <c r="G187" s="32"/>
      <c r="H187" s="32"/>
      <c r="I187" s="32"/>
      <c r="J187" s="34"/>
      <c r="K187" s="34"/>
      <c r="L187" s="27" t="str">
        <f t="shared" si="35"/>
        <v>1</v>
      </c>
      <c r="M187" s="27" t="str">
        <f t="shared" si="36"/>
        <v>1</v>
      </c>
      <c r="N187" s="32" t="s">
        <v>420</v>
      </c>
      <c r="O187" s="32" t="s">
        <v>540</v>
      </c>
      <c r="P187" s="27" t="str">
        <f t="shared" si="37"/>
        <v>1</v>
      </c>
      <c r="Q187" s="32" t="s">
        <v>399</v>
      </c>
      <c r="R187" s="32" t="s">
        <v>399</v>
      </c>
      <c r="S187" s="32" t="s">
        <v>400</v>
      </c>
      <c r="T187" s="32" t="s">
        <v>400</v>
      </c>
      <c r="U187" s="32" t="s">
        <v>48</v>
      </c>
      <c r="V187" s="32" t="s">
        <v>400</v>
      </c>
      <c r="W187" s="32" t="s">
        <v>400</v>
      </c>
      <c r="X187" s="32" t="s">
        <v>400</v>
      </c>
      <c r="Y187" s="32" t="s">
        <v>48</v>
      </c>
      <c r="Z187" s="32" t="s">
        <v>48</v>
      </c>
      <c r="AA187" s="32" t="s">
        <v>48</v>
      </c>
      <c r="AB187" s="32" t="s">
        <v>48</v>
      </c>
      <c r="AC187" s="32" t="s">
        <v>48</v>
      </c>
      <c r="AD187" s="32"/>
      <c r="AE187" s="27" t="str">
        <f t="shared" si="38"/>
        <v>N</v>
      </c>
      <c r="AF187" s="32" t="s">
        <v>399</v>
      </c>
      <c r="AG187" s="32"/>
      <c r="AH187" s="33" t="s">
        <v>1186</v>
      </c>
      <c r="AI187" s="35">
        <v>5</v>
      </c>
      <c r="AJ187" s="57">
        <v>191</v>
      </c>
      <c r="AK187" s="33" t="s">
        <v>401</v>
      </c>
      <c r="AL187" s="10" t="s">
        <v>50</v>
      </c>
      <c r="AM187" s="6" t="str">
        <f t="shared" si="34"/>
        <v>14821/수금 현황/ sale/ArList</v>
      </c>
      <c r="AN187" s="30"/>
      <c r="AO187" s="30"/>
      <c r="AP187" s="30"/>
      <c r="AQ187" s="30"/>
      <c r="AR187" s="31"/>
      <c r="AS187" s="31"/>
      <c r="AT187" s="31"/>
      <c r="AU187" s="31"/>
      <c r="AV187" s="31"/>
      <c r="AW187" s="31"/>
      <c r="AX187" s="31"/>
      <c r="AY187" s="31"/>
    </row>
    <row r="188" spans="2:51" s="29" customFormat="1" ht="14.5">
      <c r="B188" s="5" t="str">
        <f t="shared" si="39"/>
        <v xml:space="preserve">        └ 매출 수금 기표</v>
      </c>
      <c r="C188" s="33" t="s">
        <v>47</v>
      </c>
      <c r="D188" s="32"/>
      <c r="E188" s="33" t="s">
        <v>1185</v>
      </c>
      <c r="F188" s="44" t="s">
        <v>818</v>
      </c>
      <c r="G188" s="32"/>
      <c r="H188" s="32"/>
      <c r="I188" s="32"/>
      <c r="J188" s="34"/>
      <c r="K188" s="34"/>
      <c r="L188" s="27" t="str">
        <f t="shared" si="35"/>
        <v>1</v>
      </c>
      <c r="M188" s="27" t="str">
        <f t="shared" si="36"/>
        <v>1</v>
      </c>
      <c r="N188" s="32" t="s">
        <v>421</v>
      </c>
      <c r="O188" s="32" t="s">
        <v>544</v>
      </c>
      <c r="P188" s="27" t="str">
        <f t="shared" si="37"/>
        <v>1</v>
      </c>
      <c r="Q188" s="32" t="s">
        <v>400</v>
      </c>
      <c r="R188" s="32" t="s">
        <v>400</v>
      </c>
      <c r="S188" s="32" t="s">
        <v>400</v>
      </c>
      <c r="T188" s="32" t="s">
        <v>400</v>
      </c>
      <c r="U188" s="32" t="s">
        <v>48</v>
      </c>
      <c r="V188" s="32" t="s">
        <v>400</v>
      </c>
      <c r="W188" s="32" t="s">
        <v>400</v>
      </c>
      <c r="X188" s="32" t="s">
        <v>399</v>
      </c>
      <c r="Y188" s="32" t="s">
        <v>48</v>
      </c>
      <c r="Z188" s="32" t="s">
        <v>48</v>
      </c>
      <c r="AA188" s="32" t="s">
        <v>48</v>
      </c>
      <c r="AB188" s="32" t="s">
        <v>48</v>
      </c>
      <c r="AC188" s="32" t="s">
        <v>48</v>
      </c>
      <c r="AD188" s="32"/>
      <c r="AE188" s="27" t="str">
        <f t="shared" si="38"/>
        <v>N</v>
      </c>
      <c r="AF188" s="32" t="s">
        <v>399</v>
      </c>
      <c r="AG188" s="32"/>
      <c r="AH188" s="33" t="s">
        <v>1186</v>
      </c>
      <c r="AI188" s="35">
        <v>5</v>
      </c>
      <c r="AJ188" s="57">
        <v>192</v>
      </c>
      <c r="AK188" s="33" t="s">
        <v>401</v>
      </c>
      <c r="AL188" s="10" t="s">
        <v>50</v>
      </c>
      <c r="AM188" s="6" t="str">
        <f t="shared" si="34"/>
        <v>14821/매출 수금 기표/ account/AccountMgr</v>
      </c>
      <c r="AN188" s="30"/>
      <c r="AO188" s="30"/>
      <c r="AP188" s="30"/>
      <c r="AQ188" s="31"/>
      <c r="AR188" s="31"/>
      <c r="AS188" s="31"/>
      <c r="AT188" s="31"/>
      <c r="AU188" s="31"/>
      <c r="AV188" s="31"/>
      <c r="AW188" s="31"/>
      <c r="AX188" s="31"/>
      <c r="AY188" s="31"/>
    </row>
    <row r="189" spans="2:51" s="29" customFormat="1" ht="14.5">
      <c r="B189" s="5" t="str">
        <f t="shared" si="39"/>
        <v xml:space="preserve">    └ 선수금</v>
      </c>
      <c r="C189" s="33" t="s">
        <v>47</v>
      </c>
      <c r="D189" s="32"/>
      <c r="E189" s="9">
        <v>2050400</v>
      </c>
      <c r="F189" s="38" t="s">
        <v>1175</v>
      </c>
      <c r="G189" s="9"/>
      <c r="H189" s="9"/>
      <c r="I189" s="9"/>
      <c r="J189" s="9"/>
      <c r="K189" s="9"/>
      <c r="L189" s="9" t="str">
        <f t="shared" si="35"/>
        <v>1</v>
      </c>
      <c r="M189" s="9" t="str">
        <f t="shared" si="36"/>
        <v>0</v>
      </c>
      <c r="N189" s="38" t="s">
        <v>985</v>
      </c>
      <c r="O189" s="38"/>
      <c r="P189" s="9" t="str">
        <f t="shared" si="37"/>
        <v>1</v>
      </c>
      <c r="Q189" s="9" t="s">
        <v>986</v>
      </c>
      <c r="R189" s="9" t="s">
        <v>986</v>
      </c>
      <c r="S189" s="9" t="s">
        <v>986</v>
      </c>
      <c r="T189" s="9" t="s">
        <v>987</v>
      </c>
      <c r="U189" s="9" t="s">
        <v>985</v>
      </c>
      <c r="V189" s="9" t="s">
        <v>987</v>
      </c>
      <c r="W189" s="9" t="s">
        <v>987</v>
      </c>
      <c r="X189" s="9" t="s">
        <v>987</v>
      </c>
      <c r="Y189" s="9" t="s">
        <v>985</v>
      </c>
      <c r="Z189" s="9" t="s">
        <v>985</v>
      </c>
      <c r="AA189" s="9" t="s">
        <v>985</v>
      </c>
      <c r="AB189" s="9" t="s">
        <v>985</v>
      </c>
      <c r="AC189" s="9" t="s">
        <v>985</v>
      </c>
      <c r="AD189" s="9"/>
      <c r="AE189" s="9" t="str">
        <f t="shared" si="38"/>
        <v>N</v>
      </c>
      <c r="AF189" s="9" t="s">
        <v>986</v>
      </c>
      <c r="AG189" s="9"/>
      <c r="AH189" s="9">
        <v>2050000</v>
      </c>
      <c r="AI189" s="9">
        <v>4</v>
      </c>
      <c r="AJ189" s="57">
        <v>193</v>
      </c>
      <c r="AK189" s="10" t="s">
        <v>988</v>
      </c>
      <c r="AL189" s="10" t="s">
        <v>50</v>
      </c>
      <c r="AM189" s="6" t="str">
        <f t="shared" si="34"/>
        <v>14821/선수금/ /</v>
      </c>
      <c r="AN189" s="30"/>
      <c r="AO189" s="30"/>
      <c r="AP189" s="30"/>
      <c r="AQ189" s="30"/>
      <c r="AR189" s="31"/>
      <c r="AS189" s="31"/>
      <c r="AT189" s="31"/>
      <c r="AU189" s="31"/>
      <c r="AV189" s="31"/>
      <c r="AW189" s="31"/>
      <c r="AX189" s="31"/>
      <c r="AY189" s="31"/>
    </row>
    <row r="190" spans="2:51" s="29" customFormat="1" ht="14.5">
      <c r="B190" s="5" t="str">
        <f t="shared" si="39"/>
        <v xml:space="preserve">        └ 선수금 관리</v>
      </c>
      <c r="C190" s="33" t="s">
        <v>47</v>
      </c>
      <c r="D190" s="32"/>
      <c r="E190" s="33" t="s">
        <v>1187</v>
      </c>
      <c r="F190" s="44" t="s">
        <v>819</v>
      </c>
      <c r="G190" s="32"/>
      <c r="H190" s="32"/>
      <c r="I190" s="32"/>
      <c r="J190" s="34"/>
      <c r="K190" s="34"/>
      <c r="L190" s="27" t="str">
        <f t="shared" si="35"/>
        <v>1</v>
      </c>
      <c r="M190" s="27" t="str">
        <f t="shared" si="36"/>
        <v>1</v>
      </c>
      <c r="N190" s="32" t="s">
        <v>415</v>
      </c>
      <c r="O190" s="32" t="s">
        <v>545</v>
      </c>
      <c r="P190" s="27" t="str">
        <f t="shared" si="37"/>
        <v>1</v>
      </c>
      <c r="Q190" s="32" t="s">
        <v>400</v>
      </c>
      <c r="R190" s="32" t="s">
        <v>400</v>
      </c>
      <c r="S190" s="32" t="s">
        <v>400</v>
      </c>
      <c r="T190" s="32" t="s">
        <v>400</v>
      </c>
      <c r="U190" s="32" t="s">
        <v>48</v>
      </c>
      <c r="V190" s="32" t="s">
        <v>400</v>
      </c>
      <c r="W190" s="32" t="s">
        <v>400</v>
      </c>
      <c r="X190" s="32" t="s">
        <v>400</v>
      </c>
      <c r="Y190" s="32" t="s">
        <v>48</v>
      </c>
      <c r="Z190" s="32" t="s">
        <v>48</v>
      </c>
      <c r="AA190" s="32" t="s">
        <v>48</v>
      </c>
      <c r="AB190" s="32" t="s">
        <v>48</v>
      </c>
      <c r="AC190" s="32" t="s">
        <v>48</v>
      </c>
      <c r="AD190" s="32"/>
      <c r="AE190" s="27" t="str">
        <f t="shared" si="38"/>
        <v>N</v>
      </c>
      <c r="AF190" s="32" t="s">
        <v>399</v>
      </c>
      <c r="AG190" s="32"/>
      <c r="AH190" s="33" t="s">
        <v>1189</v>
      </c>
      <c r="AI190" s="35">
        <v>5</v>
      </c>
      <c r="AJ190" s="57">
        <v>194</v>
      </c>
      <c r="AK190" s="33" t="s">
        <v>401</v>
      </c>
      <c r="AL190" s="10" t="s">
        <v>50</v>
      </c>
      <c r="AM190" s="6" t="str">
        <f t="shared" si="34"/>
        <v>14821/선수금 관리/ zreport/AdvancesManage</v>
      </c>
      <c r="AN190" s="30"/>
      <c r="AO190" s="30"/>
      <c r="AP190" s="30"/>
      <c r="AQ190" s="30"/>
      <c r="AR190" s="31"/>
      <c r="AS190" s="31"/>
      <c r="AT190" s="31"/>
      <c r="AU190" s="31"/>
      <c r="AV190" s="31"/>
      <c r="AW190" s="31"/>
      <c r="AX190" s="31"/>
      <c r="AY190" s="31"/>
    </row>
    <row r="191" spans="2:51" s="29" customFormat="1" ht="14.5">
      <c r="B191" s="5" t="str">
        <f t="shared" si="39"/>
        <v xml:space="preserve">        └ 선수금 상세</v>
      </c>
      <c r="C191" s="33" t="s">
        <v>47</v>
      </c>
      <c r="D191" s="32"/>
      <c r="E191" s="33" t="s">
        <v>1188</v>
      </c>
      <c r="F191" s="44" t="s">
        <v>820</v>
      </c>
      <c r="G191" s="32"/>
      <c r="H191" s="32"/>
      <c r="I191" s="32"/>
      <c r="J191" s="34"/>
      <c r="K191" s="34"/>
      <c r="L191" s="27" t="str">
        <f t="shared" si="35"/>
        <v>1</v>
      </c>
      <c r="M191" s="27" t="str">
        <f t="shared" si="36"/>
        <v>1</v>
      </c>
      <c r="N191" s="32" t="s">
        <v>415</v>
      </c>
      <c r="O191" s="32" t="s">
        <v>546</v>
      </c>
      <c r="P191" s="27" t="str">
        <f t="shared" si="37"/>
        <v>1</v>
      </c>
      <c r="Q191" s="32" t="s">
        <v>400</v>
      </c>
      <c r="R191" s="32" t="s">
        <v>400</v>
      </c>
      <c r="S191" s="32" t="s">
        <v>400</v>
      </c>
      <c r="T191" s="32" t="s">
        <v>400</v>
      </c>
      <c r="U191" s="32" t="s">
        <v>48</v>
      </c>
      <c r="V191" s="32" t="s">
        <v>400</v>
      </c>
      <c r="W191" s="32" t="s">
        <v>400</v>
      </c>
      <c r="X191" s="32" t="s">
        <v>400</v>
      </c>
      <c r="Y191" s="32" t="s">
        <v>48</v>
      </c>
      <c r="Z191" s="32" t="s">
        <v>48</v>
      </c>
      <c r="AA191" s="32" t="s">
        <v>48</v>
      </c>
      <c r="AB191" s="32" t="s">
        <v>48</v>
      </c>
      <c r="AC191" s="32" t="s">
        <v>48</v>
      </c>
      <c r="AD191" s="32"/>
      <c r="AE191" s="27" t="str">
        <f t="shared" si="38"/>
        <v>N</v>
      </c>
      <c r="AF191" s="32" t="s">
        <v>399</v>
      </c>
      <c r="AG191" s="32"/>
      <c r="AH191" s="33" t="s">
        <v>1189</v>
      </c>
      <c r="AI191" s="35">
        <v>5</v>
      </c>
      <c r="AJ191" s="57">
        <v>195</v>
      </c>
      <c r="AK191" s="33" t="s">
        <v>401</v>
      </c>
      <c r="AL191" s="10" t="s">
        <v>50</v>
      </c>
      <c r="AM191" s="6" t="str">
        <f t="shared" si="34"/>
        <v>14821/선수금 상세/ zreport/AdvancesAnalysis</v>
      </c>
      <c r="AN191" s="30"/>
      <c r="AO191" s="30"/>
      <c r="AP191" s="30"/>
      <c r="AQ191" s="30"/>
      <c r="AR191" s="31"/>
      <c r="AS191" s="31"/>
      <c r="AT191" s="31"/>
      <c r="AU191" s="31"/>
      <c r="AV191" s="31"/>
      <c r="AW191" s="31"/>
      <c r="AX191" s="31"/>
      <c r="AY191" s="31"/>
    </row>
    <row r="192" spans="2:51" s="29" customFormat="1" ht="14.5">
      <c r="B192" s="5" t="str">
        <f t="shared" si="39"/>
        <v xml:space="preserve">    └ 주문보고서</v>
      </c>
      <c r="C192" s="33" t="s">
        <v>47</v>
      </c>
      <c r="D192" s="32"/>
      <c r="E192" s="9">
        <v>2050500</v>
      </c>
      <c r="F192" s="38" t="s">
        <v>1176</v>
      </c>
      <c r="G192" s="9"/>
      <c r="H192" s="9"/>
      <c r="I192" s="9"/>
      <c r="J192" s="9"/>
      <c r="K192" s="9"/>
      <c r="L192" s="9" t="str">
        <f t="shared" si="35"/>
        <v>1</v>
      </c>
      <c r="M192" s="9" t="str">
        <f t="shared" si="36"/>
        <v>0</v>
      </c>
      <c r="N192" s="38" t="s">
        <v>985</v>
      </c>
      <c r="O192" s="38"/>
      <c r="P192" s="9" t="str">
        <f t="shared" si="37"/>
        <v>1</v>
      </c>
      <c r="Q192" s="9" t="s">
        <v>986</v>
      </c>
      <c r="R192" s="9" t="s">
        <v>986</v>
      </c>
      <c r="S192" s="9" t="s">
        <v>986</v>
      </c>
      <c r="T192" s="9" t="s">
        <v>987</v>
      </c>
      <c r="U192" s="9" t="s">
        <v>985</v>
      </c>
      <c r="V192" s="9" t="s">
        <v>987</v>
      </c>
      <c r="W192" s="9" t="s">
        <v>987</v>
      </c>
      <c r="X192" s="9" t="s">
        <v>987</v>
      </c>
      <c r="Y192" s="9" t="s">
        <v>985</v>
      </c>
      <c r="Z192" s="9" t="s">
        <v>985</v>
      </c>
      <c r="AA192" s="9" t="s">
        <v>985</v>
      </c>
      <c r="AB192" s="9" t="s">
        <v>985</v>
      </c>
      <c r="AC192" s="9" t="s">
        <v>985</v>
      </c>
      <c r="AD192" s="9"/>
      <c r="AE192" s="9" t="str">
        <f t="shared" si="38"/>
        <v>N</v>
      </c>
      <c r="AF192" s="9" t="s">
        <v>986</v>
      </c>
      <c r="AG192" s="9"/>
      <c r="AH192" s="9">
        <v>2050000</v>
      </c>
      <c r="AI192" s="9">
        <v>4</v>
      </c>
      <c r="AJ192" s="57">
        <v>196</v>
      </c>
      <c r="AK192" s="10" t="s">
        <v>988</v>
      </c>
      <c r="AL192" s="10" t="s">
        <v>50</v>
      </c>
      <c r="AM192" s="6" t="str">
        <f t="shared" si="34"/>
        <v>14821/주문보고서/ /</v>
      </c>
      <c r="AN192" s="30"/>
      <c r="AO192" s="30"/>
      <c r="AP192" s="30"/>
      <c r="AQ192" s="30"/>
      <c r="AR192" s="31"/>
      <c r="AS192" s="31"/>
      <c r="AT192" s="31"/>
      <c r="AU192" s="31"/>
      <c r="AV192" s="31"/>
      <c r="AW192" s="31"/>
      <c r="AX192" s="31"/>
      <c r="AY192" s="31"/>
    </row>
    <row r="193" spans="2:51" s="29" customFormat="1" ht="14.5">
      <c r="B193" s="5" t="str">
        <f t="shared" si="39"/>
        <v xml:space="preserve">        └ 사업장별 주문 현황</v>
      </c>
      <c r="C193" s="33" t="s">
        <v>47</v>
      </c>
      <c r="D193" s="32"/>
      <c r="E193" s="33" t="s">
        <v>1190</v>
      </c>
      <c r="F193" s="44" t="s">
        <v>821</v>
      </c>
      <c r="G193" s="32"/>
      <c r="H193" s="32"/>
      <c r="I193" s="32"/>
      <c r="J193" s="34"/>
      <c r="K193" s="34"/>
      <c r="L193" s="27" t="str">
        <f t="shared" si="35"/>
        <v>1</v>
      </c>
      <c r="M193" s="27" t="str">
        <f t="shared" si="36"/>
        <v>1</v>
      </c>
      <c r="N193" s="32" t="s">
        <v>417</v>
      </c>
      <c r="O193" s="32" t="s">
        <v>547</v>
      </c>
      <c r="P193" s="27" t="str">
        <f t="shared" si="37"/>
        <v>1</v>
      </c>
      <c r="Q193" s="32" t="s">
        <v>399</v>
      </c>
      <c r="R193" s="32" t="s">
        <v>399</v>
      </c>
      <c r="S193" s="32" t="s">
        <v>400</v>
      </c>
      <c r="T193" s="32" t="s">
        <v>400</v>
      </c>
      <c r="U193" s="32" t="s">
        <v>48</v>
      </c>
      <c r="V193" s="32" t="s">
        <v>400</v>
      </c>
      <c r="W193" s="32" t="s">
        <v>400</v>
      </c>
      <c r="X193" s="32" t="s">
        <v>400</v>
      </c>
      <c r="Y193" s="32" t="s">
        <v>48</v>
      </c>
      <c r="Z193" s="32" t="s">
        <v>48</v>
      </c>
      <c r="AA193" s="32" t="s">
        <v>48</v>
      </c>
      <c r="AB193" s="32" t="s">
        <v>48</v>
      </c>
      <c r="AC193" s="32" t="s">
        <v>48</v>
      </c>
      <c r="AD193" s="32"/>
      <c r="AE193" s="27" t="str">
        <f t="shared" si="38"/>
        <v>N</v>
      </c>
      <c r="AF193" s="32" t="s">
        <v>399</v>
      </c>
      <c r="AG193" s="32"/>
      <c r="AH193" s="33" t="s">
        <v>1200</v>
      </c>
      <c r="AI193" s="35">
        <v>5</v>
      </c>
      <c r="AJ193" s="57">
        <v>197</v>
      </c>
      <c r="AK193" s="33" t="s">
        <v>401</v>
      </c>
      <c r="AL193" s="10" t="s">
        <v>50</v>
      </c>
      <c r="AM193" s="6" t="str">
        <f t="shared" si="34"/>
        <v>14821/사업장별 주문 현황/ report/OrderStoreRpt</v>
      </c>
      <c r="AN193" s="30"/>
      <c r="AO193" s="30"/>
      <c r="AP193" s="30"/>
      <c r="AQ193" s="30"/>
      <c r="AR193" s="31"/>
      <c r="AS193" s="31"/>
      <c r="AT193" s="31"/>
      <c r="AU193" s="31"/>
      <c r="AV193" s="31"/>
      <c r="AW193" s="31"/>
      <c r="AX193" s="31"/>
      <c r="AY193" s="31"/>
    </row>
    <row r="194" spans="2:51" s="29" customFormat="1" ht="14.5">
      <c r="B194" s="5" t="str">
        <f t="shared" si="39"/>
        <v xml:space="preserve">        └ 영업담당별 주문 현황</v>
      </c>
      <c r="C194" s="33" t="s">
        <v>47</v>
      </c>
      <c r="D194" s="32"/>
      <c r="E194" s="33" t="s">
        <v>1191</v>
      </c>
      <c r="F194" s="44" t="s">
        <v>822</v>
      </c>
      <c r="G194" s="32"/>
      <c r="H194" s="32"/>
      <c r="I194" s="32"/>
      <c r="J194" s="34"/>
      <c r="K194" s="34"/>
      <c r="L194" s="27" t="str">
        <f t="shared" ref="L194:L234" si="40">IF(F194="","","1")</f>
        <v>1</v>
      </c>
      <c r="M194" s="27" t="str">
        <f t="shared" ref="M194:M234" si="41">IF(F194="","",IF(O194="","0","1"))</f>
        <v>1</v>
      </c>
      <c r="N194" s="32" t="s">
        <v>417</v>
      </c>
      <c r="O194" s="32" t="s">
        <v>548</v>
      </c>
      <c r="P194" s="27" t="str">
        <f t="shared" ref="P194:P234" si="42">IF(F194="","","1")</f>
        <v>1</v>
      </c>
      <c r="Q194" s="32" t="s">
        <v>399</v>
      </c>
      <c r="R194" s="32" t="s">
        <v>399</v>
      </c>
      <c r="S194" s="32" t="s">
        <v>400</v>
      </c>
      <c r="T194" s="32" t="s">
        <v>400</v>
      </c>
      <c r="U194" s="32" t="s">
        <v>48</v>
      </c>
      <c r="V194" s="32" t="s">
        <v>400</v>
      </c>
      <c r="W194" s="32" t="s">
        <v>400</v>
      </c>
      <c r="X194" s="32" t="s">
        <v>400</v>
      </c>
      <c r="Y194" s="32" t="s">
        <v>48</v>
      </c>
      <c r="Z194" s="32" t="s">
        <v>48</v>
      </c>
      <c r="AA194" s="32" t="s">
        <v>48</v>
      </c>
      <c r="AB194" s="32" t="s">
        <v>48</v>
      </c>
      <c r="AC194" s="32" t="s">
        <v>48</v>
      </c>
      <c r="AD194" s="32"/>
      <c r="AE194" s="27" t="str">
        <f t="shared" ref="AE194:AE234" si="43">IF(F194="","","N")</f>
        <v>N</v>
      </c>
      <c r="AF194" s="32" t="s">
        <v>399</v>
      </c>
      <c r="AG194" s="32"/>
      <c r="AH194" s="33" t="s">
        <v>1200</v>
      </c>
      <c r="AI194" s="35">
        <v>5</v>
      </c>
      <c r="AJ194" s="57">
        <v>198</v>
      </c>
      <c r="AK194" s="33" t="s">
        <v>401</v>
      </c>
      <c r="AL194" s="10" t="s">
        <v>50</v>
      </c>
      <c r="AM194" s="6" t="str">
        <f t="shared" si="34"/>
        <v>14821/영업담당별 주문 현황/ report/OrderUserRpt</v>
      </c>
      <c r="AN194" s="30"/>
      <c r="AO194" s="30"/>
      <c r="AP194" s="30"/>
      <c r="AQ194" s="30"/>
      <c r="AR194" s="31"/>
      <c r="AS194" s="31"/>
      <c r="AT194" s="31"/>
      <c r="AU194" s="31"/>
      <c r="AV194" s="31"/>
      <c r="AW194" s="31"/>
      <c r="AX194" s="31"/>
      <c r="AY194" s="31"/>
    </row>
    <row r="195" spans="2:51" s="29" customFormat="1" ht="14.5">
      <c r="B195" s="5" t="str">
        <f t="shared" si="39"/>
        <v xml:space="preserve">        └ 지역별 주문 현황</v>
      </c>
      <c r="C195" s="33" t="s">
        <v>47</v>
      </c>
      <c r="D195" s="32"/>
      <c r="E195" s="33" t="s">
        <v>1192</v>
      </c>
      <c r="F195" s="44" t="s">
        <v>823</v>
      </c>
      <c r="G195" s="32"/>
      <c r="H195" s="32"/>
      <c r="I195" s="32"/>
      <c r="J195" s="34"/>
      <c r="K195" s="34"/>
      <c r="L195" s="27" t="str">
        <f t="shared" si="40"/>
        <v>1</v>
      </c>
      <c r="M195" s="27" t="str">
        <f t="shared" si="41"/>
        <v>1</v>
      </c>
      <c r="N195" s="32" t="s">
        <v>417</v>
      </c>
      <c r="O195" s="32" t="s">
        <v>549</v>
      </c>
      <c r="P195" s="27" t="str">
        <f t="shared" si="42"/>
        <v>1</v>
      </c>
      <c r="Q195" s="32" t="s">
        <v>399</v>
      </c>
      <c r="R195" s="32" t="s">
        <v>399</v>
      </c>
      <c r="S195" s="32" t="s">
        <v>399</v>
      </c>
      <c r="T195" s="32" t="s">
        <v>400</v>
      </c>
      <c r="U195" s="32" t="s">
        <v>48</v>
      </c>
      <c r="V195" s="32" t="s">
        <v>400</v>
      </c>
      <c r="W195" s="32" t="s">
        <v>400</v>
      </c>
      <c r="X195" s="32" t="s">
        <v>400</v>
      </c>
      <c r="Y195" s="32" t="s">
        <v>48</v>
      </c>
      <c r="Z195" s="32" t="s">
        <v>48</v>
      </c>
      <c r="AA195" s="32" t="s">
        <v>48</v>
      </c>
      <c r="AB195" s="32" t="s">
        <v>48</v>
      </c>
      <c r="AC195" s="32" t="s">
        <v>48</v>
      </c>
      <c r="AD195" s="32"/>
      <c r="AE195" s="27" t="str">
        <f t="shared" si="43"/>
        <v>N</v>
      </c>
      <c r="AF195" s="32" t="s">
        <v>399</v>
      </c>
      <c r="AG195" s="32"/>
      <c r="AH195" s="33" t="s">
        <v>1200</v>
      </c>
      <c r="AI195" s="35">
        <v>5</v>
      </c>
      <c r="AJ195" s="57">
        <v>199</v>
      </c>
      <c r="AK195" s="33" t="s">
        <v>401</v>
      </c>
      <c r="AL195" s="10" t="s">
        <v>50</v>
      </c>
      <c r="AM195" s="6" t="str">
        <f t="shared" si="34"/>
        <v>14821/지역별 주문 현황/ report/OrderAreaRpt</v>
      </c>
      <c r="AN195" s="30"/>
      <c r="AO195" s="30"/>
      <c r="AP195" s="30"/>
      <c r="AQ195" s="30"/>
      <c r="AR195" s="31"/>
      <c r="AS195" s="31"/>
      <c r="AT195" s="31"/>
      <c r="AU195" s="31"/>
      <c r="AV195" s="31"/>
      <c r="AW195" s="31"/>
      <c r="AX195" s="31"/>
      <c r="AY195" s="31"/>
    </row>
    <row r="196" spans="2:51" s="29" customFormat="1" ht="14.5">
      <c r="B196" s="5" t="str">
        <f t="shared" si="39"/>
        <v xml:space="preserve">        └ 상품별 주문 현황</v>
      </c>
      <c r="C196" s="33" t="s">
        <v>47</v>
      </c>
      <c r="D196" s="32"/>
      <c r="E196" s="33" t="s">
        <v>1193</v>
      </c>
      <c r="F196" s="44" t="s">
        <v>824</v>
      </c>
      <c r="G196" s="32"/>
      <c r="H196" s="32"/>
      <c r="I196" s="32"/>
      <c r="J196" s="34"/>
      <c r="K196" s="34"/>
      <c r="L196" s="27" t="str">
        <f t="shared" si="40"/>
        <v>1</v>
      </c>
      <c r="M196" s="27" t="str">
        <f t="shared" si="41"/>
        <v>1</v>
      </c>
      <c r="N196" s="32" t="s">
        <v>417</v>
      </c>
      <c r="O196" s="32" t="s">
        <v>550</v>
      </c>
      <c r="P196" s="27" t="str">
        <f t="shared" si="42"/>
        <v>1</v>
      </c>
      <c r="Q196" s="32" t="s">
        <v>399</v>
      </c>
      <c r="R196" s="32" t="s">
        <v>399</v>
      </c>
      <c r="S196" s="32" t="s">
        <v>400</v>
      </c>
      <c r="T196" s="32" t="s">
        <v>400</v>
      </c>
      <c r="U196" s="32" t="s">
        <v>48</v>
      </c>
      <c r="V196" s="32" t="s">
        <v>400</v>
      </c>
      <c r="W196" s="32" t="s">
        <v>400</v>
      </c>
      <c r="X196" s="32" t="s">
        <v>400</v>
      </c>
      <c r="Y196" s="32" t="s">
        <v>48</v>
      </c>
      <c r="Z196" s="32" t="s">
        <v>48</v>
      </c>
      <c r="AA196" s="32" t="s">
        <v>48</v>
      </c>
      <c r="AB196" s="32" t="s">
        <v>48</v>
      </c>
      <c r="AC196" s="32" t="s">
        <v>48</v>
      </c>
      <c r="AD196" s="32"/>
      <c r="AE196" s="27" t="str">
        <f t="shared" si="43"/>
        <v>N</v>
      </c>
      <c r="AF196" s="32" t="s">
        <v>399</v>
      </c>
      <c r="AG196" s="32"/>
      <c r="AH196" s="33" t="s">
        <v>1200</v>
      </c>
      <c r="AI196" s="35">
        <v>5</v>
      </c>
      <c r="AJ196" s="57">
        <v>200</v>
      </c>
      <c r="AK196" s="33" t="s">
        <v>401</v>
      </c>
      <c r="AL196" s="10" t="s">
        <v>50</v>
      </c>
      <c r="AM196" s="6" t="str">
        <f t="shared" ref="AM196:AM259" si="44">IF(C196="","",C196&amp;"/"&amp;F196&amp;"/"&amp;N196&amp;"/"&amp;O196)</f>
        <v>14821/상품별 주문 현황/ report/OrderItemRpt</v>
      </c>
      <c r="AN196" s="30"/>
      <c r="AO196" s="30"/>
      <c r="AP196" s="30"/>
      <c r="AQ196" s="30"/>
      <c r="AR196" s="31"/>
      <c r="AS196" s="31"/>
      <c r="AT196" s="31"/>
      <c r="AU196" s="31"/>
      <c r="AV196" s="31"/>
      <c r="AW196" s="31"/>
      <c r="AX196" s="31"/>
      <c r="AY196" s="31"/>
    </row>
    <row r="197" spans="2:51" s="29" customFormat="1" ht="14.5">
      <c r="B197" s="5" t="str">
        <f t="shared" si="39"/>
        <v xml:space="preserve">        └ 상품 분류별 주문 현황</v>
      </c>
      <c r="C197" s="33" t="s">
        <v>47</v>
      </c>
      <c r="D197" s="32"/>
      <c r="E197" s="33" t="s">
        <v>1194</v>
      </c>
      <c r="F197" s="44" t="s">
        <v>825</v>
      </c>
      <c r="G197" s="32"/>
      <c r="H197" s="32"/>
      <c r="I197" s="32"/>
      <c r="J197" s="34"/>
      <c r="K197" s="34"/>
      <c r="L197" s="27" t="str">
        <f t="shared" si="40"/>
        <v>1</v>
      </c>
      <c r="M197" s="27" t="str">
        <f t="shared" si="41"/>
        <v>1</v>
      </c>
      <c r="N197" s="32" t="s">
        <v>417</v>
      </c>
      <c r="O197" s="32" t="s">
        <v>551</v>
      </c>
      <c r="P197" s="27" t="str">
        <f t="shared" si="42"/>
        <v>1</v>
      </c>
      <c r="Q197" s="32" t="s">
        <v>399</v>
      </c>
      <c r="R197" s="32" t="s">
        <v>399</v>
      </c>
      <c r="S197" s="32" t="s">
        <v>400</v>
      </c>
      <c r="T197" s="32" t="s">
        <v>400</v>
      </c>
      <c r="U197" s="32" t="s">
        <v>48</v>
      </c>
      <c r="V197" s="32" t="s">
        <v>400</v>
      </c>
      <c r="W197" s="32" t="s">
        <v>400</v>
      </c>
      <c r="X197" s="32" t="s">
        <v>400</v>
      </c>
      <c r="Y197" s="32" t="s">
        <v>48</v>
      </c>
      <c r="Z197" s="32" t="s">
        <v>48</v>
      </c>
      <c r="AA197" s="32" t="s">
        <v>48</v>
      </c>
      <c r="AB197" s="32" t="s">
        <v>48</v>
      </c>
      <c r="AC197" s="32" t="s">
        <v>48</v>
      </c>
      <c r="AD197" s="32"/>
      <c r="AE197" s="27" t="str">
        <f t="shared" si="43"/>
        <v>N</v>
      </c>
      <c r="AF197" s="32" t="s">
        <v>399</v>
      </c>
      <c r="AG197" s="32"/>
      <c r="AH197" s="33" t="s">
        <v>1200</v>
      </c>
      <c r="AI197" s="35">
        <v>5</v>
      </c>
      <c r="AJ197" s="57">
        <v>201</v>
      </c>
      <c r="AK197" s="33" t="s">
        <v>401</v>
      </c>
      <c r="AL197" s="10" t="s">
        <v>50</v>
      </c>
      <c r="AM197" s="6" t="str">
        <f t="shared" si="44"/>
        <v>14821/상품 분류별 주문 현황/ report/OrderItemClassRpt</v>
      </c>
      <c r="AN197" s="30"/>
      <c r="AO197" s="30"/>
      <c r="AP197" s="30"/>
      <c r="AQ197" s="30"/>
      <c r="AR197" s="31"/>
      <c r="AS197" s="31"/>
      <c r="AT197" s="31"/>
      <c r="AU197" s="31"/>
      <c r="AV197" s="31"/>
      <c r="AW197" s="31"/>
      <c r="AX197" s="31"/>
      <c r="AY197" s="31"/>
    </row>
    <row r="198" spans="2:51" s="29" customFormat="1" ht="14.5">
      <c r="B198" s="5" t="str">
        <f t="shared" si="39"/>
        <v xml:space="preserve">        └ 제조사별 주문 현황</v>
      </c>
      <c r="C198" s="33" t="s">
        <v>47</v>
      </c>
      <c r="D198" s="32"/>
      <c r="E198" s="33" t="s">
        <v>1195</v>
      </c>
      <c r="F198" s="44" t="s">
        <v>826</v>
      </c>
      <c r="G198" s="32"/>
      <c r="H198" s="32"/>
      <c r="I198" s="32"/>
      <c r="J198" s="34"/>
      <c r="K198" s="34"/>
      <c r="L198" s="27" t="str">
        <f t="shared" si="40"/>
        <v>1</v>
      </c>
      <c r="M198" s="27" t="str">
        <f t="shared" si="41"/>
        <v>1</v>
      </c>
      <c r="N198" s="32" t="s">
        <v>417</v>
      </c>
      <c r="O198" s="32" t="s">
        <v>552</v>
      </c>
      <c r="P198" s="27" t="str">
        <f t="shared" si="42"/>
        <v>1</v>
      </c>
      <c r="Q198" s="32" t="s">
        <v>399</v>
      </c>
      <c r="R198" s="32" t="s">
        <v>399</v>
      </c>
      <c r="S198" s="32" t="s">
        <v>400</v>
      </c>
      <c r="T198" s="32" t="s">
        <v>400</v>
      </c>
      <c r="U198" s="32" t="s">
        <v>48</v>
      </c>
      <c r="V198" s="32" t="s">
        <v>400</v>
      </c>
      <c r="W198" s="32" t="s">
        <v>400</v>
      </c>
      <c r="X198" s="32" t="s">
        <v>400</v>
      </c>
      <c r="Y198" s="32" t="s">
        <v>48</v>
      </c>
      <c r="Z198" s="32" t="s">
        <v>48</v>
      </c>
      <c r="AA198" s="32" t="s">
        <v>48</v>
      </c>
      <c r="AB198" s="32" t="s">
        <v>48</v>
      </c>
      <c r="AC198" s="32" t="s">
        <v>48</v>
      </c>
      <c r="AD198" s="32"/>
      <c r="AE198" s="27" t="str">
        <f t="shared" si="43"/>
        <v>N</v>
      </c>
      <c r="AF198" s="32" t="s">
        <v>399</v>
      </c>
      <c r="AG198" s="32"/>
      <c r="AH198" s="33" t="s">
        <v>1200</v>
      </c>
      <c r="AI198" s="35">
        <v>5</v>
      </c>
      <c r="AJ198" s="57">
        <v>202</v>
      </c>
      <c r="AK198" s="33" t="s">
        <v>401</v>
      </c>
      <c r="AL198" s="10" t="s">
        <v>50</v>
      </c>
      <c r="AM198" s="6" t="str">
        <f t="shared" si="44"/>
        <v>14821/제조사별 주문 현황/ report/OrderItemMfgRpt</v>
      </c>
      <c r="AN198" s="30"/>
      <c r="AO198" s="30"/>
      <c r="AP198" s="30"/>
      <c r="AQ198" s="30"/>
      <c r="AR198" s="31"/>
      <c r="AS198" s="31"/>
      <c r="AT198" s="31"/>
      <c r="AU198" s="31"/>
      <c r="AV198" s="31"/>
      <c r="AW198" s="31"/>
      <c r="AX198" s="31"/>
      <c r="AY198" s="31"/>
    </row>
    <row r="199" spans="2:51" s="29" customFormat="1" ht="14.5">
      <c r="B199" s="5" t="str">
        <f t="shared" si="39"/>
        <v xml:space="preserve">        └ 매입처별 주문 현황</v>
      </c>
      <c r="C199" s="33" t="s">
        <v>47</v>
      </c>
      <c r="D199" s="32"/>
      <c r="E199" s="33" t="s">
        <v>1196</v>
      </c>
      <c r="F199" s="44" t="s">
        <v>827</v>
      </c>
      <c r="G199" s="32"/>
      <c r="H199" s="32"/>
      <c r="I199" s="32"/>
      <c r="J199" s="34"/>
      <c r="K199" s="34"/>
      <c r="L199" s="27" t="str">
        <f t="shared" si="40"/>
        <v>1</v>
      </c>
      <c r="M199" s="27" t="str">
        <f t="shared" si="41"/>
        <v>1</v>
      </c>
      <c r="N199" s="32" t="s">
        <v>417</v>
      </c>
      <c r="O199" s="32" t="s">
        <v>553</v>
      </c>
      <c r="P199" s="27" t="str">
        <f t="shared" si="42"/>
        <v>1</v>
      </c>
      <c r="Q199" s="32" t="s">
        <v>399</v>
      </c>
      <c r="R199" s="32" t="s">
        <v>399</v>
      </c>
      <c r="S199" s="32" t="s">
        <v>400</v>
      </c>
      <c r="T199" s="32" t="s">
        <v>400</v>
      </c>
      <c r="U199" s="32" t="s">
        <v>48</v>
      </c>
      <c r="V199" s="32" t="s">
        <v>400</v>
      </c>
      <c r="W199" s="32" t="s">
        <v>400</v>
      </c>
      <c r="X199" s="32" t="s">
        <v>400</v>
      </c>
      <c r="Y199" s="32" t="s">
        <v>48</v>
      </c>
      <c r="Z199" s="32" t="s">
        <v>48</v>
      </c>
      <c r="AA199" s="32" t="s">
        <v>48</v>
      </c>
      <c r="AB199" s="32" t="s">
        <v>48</v>
      </c>
      <c r="AC199" s="32" t="s">
        <v>48</v>
      </c>
      <c r="AD199" s="32"/>
      <c r="AE199" s="27" t="str">
        <f t="shared" si="43"/>
        <v>N</v>
      </c>
      <c r="AF199" s="32" t="s">
        <v>399</v>
      </c>
      <c r="AG199" s="32"/>
      <c r="AH199" s="33" t="s">
        <v>1200</v>
      </c>
      <c r="AI199" s="35">
        <v>5</v>
      </c>
      <c r="AJ199" s="57">
        <v>203</v>
      </c>
      <c r="AK199" s="33" t="s">
        <v>401</v>
      </c>
      <c r="AL199" s="10" t="s">
        <v>50</v>
      </c>
      <c r="AM199" s="6" t="str">
        <f t="shared" si="44"/>
        <v>14821/매입처별 주문 현황/ report/OrderVendorRpt</v>
      </c>
      <c r="AN199" s="30"/>
      <c r="AO199" s="30"/>
      <c r="AP199" s="30"/>
      <c r="AQ199" s="30"/>
      <c r="AR199" s="31"/>
      <c r="AS199" s="31"/>
      <c r="AT199" s="31"/>
      <c r="AU199" s="31"/>
      <c r="AV199" s="31"/>
      <c r="AW199" s="31"/>
      <c r="AX199" s="31"/>
      <c r="AY199" s="31"/>
    </row>
    <row r="200" spans="2:51" s="29" customFormat="1" ht="14.5">
      <c r="B200" s="5" t="str">
        <f t="shared" si="39"/>
        <v xml:space="preserve">        └ 브랜드별 주문 현황</v>
      </c>
      <c r="C200" s="33" t="s">
        <v>47</v>
      </c>
      <c r="D200" s="32"/>
      <c r="E200" s="33" t="s">
        <v>1197</v>
      </c>
      <c r="F200" s="44" t="s">
        <v>828</v>
      </c>
      <c r="G200" s="32"/>
      <c r="H200" s="32"/>
      <c r="I200" s="32"/>
      <c r="J200" s="34"/>
      <c r="K200" s="34"/>
      <c r="L200" s="27" t="str">
        <f t="shared" si="40"/>
        <v>1</v>
      </c>
      <c r="M200" s="27" t="str">
        <f t="shared" si="41"/>
        <v>1</v>
      </c>
      <c r="N200" s="32" t="s">
        <v>417</v>
      </c>
      <c r="O200" s="32" t="s">
        <v>554</v>
      </c>
      <c r="P200" s="27" t="str">
        <f t="shared" si="42"/>
        <v>1</v>
      </c>
      <c r="Q200" s="32" t="s">
        <v>399</v>
      </c>
      <c r="R200" s="32" t="s">
        <v>399</v>
      </c>
      <c r="S200" s="32" t="s">
        <v>400</v>
      </c>
      <c r="T200" s="32" t="s">
        <v>400</v>
      </c>
      <c r="U200" s="32" t="s">
        <v>48</v>
      </c>
      <c r="V200" s="32" t="s">
        <v>400</v>
      </c>
      <c r="W200" s="32" t="s">
        <v>400</v>
      </c>
      <c r="X200" s="32" t="s">
        <v>400</v>
      </c>
      <c r="Y200" s="32" t="s">
        <v>48</v>
      </c>
      <c r="Z200" s="32" t="s">
        <v>48</v>
      </c>
      <c r="AA200" s="32" t="s">
        <v>48</v>
      </c>
      <c r="AB200" s="32" t="s">
        <v>48</v>
      </c>
      <c r="AC200" s="32" t="s">
        <v>48</v>
      </c>
      <c r="AD200" s="32"/>
      <c r="AE200" s="27" t="str">
        <f t="shared" si="43"/>
        <v>N</v>
      </c>
      <c r="AF200" s="32" t="s">
        <v>399</v>
      </c>
      <c r="AG200" s="32"/>
      <c r="AH200" s="33" t="s">
        <v>1200</v>
      </c>
      <c r="AI200" s="35">
        <v>5</v>
      </c>
      <c r="AJ200" s="57">
        <v>204</v>
      </c>
      <c r="AK200" s="33" t="s">
        <v>401</v>
      </c>
      <c r="AL200" s="10" t="s">
        <v>50</v>
      </c>
      <c r="AM200" s="6" t="str">
        <f t="shared" si="44"/>
        <v>14821/브랜드별 주문 현황/ report/OrderBrandRpt</v>
      </c>
      <c r="AN200" s="30"/>
      <c r="AO200" s="30"/>
      <c r="AP200" s="30"/>
      <c r="AQ200" s="30"/>
      <c r="AR200" s="31"/>
      <c r="AS200" s="31"/>
      <c r="AT200" s="31"/>
      <c r="AU200" s="31"/>
      <c r="AV200" s="31"/>
      <c r="AW200" s="31"/>
      <c r="AX200" s="31"/>
      <c r="AY200" s="31"/>
    </row>
    <row r="201" spans="2:51" s="29" customFormat="1" ht="14.5">
      <c r="B201" s="5" t="str">
        <f t="shared" si="39"/>
        <v xml:space="preserve">        └ 일자별 주문집계 현황</v>
      </c>
      <c r="C201" s="33" t="s">
        <v>47</v>
      </c>
      <c r="D201" s="32"/>
      <c r="E201" s="33" t="s">
        <v>1198</v>
      </c>
      <c r="F201" s="44" t="s">
        <v>829</v>
      </c>
      <c r="G201" s="32"/>
      <c r="H201" s="32"/>
      <c r="I201" s="32"/>
      <c r="J201" s="34"/>
      <c r="K201" s="34"/>
      <c r="L201" s="27" t="str">
        <f t="shared" si="40"/>
        <v>1</v>
      </c>
      <c r="M201" s="27" t="str">
        <f t="shared" si="41"/>
        <v>1</v>
      </c>
      <c r="N201" s="32" t="s">
        <v>417</v>
      </c>
      <c r="O201" s="32" t="s">
        <v>555</v>
      </c>
      <c r="P201" s="27" t="str">
        <f t="shared" si="42"/>
        <v>1</v>
      </c>
      <c r="Q201" s="32" t="s">
        <v>399</v>
      </c>
      <c r="R201" s="32" t="s">
        <v>399</v>
      </c>
      <c r="S201" s="32" t="s">
        <v>400</v>
      </c>
      <c r="T201" s="32" t="s">
        <v>400</v>
      </c>
      <c r="U201" s="32" t="s">
        <v>48</v>
      </c>
      <c r="V201" s="32" t="s">
        <v>400</v>
      </c>
      <c r="W201" s="32" t="s">
        <v>400</v>
      </c>
      <c r="X201" s="32" t="s">
        <v>400</v>
      </c>
      <c r="Y201" s="32" t="s">
        <v>48</v>
      </c>
      <c r="Z201" s="32" t="s">
        <v>48</v>
      </c>
      <c r="AA201" s="32" t="s">
        <v>48</v>
      </c>
      <c r="AB201" s="32" t="s">
        <v>48</v>
      </c>
      <c r="AC201" s="32" t="s">
        <v>48</v>
      </c>
      <c r="AD201" s="32"/>
      <c r="AE201" s="27" t="str">
        <f t="shared" si="43"/>
        <v>N</v>
      </c>
      <c r="AF201" s="32" t="s">
        <v>399</v>
      </c>
      <c r="AG201" s="32"/>
      <c r="AH201" s="33" t="s">
        <v>1200</v>
      </c>
      <c r="AI201" s="35">
        <v>5</v>
      </c>
      <c r="AJ201" s="57">
        <v>205</v>
      </c>
      <c r="AK201" s="33" t="s">
        <v>401</v>
      </c>
      <c r="AL201" s="10" t="s">
        <v>50</v>
      </c>
      <c r="AM201" s="6" t="str">
        <f t="shared" si="44"/>
        <v>14821/일자별 주문집계 현황/ report/OrderDailyRpt</v>
      </c>
      <c r="AN201" s="30"/>
      <c r="AO201" s="30"/>
      <c r="AP201" s="30"/>
      <c r="AQ201" s="30"/>
      <c r="AR201" s="31"/>
      <c r="AS201" s="31"/>
      <c r="AT201" s="31"/>
      <c r="AU201" s="31"/>
      <c r="AV201" s="31"/>
      <c r="AW201" s="31"/>
      <c r="AX201" s="31"/>
      <c r="AY201" s="31"/>
    </row>
    <row r="202" spans="2:51" s="29" customFormat="1" ht="14.5">
      <c r="B202" s="5" t="str">
        <f t="shared" si="39"/>
        <v xml:space="preserve">        └ 주문 고객별 매출현황</v>
      </c>
      <c r="C202" s="33" t="s">
        <v>47</v>
      </c>
      <c r="D202" s="32"/>
      <c r="E202" s="33" t="s">
        <v>1199</v>
      </c>
      <c r="F202" s="44" t="s">
        <v>830</v>
      </c>
      <c r="G202" s="32"/>
      <c r="H202" s="32"/>
      <c r="I202" s="32"/>
      <c r="J202" s="34"/>
      <c r="K202" s="34"/>
      <c r="L202" s="27" t="str">
        <f t="shared" si="40"/>
        <v>1</v>
      </c>
      <c r="M202" s="27" t="str">
        <f t="shared" si="41"/>
        <v>1</v>
      </c>
      <c r="N202" s="32" t="s">
        <v>417</v>
      </c>
      <c r="O202" s="32" t="s">
        <v>556</v>
      </c>
      <c r="P202" s="27" t="str">
        <f t="shared" si="42"/>
        <v>1</v>
      </c>
      <c r="Q202" s="32" t="s">
        <v>399</v>
      </c>
      <c r="R202" s="32" t="s">
        <v>399</v>
      </c>
      <c r="S202" s="32" t="s">
        <v>400</v>
      </c>
      <c r="T202" s="32" t="s">
        <v>400</v>
      </c>
      <c r="U202" s="32" t="s">
        <v>48</v>
      </c>
      <c r="V202" s="32" t="s">
        <v>400</v>
      </c>
      <c r="W202" s="32" t="s">
        <v>400</v>
      </c>
      <c r="X202" s="32" t="s">
        <v>400</v>
      </c>
      <c r="Y202" s="32" t="s">
        <v>48</v>
      </c>
      <c r="Z202" s="32" t="s">
        <v>48</v>
      </c>
      <c r="AA202" s="32" t="s">
        <v>48</v>
      </c>
      <c r="AB202" s="32" t="s">
        <v>48</v>
      </c>
      <c r="AC202" s="32" t="s">
        <v>48</v>
      </c>
      <c r="AD202" s="32"/>
      <c r="AE202" s="27" t="str">
        <f t="shared" si="43"/>
        <v>N</v>
      </c>
      <c r="AF202" s="32" t="s">
        <v>399</v>
      </c>
      <c r="AG202" s="32"/>
      <c r="AH202" s="33" t="s">
        <v>1200</v>
      </c>
      <c r="AI202" s="35">
        <v>5</v>
      </c>
      <c r="AJ202" s="57">
        <v>206</v>
      </c>
      <c r="AK202" s="33" t="s">
        <v>401</v>
      </c>
      <c r="AL202" s="10" t="s">
        <v>50</v>
      </c>
      <c r="AM202" s="6" t="str">
        <f t="shared" si="44"/>
        <v>14821/주문 고객별 매출현황/ report/OrderCustRpt</v>
      </c>
      <c r="AN202" s="30"/>
      <c r="AO202" s="30"/>
      <c r="AP202" s="30"/>
      <c r="AQ202" s="30"/>
      <c r="AR202" s="31"/>
      <c r="AS202" s="31"/>
      <c r="AT202" s="31"/>
      <c r="AU202" s="31"/>
      <c r="AV202" s="31"/>
      <c r="AW202" s="31"/>
      <c r="AX202" s="31"/>
      <c r="AY202" s="31"/>
    </row>
    <row r="203" spans="2:51" s="29" customFormat="1" ht="14.5">
      <c r="B203" s="5" t="str">
        <f t="shared" si="39"/>
        <v xml:space="preserve">    └ 프로모션관리</v>
      </c>
      <c r="C203" s="33" t="s">
        <v>47</v>
      </c>
      <c r="D203" s="32"/>
      <c r="E203" s="9">
        <v>2050600</v>
      </c>
      <c r="F203" s="38" t="s">
        <v>1177</v>
      </c>
      <c r="G203" s="9"/>
      <c r="H203" s="9"/>
      <c r="I203" s="9"/>
      <c r="J203" s="9"/>
      <c r="K203" s="9"/>
      <c r="L203" s="9" t="str">
        <f t="shared" si="40"/>
        <v>1</v>
      </c>
      <c r="M203" s="9" t="str">
        <f t="shared" si="41"/>
        <v>0</v>
      </c>
      <c r="N203" s="38" t="s">
        <v>985</v>
      </c>
      <c r="O203" s="38"/>
      <c r="P203" s="9" t="str">
        <f t="shared" si="42"/>
        <v>1</v>
      </c>
      <c r="Q203" s="9" t="s">
        <v>986</v>
      </c>
      <c r="R203" s="9" t="s">
        <v>986</v>
      </c>
      <c r="S203" s="9" t="s">
        <v>986</v>
      </c>
      <c r="T203" s="9" t="s">
        <v>987</v>
      </c>
      <c r="U203" s="9" t="s">
        <v>985</v>
      </c>
      <c r="V203" s="9" t="s">
        <v>987</v>
      </c>
      <c r="W203" s="9" t="s">
        <v>987</v>
      </c>
      <c r="X203" s="9" t="s">
        <v>987</v>
      </c>
      <c r="Y203" s="9" t="s">
        <v>985</v>
      </c>
      <c r="Z203" s="9" t="s">
        <v>985</v>
      </c>
      <c r="AA203" s="9" t="s">
        <v>985</v>
      </c>
      <c r="AB203" s="9" t="s">
        <v>985</v>
      </c>
      <c r="AC203" s="9" t="s">
        <v>985</v>
      </c>
      <c r="AD203" s="9"/>
      <c r="AE203" s="9" t="str">
        <f t="shared" si="43"/>
        <v>N</v>
      </c>
      <c r="AF203" s="9" t="s">
        <v>986</v>
      </c>
      <c r="AG203" s="9"/>
      <c r="AH203" s="9">
        <v>2050000</v>
      </c>
      <c r="AI203" s="9">
        <v>4</v>
      </c>
      <c r="AJ203" s="57">
        <v>207</v>
      </c>
      <c r="AK203" s="10" t="s">
        <v>988</v>
      </c>
      <c r="AL203" s="10" t="s">
        <v>50</v>
      </c>
      <c r="AM203" s="6" t="str">
        <f t="shared" si="44"/>
        <v>14821/프로모션관리/ /</v>
      </c>
      <c r="AN203" s="30"/>
      <c r="AO203" s="30"/>
      <c r="AP203" s="30"/>
      <c r="AQ203" s="30"/>
      <c r="AR203" s="31"/>
      <c r="AS203" s="31"/>
      <c r="AT203" s="31"/>
      <c r="AU203" s="31"/>
      <c r="AV203" s="31"/>
      <c r="AW203" s="31"/>
      <c r="AX203" s="31"/>
      <c r="AY203" s="31"/>
    </row>
    <row r="204" spans="2:51" s="29" customFormat="1" ht="14.5">
      <c r="B204" s="5" t="str">
        <f t="shared" si="39"/>
        <v xml:space="preserve">        └ EDI발주 프로모션 관리</v>
      </c>
      <c r="C204" s="33" t="s">
        <v>47</v>
      </c>
      <c r="D204" s="32"/>
      <c r="E204" s="33" t="s">
        <v>1201</v>
      </c>
      <c r="F204" s="44" t="s">
        <v>831</v>
      </c>
      <c r="G204" s="32"/>
      <c r="H204" s="32"/>
      <c r="I204" s="32"/>
      <c r="J204" s="34"/>
      <c r="K204" s="34"/>
      <c r="L204" s="27" t="str">
        <f t="shared" si="40"/>
        <v>1</v>
      </c>
      <c r="M204" s="27" t="str">
        <f t="shared" si="41"/>
        <v>1</v>
      </c>
      <c r="N204" s="32" t="s">
        <v>420</v>
      </c>
      <c r="O204" s="32" t="s">
        <v>557</v>
      </c>
      <c r="P204" s="27" t="str">
        <f t="shared" si="42"/>
        <v>1</v>
      </c>
      <c r="Q204" s="32" t="s">
        <v>400</v>
      </c>
      <c r="R204" s="32" t="s">
        <v>399</v>
      </c>
      <c r="S204" s="32" t="s">
        <v>400</v>
      </c>
      <c r="T204" s="32" t="s">
        <v>400</v>
      </c>
      <c r="U204" s="32" t="s">
        <v>48</v>
      </c>
      <c r="V204" s="32" t="s">
        <v>400</v>
      </c>
      <c r="W204" s="32" t="s">
        <v>400</v>
      </c>
      <c r="X204" s="32" t="s">
        <v>400</v>
      </c>
      <c r="Y204" s="32" t="s">
        <v>48</v>
      </c>
      <c r="Z204" s="32" t="s">
        <v>48</v>
      </c>
      <c r="AA204" s="32" t="s">
        <v>48</v>
      </c>
      <c r="AB204" s="32" t="s">
        <v>48</v>
      </c>
      <c r="AC204" s="32" t="s">
        <v>48</v>
      </c>
      <c r="AD204" s="32"/>
      <c r="AE204" s="27" t="str">
        <f t="shared" si="43"/>
        <v>N</v>
      </c>
      <c r="AF204" s="32" t="s">
        <v>399</v>
      </c>
      <c r="AG204" s="32"/>
      <c r="AH204" s="33" t="s">
        <v>1205</v>
      </c>
      <c r="AI204" s="35">
        <v>5</v>
      </c>
      <c r="AJ204" s="57">
        <v>208</v>
      </c>
      <c r="AK204" s="33" t="s">
        <v>401</v>
      </c>
      <c r="AL204" s="10" t="s">
        <v>50</v>
      </c>
      <c r="AM204" s="6" t="str">
        <f t="shared" si="44"/>
        <v>14821/EDI발주 프로모션 관리/ sale/PromoWork</v>
      </c>
      <c r="AN204" s="30"/>
      <c r="AO204" s="30"/>
      <c r="AP204" s="30"/>
      <c r="AQ204" s="30"/>
      <c r="AR204" s="31"/>
      <c r="AS204" s="31"/>
      <c r="AT204" s="31"/>
      <c r="AU204" s="31"/>
      <c r="AV204" s="31"/>
      <c r="AW204" s="31"/>
      <c r="AX204" s="31"/>
      <c r="AY204" s="31"/>
    </row>
    <row r="205" spans="2:51" s="29" customFormat="1" ht="14.5">
      <c r="B205" s="5" t="str">
        <f t="shared" si="39"/>
        <v xml:space="preserve">        └ 행사출고 기획</v>
      </c>
      <c r="C205" s="33" t="s">
        <v>47</v>
      </c>
      <c r="D205" s="32"/>
      <c r="E205" s="33" t="s">
        <v>1202</v>
      </c>
      <c r="F205" s="44" t="s">
        <v>832</v>
      </c>
      <c r="G205" s="32"/>
      <c r="H205" s="32"/>
      <c r="I205" s="32"/>
      <c r="J205" s="34"/>
      <c r="K205" s="34"/>
      <c r="L205" s="27" t="str">
        <f t="shared" si="40"/>
        <v>1</v>
      </c>
      <c r="M205" s="27" t="str">
        <f t="shared" si="41"/>
        <v>1</v>
      </c>
      <c r="N205" s="32" t="s">
        <v>420</v>
      </c>
      <c r="O205" s="32" t="s">
        <v>558</v>
      </c>
      <c r="P205" s="27" t="str">
        <f t="shared" si="42"/>
        <v>1</v>
      </c>
      <c r="Q205" s="32" t="s">
        <v>400</v>
      </c>
      <c r="R205" s="32" t="s">
        <v>400</v>
      </c>
      <c r="S205" s="32" t="s">
        <v>400</v>
      </c>
      <c r="T205" s="32" t="s">
        <v>400</v>
      </c>
      <c r="U205" s="32" t="s">
        <v>48</v>
      </c>
      <c r="V205" s="32" t="s">
        <v>400</v>
      </c>
      <c r="W205" s="32" t="s">
        <v>399</v>
      </c>
      <c r="X205" s="32" t="s">
        <v>399</v>
      </c>
      <c r="Y205" s="32" t="s">
        <v>48</v>
      </c>
      <c r="Z205" s="32" t="s">
        <v>48</v>
      </c>
      <c r="AA205" s="32" t="s">
        <v>48</v>
      </c>
      <c r="AB205" s="32" t="s">
        <v>48</v>
      </c>
      <c r="AC205" s="32" t="s">
        <v>48</v>
      </c>
      <c r="AD205" s="32"/>
      <c r="AE205" s="27" t="str">
        <f t="shared" si="43"/>
        <v>N</v>
      </c>
      <c r="AF205" s="32" t="s">
        <v>399</v>
      </c>
      <c r="AG205" s="32"/>
      <c r="AH205" s="33" t="s">
        <v>1205</v>
      </c>
      <c r="AI205" s="35">
        <v>5</v>
      </c>
      <c r="AJ205" s="57">
        <v>209</v>
      </c>
      <c r="AK205" s="33" t="s">
        <v>401</v>
      </c>
      <c r="AL205" s="10" t="s">
        <v>50</v>
      </c>
      <c r="AM205" s="6" t="str">
        <f t="shared" si="44"/>
        <v>14821/행사출고 기획/ sale/ProjectItem</v>
      </c>
      <c r="AN205" s="30"/>
      <c r="AO205" s="30"/>
      <c r="AP205" s="30"/>
      <c r="AQ205" s="30"/>
      <c r="AR205" s="31"/>
      <c r="AS205" s="31"/>
      <c r="AT205" s="31"/>
      <c r="AU205" s="31"/>
      <c r="AV205" s="31"/>
      <c r="AW205" s="31"/>
      <c r="AX205" s="31"/>
      <c r="AY205" s="31"/>
    </row>
    <row r="206" spans="2:51" s="29" customFormat="1" ht="14.5">
      <c r="B206" s="5" t="str">
        <f t="shared" si="39"/>
        <v xml:space="preserve">        └ 행사출고 대상 선별</v>
      </c>
      <c r="C206" s="33" t="s">
        <v>47</v>
      </c>
      <c r="D206" s="32"/>
      <c r="E206" s="33" t="s">
        <v>1203</v>
      </c>
      <c r="F206" s="44" t="s">
        <v>833</v>
      </c>
      <c r="G206" s="32"/>
      <c r="H206" s="32"/>
      <c r="I206" s="32"/>
      <c r="J206" s="34"/>
      <c r="K206" s="34"/>
      <c r="L206" s="27" t="str">
        <f t="shared" si="40"/>
        <v>1</v>
      </c>
      <c r="M206" s="27" t="str">
        <f t="shared" si="41"/>
        <v>1</v>
      </c>
      <c r="N206" s="32" t="s">
        <v>420</v>
      </c>
      <c r="O206" s="32" t="s">
        <v>559</v>
      </c>
      <c r="P206" s="27" t="str">
        <f t="shared" si="42"/>
        <v>1</v>
      </c>
      <c r="Q206" s="32" t="s">
        <v>400</v>
      </c>
      <c r="R206" s="32" t="s">
        <v>400</v>
      </c>
      <c r="S206" s="32" t="s">
        <v>400</v>
      </c>
      <c r="T206" s="32" t="s">
        <v>400</v>
      </c>
      <c r="U206" s="32" t="s">
        <v>48</v>
      </c>
      <c r="V206" s="32" t="s">
        <v>400</v>
      </c>
      <c r="W206" s="32" t="s">
        <v>399</v>
      </c>
      <c r="X206" s="32" t="s">
        <v>399</v>
      </c>
      <c r="Y206" s="32" t="s">
        <v>48</v>
      </c>
      <c r="Z206" s="32" t="s">
        <v>48</v>
      </c>
      <c r="AA206" s="32" t="s">
        <v>48</v>
      </c>
      <c r="AB206" s="32" t="s">
        <v>48</v>
      </c>
      <c r="AC206" s="32" t="s">
        <v>48</v>
      </c>
      <c r="AD206" s="32"/>
      <c r="AE206" s="27" t="str">
        <f t="shared" si="43"/>
        <v>N</v>
      </c>
      <c r="AF206" s="32" t="s">
        <v>399</v>
      </c>
      <c r="AG206" s="32"/>
      <c r="AH206" s="33" t="s">
        <v>1205</v>
      </c>
      <c r="AI206" s="35">
        <v>5</v>
      </c>
      <c r="AJ206" s="57">
        <v>210</v>
      </c>
      <c r="AK206" s="33" t="s">
        <v>401</v>
      </c>
      <c r="AL206" s="10" t="s">
        <v>50</v>
      </c>
      <c r="AM206" s="6" t="str">
        <f t="shared" si="44"/>
        <v>14821/행사출고 대상 선별/ sale/ProjectCust</v>
      </c>
      <c r="AN206" s="30"/>
      <c r="AO206" s="30"/>
      <c r="AP206" s="30"/>
      <c r="AQ206" s="30"/>
      <c r="AR206" s="31"/>
      <c r="AS206" s="31"/>
      <c r="AT206" s="31"/>
      <c r="AU206" s="31"/>
      <c r="AV206" s="31"/>
      <c r="AW206" s="31"/>
      <c r="AX206" s="31"/>
      <c r="AY206" s="31"/>
    </row>
    <row r="207" spans="2:51" s="29" customFormat="1" ht="14.5">
      <c r="B207" s="5" t="str">
        <f t="shared" si="39"/>
        <v xml:space="preserve">        └ 정책출고관리</v>
      </c>
      <c r="C207" s="33" t="s">
        <v>47</v>
      </c>
      <c r="D207" s="32"/>
      <c r="E207" s="33" t="s">
        <v>1204</v>
      </c>
      <c r="F207" s="44" t="s">
        <v>834</v>
      </c>
      <c r="G207" s="32"/>
      <c r="H207" s="32"/>
      <c r="I207" s="32"/>
      <c r="J207" s="34"/>
      <c r="K207" s="34"/>
      <c r="L207" s="27" t="str">
        <f t="shared" si="40"/>
        <v>1</v>
      </c>
      <c r="M207" s="27" t="str">
        <f t="shared" si="41"/>
        <v>1</v>
      </c>
      <c r="N207" s="32" t="s">
        <v>420</v>
      </c>
      <c r="O207" s="32" t="s">
        <v>560</v>
      </c>
      <c r="P207" s="27" t="str">
        <f t="shared" si="42"/>
        <v>1</v>
      </c>
      <c r="Q207" s="32" t="s">
        <v>400</v>
      </c>
      <c r="R207" s="32" t="s">
        <v>399</v>
      </c>
      <c r="S207" s="32" t="s">
        <v>400</v>
      </c>
      <c r="T207" s="32" t="s">
        <v>400</v>
      </c>
      <c r="U207" s="32" t="s">
        <v>48</v>
      </c>
      <c r="V207" s="32" t="s">
        <v>400</v>
      </c>
      <c r="W207" s="32" t="s">
        <v>400</v>
      </c>
      <c r="X207" s="32" t="s">
        <v>399</v>
      </c>
      <c r="Y207" s="32" t="s">
        <v>48</v>
      </c>
      <c r="Z207" s="32" t="s">
        <v>48</v>
      </c>
      <c r="AA207" s="32" t="s">
        <v>48</v>
      </c>
      <c r="AB207" s="32" t="s">
        <v>48</v>
      </c>
      <c r="AC207" s="32" t="s">
        <v>48</v>
      </c>
      <c r="AD207" s="32"/>
      <c r="AE207" s="27" t="str">
        <f t="shared" si="43"/>
        <v>N</v>
      </c>
      <c r="AF207" s="32" t="s">
        <v>399</v>
      </c>
      <c r="AG207" s="32"/>
      <c r="AH207" s="33" t="s">
        <v>1205</v>
      </c>
      <c r="AI207" s="35">
        <v>5</v>
      </c>
      <c r="AJ207" s="57">
        <v>211</v>
      </c>
      <c r="AK207" s="33" t="s">
        <v>401</v>
      </c>
      <c r="AL207" s="10" t="s">
        <v>50</v>
      </c>
      <c r="AM207" s="6" t="str">
        <f t="shared" si="44"/>
        <v>14821/정책출고관리/ sale/PoSale</v>
      </c>
      <c r="AN207" s="30"/>
      <c r="AO207" s="30"/>
      <c r="AP207" s="30"/>
      <c r="AQ207" s="30"/>
      <c r="AR207" s="31"/>
      <c r="AS207" s="31"/>
      <c r="AT207" s="31"/>
      <c r="AU207" s="31"/>
      <c r="AV207" s="31"/>
      <c r="AW207" s="31"/>
      <c r="AX207" s="31"/>
      <c r="AY207" s="31"/>
    </row>
    <row r="208" spans="2:51" s="29" customFormat="1" ht="14.5">
      <c r="B208" s="5" t="str">
        <f t="shared" si="39"/>
        <v xml:space="preserve">    └ 택배 및 FAX</v>
      </c>
      <c r="C208" s="33" t="s">
        <v>47</v>
      </c>
      <c r="D208" s="32"/>
      <c r="E208" s="9">
        <v>2050700</v>
      </c>
      <c r="F208" s="38" t="s">
        <v>1178</v>
      </c>
      <c r="G208" s="9"/>
      <c r="H208" s="9"/>
      <c r="I208" s="9"/>
      <c r="J208" s="9"/>
      <c r="K208" s="9"/>
      <c r="L208" s="9" t="str">
        <f t="shared" si="40"/>
        <v>1</v>
      </c>
      <c r="M208" s="9" t="str">
        <f t="shared" si="41"/>
        <v>0</v>
      </c>
      <c r="N208" s="38" t="s">
        <v>985</v>
      </c>
      <c r="O208" s="38"/>
      <c r="P208" s="9" t="str">
        <f t="shared" si="42"/>
        <v>1</v>
      </c>
      <c r="Q208" s="9" t="s">
        <v>986</v>
      </c>
      <c r="R208" s="9" t="s">
        <v>986</v>
      </c>
      <c r="S208" s="9" t="s">
        <v>986</v>
      </c>
      <c r="T208" s="9" t="s">
        <v>987</v>
      </c>
      <c r="U208" s="9" t="s">
        <v>985</v>
      </c>
      <c r="V208" s="9" t="s">
        <v>987</v>
      </c>
      <c r="W208" s="9" t="s">
        <v>987</v>
      </c>
      <c r="X208" s="9" t="s">
        <v>987</v>
      </c>
      <c r="Y208" s="9" t="s">
        <v>985</v>
      </c>
      <c r="Z208" s="9" t="s">
        <v>985</v>
      </c>
      <c r="AA208" s="9" t="s">
        <v>985</v>
      </c>
      <c r="AB208" s="9" t="s">
        <v>985</v>
      </c>
      <c r="AC208" s="9" t="s">
        <v>985</v>
      </c>
      <c r="AD208" s="9"/>
      <c r="AE208" s="9" t="str">
        <f t="shared" si="43"/>
        <v>N</v>
      </c>
      <c r="AF208" s="9" t="s">
        <v>986</v>
      </c>
      <c r="AG208" s="9"/>
      <c r="AH208" s="9">
        <v>2050000</v>
      </c>
      <c r="AI208" s="9">
        <v>4</v>
      </c>
      <c r="AJ208" s="57">
        <v>212</v>
      </c>
      <c r="AK208" s="10" t="s">
        <v>988</v>
      </c>
      <c r="AL208" s="10" t="s">
        <v>50</v>
      </c>
      <c r="AM208" s="6" t="str">
        <f t="shared" si="44"/>
        <v>14821/택배 및 FAX/ /</v>
      </c>
      <c r="AN208" s="30"/>
      <c r="AO208" s="30"/>
      <c r="AP208" s="30"/>
      <c r="AQ208" s="30"/>
      <c r="AR208" s="31"/>
      <c r="AS208" s="31"/>
      <c r="AT208" s="31"/>
      <c r="AU208" s="31"/>
      <c r="AV208" s="31"/>
      <c r="AW208" s="31"/>
      <c r="AX208" s="31"/>
      <c r="AY208" s="31"/>
    </row>
    <row r="209" spans="2:51" s="29" customFormat="1" ht="14.5">
      <c r="B209" s="5" t="str">
        <f t="shared" si="39"/>
        <v xml:space="preserve">        └ 택배 송장 발행</v>
      </c>
      <c r="C209" s="33" t="s">
        <v>47</v>
      </c>
      <c r="D209" s="32"/>
      <c r="E209" s="33" t="s">
        <v>1206</v>
      </c>
      <c r="F209" s="44" t="s">
        <v>835</v>
      </c>
      <c r="G209" s="32"/>
      <c r="H209" s="32"/>
      <c r="I209" s="32"/>
      <c r="J209" s="34"/>
      <c r="K209" s="34"/>
      <c r="L209" s="27" t="str">
        <f t="shared" si="40"/>
        <v>1</v>
      </c>
      <c r="M209" s="27" t="str">
        <f t="shared" si="41"/>
        <v>1</v>
      </c>
      <c r="N209" s="32" t="s">
        <v>422</v>
      </c>
      <c r="O209" s="32" t="s">
        <v>561</v>
      </c>
      <c r="P209" s="27" t="str">
        <f t="shared" si="42"/>
        <v>1</v>
      </c>
      <c r="Q209" s="32" t="s">
        <v>400</v>
      </c>
      <c r="R209" s="32" t="s">
        <v>400</v>
      </c>
      <c r="S209" s="32" t="s">
        <v>400</v>
      </c>
      <c r="T209" s="32" t="s">
        <v>400</v>
      </c>
      <c r="U209" s="32" t="s">
        <v>48</v>
      </c>
      <c r="V209" s="32" t="s">
        <v>400</v>
      </c>
      <c r="W209" s="32" t="s">
        <v>400</v>
      </c>
      <c r="X209" s="32" t="s">
        <v>400</v>
      </c>
      <c r="Y209" s="32" t="s">
        <v>48</v>
      </c>
      <c r="Z209" s="32" t="s">
        <v>48</v>
      </c>
      <c r="AA209" s="32" t="s">
        <v>48</v>
      </c>
      <c r="AB209" s="32" t="s">
        <v>48</v>
      </c>
      <c r="AC209" s="32" t="s">
        <v>48</v>
      </c>
      <c r="AD209" s="32"/>
      <c r="AE209" s="27" t="str">
        <f t="shared" si="43"/>
        <v>N</v>
      </c>
      <c r="AF209" s="32" t="s">
        <v>399</v>
      </c>
      <c r="AG209" s="32"/>
      <c r="AH209" s="33" t="s">
        <v>1210</v>
      </c>
      <c r="AI209" s="35">
        <v>5</v>
      </c>
      <c r="AJ209" s="57">
        <v>213</v>
      </c>
      <c r="AK209" s="33" t="s">
        <v>401</v>
      </c>
      <c r="AL209" s="10" t="s">
        <v>50</v>
      </c>
      <c r="AM209" s="6" t="str">
        <f t="shared" si="44"/>
        <v>14821/택배 송장 발행/ logi/TackbaeNoPrint</v>
      </c>
      <c r="AN209" s="30"/>
      <c r="AO209" s="30"/>
      <c r="AP209" s="30"/>
      <c r="AQ209" s="30"/>
      <c r="AR209" s="31"/>
      <c r="AS209" s="31"/>
      <c r="AT209" s="31"/>
      <c r="AU209" s="31"/>
      <c r="AV209" s="31"/>
      <c r="AW209" s="31"/>
      <c r="AX209" s="31"/>
      <c r="AY209" s="31"/>
    </row>
    <row r="210" spans="2:51" s="29" customFormat="1" ht="14.5">
      <c r="B210" s="5" t="str">
        <f t="shared" si="39"/>
        <v xml:space="preserve">        └ 택배출고관리</v>
      </c>
      <c r="C210" s="33" t="s">
        <v>47</v>
      </c>
      <c r="D210" s="32"/>
      <c r="E210" s="33" t="s">
        <v>1207</v>
      </c>
      <c r="F210" s="44" t="s">
        <v>836</v>
      </c>
      <c r="G210" s="32"/>
      <c r="H210" s="32"/>
      <c r="I210" s="32"/>
      <c r="J210" s="34"/>
      <c r="K210" s="34"/>
      <c r="L210" s="27" t="str">
        <f t="shared" si="40"/>
        <v>1</v>
      </c>
      <c r="M210" s="27" t="str">
        <f t="shared" si="41"/>
        <v>1</v>
      </c>
      <c r="N210" s="32" t="s">
        <v>422</v>
      </c>
      <c r="O210" s="32" t="s">
        <v>562</v>
      </c>
      <c r="P210" s="27" t="str">
        <f t="shared" si="42"/>
        <v>1</v>
      </c>
      <c r="Q210" s="32" t="s">
        <v>399</v>
      </c>
      <c r="R210" s="32" t="s">
        <v>399</v>
      </c>
      <c r="S210" s="32" t="s">
        <v>399</v>
      </c>
      <c r="T210" s="32" t="s">
        <v>400</v>
      </c>
      <c r="U210" s="32" t="s">
        <v>48</v>
      </c>
      <c r="V210" s="32" t="s">
        <v>400</v>
      </c>
      <c r="W210" s="32" t="s">
        <v>400</v>
      </c>
      <c r="X210" s="32" t="s">
        <v>400</v>
      </c>
      <c r="Y210" s="32" t="s">
        <v>48</v>
      </c>
      <c r="Z210" s="32" t="s">
        <v>48</v>
      </c>
      <c r="AA210" s="32" t="s">
        <v>48</v>
      </c>
      <c r="AB210" s="32" t="s">
        <v>48</v>
      </c>
      <c r="AC210" s="32" t="s">
        <v>48</v>
      </c>
      <c r="AD210" s="32"/>
      <c r="AE210" s="27" t="str">
        <f t="shared" si="43"/>
        <v>N</v>
      </c>
      <c r="AF210" s="32" t="s">
        <v>399</v>
      </c>
      <c r="AG210" s="32"/>
      <c r="AH210" s="33" t="s">
        <v>1210</v>
      </c>
      <c r="AI210" s="35">
        <v>5</v>
      </c>
      <c r="AJ210" s="57">
        <v>214</v>
      </c>
      <c r="AK210" s="33" t="s">
        <v>401</v>
      </c>
      <c r="AL210" s="10" t="s">
        <v>50</v>
      </c>
      <c r="AM210" s="6" t="str">
        <f t="shared" si="44"/>
        <v>14821/택배출고관리/ logi/TackbaeSaleWork</v>
      </c>
      <c r="AN210" s="30"/>
      <c r="AO210" s="30"/>
      <c r="AP210" s="30"/>
      <c r="AQ210" s="30"/>
      <c r="AR210" s="31"/>
      <c r="AS210" s="31"/>
      <c r="AT210" s="31"/>
      <c r="AU210" s="31"/>
      <c r="AV210" s="31"/>
      <c r="AW210" s="31"/>
      <c r="AX210" s="31"/>
      <c r="AY210" s="31"/>
    </row>
    <row r="211" spans="2:51" s="29" customFormat="1" ht="14.5">
      <c r="B211" s="5" t="str">
        <f t="shared" si="39"/>
        <v xml:space="preserve">        └ 송장발행내역</v>
      </c>
      <c r="C211" s="33" t="s">
        <v>47</v>
      </c>
      <c r="D211" s="32"/>
      <c r="E211" s="33" t="s">
        <v>1208</v>
      </c>
      <c r="F211" s="44" t="s">
        <v>837</v>
      </c>
      <c r="G211" s="32"/>
      <c r="H211" s="32"/>
      <c r="I211" s="32"/>
      <c r="J211" s="34"/>
      <c r="K211" s="34"/>
      <c r="L211" s="27" t="str">
        <f t="shared" si="40"/>
        <v>1</v>
      </c>
      <c r="M211" s="27" t="str">
        <f t="shared" si="41"/>
        <v>1</v>
      </c>
      <c r="N211" s="32" t="s">
        <v>422</v>
      </c>
      <c r="O211" s="32" t="s">
        <v>563</v>
      </c>
      <c r="P211" s="27" t="str">
        <f t="shared" si="42"/>
        <v>1</v>
      </c>
      <c r="Q211" s="32" t="s">
        <v>399</v>
      </c>
      <c r="R211" s="32" t="s">
        <v>400</v>
      </c>
      <c r="S211" s="32" t="s">
        <v>400</v>
      </c>
      <c r="T211" s="32" t="s">
        <v>400</v>
      </c>
      <c r="U211" s="32" t="s">
        <v>48</v>
      </c>
      <c r="V211" s="32" t="s">
        <v>400</v>
      </c>
      <c r="W211" s="32" t="s">
        <v>400</v>
      </c>
      <c r="X211" s="32" t="s">
        <v>399</v>
      </c>
      <c r="Y211" s="32" t="s">
        <v>48</v>
      </c>
      <c r="Z211" s="32" t="s">
        <v>48</v>
      </c>
      <c r="AA211" s="32" t="s">
        <v>48</v>
      </c>
      <c r="AB211" s="32" t="s">
        <v>48</v>
      </c>
      <c r="AC211" s="32" t="s">
        <v>48</v>
      </c>
      <c r="AD211" s="32"/>
      <c r="AE211" s="27" t="str">
        <f t="shared" si="43"/>
        <v>N</v>
      </c>
      <c r="AF211" s="32" t="s">
        <v>399</v>
      </c>
      <c r="AG211" s="32"/>
      <c r="AH211" s="33" t="s">
        <v>1210</v>
      </c>
      <c r="AI211" s="35">
        <v>5</v>
      </c>
      <c r="AJ211" s="57">
        <v>215</v>
      </c>
      <c r="AK211" s="33" t="s">
        <v>401</v>
      </c>
      <c r="AL211" s="10" t="s">
        <v>50</v>
      </c>
      <c r="AM211" s="6" t="str">
        <f t="shared" si="44"/>
        <v>14821/송장발행내역/ logi/TackbaePrintList</v>
      </c>
      <c r="AN211" s="30"/>
      <c r="AO211" s="30"/>
      <c r="AP211" s="30"/>
      <c r="AQ211" s="30"/>
      <c r="AR211" s="31"/>
      <c r="AS211" s="31"/>
      <c r="AT211" s="31"/>
      <c r="AU211" s="31"/>
      <c r="AV211" s="31"/>
      <c r="AW211" s="31"/>
      <c r="AX211" s="31"/>
      <c r="AY211" s="31"/>
    </row>
    <row r="212" spans="2:51" s="29" customFormat="1" ht="14.5">
      <c r="B212" s="5" t="str">
        <f t="shared" si="39"/>
        <v xml:space="preserve">        └ FAX 전송 현황</v>
      </c>
      <c r="C212" s="33" t="s">
        <v>47</v>
      </c>
      <c r="D212" s="32"/>
      <c r="E212" s="33" t="s">
        <v>1209</v>
      </c>
      <c r="F212" s="44" t="s">
        <v>838</v>
      </c>
      <c r="G212" s="32"/>
      <c r="H212" s="32"/>
      <c r="I212" s="32"/>
      <c r="J212" s="34"/>
      <c r="K212" s="34"/>
      <c r="L212" s="27" t="str">
        <f t="shared" si="40"/>
        <v>1</v>
      </c>
      <c r="M212" s="27" t="str">
        <f t="shared" si="41"/>
        <v>1</v>
      </c>
      <c r="N212" s="32" t="s">
        <v>423</v>
      </c>
      <c r="O212" s="32" t="s">
        <v>564</v>
      </c>
      <c r="P212" s="27" t="str">
        <f t="shared" si="42"/>
        <v>1</v>
      </c>
      <c r="Q212" s="32" t="s">
        <v>399</v>
      </c>
      <c r="R212" s="32" t="s">
        <v>399</v>
      </c>
      <c r="S212" s="32" t="s">
        <v>400</v>
      </c>
      <c r="T212" s="32" t="s">
        <v>400</v>
      </c>
      <c r="U212" s="32" t="s">
        <v>48</v>
      </c>
      <c r="V212" s="32" t="s">
        <v>400</v>
      </c>
      <c r="W212" s="32" t="s">
        <v>400</v>
      </c>
      <c r="X212" s="32" t="s">
        <v>399</v>
      </c>
      <c r="Y212" s="32" t="s">
        <v>48</v>
      </c>
      <c r="Z212" s="32" t="s">
        <v>48</v>
      </c>
      <c r="AA212" s="32" t="s">
        <v>48</v>
      </c>
      <c r="AB212" s="32" t="s">
        <v>48</v>
      </c>
      <c r="AC212" s="32" t="s">
        <v>48</v>
      </c>
      <c r="AD212" s="32"/>
      <c r="AE212" s="27" t="str">
        <f t="shared" si="43"/>
        <v>N</v>
      </c>
      <c r="AF212" s="32" t="s">
        <v>399</v>
      </c>
      <c r="AG212" s="32"/>
      <c r="AH212" s="33" t="s">
        <v>1210</v>
      </c>
      <c r="AI212" s="35">
        <v>5</v>
      </c>
      <c r="AJ212" s="57">
        <v>216</v>
      </c>
      <c r="AK212" s="33" t="s">
        <v>401</v>
      </c>
      <c r="AL212" s="10" t="s">
        <v>50</v>
      </c>
      <c r="AM212" s="6" t="str">
        <f t="shared" si="44"/>
        <v>14821/FAX 전송 현황/ namdemoon/FaxDetail</v>
      </c>
      <c r="AN212" s="30"/>
      <c r="AO212" s="30"/>
      <c r="AP212" s="30"/>
      <c r="AQ212" s="30"/>
      <c r="AR212" s="31"/>
      <c r="AS212" s="31"/>
      <c r="AT212" s="31"/>
      <c r="AU212" s="31"/>
      <c r="AV212" s="31"/>
      <c r="AW212" s="31"/>
      <c r="AX212" s="31"/>
      <c r="AY212" s="31"/>
    </row>
    <row r="213" spans="2:51" s="29" customFormat="1" ht="14.5">
      <c r="B213" s="5" t="str">
        <f t="shared" si="39"/>
        <v xml:space="preserve">    └ 매출 보고서</v>
      </c>
      <c r="C213" s="33" t="s">
        <v>47</v>
      </c>
      <c r="D213" s="32"/>
      <c r="E213" s="9">
        <v>2050800</v>
      </c>
      <c r="F213" s="38" t="s">
        <v>1179</v>
      </c>
      <c r="G213" s="9"/>
      <c r="H213" s="9"/>
      <c r="I213" s="9"/>
      <c r="J213" s="9"/>
      <c r="K213" s="9"/>
      <c r="L213" s="9" t="str">
        <f t="shared" si="40"/>
        <v>1</v>
      </c>
      <c r="M213" s="9" t="str">
        <f t="shared" si="41"/>
        <v>0</v>
      </c>
      <c r="N213" s="38" t="s">
        <v>985</v>
      </c>
      <c r="O213" s="38"/>
      <c r="P213" s="9" t="str">
        <f t="shared" si="42"/>
        <v>1</v>
      </c>
      <c r="Q213" s="9" t="s">
        <v>986</v>
      </c>
      <c r="R213" s="9" t="s">
        <v>986</v>
      </c>
      <c r="S213" s="9" t="s">
        <v>986</v>
      </c>
      <c r="T213" s="9" t="s">
        <v>987</v>
      </c>
      <c r="U213" s="9" t="s">
        <v>985</v>
      </c>
      <c r="V213" s="9" t="s">
        <v>987</v>
      </c>
      <c r="W213" s="9" t="s">
        <v>987</v>
      </c>
      <c r="X213" s="9" t="s">
        <v>987</v>
      </c>
      <c r="Y213" s="9" t="s">
        <v>985</v>
      </c>
      <c r="Z213" s="9" t="s">
        <v>985</v>
      </c>
      <c r="AA213" s="9" t="s">
        <v>985</v>
      </c>
      <c r="AB213" s="9" t="s">
        <v>985</v>
      </c>
      <c r="AC213" s="9" t="s">
        <v>985</v>
      </c>
      <c r="AD213" s="9"/>
      <c r="AE213" s="9" t="str">
        <f t="shared" si="43"/>
        <v>N</v>
      </c>
      <c r="AF213" s="9" t="s">
        <v>986</v>
      </c>
      <c r="AG213" s="9"/>
      <c r="AH213" s="9">
        <v>2050000</v>
      </c>
      <c r="AI213" s="9">
        <v>4</v>
      </c>
      <c r="AJ213" s="57">
        <v>217</v>
      </c>
      <c r="AK213" s="10" t="s">
        <v>988</v>
      </c>
      <c r="AL213" s="10" t="s">
        <v>50</v>
      </c>
      <c r="AM213" s="6" t="str">
        <f t="shared" si="44"/>
        <v>14821/매출 보고서/ /</v>
      </c>
      <c r="AN213" s="30"/>
      <c r="AO213" s="30"/>
      <c r="AP213" s="30"/>
      <c r="AQ213" s="30"/>
      <c r="AR213" s="31"/>
      <c r="AS213" s="31"/>
      <c r="AT213" s="31"/>
      <c r="AU213" s="31"/>
      <c r="AV213" s="31"/>
      <c r="AW213" s="31"/>
      <c r="AX213" s="31"/>
      <c r="AY213" s="31"/>
    </row>
    <row r="214" spans="2:51" s="29" customFormat="1" ht="14.5">
      <c r="B214" s="5" t="str">
        <f t="shared" si="39"/>
        <v xml:space="preserve">        └ 사업장별 매출 현황</v>
      </c>
      <c r="C214" s="33" t="s">
        <v>47</v>
      </c>
      <c r="D214" s="32"/>
      <c r="E214" s="33" t="s">
        <v>1211</v>
      </c>
      <c r="F214" s="44" t="s">
        <v>839</v>
      </c>
      <c r="G214" s="32"/>
      <c r="H214" s="32"/>
      <c r="I214" s="32"/>
      <c r="J214" s="34"/>
      <c r="K214" s="34"/>
      <c r="L214" s="27" t="str">
        <f t="shared" si="40"/>
        <v>1</v>
      </c>
      <c r="M214" s="27" t="str">
        <f t="shared" si="41"/>
        <v>1</v>
      </c>
      <c r="N214" s="32" t="s">
        <v>417</v>
      </c>
      <c r="O214" s="32" t="s">
        <v>565</v>
      </c>
      <c r="P214" s="27" t="str">
        <f t="shared" si="42"/>
        <v>1</v>
      </c>
      <c r="Q214" s="32" t="s">
        <v>399</v>
      </c>
      <c r="R214" s="32" t="s">
        <v>399</v>
      </c>
      <c r="S214" s="32" t="s">
        <v>400</v>
      </c>
      <c r="T214" s="32" t="s">
        <v>400</v>
      </c>
      <c r="U214" s="32" t="s">
        <v>48</v>
      </c>
      <c r="V214" s="32" t="s">
        <v>400</v>
      </c>
      <c r="W214" s="32" t="s">
        <v>400</v>
      </c>
      <c r="X214" s="32" t="s">
        <v>400</v>
      </c>
      <c r="Y214" s="32" t="s">
        <v>48</v>
      </c>
      <c r="Z214" s="32" t="s">
        <v>48</v>
      </c>
      <c r="AA214" s="32" t="s">
        <v>48</v>
      </c>
      <c r="AB214" s="32" t="s">
        <v>48</v>
      </c>
      <c r="AC214" s="32" t="s">
        <v>48</v>
      </c>
      <c r="AD214" s="32"/>
      <c r="AE214" s="27" t="str">
        <f t="shared" si="43"/>
        <v>N</v>
      </c>
      <c r="AF214" s="32" t="s">
        <v>399</v>
      </c>
      <c r="AG214" s="32"/>
      <c r="AH214" s="33" t="s">
        <v>1225</v>
      </c>
      <c r="AI214" s="35">
        <v>5</v>
      </c>
      <c r="AJ214" s="57">
        <v>218</v>
      </c>
      <c r="AK214" s="33" t="s">
        <v>401</v>
      </c>
      <c r="AL214" s="10" t="s">
        <v>50</v>
      </c>
      <c r="AM214" s="6" t="str">
        <f t="shared" si="44"/>
        <v>14821/사업장별 매출 현황/ report/SaleStoreRpt</v>
      </c>
      <c r="AN214" s="30"/>
      <c r="AO214" s="30"/>
      <c r="AP214" s="30"/>
      <c r="AQ214" s="30"/>
      <c r="AR214" s="31"/>
      <c r="AS214" s="31"/>
      <c r="AT214" s="31"/>
      <c r="AU214" s="31"/>
      <c r="AV214" s="31"/>
      <c r="AW214" s="31"/>
      <c r="AX214" s="31"/>
      <c r="AY214" s="31"/>
    </row>
    <row r="215" spans="2:51" s="29" customFormat="1" ht="14.5">
      <c r="B215" s="5" t="str">
        <f t="shared" si="39"/>
        <v xml:space="preserve">        └ 영업담당별 매출 현황</v>
      </c>
      <c r="C215" s="33" t="s">
        <v>47</v>
      </c>
      <c r="D215" s="32"/>
      <c r="E215" s="33" t="s">
        <v>1212</v>
      </c>
      <c r="F215" s="44" t="s">
        <v>840</v>
      </c>
      <c r="G215" s="32"/>
      <c r="H215" s="32"/>
      <c r="I215" s="32"/>
      <c r="J215" s="34"/>
      <c r="K215" s="34"/>
      <c r="L215" s="27" t="str">
        <f t="shared" si="40"/>
        <v>1</v>
      </c>
      <c r="M215" s="27" t="str">
        <f t="shared" si="41"/>
        <v>1</v>
      </c>
      <c r="N215" s="32" t="s">
        <v>417</v>
      </c>
      <c r="O215" s="32" t="s">
        <v>566</v>
      </c>
      <c r="P215" s="27" t="str">
        <f t="shared" si="42"/>
        <v>1</v>
      </c>
      <c r="Q215" s="32" t="s">
        <v>399</v>
      </c>
      <c r="R215" s="32" t="s">
        <v>399</v>
      </c>
      <c r="S215" s="32" t="s">
        <v>400</v>
      </c>
      <c r="T215" s="32" t="s">
        <v>400</v>
      </c>
      <c r="U215" s="32" t="s">
        <v>48</v>
      </c>
      <c r="V215" s="32" t="s">
        <v>400</v>
      </c>
      <c r="W215" s="32" t="s">
        <v>400</v>
      </c>
      <c r="X215" s="32" t="s">
        <v>400</v>
      </c>
      <c r="Y215" s="32" t="s">
        <v>48</v>
      </c>
      <c r="Z215" s="32" t="s">
        <v>48</v>
      </c>
      <c r="AA215" s="32" t="s">
        <v>48</v>
      </c>
      <c r="AB215" s="32" t="s">
        <v>48</v>
      </c>
      <c r="AC215" s="32" t="s">
        <v>48</v>
      </c>
      <c r="AD215" s="32"/>
      <c r="AE215" s="27" t="str">
        <f t="shared" si="43"/>
        <v>N</v>
      </c>
      <c r="AF215" s="32" t="s">
        <v>399</v>
      </c>
      <c r="AG215" s="32"/>
      <c r="AH215" s="33" t="s">
        <v>1225</v>
      </c>
      <c r="AI215" s="35">
        <v>5</v>
      </c>
      <c r="AJ215" s="57">
        <v>219</v>
      </c>
      <c r="AK215" s="33" t="s">
        <v>401</v>
      </c>
      <c r="AL215" s="10" t="s">
        <v>50</v>
      </c>
      <c r="AM215" s="6" t="str">
        <f t="shared" si="44"/>
        <v>14821/영업담당별 매출 현황/ report/SaleSalesmanRpt</v>
      </c>
      <c r="AN215" s="30"/>
      <c r="AO215" s="30"/>
      <c r="AP215" s="30"/>
      <c r="AQ215" s="30"/>
      <c r="AR215" s="31"/>
      <c r="AS215" s="31"/>
      <c r="AT215" s="31"/>
      <c r="AU215" s="31"/>
      <c r="AV215" s="31"/>
      <c r="AW215" s="31"/>
      <c r="AX215" s="31"/>
      <c r="AY215" s="31"/>
    </row>
    <row r="216" spans="2:51" s="29" customFormat="1" ht="14.5">
      <c r="B216" s="5" t="str">
        <f t="shared" si="39"/>
        <v xml:space="preserve">        └ 지역별 매출 현황</v>
      </c>
      <c r="C216" s="33" t="s">
        <v>47</v>
      </c>
      <c r="D216" s="32"/>
      <c r="E216" s="33" t="s">
        <v>1213</v>
      </c>
      <c r="F216" s="44" t="s">
        <v>841</v>
      </c>
      <c r="G216" s="32"/>
      <c r="H216" s="32"/>
      <c r="I216" s="32"/>
      <c r="J216" s="34"/>
      <c r="K216" s="34"/>
      <c r="L216" s="27" t="str">
        <f t="shared" si="40"/>
        <v>1</v>
      </c>
      <c r="M216" s="27" t="str">
        <f t="shared" si="41"/>
        <v>1</v>
      </c>
      <c r="N216" s="32" t="s">
        <v>417</v>
      </c>
      <c r="O216" s="32" t="s">
        <v>567</v>
      </c>
      <c r="P216" s="27" t="str">
        <f t="shared" si="42"/>
        <v>1</v>
      </c>
      <c r="Q216" s="32" t="s">
        <v>399</v>
      </c>
      <c r="R216" s="32" t="s">
        <v>399</v>
      </c>
      <c r="S216" s="32" t="s">
        <v>399</v>
      </c>
      <c r="T216" s="32" t="s">
        <v>400</v>
      </c>
      <c r="U216" s="32" t="s">
        <v>48</v>
      </c>
      <c r="V216" s="32" t="s">
        <v>400</v>
      </c>
      <c r="W216" s="32" t="s">
        <v>400</v>
      </c>
      <c r="X216" s="32" t="s">
        <v>400</v>
      </c>
      <c r="Y216" s="32" t="s">
        <v>48</v>
      </c>
      <c r="Z216" s="32" t="s">
        <v>48</v>
      </c>
      <c r="AA216" s="32" t="s">
        <v>48</v>
      </c>
      <c r="AB216" s="32" t="s">
        <v>48</v>
      </c>
      <c r="AC216" s="32" t="s">
        <v>48</v>
      </c>
      <c r="AD216" s="32"/>
      <c r="AE216" s="27" t="str">
        <f t="shared" si="43"/>
        <v>N</v>
      </c>
      <c r="AF216" s="32" t="s">
        <v>399</v>
      </c>
      <c r="AG216" s="32"/>
      <c r="AH216" s="33" t="s">
        <v>1225</v>
      </c>
      <c r="AI216" s="35">
        <v>5</v>
      </c>
      <c r="AJ216" s="57">
        <v>220</v>
      </c>
      <c r="AK216" s="33" t="s">
        <v>401</v>
      </c>
      <c r="AL216" s="10" t="s">
        <v>50</v>
      </c>
      <c r="AM216" s="6" t="str">
        <f t="shared" si="44"/>
        <v>14821/지역별 매출 현황/ report/SaleAreaRpt</v>
      </c>
      <c r="AN216" s="30"/>
      <c r="AO216" s="30"/>
      <c r="AP216" s="30"/>
      <c r="AQ216" s="30"/>
      <c r="AR216" s="31"/>
      <c r="AS216" s="31"/>
      <c r="AT216" s="31"/>
      <c r="AU216" s="31"/>
      <c r="AV216" s="31"/>
      <c r="AW216" s="31"/>
      <c r="AX216" s="31"/>
      <c r="AY216" s="31"/>
    </row>
    <row r="217" spans="2:51" s="29" customFormat="1" ht="14.5">
      <c r="B217" s="5" t="str">
        <f t="shared" si="39"/>
        <v xml:space="preserve">        └ 상품별 매출 현황</v>
      </c>
      <c r="C217" s="33" t="s">
        <v>47</v>
      </c>
      <c r="D217" s="32"/>
      <c r="E217" s="33" t="s">
        <v>1214</v>
      </c>
      <c r="F217" s="44" t="s">
        <v>842</v>
      </c>
      <c r="G217" s="32"/>
      <c r="H217" s="32"/>
      <c r="I217" s="32"/>
      <c r="J217" s="34"/>
      <c r="K217" s="34"/>
      <c r="L217" s="27" t="str">
        <f t="shared" si="40"/>
        <v>1</v>
      </c>
      <c r="M217" s="27" t="str">
        <f t="shared" si="41"/>
        <v>1</v>
      </c>
      <c r="N217" s="32" t="s">
        <v>417</v>
      </c>
      <c r="O217" s="32" t="s">
        <v>568</v>
      </c>
      <c r="P217" s="27" t="str">
        <f t="shared" si="42"/>
        <v>1</v>
      </c>
      <c r="Q217" s="32" t="s">
        <v>399</v>
      </c>
      <c r="R217" s="32" t="s">
        <v>399</v>
      </c>
      <c r="S217" s="32" t="s">
        <v>400</v>
      </c>
      <c r="T217" s="32" t="s">
        <v>400</v>
      </c>
      <c r="U217" s="32" t="s">
        <v>48</v>
      </c>
      <c r="V217" s="32" t="s">
        <v>400</v>
      </c>
      <c r="W217" s="32" t="s">
        <v>400</v>
      </c>
      <c r="X217" s="32" t="s">
        <v>400</v>
      </c>
      <c r="Y217" s="32" t="s">
        <v>48</v>
      </c>
      <c r="Z217" s="32" t="s">
        <v>48</v>
      </c>
      <c r="AA217" s="32" t="s">
        <v>48</v>
      </c>
      <c r="AB217" s="32" t="s">
        <v>48</v>
      </c>
      <c r="AC217" s="32" t="s">
        <v>48</v>
      </c>
      <c r="AD217" s="32"/>
      <c r="AE217" s="27" t="str">
        <f t="shared" si="43"/>
        <v>N</v>
      </c>
      <c r="AF217" s="32" t="s">
        <v>399</v>
      </c>
      <c r="AG217" s="32"/>
      <c r="AH217" s="33" t="s">
        <v>1225</v>
      </c>
      <c r="AI217" s="35">
        <v>5</v>
      </c>
      <c r="AJ217" s="57">
        <v>221</v>
      </c>
      <c r="AK217" s="33" t="s">
        <v>401</v>
      </c>
      <c r="AL217" s="10" t="s">
        <v>50</v>
      </c>
      <c r="AM217" s="6" t="str">
        <f t="shared" si="44"/>
        <v>14821/상품별 매출 현황/ report/SaleItemRpt</v>
      </c>
      <c r="AN217" s="30"/>
      <c r="AO217" s="30"/>
      <c r="AP217" s="30"/>
      <c r="AQ217" s="30"/>
      <c r="AR217" s="31"/>
      <c r="AS217" s="31"/>
      <c r="AT217" s="31"/>
      <c r="AU217" s="31"/>
      <c r="AV217" s="31"/>
      <c r="AW217" s="31"/>
      <c r="AX217" s="31"/>
      <c r="AY217" s="31"/>
    </row>
    <row r="218" spans="2:51" s="29" customFormat="1" ht="14.5">
      <c r="B218" s="5" t="str">
        <f t="shared" si="39"/>
        <v xml:space="preserve">        └ 상품 분류별 매출 현황</v>
      </c>
      <c r="C218" s="33" t="s">
        <v>47</v>
      </c>
      <c r="D218" s="32"/>
      <c r="E218" s="33" t="s">
        <v>1215</v>
      </c>
      <c r="F218" s="44" t="s">
        <v>843</v>
      </c>
      <c r="G218" s="32"/>
      <c r="H218" s="32"/>
      <c r="I218" s="32"/>
      <c r="J218" s="34"/>
      <c r="K218" s="34"/>
      <c r="L218" s="27" t="str">
        <f t="shared" si="40"/>
        <v>1</v>
      </c>
      <c r="M218" s="27" t="str">
        <f t="shared" si="41"/>
        <v>1</v>
      </c>
      <c r="N218" s="32" t="s">
        <v>417</v>
      </c>
      <c r="O218" s="32" t="s">
        <v>569</v>
      </c>
      <c r="P218" s="27" t="str">
        <f t="shared" si="42"/>
        <v>1</v>
      </c>
      <c r="Q218" s="32" t="s">
        <v>399</v>
      </c>
      <c r="R218" s="32" t="s">
        <v>399</v>
      </c>
      <c r="S218" s="32" t="s">
        <v>400</v>
      </c>
      <c r="T218" s="32" t="s">
        <v>400</v>
      </c>
      <c r="U218" s="32" t="s">
        <v>48</v>
      </c>
      <c r="V218" s="32" t="s">
        <v>400</v>
      </c>
      <c r="W218" s="32" t="s">
        <v>400</v>
      </c>
      <c r="X218" s="32" t="s">
        <v>400</v>
      </c>
      <c r="Y218" s="32" t="s">
        <v>48</v>
      </c>
      <c r="Z218" s="32" t="s">
        <v>48</v>
      </c>
      <c r="AA218" s="32" t="s">
        <v>48</v>
      </c>
      <c r="AB218" s="32" t="s">
        <v>48</v>
      </c>
      <c r="AC218" s="32" t="s">
        <v>48</v>
      </c>
      <c r="AD218" s="32"/>
      <c r="AE218" s="27" t="str">
        <f t="shared" si="43"/>
        <v>N</v>
      </c>
      <c r="AF218" s="32" t="s">
        <v>399</v>
      </c>
      <c r="AG218" s="32"/>
      <c r="AH218" s="33" t="s">
        <v>1225</v>
      </c>
      <c r="AI218" s="35">
        <v>5</v>
      </c>
      <c r="AJ218" s="57">
        <v>222</v>
      </c>
      <c r="AK218" s="33" t="s">
        <v>401</v>
      </c>
      <c r="AL218" s="10" t="s">
        <v>50</v>
      </c>
      <c r="AM218" s="6" t="str">
        <f t="shared" si="44"/>
        <v>14821/상품 분류별 매출 현황/ report/SaleItemClassRpt</v>
      </c>
      <c r="AN218" s="30"/>
      <c r="AO218" s="30"/>
      <c r="AP218" s="30"/>
      <c r="AQ218" s="30"/>
      <c r="AR218" s="31"/>
      <c r="AS218" s="31"/>
      <c r="AT218" s="31"/>
      <c r="AU218" s="31"/>
      <c r="AV218" s="31"/>
      <c r="AW218" s="31"/>
      <c r="AX218" s="31"/>
      <c r="AY218" s="31"/>
    </row>
    <row r="219" spans="2:51" s="29" customFormat="1" ht="14.5">
      <c r="B219" s="5" t="str">
        <f t="shared" si="39"/>
        <v xml:space="preserve">        └ 제조사별 매출 현황</v>
      </c>
      <c r="C219" s="33" t="s">
        <v>47</v>
      </c>
      <c r="D219" s="32"/>
      <c r="E219" s="33" t="s">
        <v>1216</v>
      </c>
      <c r="F219" s="44" t="s">
        <v>844</v>
      </c>
      <c r="G219" s="32"/>
      <c r="H219" s="32"/>
      <c r="I219" s="32"/>
      <c r="J219" s="34"/>
      <c r="K219" s="34"/>
      <c r="L219" s="27" t="str">
        <f t="shared" si="40"/>
        <v>1</v>
      </c>
      <c r="M219" s="27" t="str">
        <f t="shared" si="41"/>
        <v>1</v>
      </c>
      <c r="N219" s="32" t="s">
        <v>417</v>
      </c>
      <c r="O219" s="32" t="s">
        <v>570</v>
      </c>
      <c r="P219" s="27" t="str">
        <f t="shared" si="42"/>
        <v>1</v>
      </c>
      <c r="Q219" s="32" t="s">
        <v>399</v>
      </c>
      <c r="R219" s="32" t="s">
        <v>399</v>
      </c>
      <c r="S219" s="32" t="s">
        <v>400</v>
      </c>
      <c r="T219" s="32" t="s">
        <v>400</v>
      </c>
      <c r="U219" s="32" t="s">
        <v>48</v>
      </c>
      <c r="V219" s="32" t="s">
        <v>400</v>
      </c>
      <c r="W219" s="32" t="s">
        <v>400</v>
      </c>
      <c r="X219" s="32" t="s">
        <v>400</v>
      </c>
      <c r="Y219" s="32" t="s">
        <v>48</v>
      </c>
      <c r="Z219" s="32" t="s">
        <v>48</v>
      </c>
      <c r="AA219" s="32" t="s">
        <v>48</v>
      </c>
      <c r="AB219" s="32" t="s">
        <v>48</v>
      </c>
      <c r="AC219" s="32" t="s">
        <v>48</v>
      </c>
      <c r="AD219" s="32"/>
      <c r="AE219" s="27" t="str">
        <f t="shared" si="43"/>
        <v>N</v>
      </c>
      <c r="AF219" s="32" t="s">
        <v>399</v>
      </c>
      <c r="AG219" s="32"/>
      <c r="AH219" s="33" t="s">
        <v>1225</v>
      </c>
      <c r="AI219" s="35">
        <v>5</v>
      </c>
      <c r="AJ219" s="57">
        <v>223</v>
      </c>
      <c r="AK219" s="33" t="s">
        <v>401</v>
      </c>
      <c r="AL219" s="10" t="s">
        <v>50</v>
      </c>
      <c r="AM219" s="6" t="str">
        <f t="shared" si="44"/>
        <v>14821/제조사별 매출 현황/ report/SaleItemMfgRpt</v>
      </c>
      <c r="AN219" s="30"/>
      <c r="AO219" s="30"/>
      <c r="AP219" s="30"/>
      <c r="AQ219" s="30"/>
      <c r="AR219" s="31"/>
      <c r="AS219" s="31"/>
      <c r="AT219" s="31"/>
      <c r="AU219" s="31"/>
      <c r="AV219" s="31"/>
      <c r="AW219" s="31"/>
      <c r="AX219" s="31"/>
      <c r="AY219" s="31"/>
    </row>
    <row r="220" spans="2:51" s="29" customFormat="1" ht="14.5">
      <c r="B220" s="5" t="str">
        <f t="shared" si="39"/>
        <v xml:space="preserve">        └ 매입처별 매출 현황</v>
      </c>
      <c r="C220" s="33" t="s">
        <v>47</v>
      </c>
      <c r="D220" s="32"/>
      <c r="E220" s="33" t="s">
        <v>1217</v>
      </c>
      <c r="F220" s="44" t="s">
        <v>845</v>
      </c>
      <c r="G220" s="32"/>
      <c r="H220" s="32"/>
      <c r="I220" s="32"/>
      <c r="J220" s="34"/>
      <c r="K220" s="34"/>
      <c r="L220" s="27" t="str">
        <f t="shared" si="40"/>
        <v>1</v>
      </c>
      <c r="M220" s="27" t="str">
        <f t="shared" si="41"/>
        <v>1</v>
      </c>
      <c r="N220" s="32" t="s">
        <v>417</v>
      </c>
      <c r="O220" s="32" t="s">
        <v>571</v>
      </c>
      <c r="P220" s="27" t="str">
        <f t="shared" si="42"/>
        <v>1</v>
      </c>
      <c r="Q220" s="32" t="s">
        <v>399</v>
      </c>
      <c r="R220" s="32" t="s">
        <v>399</v>
      </c>
      <c r="S220" s="32" t="s">
        <v>400</v>
      </c>
      <c r="T220" s="32" t="s">
        <v>400</v>
      </c>
      <c r="U220" s="32" t="s">
        <v>48</v>
      </c>
      <c r="V220" s="32" t="s">
        <v>400</v>
      </c>
      <c r="W220" s="32" t="s">
        <v>400</v>
      </c>
      <c r="X220" s="32" t="s">
        <v>400</v>
      </c>
      <c r="Y220" s="32" t="s">
        <v>48</v>
      </c>
      <c r="Z220" s="32" t="s">
        <v>48</v>
      </c>
      <c r="AA220" s="32" t="s">
        <v>48</v>
      </c>
      <c r="AB220" s="32" t="s">
        <v>48</v>
      </c>
      <c r="AC220" s="32" t="s">
        <v>48</v>
      </c>
      <c r="AD220" s="32"/>
      <c r="AE220" s="27" t="str">
        <f t="shared" si="43"/>
        <v>N</v>
      </c>
      <c r="AF220" s="32" t="s">
        <v>399</v>
      </c>
      <c r="AG220" s="32"/>
      <c r="AH220" s="33" t="s">
        <v>1225</v>
      </c>
      <c r="AI220" s="35">
        <v>5</v>
      </c>
      <c r="AJ220" s="57">
        <v>224</v>
      </c>
      <c r="AK220" s="33" t="s">
        <v>401</v>
      </c>
      <c r="AL220" s="10" t="s">
        <v>50</v>
      </c>
      <c r="AM220" s="6" t="str">
        <f t="shared" si="44"/>
        <v>14821/매입처별 매출 현황/ report/SaleVendorRpt</v>
      </c>
      <c r="AN220" s="30"/>
      <c r="AO220" s="30"/>
      <c r="AP220" s="30"/>
      <c r="AQ220" s="30"/>
      <c r="AR220" s="31"/>
      <c r="AS220" s="31"/>
      <c r="AT220" s="31"/>
      <c r="AU220" s="31"/>
      <c r="AV220" s="31"/>
      <c r="AW220" s="31"/>
      <c r="AX220" s="31"/>
      <c r="AY220" s="31"/>
    </row>
    <row r="221" spans="2:51" s="29" customFormat="1" ht="14.5">
      <c r="B221" s="5" t="str">
        <f t="shared" si="39"/>
        <v xml:space="preserve">        └ 브랜드별 매출 현황</v>
      </c>
      <c r="C221" s="33" t="s">
        <v>47</v>
      </c>
      <c r="D221" s="32"/>
      <c r="E221" s="33" t="s">
        <v>1218</v>
      </c>
      <c r="F221" s="44" t="s">
        <v>846</v>
      </c>
      <c r="G221" s="32"/>
      <c r="H221" s="32"/>
      <c r="I221" s="32"/>
      <c r="J221" s="34"/>
      <c r="K221" s="34"/>
      <c r="L221" s="27" t="str">
        <f t="shared" si="40"/>
        <v>1</v>
      </c>
      <c r="M221" s="27" t="str">
        <f t="shared" si="41"/>
        <v>1</v>
      </c>
      <c r="N221" s="32" t="s">
        <v>417</v>
      </c>
      <c r="O221" s="32" t="s">
        <v>572</v>
      </c>
      <c r="P221" s="27" t="str">
        <f t="shared" si="42"/>
        <v>1</v>
      </c>
      <c r="Q221" s="32" t="s">
        <v>399</v>
      </c>
      <c r="R221" s="32" t="s">
        <v>399</v>
      </c>
      <c r="S221" s="32" t="s">
        <v>400</v>
      </c>
      <c r="T221" s="32" t="s">
        <v>400</v>
      </c>
      <c r="U221" s="32" t="s">
        <v>48</v>
      </c>
      <c r="V221" s="32" t="s">
        <v>400</v>
      </c>
      <c r="W221" s="32" t="s">
        <v>400</v>
      </c>
      <c r="X221" s="32" t="s">
        <v>400</v>
      </c>
      <c r="Y221" s="32" t="s">
        <v>48</v>
      </c>
      <c r="Z221" s="32" t="s">
        <v>48</v>
      </c>
      <c r="AA221" s="32" t="s">
        <v>48</v>
      </c>
      <c r="AB221" s="32" t="s">
        <v>48</v>
      </c>
      <c r="AC221" s="32" t="s">
        <v>48</v>
      </c>
      <c r="AD221" s="32"/>
      <c r="AE221" s="27" t="str">
        <f t="shared" si="43"/>
        <v>N</v>
      </c>
      <c r="AF221" s="32" t="s">
        <v>399</v>
      </c>
      <c r="AG221" s="32"/>
      <c r="AH221" s="33" t="s">
        <v>1225</v>
      </c>
      <c r="AI221" s="35">
        <v>5</v>
      </c>
      <c r="AJ221" s="57">
        <v>225</v>
      </c>
      <c r="AK221" s="33" t="s">
        <v>401</v>
      </c>
      <c r="AL221" s="10" t="s">
        <v>50</v>
      </c>
      <c r="AM221" s="6" t="str">
        <f t="shared" si="44"/>
        <v>14821/브랜드별 매출 현황/ report/SaleBrandRpt</v>
      </c>
      <c r="AN221" s="30"/>
      <c r="AO221" s="30"/>
      <c r="AP221" s="30"/>
      <c r="AQ221" s="30"/>
      <c r="AR221" s="31"/>
      <c r="AS221" s="31"/>
      <c r="AT221" s="31"/>
      <c r="AU221" s="31"/>
      <c r="AV221" s="31"/>
      <c r="AW221" s="31"/>
      <c r="AX221" s="31"/>
      <c r="AY221" s="31"/>
    </row>
    <row r="222" spans="2:51" s="29" customFormat="1" ht="14.5">
      <c r="B222" s="5" t="str">
        <f t="shared" si="39"/>
        <v xml:space="preserve">        └ 일자별 매출 집계 현황</v>
      </c>
      <c r="C222" s="33" t="s">
        <v>47</v>
      </c>
      <c r="D222" s="32"/>
      <c r="E222" s="33" t="s">
        <v>1219</v>
      </c>
      <c r="F222" s="44" t="s">
        <v>847</v>
      </c>
      <c r="G222" s="32"/>
      <c r="H222" s="32"/>
      <c r="I222" s="32"/>
      <c r="J222" s="34"/>
      <c r="K222" s="34"/>
      <c r="L222" s="27" t="str">
        <f t="shared" si="40"/>
        <v>1</v>
      </c>
      <c r="M222" s="27" t="str">
        <f t="shared" si="41"/>
        <v>1</v>
      </c>
      <c r="N222" s="32" t="s">
        <v>417</v>
      </c>
      <c r="O222" s="32" t="s">
        <v>573</v>
      </c>
      <c r="P222" s="27" t="str">
        <f t="shared" si="42"/>
        <v>1</v>
      </c>
      <c r="Q222" s="32" t="s">
        <v>399</v>
      </c>
      <c r="R222" s="32" t="s">
        <v>399</v>
      </c>
      <c r="S222" s="32" t="s">
        <v>400</v>
      </c>
      <c r="T222" s="32" t="s">
        <v>400</v>
      </c>
      <c r="U222" s="32" t="s">
        <v>48</v>
      </c>
      <c r="V222" s="32" t="s">
        <v>400</v>
      </c>
      <c r="W222" s="32" t="s">
        <v>400</v>
      </c>
      <c r="X222" s="32" t="s">
        <v>400</v>
      </c>
      <c r="Y222" s="32" t="s">
        <v>48</v>
      </c>
      <c r="Z222" s="32" t="s">
        <v>48</v>
      </c>
      <c r="AA222" s="32" t="s">
        <v>48</v>
      </c>
      <c r="AB222" s="32" t="s">
        <v>48</v>
      </c>
      <c r="AC222" s="32" t="s">
        <v>48</v>
      </c>
      <c r="AD222" s="32"/>
      <c r="AE222" s="27" t="str">
        <f t="shared" si="43"/>
        <v>N</v>
      </c>
      <c r="AF222" s="32" t="s">
        <v>399</v>
      </c>
      <c r="AG222" s="32"/>
      <c r="AH222" s="33" t="s">
        <v>1225</v>
      </c>
      <c r="AI222" s="35">
        <v>5</v>
      </c>
      <c r="AJ222" s="57">
        <v>226</v>
      </c>
      <c r="AK222" s="33" t="s">
        <v>401</v>
      </c>
      <c r="AL222" s="10" t="s">
        <v>50</v>
      </c>
      <c r="AM222" s="6" t="str">
        <f t="shared" si="44"/>
        <v>14821/일자별 매출 집계 현황/ report/SaleDailyRpt</v>
      </c>
      <c r="AN222" s="30"/>
      <c r="AO222" s="30"/>
      <c r="AP222" s="30"/>
      <c r="AQ222" s="30"/>
      <c r="AR222" s="31"/>
      <c r="AS222" s="31"/>
      <c r="AT222" s="31"/>
      <c r="AU222" s="31"/>
      <c r="AV222" s="31"/>
      <c r="AW222" s="31"/>
      <c r="AX222" s="31"/>
      <c r="AY222" s="31"/>
    </row>
    <row r="223" spans="2:51" s="29" customFormat="1" ht="14.5">
      <c r="B223" s="5" t="str">
        <f t="shared" si="39"/>
        <v xml:space="preserve">        └ 고객별 매출 현황</v>
      </c>
      <c r="C223" s="33" t="s">
        <v>47</v>
      </c>
      <c r="D223" s="32"/>
      <c r="E223" s="33" t="s">
        <v>1220</v>
      </c>
      <c r="F223" s="44" t="s">
        <v>761</v>
      </c>
      <c r="G223" s="32"/>
      <c r="H223" s="32"/>
      <c r="I223" s="32"/>
      <c r="J223" s="34"/>
      <c r="K223" s="34"/>
      <c r="L223" s="27" t="str">
        <f t="shared" si="40"/>
        <v>1</v>
      </c>
      <c r="M223" s="27" t="str">
        <f t="shared" si="41"/>
        <v>1</v>
      </c>
      <c r="N223" s="32" t="s">
        <v>417</v>
      </c>
      <c r="O223" s="32" t="s">
        <v>574</v>
      </c>
      <c r="P223" s="27" t="str">
        <f t="shared" si="42"/>
        <v>1</v>
      </c>
      <c r="Q223" s="32" t="s">
        <v>399</v>
      </c>
      <c r="R223" s="32" t="s">
        <v>399</v>
      </c>
      <c r="S223" s="32" t="s">
        <v>400</v>
      </c>
      <c r="T223" s="32" t="s">
        <v>400</v>
      </c>
      <c r="U223" s="32" t="s">
        <v>48</v>
      </c>
      <c r="V223" s="32" t="s">
        <v>400</v>
      </c>
      <c r="W223" s="32" t="s">
        <v>400</v>
      </c>
      <c r="X223" s="32" t="s">
        <v>400</v>
      </c>
      <c r="Y223" s="32" t="s">
        <v>48</v>
      </c>
      <c r="Z223" s="32" t="s">
        <v>48</v>
      </c>
      <c r="AA223" s="32" t="s">
        <v>48</v>
      </c>
      <c r="AB223" s="32" t="s">
        <v>48</v>
      </c>
      <c r="AC223" s="32" t="s">
        <v>48</v>
      </c>
      <c r="AD223" s="32"/>
      <c r="AE223" s="27" t="str">
        <f t="shared" si="43"/>
        <v>N</v>
      </c>
      <c r="AF223" s="32" t="s">
        <v>399</v>
      </c>
      <c r="AG223" s="32"/>
      <c r="AH223" s="33" t="s">
        <v>1225</v>
      </c>
      <c r="AI223" s="35">
        <v>5</v>
      </c>
      <c r="AJ223" s="57">
        <v>227</v>
      </c>
      <c r="AK223" s="33" t="s">
        <v>401</v>
      </c>
      <c r="AL223" s="10" t="s">
        <v>50</v>
      </c>
      <c r="AM223" s="6" t="str">
        <f t="shared" si="44"/>
        <v>14821/고객별 매출 현황/ report/SaleCustRpt</v>
      </c>
      <c r="AN223" s="30"/>
      <c r="AO223" s="30"/>
      <c r="AP223" s="30"/>
      <c r="AQ223" s="30"/>
      <c r="AR223" s="31"/>
      <c r="AS223" s="31"/>
      <c r="AT223" s="31"/>
      <c r="AU223" s="31"/>
      <c r="AV223" s="31"/>
      <c r="AW223" s="31"/>
      <c r="AX223" s="31"/>
      <c r="AY223" s="31"/>
    </row>
    <row r="224" spans="2:51" s="29" customFormat="1" ht="14.5">
      <c r="B224" s="5" t="str">
        <f t="shared" si="39"/>
        <v xml:space="preserve">        └ 월별 매출 현황</v>
      </c>
      <c r="C224" s="33" t="s">
        <v>47</v>
      </c>
      <c r="D224" s="32"/>
      <c r="E224" s="33" t="s">
        <v>1221</v>
      </c>
      <c r="F224" s="44" t="s">
        <v>848</v>
      </c>
      <c r="G224" s="32"/>
      <c r="H224" s="32"/>
      <c r="I224" s="32"/>
      <c r="J224" s="34"/>
      <c r="K224" s="34"/>
      <c r="L224" s="27" t="str">
        <f t="shared" si="40"/>
        <v>1</v>
      </c>
      <c r="M224" s="27" t="str">
        <f t="shared" si="41"/>
        <v>1</v>
      </c>
      <c r="N224" s="32" t="s">
        <v>417</v>
      </c>
      <c r="O224" s="32" t="s">
        <v>575</v>
      </c>
      <c r="P224" s="27" t="str">
        <f t="shared" si="42"/>
        <v>1</v>
      </c>
      <c r="Q224" s="32" t="s">
        <v>399</v>
      </c>
      <c r="R224" s="32" t="s">
        <v>399</v>
      </c>
      <c r="S224" s="32" t="s">
        <v>400</v>
      </c>
      <c r="T224" s="32" t="s">
        <v>400</v>
      </c>
      <c r="U224" s="32" t="s">
        <v>48</v>
      </c>
      <c r="V224" s="32" t="s">
        <v>400</v>
      </c>
      <c r="W224" s="32" t="s">
        <v>400</v>
      </c>
      <c r="X224" s="32" t="s">
        <v>399</v>
      </c>
      <c r="Y224" s="32" t="s">
        <v>48</v>
      </c>
      <c r="Z224" s="32" t="s">
        <v>48</v>
      </c>
      <c r="AA224" s="32" t="s">
        <v>48</v>
      </c>
      <c r="AB224" s="32" t="s">
        <v>48</v>
      </c>
      <c r="AC224" s="32" t="s">
        <v>48</v>
      </c>
      <c r="AD224" s="32"/>
      <c r="AE224" s="27" t="str">
        <f t="shared" si="43"/>
        <v>N</v>
      </c>
      <c r="AF224" s="32" t="s">
        <v>399</v>
      </c>
      <c r="AG224" s="32"/>
      <c r="AH224" s="33" t="s">
        <v>1225</v>
      </c>
      <c r="AI224" s="35">
        <v>5</v>
      </c>
      <c r="AJ224" s="57">
        <v>228</v>
      </c>
      <c r="AK224" s="33" t="s">
        <v>401</v>
      </c>
      <c r="AL224" s="10" t="s">
        <v>50</v>
      </c>
      <c r="AM224" s="6" t="str">
        <f t="shared" si="44"/>
        <v>14821/월별 매출 현황/ report/SaleMonthRpt</v>
      </c>
      <c r="AN224" s="30"/>
      <c r="AO224" s="30"/>
      <c r="AP224" s="30"/>
      <c r="AQ224" s="30"/>
      <c r="AR224" s="31"/>
      <c r="AS224" s="31"/>
      <c r="AT224" s="31"/>
      <c r="AU224" s="31"/>
      <c r="AV224" s="31"/>
      <c r="AW224" s="31"/>
      <c r="AX224" s="31"/>
      <c r="AY224" s="31"/>
    </row>
    <row r="225" spans="2:51" s="29" customFormat="1" ht="14.5">
      <c r="B225" s="5" t="str">
        <f t="shared" si="39"/>
        <v xml:space="preserve">        └ 체인점 매출 이익율 보고서</v>
      </c>
      <c r="C225" s="33" t="s">
        <v>47</v>
      </c>
      <c r="D225" s="32"/>
      <c r="E225" s="33" t="s">
        <v>1222</v>
      </c>
      <c r="F225" s="44" t="s">
        <v>849</v>
      </c>
      <c r="G225" s="32"/>
      <c r="H225" s="32"/>
      <c r="I225" s="32"/>
      <c r="J225" s="34"/>
      <c r="K225" s="34"/>
      <c r="L225" s="27" t="str">
        <f t="shared" si="40"/>
        <v>1</v>
      </c>
      <c r="M225" s="27" t="str">
        <f t="shared" si="41"/>
        <v>1</v>
      </c>
      <c r="N225" s="32" t="s">
        <v>415</v>
      </c>
      <c r="O225" s="32" t="s">
        <v>576</v>
      </c>
      <c r="P225" s="27" t="str">
        <f t="shared" si="42"/>
        <v>1</v>
      </c>
      <c r="Q225" s="32" t="s">
        <v>399</v>
      </c>
      <c r="R225" s="32" t="s">
        <v>399</v>
      </c>
      <c r="S225" s="32" t="s">
        <v>400</v>
      </c>
      <c r="T225" s="32" t="s">
        <v>400</v>
      </c>
      <c r="U225" s="32" t="s">
        <v>48</v>
      </c>
      <c r="V225" s="32" t="s">
        <v>399</v>
      </c>
      <c r="W225" s="32" t="s">
        <v>399</v>
      </c>
      <c r="X225" s="32" t="s">
        <v>400</v>
      </c>
      <c r="Y225" s="32" t="s">
        <v>48</v>
      </c>
      <c r="Z225" s="32" t="s">
        <v>48</v>
      </c>
      <c r="AA225" s="32" t="s">
        <v>48</v>
      </c>
      <c r="AB225" s="32" t="s">
        <v>48</v>
      </c>
      <c r="AC225" s="32" t="s">
        <v>48</v>
      </c>
      <c r="AD225" s="32"/>
      <c r="AE225" s="27" t="str">
        <f t="shared" si="43"/>
        <v>N</v>
      </c>
      <c r="AF225" s="32" t="s">
        <v>399</v>
      </c>
      <c r="AG225" s="32"/>
      <c r="AH225" s="33" t="s">
        <v>1225</v>
      </c>
      <c r="AI225" s="35">
        <v>5</v>
      </c>
      <c r="AJ225" s="57">
        <v>229</v>
      </c>
      <c r="AK225" s="33" t="s">
        <v>401</v>
      </c>
      <c r="AL225" s="10" t="s">
        <v>50</v>
      </c>
      <c r="AM225" s="6" t="str">
        <f t="shared" si="44"/>
        <v>14821/체인점 매출 이익율 보고서/ zreport/ChainSalebenefitRate</v>
      </c>
      <c r="AN225" s="30"/>
      <c r="AO225" s="30"/>
      <c r="AP225" s="30"/>
      <c r="AQ225" s="30"/>
      <c r="AR225" s="31"/>
      <c r="AS225" s="31"/>
      <c r="AT225" s="31"/>
      <c r="AU225" s="31"/>
      <c r="AV225" s="31"/>
      <c r="AW225" s="31"/>
      <c r="AX225" s="31"/>
      <c r="AY225" s="31"/>
    </row>
    <row r="226" spans="2:51" s="29" customFormat="1" ht="14.5">
      <c r="B226" s="5" t="str">
        <f t="shared" ref="B226:B238" si="45">IF(AI226="","",IF(AI226=1,"",IF(AI226=2,"└ ",IF(AI226=3,"  └ ",IF(AI226=4,"    └ ",IF(AI226=5,"        └ ",IF(AI226=6,"           └ ",IF(AI226=7="             └ ",""))))))))&amp;F226</f>
        <v xml:space="preserve">        └ 월별 고객 매출 현황</v>
      </c>
      <c r="C226" s="33" t="s">
        <v>47</v>
      </c>
      <c r="D226" s="32"/>
      <c r="E226" s="33" t="s">
        <v>1223</v>
      </c>
      <c r="F226" s="44" t="s">
        <v>850</v>
      </c>
      <c r="G226" s="32"/>
      <c r="H226" s="32"/>
      <c r="I226" s="32"/>
      <c r="J226" s="34"/>
      <c r="K226" s="34"/>
      <c r="L226" s="27" t="str">
        <f t="shared" si="40"/>
        <v>1</v>
      </c>
      <c r="M226" s="27" t="str">
        <f t="shared" si="41"/>
        <v>1</v>
      </c>
      <c r="N226" s="32" t="s">
        <v>424</v>
      </c>
      <c r="O226" s="32" t="s">
        <v>577</v>
      </c>
      <c r="P226" s="27" t="str">
        <f t="shared" si="42"/>
        <v>1</v>
      </c>
      <c r="Q226" s="32" t="s">
        <v>399</v>
      </c>
      <c r="R226" s="32" t="s">
        <v>399</v>
      </c>
      <c r="S226" s="32" t="s">
        <v>400</v>
      </c>
      <c r="T226" s="32" t="s">
        <v>400</v>
      </c>
      <c r="U226" s="32" t="s">
        <v>48</v>
      </c>
      <c r="V226" s="32" t="s">
        <v>400</v>
      </c>
      <c r="W226" s="32" t="s">
        <v>400</v>
      </c>
      <c r="X226" s="32" t="s">
        <v>400</v>
      </c>
      <c r="Y226" s="32" t="s">
        <v>48</v>
      </c>
      <c r="Z226" s="32" t="s">
        <v>48</v>
      </c>
      <c r="AA226" s="32" t="s">
        <v>48</v>
      </c>
      <c r="AB226" s="32" t="s">
        <v>48</v>
      </c>
      <c r="AC226" s="32" t="s">
        <v>48</v>
      </c>
      <c r="AD226" s="32"/>
      <c r="AE226" s="27" t="str">
        <f t="shared" si="43"/>
        <v>N</v>
      </c>
      <c r="AF226" s="32" t="s">
        <v>399</v>
      </c>
      <c r="AG226" s="32"/>
      <c r="AH226" s="33" t="s">
        <v>1225</v>
      </c>
      <c r="AI226" s="35">
        <v>5</v>
      </c>
      <c r="AJ226" s="57">
        <v>230</v>
      </c>
      <c r="AK226" s="33" t="s">
        <v>401</v>
      </c>
      <c r="AL226" s="10" t="s">
        <v>50</v>
      </c>
      <c r="AM226" s="6" t="str">
        <f t="shared" si="44"/>
        <v>14821/월별 고객 매출 현황/ salesanddistribution/MonthCustSaleRpt</v>
      </c>
      <c r="AN226" s="30"/>
      <c r="AO226" s="30"/>
      <c r="AP226" s="30"/>
      <c r="AQ226" s="30"/>
      <c r="AR226" s="31"/>
      <c r="AS226" s="31"/>
      <c r="AT226" s="31"/>
      <c r="AU226" s="31"/>
      <c r="AV226" s="31"/>
      <c r="AW226" s="31"/>
      <c r="AX226" s="31"/>
      <c r="AY226" s="31"/>
    </row>
    <row r="227" spans="2:51" s="29" customFormat="1" ht="14.5">
      <c r="B227" s="5" t="str">
        <f t="shared" si="45"/>
        <v xml:space="preserve">        └ 매출 현황</v>
      </c>
      <c r="C227" s="33" t="s">
        <v>47</v>
      </c>
      <c r="D227" s="32"/>
      <c r="E227" s="33" t="s">
        <v>1224</v>
      </c>
      <c r="F227" s="44" t="s">
        <v>851</v>
      </c>
      <c r="G227" s="32"/>
      <c r="H227" s="32"/>
      <c r="I227" s="32"/>
      <c r="J227" s="34"/>
      <c r="K227" s="34"/>
      <c r="L227" s="27" t="str">
        <f t="shared" si="40"/>
        <v>1</v>
      </c>
      <c r="M227" s="27" t="str">
        <f t="shared" si="41"/>
        <v>1</v>
      </c>
      <c r="N227" s="32" t="s">
        <v>424</v>
      </c>
      <c r="O227" s="32" t="s">
        <v>578</v>
      </c>
      <c r="P227" s="27" t="str">
        <f t="shared" si="42"/>
        <v>1</v>
      </c>
      <c r="Q227" s="32" t="s">
        <v>399</v>
      </c>
      <c r="R227" s="32" t="s">
        <v>399</v>
      </c>
      <c r="S227" s="32" t="s">
        <v>400</v>
      </c>
      <c r="T227" s="32" t="s">
        <v>400</v>
      </c>
      <c r="U227" s="32" t="s">
        <v>48</v>
      </c>
      <c r="V227" s="32" t="s">
        <v>400</v>
      </c>
      <c r="W227" s="32" t="s">
        <v>400</v>
      </c>
      <c r="X227" s="32" t="s">
        <v>400</v>
      </c>
      <c r="Y227" s="32" t="s">
        <v>48</v>
      </c>
      <c r="Z227" s="32" t="s">
        <v>48</v>
      </c>
      <c r="AA227" s="32" t="s">
        <v>48</v>
      </c>
      <c r="AB227" s="32" t="s">
        <v>48</v>
      </c>
      <c r="AC227" s="32" t="s">
        <v>48</v>
      </c>
      <c r="AD227" s="32"/>
      <c r="AE227" s="27" t="str">
        <f t="shared" si="43"/>
        <v>N</v>
      </c>
      <c r="AF227" s="32" t="s">
        <v>399</v>
      </c>
      <c r="AG227" s="32"/>
      <c r="AH227" s="33" t="s">
        <v>1225</v>
      </c>
      <c r="AI227" s="35">
        <v>5</v>
      </c>
      <c r="AJ227" s="57">
        <v>231</v>
      </c>
      <c r="AK227" s="33" t="s">
        <v>401</v>
      </c>
      <c r="AL227" s="10" t="s">
        <v>50</v>
      </c>
      <c r="AM227" s="6" t="str">
        <f t="shared" si="44"/>
        <v>14821/매출 현황/ salesanddistribution/GeneralSaleRpt</v>
      </c>
      <c r="AN227" s="30"/>
      <c r="AO227" s="30"/>
      <c r="AP227" s="30"/>
      <c r="AQ227" s="30"/>
      <c r="AR227" s="31"/>
      <c r="AS227" s="31"/>
      <c r="AT227" s="31"/>
      <c r="AU227" s="31"/>
      <c r="AV227" s="31"/>
      <c r="AW227" s="31"/>
      <c r="AX227" s="31"/>
      <c r="AY227" s="31"/>
    </row>
    <row r="228" spans="2:51" s="29" customFormat="1" ht="14.5">
      <c r="B228" s="5" t="str">
        <f t="shared" si="45"/>
        <v xml:space="preserve">    └ 매출마감</v>
      </c>
      <c r="C228" s="33" t="s">
        <v>47</v>
      </c>
      <c r="D228" s="32"/>
      <c r="E228" s="9" t="s">
        <v>1226</v>
      </c>
      <c r="F228" s="38" t="s">
        <v>1229</v>
      </c>
      <c r="G228" s="9"/>
      <c r="H228" s="9"/>
      <c r="I228" s="9"/>
      <c r="J228" s="9"/>
      <c r="K228" s="9"/>
      <c r="L228" s="9" t="str">
        <f t="shared" si="40"/>
        <v>1</v>
      </c>
      <c r="M228" s="9" t="str">
        <f t="shared" si="41"/>
        <v>0</v>
      </c>
      <c r="N228" s="38" t="s">
        <v>985</v>
      </c>
      <c r="O228" s="38"/>
      <c r="P228" s="9" t="str">
        <f t="shared" si="42"/>
        <v>1</v>
      </c>
      <c r="Q228" s="9" t="s">
        <v>986</v>
      </c>
      <c r="R228" s="9" t="s">
        <v>986</v>
      </c>
      <c r="S228" s="9" t="s">
        <v>986</v>
      </c>
      <c r="T228" s="9" t="s">
        <v>987</v>
      </c>
      <c r="U228" s="9" t="s">
        <v>985</v>
      </c>
      <c r="V228" s="9" t="s">
        <v>987</v>
      </c>
      <c r="W228" s="9" t="s">
        <v>987</v>
      </c>
      <c r="X228" s="9" t="s">
        <v>987</v>
      </c>
      <c r="Y228" s="9" t="s">
        <v>985</v>
      </c>
      <c r="Z228" s="9" t="s">
        <v>985</v>
      </c>
      <c r="AA228" s="9" t="s">
        <v>985</v>
      </c>
      <c r="AB228" s="9" t="s">
        <v>985</v>
      </c>
      <c r="AC228" s="9" t="s">
        <v>985</v>
      </c>
      <c r="AD228" s="9"/>
      <c r="AE228" s="9" t="str">
        <f t="shared" si="43"/>
        <v>N</v>
      </c>
      <c r="AF228" s="9" t="s">
        <v>986</v>
      </c>
      <c r="AG228" s="9"/>
      <c r="AH228" s="9">
        <v>2050000</v>
      </c>
      <c r="AI228" s="9">
        <v>4</v>
      </c>
      <c r="AJ228" s="57">
        <v>232</v>
      </c>
      <c r="AK228" s="10" t="s">
        <v>988</v>
      </c>
      <c r="AL228" s="10" t="s">
        <v>50</v>
      </c>
      <c r="AM228" s="6" t="str">
        <f t="shared" si="44"/>
        <v>14821/매출마감/ /</v>
      </c>
      <c r="AN228" s="30"/>
      <c r="AO228" s="30"/>
      <c r="AP228" s="30"/>
      <c r="AQ228" s="30"/>
      <c r="AR228" s="31"/>
      <c r="AS228" s="31"/>
      <c r="AT228" s="31"/>
      <c r="AU228" s="31"/>
      <c r="AV228" s="31"/>
      <c r="AW228" s="31"/>
      <c r="AX228" s="31"/>
      <c r="AY228" s="31"/>
    </row>
    <row r="229" spans="2:51" s="29" customFormat="1" ht="14.5">
      <c r="B229" s="5" t="str">
        <f t="shared" si="45"/>
        <v xml:space="preserve">        └ 매출명세서 조회</v>
      </c>
      <c r="C229" s="33" t="s">
        <v>47</v>
      </c>
      <c r="D229" s="32"/>
      <c r="E229" s="33" t="s">
        <v>1227</v>
      </c>
      <c r="F229" s="44" t="s">
        <v>852</v>
      </c>
      <c r="G229" s="32"/>
      <c r="H229" s="32"/>
      <c r="I229" s="32"/>
      <c r="J229" s="34"/>
      <c r="K229" s="34"/>
      <c r="L229" s="27" t="str">
        <f t="shared" si="40"/>
        <v>1</v>
      </c>
      <c r="M229" s="27" t="str">
        <f t="shared" si="41"/>
        <v>1</v>
      </c>
      <c r="N229" s="32" t="s">
        <v>420</v>
      </c>
      <c r="O229" s="32" t="s">
        <v>579</v>
      </c>
      <c r="P229" s="27" t="str">
        <f t="shared" si="42"/>
        <v>1</v>
      </c>
      <c r="Q229" s="32" t="s">
        <v>399</v>
      </c>
      <c r="R229" s="32" t="s">
        <v>399</v>
      </c>
      <c r="S229" s="32" t="s">
        <v>399</v>
      </c>
      <c r="T229" s="32" t="s">
        <v>400</v>
      </c>
      <c r="U229" s="32" t="s">
        <v>48</v>
      </c>
      <c r="V229" s="32" t="s">
        <v>400</v>
      </c>
      <c r="W229" s="32" t="s">
        <v>400</v>
      </c>
      <c r="X229" s="32" t="s">
        <v>400</v>
      </c>
      <c r="Y229" s="32" t="s">
        <v>48</v>
      </c>
      <c r="Z229" s="32" t="s">
        <v>48</v>
      </c>
      <c r="AA229" s="32" t="s">
        <v>48</v>
      </c>
      <c r="AB229" s="32" t="s">
        <v>48</v>
      </c>
      <c r="AC229" s="32" t="s">
        <v>48</v>
      </c>
      <c r="AD229" s="32"/>
      <c r="AE229" s="27" t="str">
        <f t="shared" si="43"/>
        <v>N</v>
      </c>
      <c r="AF229" s="32" t="s">
        <v>399</v>
      </c>
      <c r="AG229" s="32"/>
      <c r="AH229" s="33" t="s">
        <v>1226</v>
      </c>
      <c r="AI229" s="35">
        <v>5</v>
      </c>
      <c r="AJ229" s="57">
        <v>233</v>
      </c>
      <c r="AK229" s="33" t="s">
        <v>401</v>
      </c>
      <c r="AL229" s="10" t="s">
        <v>50</v>
      </c>
      <c r="AM229" s="6" t="str">
        <f t="shared" si="44"/>
        <v>14821/매출명세서 조회/ sale/SaleList</v>
      </c>
      <c r="AN229" s="30"/>
      <c r="AO229" s="30"/>
      <c r="AP229" s="30"/>
      <c r="AQ229" s="30"/>
      <c r="AR229" s="31"/>
      <c r="AS229" s="31"/>
      <c r="AT229" s="31"/>
      <c r="AU229" s="31"/>
      <c r="AV229" s="31"/>
      <c r="AW229" s="31"/>
      <c r="AX229" s="31"/>
      <c r="AY229" s="31"/>
    </row>
    <row r="230" spans="2:51" s="29" customFormat="1" ht="14.5">
      <c r="B230" s="5" t="str">
        <f t="shared" si="45"/>
        <v xml:space="preserve">        └ 매출 집계표 조회</v>
      </c>
      <c r="C230" s="33" t="s">
        <v>47</v>
      </c>
      <c r="D230" s="32"/>
      <c r="E230" s="33" t="s">
        <v>1228</v>
      </c>
      <c r="F230" s="44" t="s">
        <v>853</v>
      </c>
      <c r="G230" s="32"/>
      <c r="H230" s="32"/>
      <c r="I230" s="32"/>
      <c r="J230" s="34"/>
      <c r="K230" s="34"/>
      <c r="L230" s="27" t="str">
        <f t="shared" si="40"/>
        <v>1</v>
      </c>
      <c r="M230" s="27" t="str">
        <f t="shared" si="41"/>
        <v>1</v>
      </c>
      <c r="N230" s="32" t="s">
        <v>420</v>
      </c>
      <c r="O230" s="32" t="s">
        <v>580</v>
      </c>
      <c r="P230" s="27" t="str">
        <f t="shared" si="42"/>
        <v>1</v>
      </c>
      <c r="Q230" s="32" t="s">
        <v>399</v>
      </c>
      <c r="R230" s="32" t="s">
        <v>399</v>
      </c>
      <c r="S230" s="32" t="s">
        <v>399</v>
      </c>
      <c r="T230" s="32" t="s">
        <v>400</v>
      </c>
      <c r="U230" s="32" t="s">
        <v>48</v>
      </c>
      <c r="V230" s="32" t="s">
        <v>400</v>
      </c>
      <c r="W230" s="32" t="s">
        <v>400</v>
      </c>
      <c r="X230" s="32" t="s">
        <v>400</v>
      </c>
      <c r="Y230" s="32" t="s">
        <v>48</v>
      </c>
      <c r="Z230" s="32" t="s">
        <v>48</v>
      </c>
      <c r="AA230" s="32" t="s">
        <v>48</v>
      </c>
      <c r="AB230" s="32" t="s">
        <v>48</v>
      </c>
      <c r="AC230" s="32" t="s">
        <v>48</v>
      </c>
      <c r="AD230" s="32"/>
      <c r="AE230" s="27" t="str">
        <f t="shared" si="43"/>
        <v>N</v>
      </c>
      <c r="AF230" s="32" t="s">
        <v>399</v>
      </c>
      <c r="AG230" s="32"/>
      <c r="AH230" s="33" t="s">
        <v>1226</v>
      </c>
      <c r="AI230" s="35">
        <v>5</v>
      </c>
      <c r="AJ230" s="57">
        <v>234</v>
      </c>
      <c r="AK230" s="33" t="s">
        <v>401</v>
      </c>
      <c r="AL230" s="10" t="s">
        <v>50</v>
      </c>
      <c r="AM230" s="6" t="str">
        <f t="shared" si="44"/>
        <v>14821/매출 집계표 조회/ sale/SaleSumList</v>
      </c>
      <c r="AN230" s="30"/>
      <c r="AO230" s="30"/>
      <c r="AP230" s="30"/>
      <c r="AQ230" s="30"/>
      <c r="AR230" s="31"/>
      <c r="AS230" s="31"/>
      <c r="AT230" s="31"/>
      <c r="AU230" s="31"/>
      <c r="AV230" s="31"/>
      <c r="AW230" s="31"/>
      <c r="AX230" s="31"/>
      <c r="AY230" s="31"/>
    </row>
    <row r="231" spans="2:51" s="29" customFormat="1" ht="14.5">
      <c r="B231" s="5" t="str">
        <f t="shared" si="45"/>
        <v xml:space="preserve">  └ 재고</v>
      </c>
      <c r="C231" s="33" t="s">
        <v>47</v>
      </c>
      <c r="D231" s="19"/>
      <c r="E231" s="19">
        <v>2060000</v>
      </c>
      <c r="F231" s="42" t="s">
        <v>1230</v>
      </c>
      <c r="G231" s="19"/>
      <c r="H231" s="19"/>
      <c r="I231" s="19"/>
      <c r="J231" s="19"/>
      <c r="K231" s="19"/>
      <c r="L231" s="19" t="str">
        <f t="shared" si="40"/>
        <v>1</v>
      </c>
      <c r="M231" s="19" t="str">
        <f t="shared" si="41"/>
        <v>0</v>
      </c>
      <c r="N231" s="19" t="s">
        <v>48</v>
      </c>
      <c r="O231" s="19"/>
      <c r="P231" s="19" t="str">
        <f t="shared" si="42"/>
        <v>1</v>
      </c>
      <c r="Q231" s="19" t="s">
        <v>399</v>
      </c>
      <c r="R231" s="19" t="s">
        <v>399</v>
      </c>
      <c r="S231" s="19" t="s">
        <v>399</v>
      </c>
      <c r="T231" s="19" t="s">
        <v>400</v>
      </c>
      <c r="U231" s="19" t="s">
        <v>48</v>
      </c>
      <c r="V231" s="19" t="s">
        <v>400</v>
      </c>
      <c r="W231" s="19" t="s">
        <v>400</v>
      </c>
      <c r="X231" s="19" t="s">
        <v>400</v>
      </c>
      <c r="Y231" s="19" t="s">
        <v>48</v>
      </c>
      <c r="Z231" s="19" t="s">
        <v>48</v>
      </c>
      <c r="AA231" s="19" t="s">
        <v>48</v>
      </c>
      <c r="AB231" s="19" t="s">
        <v>48</v>
      </c>
      <c r="AC231" s="19" t="s">
        <v>48</v>
      </c>
      <c r="AD231" s="19"/>
      <c r="AE231" s="19" t="str">
        <f t="shared" si="43"/>
        <v>N</v>
      </c>
      <c r="AF231" s="19" t="s">
        <v>399</v>
      </c>
      <c r="AG231" s="19"/>
      <c r="AH231" s="19">
        <v>2000000</v>
      </c>
      <c r="AI231" s="19">
        <v>3</v>
      </c>
      <c r="AJ231" s="57">
        <v>235</v>
      </c>
      <c r="AK231" s="10" t="s">
        <v>401</v>
      </c>
      <c r="AL231" s="10" t="s">
        <v>50</v>
      </c>
      <c r="AM231" s="6" t="str">
        <f t="shared" si="44"/>
        <v>14821/재고/ /</v>
      </c>
      <c r="AN231" s="30"/>
      <c r="AO231" s="30"/>
      <c r="AP231" s="30"/>
      <c r="AQ231" s="30"/>
      <c r="AR231" s="31"/>
      <c r="AS231" s="31"/>
      <c r="AT231" s="31"/>
      <c r="AU231" s="31"/>
      <c r="AV231" s="31"/>
      <c r="AW231" s="31"/>
      <c r="AX231" s="31"/>
      <c r="AY231" s="31"/>
    </row>
    <row r="232" spans="2:51" s="29" customFormat="1" ht="14.25" customHeight="1">
      <c r="B232" s="5" t="str">
        <f t="shared" si="45"/>
        <v xml:space="preserve">    └ 재고 현황</v>
      </c>
      <c r="C232" s="33" t="s">
        <v>47</v>
      </c>
      <c r="D232" s="32"/>
      <c r="E232" s="9" t="s">
        <v>1231</v>
      </c>
      <c r="F232" s="38" t="s">
        <v>1237</v>
      </c>
      <c r="G232" s="9"/>
      <c r="H232" s="9"/>
      <c r="I232" s="9"/>
      <c r="J232" s="9"/>
      <c r="K232" s="9"/>
      <c r="L232" s="9" t="str">
        <f t="shared" si="40"/>
        <v>1</v>
      </c>
      <c r="M232" s="9" t="str">
        <f t="shared" si="41"/>
        <v>0</v>
      </c>
      <c r="N232" s="38"/>
      <c r="O232" s="38"/>
      <c r="P232" s="9" t="str">
        <f t="shared" si="42"/>
        <v>1</v>
      </c>
      <c r="Q232" s="9" t="s">
        <v>986</v>
      </c>
      <c r="R232" s="9" t="s">
        <v>986</v>
      </c>
      <c r="S232" s="9" t="s">
        <v>987</v>
      </c>
      <c r="T232" s="9" t="s">
        <v>987</v>
      </c>
      <c r="U232" s="9" t="s">
        <v>985</v>
      </c>
      <c r="V232" s="9" t="s">
        <v>987</v>
      </c>
      <c r="W232" s="9" t="s">
        <v>987</v>
      </c>
      <c r="X232" s="9" t="s">
        <v>987</v>
      </c>
      <c r="Y232" s="9" t="s">
        <v>985</v>
      </c>
      <c r="Z232" s="9" t="s">
        <v>985</v>
      </c>
      <c r="AA232" s="9" t="s">
        <v>985</v>
      </c>
      <c r="AB232" s="9" t="s">
        <v>985</v>
      </c>
      <c r="AC232" s="9" t="s">
        <v>985</v>
      </c>
      <c r="AD232" s="9"/>
      <c r="AE232" s="9" t="str">
        <f t="shared" si="43"/>
        <v>N</v>
      </c>
      <c r="AF232" s="9" t="s">
        <v>986</v>
      </c>
      <c r="AG232" s="9"/>
      <c r="AH232" s="9">
        <v>2060000</v>
      </c>
      <c r="AI232" s="9">
        <v>4</v>
      </c>
      <c r="AJ232" s="57">
        <v>236</v>
      </c>
      <c r="AK232" s="10" t="s">
        <v>988</v>
      </c>
      <c r="AL232" s="10" t="s">
        <v>50</v>
      </c>
      <c r="AM232" s="6" t="str">
        <f t="shared" si="44"/>
        <v>14821/재고 현황//</v>
      </c>
      <c r="AN232" s="30"/>
      <c r="AO232" s="30"/>
      <c r="AP232" s="30"/>
      <c r="AQ232" s="30"/>
      <c r="AR232" s="31"/>
      <c r="AS232" s="31"/>
      <c r="AT232" s="31"/>
      <c r="AU232" s="31"/>
      <c r="AV232" s="31"/>
      <c r="AW232" s="31"/>
      <c r="AX232" s="31"/>
      <c r="AY232" s="31"/>
    </row>
    <row r="233" spans="2:51" s="29" customFormat="1" ht="14.25" customHeight="1">
      <c r="B233" s="5" t="str">
        <f t="shared" si="45"/>
        <v xml:space="preserve">        └ 재고 현황</v>
      </c>
      <c r="C233" s="33" t="s">
        <v>47</v>
      </c>
      <c r="D233" s="32"/>
      <c r="E233" s="33" t="s">
        <v>1232</v>
      </c>
      <c r="F233" s="44" t="s">
        <v>860</v>
      </c>
      <c r="G233" s="32"/>
      <c r="H233" s="32"/>
      <c r="I233" s="32"/>
      <c r="J233" s="34"/>
      <c r="K233" s="34"/>
      <c r="L233" s="27" t="str">
        <f t="shared" ref="L233" si="46">IF(F233="","","1")</f>
        <v>1</v>
      </c>
      <c r="M233" s="27" t="str">
        <f t="shared" ref="M233" si="47">IF(F233="","",IF(O233="","0","1"))</f>
        <v>1</v>
      </c>
      <c r="N233" s="32" t="s">
        <v>427</v>
      </c>
      <c r="O233" s="32" t="s">
        <v>586</v>
      </c>
      <c r="P233" s="27" t="str">
        <f t="shared" ref="P233" si="48">IF(F233="","","1")</f>
        <v>1</v>
      </c>
      <c r="Q233" s="32" t="s">
        <v>399</v>
      </c>
      <c r="R233" s="32" t="s">
        <v>399</v>
      </c>
      <c r="S233" s="32" t="s">
        <v>400</v>
      </c>
      <c r="T233" s="32" t="s">
        <v>400</v>
      </c>
      <c r="U233" s="32" t="s">
        <v>48</v>
      </c>
      <c r="V233" s="32" t="s">
        <v>400</v>
      </c>
      <c r="W233" s="32" t="s">
        <v>400</v>
      </c>
      <c r="X233" s="32" t="s">
        <v>400</v>
      </c>
      <c r="Y233" s="32" t="s">
        <v>48</v>
      </c>
      <c r="Z233" s="32" t="s">
        <v>48</v>
      </c>
      <c r="AA233" s="32" t="s">
        <v>48</v>
      </c>
      <c r="AB233" s="32" t="s">
        <v>48</v>
      </c>
      <c r="AC233" s="32" t="s">
        <v>48</v>
      </c>
      <c r="AD233" s="32"/>
      <c r="AE233" s="27" t="str">
        <f t="shared" ref="AE233" si="49">IF(F233="","","N")</f>
        <v>N</v>
      </c>
      <c r="AF233" s="32" t="s">
        <v>399</v>
      </c>
      <c r="AG233" s="32"/>
      <c r="AH233" s="33" t="s">
        <v>1231</v>
      </c>
      <c r="AI233" s="35">
        <v>5</v>
      </c>
      <c r="AJ233" s="57">
        <v>237</v>
      </c>
      <c r="AK233" s="33" t="s">
        <v>401</v>
      </c>
      <c r="AL233" s="10" t="s">
        <v>50</v>
      </c>
      <c r="AM233" s="6" t="str">
        <f t="shared" si="44"/>
        <v>14821/재고 현황/ stock/StockList</v>
      </c>
      <c r="AN233" s="30"/>
      <c r="AO233" s="30"/>
      <c r="AP233" s="30"/>
      <c r="AQ233" s="30"/>
      <c r="AR233" s="31"/>
      <c r="AS233" s="31"/>
      <c r="AT233" s="31"/>
      <c r="AU233" s="31"/>
      <c r="AV233" s="31"/>
      <c r="AW233" s="31"/>
      <c r="AX233" s="31"/>
      <c r="AY233" s="31"/>
    </row>
    <row r="234" spans="2:51" s="29" customFormat="1" ht="14.5">
      <c r="B234" s="5" t="str">
        <f t="shared" si="45"/>
        <v xml:space="preserve">        └ 전사 재고 총괄표</v>
      </c>
      <c r="C234" s="33" t="s">
        <v>47</v>
      </c>
      <c r="D234" s="32"/>
      <c r="E234" s="33" t="s">
        <v>1233</v>
      </c>
      <c r="F234" s="44" t="s">
        <v>863</v>
      </c>
      <c r="G234" s="32"/>
      <c r="H234" s="32"/>
      <c r="I234" s="32"/>
      <c r="J234" s="34"/>
      <c r="K234" s="34"/>
      <c r="L234" s="27" t="str">
        <f t="shared" si="40"/>
        <v>1</v>
      </c>
      <c r="M234" s="27" t="str">
        <f t="shared" si="41"/>
        <v>1</v>
      </c>
      <c r="N234" s="32" t="s">
        <v>415</v>
      </c>
      <c r="O234" s="32" t="s">
        <v>587</v>
      </c>
      <c r="P234" s="27" t="str">
        <f t="shared" si="42"/>
        <v>1</v>
      </c>
      <c r="Q234" s="32" t="s">
        <v>400</v>
      </c>
      <c r="R234" s="32" t="s">
        <v>400</v>
      </c>
      <c r="S234" s="32" t="s">
        <v>400</v>
      </c>
      <c r="T234" s="32" t="s">
        <v>400</v>
      </c>
      <c r="U234" s="32" t="s">
        <v>48</v>
      </c>
      <c r="V234" s="32" t="s">
        <v>400</v>
      </c>
      <c r="W234" s="32" t="s">
        <v>400</v>
      </c>
      <c r="X234" s="32" t="s">
        <v>399</v>
      </c>
      <c r="Y234" s="32" t="s">
        <v>48</v>
      </c>
      <c r="Z234" s="32" t="s">
        <v>48</v>
      </c>
      <c r="AA234" s="32" t="s">
        <v>48</v>
      </c>
      <c r="AB234" s="32" t="s">
        <v>48</v>
      </c>
      <c r="AC234" s="32" t="s">
        <v>48</v>
      </c>
      <c r="AD234" s="32"/>
      <c r="AE234" s="27" t="str">
        <f t="shared" si="43"/>
        <v>N</v>
      </c>
      <c r="AF234" s="32" t="s">
        <v>399</v>
      </c>
      <c r="AG234" s="32"/>
      <c r="AH234" s="33" t="s">
        <v>1231</v>
      </c>
      <c r="AI234" s="35">
        <v>5</v>
      </c>
      <c r="AJ234" s="57">
        <v>238</v>
      </c>
      <c r="AK234" s="33" t="s">
        <v>401</v>
      </c>
      <c r="AL234" s="10" t="s">
        <v>50</v>
      </c>
      <c r="AM234" s="6" t="str">
        <f t="shared" si="44"/>
        <v>14821/전사 재고 총괄표/ zreport/StockSummaryList</v>
      </c>
      <c r="AN234" s="30"/>
      <c r="AO234" s="30"/>
      <c r="AP234" s="30"/>
      <c r="AQ234" s="30"/>
      <c r="AR234" s="31"/>
      <c r="AS234" s="31"/>
      <c r="AT234" s="31"/>
      <c r="AU234" s="31"/>
      <c r="AV234" s="31"/>
      <c r="AW234" s="31"/>
      <c r="AX234" s="31"/>
      <c r="AY234" s="31"/>
    </row>
    <row r="235" spans="2:51" s="29" customFormat="1" ht="14.5">
      <c r="B235" s="5" t="str">
        <f t="shared" si="45"/>
        <v xml:space="preserve">        └ 종합 수불현황 보고서</v>
      </c>
      <c r="C235" s="33" t="s">
        <v>47</v>
      </c>
      <c r="D235" s="32"/>
      <c r="E235" s="33" t="s">
        <v>1234</v>
      </c>
      <c r="F235" s="44" t="s">
        <v>861</v>
      </c>
      <c r="G235" s="32"/>
      <c r="H235" s="32"/>
      <c r="I235" s="32"/>
      <c r="J235" s="34"/>
      <c r="K235" s="34"/>
      <c r="L235" s="27" t="str">
        <f t="shared" ref="L235:L277" si="50">IF(F235="","","1")</f>
        <v>1</v>
      </c>
      <c r="M235" s="27" t="str">
        <f t="shared" ref="M235:M277" si="51">IF(F235="","",IF(O235="","0","1"))</f>
        <v>1</v>
      </c>
      <c r="N235" s="32" t="s">
        <v>427</v>
      </c>
      <c r="O235" s="32" t="s">
        <v>588</v>
      </c>
      <c r="P235" s="27" t="str">
        <f t="shared" ref="P235:P277" si="52">IF(F235="","","1")</f>
        <v>1</v>
      </c>
      <c r="Q235" s="32" t="s">
        <v>399</v>
      </c>
      <c r="R235" s="32" t="s">
        <v>399</v>
      </c>
      <c r="S235" s="32" t="s">
        <v>400</v>
      </c>
      <c r="T235" s="32" t="s">
        <v>400</v>
      </c>
      <c r="U235" s="32" t="s">
        <v>48</v>
      </c>
      <c r="V235" s="32" t="s">
        <v>400</v>
      </c>
      <c r="W235" s="32" t="s">
        <v>400</v>
      </c>
      <c r="X235" s="32" t="s">
        <v>400</v>
      </c>
      <c r="Y235" s="32" t="s">
        <v>48</v>
      </c>
      <c r="Z235" s="32" t="s">
        <v>48</v>
      </c>
      <c r="AA235" s="32" t="s">
        <v>48</v>
      </c>
      <c r="AB235" s="32" t="s">
        <v>48</v>
      </c>
      <c r="AC235" s="32" t="s">
        <v>48</v>
      </c>
      <c r="AD235" s="32"/>
      <c r="AE235" s="27" t="str">
        <f t="shared" ref="AE235:AE277" si="53">IF(F235="","","N")</f>
        <v>N</v>
      </c>
      <c r="AF235" s="32" t="s">
        <v>399</v>
      </c>
      <c r="AG235" s="32"/>
      <c r="AH235" s="33" t="s">
        <v>1231</v>
      </c>
      <c r="AI235" s="35">
        <v>5</v>
      </c>
      <c r="AJ235" s="57">
        <v>239</v>
      </c>
      <c r="AK235" s="33" t="s">
        <v>401</v>
      </c>
      <c r="AL235" s="10" t="s">
        <v>50</v>
      </c>
      <c r="AM235" s="6" t="str">
        <f t="shared" si="44"/>
        <v>14821/종합 수불현황 보고서/ stock/StockSummaryBalance</v>
      </c>
      <c r="AN235" s="30"/>
      <c r="AO235" s="30"/>
      <c r="AP235" s="30"/>
      <c r="AQ235" s="30"/>
      <c r="AR235" s="31"/>
      <c r="AS235" s="31"/>
      <c r="AT235" s="31"/>
      <c r="AU235" s="31"/>
      <c r="AV235" s="31"/>
      <c r="AW235" s="31"/>
      <c r="AX235" s="31"/>
      <c r="AY235" s="31"/>
    </row>
    <row r="236" spans="2:51" s="29" customFormat="1" ht="14.5">
      <c r="B236" s="5" t="str">
        <f t="shared" si="45"/>
        <v xml:space="preserve">        └ 재고 회전율 분석</v>
      </c>
      <c r="C236" s="33" t="s">
        <v>47</v>
      </c>
      <c r="D236" s="32"/>
      <c r="E236" s="33" t="s">
        <v>1235</v>
      </c>
      <c r="F236" s="44" t="s">
        <v>862</v>
      </c>
      <c r="G236" s="32"/>
      <c r="H236" s="32"/>
      <c r="I236" s="32"/>
      <c r="J236" s="34"/>
      <c r="K236" s="34"/>
      <c r="L236" s="27" t="str">
        <f t="shared" si="50"/>
        <v>1</v>
      </c>
      <c r="M236" s="27" t="str">
        <f t="shared" si="51"/>
        <v>1</v>
      </c>
      <c r="N236" s="32" t="s">
        <v>427</v>
      </c>
      <c r="O236" s="32" t="s">
        <v>589</v>
      </c>
      <c r="P236" s="27" t="str">
        <f t="shared" si="52"/>
        <v>1</v>
      </c>
      <c r="Q236" s="32" t="s">
        <v>399</v>
      </c>
      <c r="R236" s="32" t="s">
        <v>399</v>
      </c>
      <c r="S236" s="32" t="s">
        <v>399</v>
      </c>
      <c r="T236" s="32" t="s">
        <v>400</v>
      </c>
      <c r="U236" s="32" t="s">
        <v>48</v>
      </c>
      <c r="V236" s="32" t="s">
        <v>400</v>
      </c>
      <c r="W236" s="32" t="s">
        <v>400</v>
      </c>
      <c r="X236" s="32" t="s">
        <v>400</v>
      </c>
      <c r="Y236" s="32" t="s">
        <v>48</v>
      </c>
      <c r="Z236" s="32" t="s">
        <v>48</v>
      </c>
      <c r="AA236" s="32" t="s">
        <v>48</v>
      </c>
      <c r="AB236" s="32" t="s">
        <v>48</v>
      </c>
      <c r="AC236" s="32" t="s">
        <v>48</v>
      </c>
      <c r="AD236" s="32"/>
      <c r="AE236" s="27" t="str">
        <f t="shared" si="53"/>
        <v>N</v>
      </c>
      <c r="AF236" s="32" t="s">
        <v>399</v>
      </c>
      <c r="AG236" s="32"/>
      <c r="AH236" s="33" t="s">
        <v>1231</v>
      </c>
      <c r="AI236" s="35">
        <v>5</v>
      </c>
      <c r="AJ236" s="57">
        <v>240</v>
      </c>
      <c r="AK236" s="33" t="s">
        <v>401</v>
      </c>
      <c r="AL236" s="10" t="s">
        <v>50</v>
      </c>
      <c r="AM236" s="6" t="str">
        <f t="shared" si="44"/>
        <v>14821/재고 회전율 분석/ stock/StockTurnoverRate</v>
      </c>
      <c r="AN236" s="30"/>
      <c r="AO236" s="30"/>
      <c r="AP236" s="30"/>
      <c r="AQ236" s="30"/>
      <c r="AR236" s="31"/>
      <c r="AS236" s="31"/>
      <c r="AT236" s="31"/>
      <c r="AU236" s="31"/>
      <c r="AV236" s="31"/>
      <c r="AW236" s="31"/>
      <c r="AX236" s="31"/>
      <c r="AY236" s="31"/>
    </row>
    <row r="237" spans="2:51" s="29" customFormat="1" ht="14.5">
      <c r="B237" s="5" t="str">
        <f t="shared" si="45"/>
        <v xml:space="preserve">        └ 재고 위치 추적 현황</v>
      </c>
      <c r="C237" s="33" t="s">
        <v>47</v>
      </c>
      <c r="D237" s="32"/>
      <c r="E237" s="33" t="s">
        <v>1236</v>
      </c>
      <c r="F237" s="44" t="s">
        <v>864</v>
      </c>
      <c r="G237" s="32"/>
      <c r="H237" s="32"/>
      <c r="I237" s="32"/>
      <c r="J237" s="34"/>
      <c r="K237" s="34"/>
      <c r="L237" s="27" t="str">
        <f t="shared" si="50"/>
        <v>1</v>
      </c>
      <c r="M237" s="27" t="str">
        <f t="shared" si="51"/>
        <v>1</v>
      </c>
      <c r="N237" s="32" t="s">
        <v>427</v>
      </c>
      <c r="O237" s="32" t="s">
        <v>590</v>
      </c>
      <c r="P237" s="27" t="str">
        <f t="shared" si="52"/>
        <v>1</v>
      </c>
      <c r="Q237" s="32" t="s">
        <v>399</v>
      </c>
      <c r="R237" s="32" t="s">
        <v>399</v>
      </c>
      <c r="S237" s="32" t="s">
        <v>400</v>
      </c>
      <c r="T237" s="32" t="s">
        <v>400</v>
      </c>
      <c r="U237" s="32" t="s">
        <v>48</v>
      </c>
      <c r="V237" s="32" t="s">
        <v>400</v>
      </c>
      <c r="W237" s="32" t="s">
        <v>400</v>
      </c>
      <c r="X237" s="32" t="s">
        <v>400</v>
      </c>
      <c r="Y237" s="32" t="s">
        <v>48</v>
      </c>
      <c r="Z237" s="32" t="s">
        <v>48</v>
      </c>
      <c r="AA237" s="32" t="s">
        <v>48</v>
      </c>
      <c r="AB237" s="32" t="s">
        <v>48</v>
      </c>
      <c r="AC237" s="32" t="s">
        <v>48</v>
      </c>
      <c r="AD237" s="32"/>
      <c r="AE237" s="27" t="str">
        <f t="shared" si="53"/>
        <v>N</v>
      </c>
      <c r="AF237" s="32" t="s">
        <v>399</v>
      </c>
      <c r="AG237" s="32"/>
      <c r="AH237" s="33" t="s">
        <v>1231</v>
      </c>
      <c r="AI237" s="35">
        <v>5</v>
      </c>
      <c r="AJ237" s="57">
        <v>241</v>
      </c>
      <c r="AK237" s="33" t="s">
        <v>401</v>
      </c>
      <c r="AL237" s="10" t="s">
        <v>50</v>
      </c>
      <c r="AM237" s="6" t="str">
        <f t="shared" si="44"/>
        <v>14821/재고 위치 추적 현황/ stock/StockTrackingList</v>
      </c>
      <c r="AN237" s="30"/>
      <c r="AO237" s="30"/>
      <c r="AP237" s="30"/>
      <c r="AQ237" s="30"/>
      <c r="AR237" s="31"/>
      <c r="AS237" s="31"/>
      <c r="AT237" s="31"/>
      <c r="AU237" s="31"/>
      <c r="AV237" s="31"/>
      <c r="AW237" s="31"/>
      <c r="AX237" s="31"/>
      <c r="AY237" s="31"/>
    </row>
    <row r="238" spans="2:51" s="29" customFormat="1" ht="14.5">
      <c r="B238" s="5" t="str">
        <f t="shared" si="45"/>
        <v xml:space="preserve">    └ 기타 출고</v>
      </c>
      <c r="C238" s="33" t="s">
        <v>47</v>
      </c>
      <c r="D238" s="32"/>
      <c r="E238" s="9">
        <v>2060200</v>
      </c>
      <c r="F238" s="38" t="s">
        <v>1238</v>
      </c>
      <c r="G238" s="9"/>
      <c r="H238" s="9"/>
      <c r="I238" s="9"/>
      <c r="J238" s="9"/>
      <c r="K238" s="9"/>
      <c r="L238" s="9" t="str">
        <f t="shared" si="50"/>
        <v>1</v>
      </c>
      <c r="M238" s="9" t="str">
        <f t="shared" si="51"/>
        <v>0</v>
      </c>
      <c r="N238" s="38" t="s">
        <v>48</v>
      </c>
      <c r="O238" s="38"/>
      <c r="P238" s="9" t="str">
        <f t="shared" si="52"/>
        <v>1</v>
      </c>
      <c r="Q238" s="9" t="s">
        <v>986</v>
      </c>
      <c r="R238" s="9" t="s">
        <v>986</v>
      </c>
      <c r="S238" s="9" t="s">
        <v>986</v>
      </c>
      <c r="T238" s="9" t="s">
        <v>987</v>
      </c>
      <c r="U238" s="9" t="s">
        <v>985</v>
      </c>
      <c r="V238" s="9" t="s">
        <v>987</v>
      </c>
      <c r="W238" s="9" t="s">
        <v>987</v>
      </c>
      <c r="X238" s="9" t="s">
        <v>987</v>
      </c>
      <c r="Y238" s="9" t="s">
        <v>985</v>
      </c>
      <c r="Z238" s="9" t="s">
        <v>985</v>
      </c>
      <c r="AA238" s="9" t="s">
        <v>985</v>
      </c>
      <c r="AB238" s="9" t="s">
        <v>985</v>
      </c>
      <c r="AC238" s="9" t="s">
        <v>985</v>
      </c>
      <c r="AD238" s="9"/>
      <c r="AE238" s="9" t="str">
        <f t="shared" si="53"/>
        <v>N</v>
      </c>
      <c r="AF238" s="9" t="s">
        <v>986</v>
      </c>
      <c r="AG238" s="9"/>
      <c r="AH238" s="9">
        <v>2060000</v>
      </c>
      <c r="AI238" s="9">
        <v>4</v>
      </c>
      <c r="AJ238" s="57">
        <v>242</v>
      </c>
      <c r="AK238" s="10" t="s">
        <v>988</v>
      </c>
      <c r="AL238" s="10" t="s">
        <v>50</v>
      </c>
      <c r="AM238" s="6" t="str">
        <f t="shared" si="44"/>
        <v>14821/기타 출고/ /</v>
      </c>
      <c r="AN238" s="30"/>
      <c r="AO238" s="30"/>
      <c r="AP238" s="30"/>
      <c r="AQ238" s="30"/>
      <c r="AR238" s="31"/>
      <c r="AS238" s="31"/>
      <c r="AT238" s="31"/>
      <c r="AU238" s="31"/>
      <c r="AV238" s="31"/>
      <c r="AW238" s="31"/>
      <c r="AX238" s="31"/>
      <c r="AY238" s="31"/>
    </row>
    <row r="239" spans="2:51" s="29" customFormat="1" ht="14.5">
      <c r="B239" s="5" t="str">
        <f t="shared" ref="B239:B277" si="54">IF(AI239="","",IF(AI239=1,"",IF(AI239=2,"└ ",IF(AI239=3,"  └ ",IF(AI239=4,"    └ ",IF(AI239=5,"        └ ",IF(AI239=6,"           └ ",IF(AI239=7="             └ ",""))))))))&amp;F239</f>
        <v xml:space="preserve">        └ 출고 현황</v>
      </c>
      <c r="C239" s="33" t="s">
        <v>47</v>
      </c>
      <c r="D239" s="32"/>
      <c r="E239" s="33" t="s">
        <v>1243</v>
      </c>
      <c r="F239" s="44" t="s">
        <v>865</v>
      </c>
      <c r="G239" s="32"/>
      <c r="H239" s="32"/>
      <c r="I239" s="32"/>
      <c r="J239" s="34"/>
      <c r="K239" s="34"/>
      <c r="L239" s="27" t="str">
        <f t="shared" si="50"/>
        <v>1</v>
      </c>
      <c r="M239" s="27" t="str">
        <f t="shared" si="51"/>
        <v>1</v>
      </c>
      <c r="N239" s="32" t="s">
        <v>420</v>
      </c>
      <c r="O239" s="32" t="s">
        <v>579</v>
      </c>
      <c r="P239" s="27" t="str">
        <f t="shared" si="52"/>
        <v>1</v>
      </c>
      <c r="Q239" s="32" t="s">
        <v>399</v>
      </c>
      <c r="R239" s="32" t="s">
        <v>399</v>
      </c>
      <c r="S239" s="32" t="s">
        <v>399</v>
      </c>
      <c r="T239" s="32" t="s">
        <v>400</v>
      </c>
      <c r="U239" s="32" t="s">
        <v>48</v>
      </c>
      <c r="V239" s="32" t="s">
        <v>400</v>
      </c>
      <c r="W239" s="32" t="s">
        <v>400</v>
      </c>
      <c r="X239" s="32" t="s">
        <v>400</v>
      </c>
      <c r="Y239" s="32" t="s">
        <v>48</v>
      </c>
      <c r="Z239" s="32" t="s">
        <v>48</v>
      </c>
      <c r="AA239" s="32" t="s">
        <v>48</v>
      </c>
      <c r="AB239" s="32" t="s">
        <v>48</v>
      </c>
      <c r="AC239" s="32" t="s">
        <v>48</v>
      </c>
      <c r="AD239" s="32"/>
      <c r="AE239" s="27" t="str">
        <f t="shared" si="53"/>
        <v>N</v>
      </c>
      <c r="AF239" s="32" t="s">
        <v>399</v>
      </c>
      <c r="AG239" s="32"/>
      <c r="AH239" s="33" t="s">
        <v>1246</v>
      </c>
      <c r="AI239" s="35">
        <v>5</v>
      </c>
      <c r="AJ239" s="57">
        <v>243</v>
      </c>
      <c r="AK239" s="33" t="s">
        <v>401</v>
      </c>
      <c r="AL239" s="10" t="s">
        <v>50</v>
      </c>
      <c r="AM239" s="6" t="str">
        <f t="shared" si="44"/>
        <v>14821/출고 현황/ sale/SaleList</v>
      </c>
      <c r="AN239" s="30"/>
      <c r="AO239" s="30"/>
      <c r="AP239" s="30"/>
      <c r="AQ239" s="30"/>
      <c r="AR239" s="31"/>
      <c r="AS239" s="31"/>
      <c r="AT239" s="31"/>
      <c r="AU239" s="31"/>
      <c r="AV239" s="31"/>
      <c r="AW239" s="31"/>
      <c r="AX239" s="31"/>
      <c r="AY239" s="31"/>
    </row>
    <row r="240" spans="2:51" s="29" customFormat="1" ht="14.5">
      <c r="B240" s="5" t="str">
        <f t="shared" si="54"/>
        <v xml:space="preserve">        └ 기타 출고/소모품 관리</v>
      </c>
      <c r="C240" s="33" t="s">
        <v>47</v>
      </c>
      <c r="D240" s="32"/>
      <c r="E240" s="33" t="s">
        <v>1244</v>
      </c>
      <c r="F240" s="44" t="s">
        <v>866</v>
      </c>
      <c r="G240" s="32"/>
      <c r="H240" s="32"/>
      <c r="I240" s="32"/>
      <c r="J240" s="34"/>
      <c r="K240" s="34"/>
      <c r="L240" s="27" t="str">
        <f t="shared" si="50"/>
        <v>1</v>
      </c>
      <c r="M240" s="27" t="str">
        <f t="shared" si="51"/>
        <v>1</v>
      </c>
      <c r="N240" s="32" t="s">
        <v>427</v>
      </c>
      <c r="O240" s="32" t="s">
        <v>591</v>
      </c>
      <c r="P240" s="27" t="str">
        <f t="shared" si="52"/>
        <v>1</v>
      </c>
      <c r="Q240" s="32" t="s">
        <v>400</v>
      </c>
      <c r="R240" s="32" t="s">
        <v>399</v>
      </c>
      <c r="S240" s="32" t="s">
        <v>400</v>
      </c>
      <c r="T240" s="32" t="s">
        <v>400</v>
      </c>
      <c r="U240" s="32" t="s">
        <v>48</v>
      </c>
      <c r="V240" s="32" t="s">
        <v>400</v>
      </c>
      <c r="W240" s="32" t="s">
        <v>400</v>
      </c>
      <c r="X240" s="32" t="s">
        <v>400</v>
      </c>
      <c r="Y240" s="32" t="s">
        <v>48</v>
      </c>
      <c r="Z240" s="32" t="s">
        <v>48</v>
      </c>
      <c r="AA240" s="32" t="s">
        <v>48</v>
      </c>
      <c r="AB240" s="32" t="s">
        <v>48</v>
      </c>
      <c r="AC240" s="32" t="s">
        <v>48</v>
      </c>
      <c r="AD240" s="32"/>
      <c r="AE240" s="27" t="str">
        <f t="shared" si="53"/>
        <v>N</v>
      </c>
      <c r="AF240" s="32" t="s">
        <v>399</v>
      </c>
      <c r="AG240" s="32"/>
      <c r="AH240" s="33" t="s">
        <v>1246</v>
      </c>
      <c r="AI240" s="35">
        <v>5</v>
      </c>
      <c r="AJ240" s="57">
        <v>244</v>
      </c>
      <c r="AK240" s="33" t="s">
        <v>401</v>
      </c>
      <c r="AL240" s="10" t="s">
        <v>50</v>
      </c>
      <c r="AM240" s="6" t="str">
        <f t="shared" si="44"/>
        <v>14821/기타 출고/소모품 관리/ stock/EtcOutWork</v>
      </c>
      <c r="AN240" s="30"/>
      <c r="AO240" s="30"/>
      <c r="AP240" s="30"/>
      <c r="AQ240" s="30"/>
      <c r="AR240" s="31"/>
      <c r="AS240" s="31"/>
      <c r="AT240" s="31"/>
      <c r="AU240" s="31"/>
      <c r="AV240" s="31"/>
      <c r="AW240" s="31"/>
      <c r="AX240" s="31"/>
      <c r="AY240" s="31"/>
    </row>
    <row r="241" spans="2:51" s="29" customFormat="1" ht="14.5">
      <c r="B241" s="5" t="str">
        <f t="shared" si="54"/>
        <v xml:space="preserve">        └ 기타 출고/소모품 현황</v>
      </c>
      <c r="C241" s="33" t="s">
        <v>47</v>
      </c>
      <c r="D241" s="32"/>
      <c r="E241" s="33" t="s">
        <v>1245</v>
      </c>
      <c r="F241" s="44" t="s">
        <v>867</v>
      </c>
      <c r="G241" s="32"/>
      <c r="H241" s="32"/>
      <c r="I241" s="32"/>
      <c r="J241" s="34"/>
      <c r="K241" s="34"/>
      <c r="L241" s="27" t="str">
        <f t="shared" si="50"/>
        <v>1</v>
      </c>
      <c r="M241" s="27" t="str">
        <f t="shared" si="51"/>
        <v>1</v>
      </c>
      <c r="N241" s="32" t="s">
        <v>427</v>
      </c>
      <c r="O241" s="32" t="s">
        <v>592</v>
      </c>
      <c r="P241" s="27" t="str">
        <f t="shared" si="52"/>
        <v>1</v>
      </c>
      <c r="Q241" s="32" t="s">
        <v>399</v>
      </c>
      <c r="R241" s="32" t="s">
        <v>399</v>
      </c>
      <c r="S241" s="32" t="s">
        <v>400</v>
      </c>
      <c r="T241" s="32" t="s">
        <v>400</v>
      </c>
      <c r="U241" s="32" t="s">
        <v>48</v>
      </c>
      <c r="V241" s="32" t="s">
        <v>400</v>
      </c>
      <c r="W241" s="32" t="s">
        <v>400</v>
      </c>
      <c r="X241" s="32" t="s">
        <v>400</v>
      </c>
      <c r="Y241" s="32" t="s">
        <v>48</v>
      </c>
      <c r="Z241" s="32" t="s">
        <v>48</v>
      </c>
      <c r="AA241" s="32" t="s">
        <v>48</v>
      </c>
      <c r="AB241" s="32" t="s">
        <v>48</v>
      </c>
      <c r="AC241" s="32" t="s">
        <v>48</v>
      </c>
      <c r="AD241" s="32"/>
      <c r="AE241" s="27" t="str">
        <f t="shared" si="53"/>
        <v>N</v>
      </c>
      <c r="AF241" s="32" t="s">
        <v>399</v>
      </c>
      <c r="AG241" s="32"/>
      <c r="AH241" s="33" t="s">
        <v>1246</v>
      </c>
      <c r="AI241" s="35">
        <v>5</v>
      </c>
      <c r="AJ241" s="57">
        <v>245</v>
      </c>
      <c r="AK241" s="33" t="s">
        <v>401</v>
      </c>
      <c r="AL241" s="10" t="s">
        <v>50</v>
      </c>
      <c r="AM241" s="6" t="str">
        <f t="shared" si="44"/>
        <v>14821/기타 출고/소모품 현황/ stock/EtcOutList</v>
      </c>
      <c r="AN241" s="30"/>
      <c r="AO241" s="30"/>
      <c r="AP241" s="30"/>
      <c r="AQ241" s="30"/>
      <c r="AR241" s="31"/>
      <c r="AS241" s="31"/>
      <c r="AT241" s="31"/>
      <c r="AU241" s="31"/>
      <c r="AV241" s="31"/>
      <c r="AW241" s="31"/>
      <c r="AX241" s="31"/>
      <c r="AY241" s="31"/>
    </row>
    <row r="242" spans="2:51" s="29" customFormat="1" ht="14.5">
      <c r="B242" s="5" t="str">
        <f t="shared" si="54"/>
        <v xml:space="preserve">    └ 재고 실사</v>
      </c>
      <c r="C242" s="33" t="s">
        <v>47</v>
      </c>
      <c r="D242" s="32"/>
      <c r="E242" s="9">
        <v>2060300</v>
      </c>
      <c r="F242" s="38" t="s">
        <v>1239</v>
      </c>
      <c r="G242" s="9"/>
      <c r="H242" s="9"/>
      <c r="I242" s="9"/>
      <c r="J242" s="9"/>
      <c r="K242" s="9"/>
      <c r="L242" s="9" t="str">
        <f t="shared" si="50"/>
        <v>1</v>
      </c>
      <c r="M242" s="9" t="str">
        <f t="shared" si="51"/>
        <v>0</v>
      </c>
      <c r="N242" s="38" t="s">
        <v>48</v>
      </c>
      <c r="O242" s="38"/>
      <c r="P242" s="9" t="str">
        <f t="shared" si="52"/>
        <v>1</v>
      </c>
      <c r="Q242" s="9" t="s">
        <v>986</v>
      </c>
      <c r="R242" s="9" t="s">
        <v>986</v>
      </c>
      <c r="S242" s="9" t="s">
        <v>986</v>
      </c>
      <c r="T242" s="9" t="s">
        <v>987</v>
      </c>
      <c r="U242" s="9" t="s">
        <v>985</v>
      </c>
      <c r="V242" s="9" t="s">
        <v>987</v>
      </c>
      <c r="W242" s="9" t="s">
        <v>987</v>
      </c>
      <c r="X242" s="9" t="s">
        <v>987</v>
      </c>
      <c r="Y242" s="9" t="s">
        <v>985</v>
      </c>
      <c r="Z242" s="9" t="s">
        <v>985</v>
      </c>
      <c r="AA242" s="9" t="s">
        <v>985</v>
      </c>
      <c r="AB242" s="9" t="s">
        <v>985</v>
      </c>
      <c r="AC242" s="9" t="s">
        <v>985</v>
      </c>
      <c r="AD242" s="9"/>
      <c r="AE242" s="9" t="str">
        <f t="shared" si="53"/>
        <v>N</v>
      </c>
      <c r="AF242" s="9" t="s">
        <v>986</v>
      </c>
      <c r="AG242" s="9"/>
      <c r="AH242" s="9">
        <v>2060000</v>
      </c>
      <c r="AI242" s="9">
        <v>4</v>
      </c>
      <c r="AJ242" s="57">
        <v>246</v>
      </c>
      <c r="AK242" s="10" t="s">
        <v>988</v>
      </c>
      <c r="AL242" s="10" t="s">
        <v>50</v>
      </c>
      <c r="AM242" s="6" t="str">
        <f t="shared" si="44"/>
        <v>14821/재고 실사/ /</v>
      </c>
      <c r="AN242" s="30"/>
      <c r="AO242" s="30"/>
      <c r="AP242" s="30"/>
      <c r="AQ242" s="30"/>
      <c r="AR242" s="31"/>
      <c r="AS242" s="31"/>
      <c r="AT242" s="31"/>
      <c r="AU242" s="31"/>
      <c r="AV242" s="31"/>
      <c r="AW242" s="31"/>
      <c r="AX242" s="31"/>
      <c r="AY242" s="31"/>
    </row>
    <row r="243" spans="2:51" s="29" customFormat="1" ht="14.5">
      <c r="B243" s="5" t="str">
        <f t="shared" si="54"/>
        <v xml:space="preserve">        └ 재고실사 관리</v>
      </c>
      <c r="C243" s="33" t="s">
        <v>47</v>
      </c>
      <c r="D243" s="32"/>
      <c r="E243" s="33" t="s">
        <v>1247</v>
      </c>
      <c r="F243" s="44" t="s">
        <v>868</v>
      </c>
      <c r="G243" s="32"/>
      <c r="H243" s="32"/>
      <c r="I243" s="32"/>
      <c r="J243" s="34"/>
      <c r="K243" s="34"/>
      <c r="L243" s="27" t="str">
        <f t="shared" si="50"/>
        <v>1</v>
      </c>
      <c r="M243" s="27" t="str">
        <f t="shared" si="51"/>
        <v>1</v>
      </c>
      <c r="N243" s="32" t="s">
        <v>427</v>
      </c>
      <c r="O243" s="32" t="s">
        <v>593</v>
      </c>
      <c r="P243" s="27" t="str">
        <f t="shared" si="52"/>
        <v>1</v>
      </c>
      <c r="Q243" s="32" t="s">
        <v>399</v>
      </c>
      <c r="R243" s="32" t="s">
        <v>399</v>
      </c>
      <c r="S243" s="32" t="s">
        <v>399</v>
      </c>
      <c r="T243" s="32" t="s">
        <v>400</v>
      </c>
      <c r="U243" s="32" t="s">
        <v>48</v>
      </c>
      <c r="V243" s="32" t="s">
        <v>400</v>
      </c>
      <c r="W243" s="32" t="s">
        <v>400</v>
      </c>
      <c r="X243" s="32" t="s">
        <v>400</v>
      </c>
      <c r="Y243" s="32" t="s">
        <v>48</v>
      </c>
      <c r="Z243" s="32" t="s">
        <v>48</v>
      </c>
      <c r="AA243" s="32" t="s">
        <v>48</v>
      </c>
      <c r="AB243" s="32" t="s">
        <v>48</v>
      </c>
      <c r="AC243" s="32" t="s">
        <v>48</v>
      </c>
      <c r="AD243" s="32"/>
      <c r="AE243" s="27" t="str">
        <f t="shared" si="53"/>
        <v>N</v>
      </c>
      <c r="AF243" s="32" t="s">
        <v>399</v>
      </c>
      <c r="AG243" s="32"/>
      <c r="AH243" s="33" t="s">
        <v>1255</v>
      </c>
      <c r="AI243" s="35">
        <v>5</v>
      </c>
      <c r="AJ243" s="57">
        <v>247</v>
      </c>
      <c r="AK243" s="33" t="s">
        <v>401</v>
      </c>
      <c r="AL243" s="10" t="s">
        <v>50</v>
      </c>
      <c r="AM243" s="6" t="str">
        <f t="shared" si="44"/>
        <v>14821/재고실사 관리/ stock/StockCheckWork</v>
      </c>
      <c r="AN243" s="30"/>
      <c r="AO243" s="30"/>
      <c r="AP243" s="30"/>
      <c r="AQ243" s="30"/>
      <c r="AR243" s="31"/>
      <c r="AS243" s="31"/>
      <c r="AT243" s="31"/>
      <c r="AU243" s="31"/>
      <c r="AV243" s="31"/>
      <c r="AW243" s="31"/>
      <c r="AX243" s="31"/>
      <c r="AY243" s="31"/>
    </row>
    <row r="244" spans="2:51" s="29" customFormat="1" ht="14.5">
      <c r="B244" s="5" t="str">
        <f t="shared" si="54"/>
        <v xml:space="preserve">        └ 재고실사 엑셀 업로드</v>
      </c>
      <c r="C244" s="33" t="s">
        <v>47</v>
      </c>
      <c r="D244" s="32"/>
      <c r="E244" s="33" t="s">
        <v>1248</v>
      </c>
      <c r="F244" s="44" t="s">
        <v>869</v>
      </c>
      <c r="G244" s="32"/>
      <c r="H244" s="32"/>
      <c r="I244" s="32"/>
      <c r="J244" s="34"/>
      <c r="K244" s="34"/>
      <c r="L244" s="27" t="str">
        <f t="shared" si="50"/>
        <v>1</v>
      </c>
      <c r="M244" s="27" t="str">
        <f t="shared" si="51"/>
        <v>1</v>
      </c>
      <c r="N244" s="32" t="s">
        <v>427</v>
      </c>
      <c r="O244" s="32" t="s">
        <v>594</v>
      </c>
      <c r="P244" s="27" t="str">
        <f t="shared" si="52"/>
        <v>1</v>
      </c>
      <c r="Q244" s="32" t="s">
        <v>399</v>
      </c>
      <c r="R244" s="32" t="s">
        <v>399</v>
      </c>
      <c r="S244" s="32" t="s">
        <v>399</v>
      </c>
      <c r="T244" s="32" t="s">
        <v>400</v>
      </c>
      <c r="U244" s="32" t="s">
        <v>48</v>
      </c>
      <c r="V244" s="32" t="s">
        <v>400</v>
      </c>
      <c r="W244" s="32" t="s">
        <v>400</v>
      </c>
      <c r="X244" s="32" t="s">
        <v>400</v>
      </c>
      <c r="Y244" s="32" t="s">
        <v>48</v>
      </c>
      <c r="Z244" s="32" t="s">
        <v>48</v>
      </c>
      <c r="AA244" s="32" t="s">
        <v>48</v>
      </c>
      <c r="AB244" s="32" t="s">
        <v>48</v>
      </c>
      <c r="AC244" s="32" t="s">
        <v>48</v>
      </c>
      <c r="AD244" s="32"/>
      <c r="AE244" s="27" t="str">
        <f t="shared" si="53"/>
        <v>N</v>
      </c>
      <c r="AF244" s="32" t="s">
        <v>399</v>
      </c>
      <c r="AG244" s="32"/>
      <c r="AH244" s="33" t="s">
        <v>1255</v>
      </c>
      <c r="AI244" s="35">
        <v>5</v>
      </c>
      <c r="AJ244" s="57">
        <v>248</v>
      </c>
      <c r="AK244" s="33" t="s">
        <v>401</v>
      </c>
      <c r="AL244" s="10" t="s">
        <v>50</v>
      </c>
      <c r="AM244" s="6" t="str">
        <f t="shared" si="44"/>
        <v>14821/재고실사 엑셀 업로드/ stock/StockUploadExcel</v>
      </c>
      <c r="AN244" s="30"/>
      <c r="AO244" s="30"/>
      <c r="AP244" s="30"/>
      <c r="AQ244" s="30"/>
      <c r="AR244" s="31"/>
      <c r="AS244" s="31"/>
      <c r="AT244" s="31"/>
      <c r="AU244" s="31"/>
      <c r="AV244" s="31"/>
      <c r="AW244" s="31"/>
      <c r="AX244" s="31"/>
      <c r="AY244" s="31"/>
    </row>
    <row r="245" spans="2:51" s="29" customFormat="1" ht="14.5">
      <c r="B245" s="5" t="str">
        <f t="shared" si="54"/>
        <v xml:space="preserve">        └ 재고실사관리(Manager)</v>
      </c>
      <c r="C245" s="33" t="s">
        <v>47</v>
      </c>
      <c r="D245" s="32"/>
      <c r="E245" s="33" t="s">
        <v>1249</v>
      </c>
      <c r="F245" s="44" t="s">
        <v>870</v>
      </c>
      <c r="G245" s="32"/>
      <c r="H245" s="32"/>
      <c r="I245" s="32"/>
      <c r="J245" s="34"/>
      <c r="K245" s="34"/>
      <c r="L245" s="27" t="str">
        <f t="shared" si="50"/>
        <v>1</v>
      </c>
      <c r="M245" s="27" t="str">
        <f t="shared" si="51"/>
        <v>1</v>
      </c>
      <c r="N245" s="32" t="s">
        <v>427</v>
      </c>
      <c r="O245" s="32" t="s">
        <v>595</v>
      </c>
      <c r="P245" s="27" t="str">
        <f t="shared" si="52"/>
        <v>1</v>
      </c>
      <c r="Q245" s="32" t="s">
        <v>400</v>
      </c>
      <c r="R245" s="32" t="s">
        <v>400</v>
      </c>
      <c r="S245" s="32" t="s">
        <v>400</v>
      </c>
      <c r="T245" s="32" t="s">
        <v>400</v>
      </c>
      <c r="U245" s="32" t="s">
        <v>48</v>
      </c>
      <c r="V245" s="32" t="s">
        <v>400</v>
      </c>
      <c r="W245" s="32" t="s">
        <v>399</v>
      </c>
      <c r="X245" s="32" t="s">
        <v>399</v>
      </c>
      <c r="Y245" s="32" t="s">
        <v>48</v>
      </c>
      <c r="Z245" s="32" t="s">
        <v>48</v>
      </c>
      <c r="AA245" s="32" t="s">
        <v>48</v>
      </c>
      <c r="AB245" s="32" t="s">
        <v>48</v>
      </c>
      <c r="AC245" s="32" t="s">
        <v>48</v>
      </c>
      <c r="AD245" s="32"/>
      <c r="AE245" s="27" t="str">
        <f t="shared" si="53"/>
        <v>N</v>
      </c>
      <c r="AF245" s="32" t="s">
        <v>399</v>
      </c>
      <c r="AG245" s="32"/>
      <c r="AH245" s="33" t="s">
        <v>1255</v>
      </c>
      <c r="AI245" s="35">
        <v>5</v>
      </c>
      <c r="AJ245" s="57">
        <v>249</v>
      </c>
      <c r="AK245" s="33" t="s">
        <v>401</v>
      </c>
      <c r="AL245" s="10" t="s">
        <v>50</v>
      </c>
      <c r="AM245" s="6" t="str">
        <f t="shared" si="44"/>
        <v>14821/재고실사관리(Manager)/ stock/StockCountManager</v>
      </c>
      <c r="AN245" s="30"/>
      <c r="AO245" s="30"/>
      <c r="AP245" s="30"/>
      <c r="AQ245" s="30"/>
      <c r="AR245" s="31"/>
      <c r="AS245" s="31"/>
      <c r="AT245" s="31"/>
      <c r="AU245" s="31"/>
      <c r="AV245" s="31"/>
      <c r="AW245" s="31"/>
      <c r="AX245" s="31"/>
      <c r="AY245" s="31"/>
    </row>
    <row r="246" spans="2:51" s="29" customFormat="1" ht="14.5">
      <c r="B246" s="5" t="str">
        <f t="shared" si="54"/>
        <v xml:space="preserve">        └ 재고 실사 계획 관리</v>
      </c>
      <c r="C246" s="33" t="s">
        <v>47</v>
      </c>
      <c r="D246" s="32"/>
      <c r="E246" s="33" t="s">
        <v>1250</v>
      </c>
      <c r="F246" s="44" t="s">
        <v>871</v>
      </c>
      <c r="G246" s="32"/>
      <c r="H246" s="32"/>
      <c r="I246" s="32"/>
      <c r="J246" s="34"/>
      <c r="K246" s="34"/>
      <c r="L246" s="27" t="str">
        <f t="shared" si="50"/>
        <v>1</v>
      </c>
      <c r="M246" s="27" t="str">
        <f t="shared" si="51"/>
        <v>1</v>
      </c>
      <c r="N246" s="32" t="s">
        <v>427</v>
      </c>
      <c r="O246" s="32" t="s">
        <v>595</v>
      </c>
      <c r="P246" s="27" t="str">
        <f t="shared" si="52"/>
        <v>1</v>
      </c>
      <c r="Q246" s="32" t="s">
        <v>400</v>
      </c>
      <c r="R246" s="32" t="s">
        <v>399</v>
      </c>
      <c r="S246" s="32" t="s">
        <v>400</v>
      </c>
      <c r="T246" s="32" t="s">
        <v>400</v>
      </c>
      <c r="U246" s="32" t="s">
        <v>48</v>
      </c>
      <c r="V246" s="32" t="s">
        <v>400</v>
      </c>
      <c r="W246" s="32" t="s">
        <v>400</v>
      </c>
      <c r="X246" s="32" t="s">
        <v>400</v>
      </c>
      <c r="Y246" s="32" t="s">
        <v>48</v>
      </c>
      <c r="Z246" s="32" t="s">
        <v>48</v>
      </c>
      <c r="AA246" s="32" t="s">
        <v>48</v>
      </c>
      <c r="AB246" s="32" t="s">
        <v>48</v>
      </c>
      <c r="AC246" s="32" t="s">
        <v>48</v>
      </c>
      <c r="AD246" s="32"/>
      <c r="AE246" s="27" t="str">
        <f t="shared" si="53"/>
        <v>N</v>
      </c>
      <c r="AF246" s="32" t="s">
        <v>399</v>
      </c>
      <c r="AG246" s="32"/>
      <c r="AH246" s="33" t="s">
        <v>1255</v>
      </c>
      <c r="AI246" s="35">
        <v>5</v>
      </c>
      <c r="AJ246" s="57">
        <v>250</v>
      </c>
      <c r="AK246" s="33" t="s">
        <v>401</v>
      </c>
      <c r="AL246" s="10" t="s">
        <v>50</v>
      </c>
      <c r="AM246" s="6" t="str">
        <f t="shared" si="44"/>
        <v>14821/재고 실사 계획 관리/ stock/StockCountManager</v>
      </c>
      <c r="AN246" s="30"/>
      <c r="AO246" s="30"/>
      <c r="AP246" s="30"/>
      <c r="AQ246" s="30"/>
      <c r="AR246" s="31"/>
      <c r="AS246" s="31"/>
      <c r="AT246" s="31"/>
      <c r="AU246" s="31"/>
      <c r="AV246" s="31"/>
      <c r="AW246" s="31"/>
      <c r="AX246" s="31"/>
      <c r="AY246" s="31"/>
    </row>
    <row r="247" spans="2:51" s="29" customFormat="1" ht="14.5">
      <c r="B247" s="5" t="str">
        <f t="shared" si="54"/>
        <v xml:space="preserve">        └ 재고 실사 등록</v>
      </c>
      <c r="C247" s="33" t="s">
        <v>47</v>
      </c>
      <c r="D247" s="32"/>
      <c r="E247" s="33" t="s">
        <v>1251</v>
      </c>
      <c r="F247" s="44" t="s">
        <v>872</v>
      </c>
      <c r="G247" s="32"/>
      <c r="H247" s="32"/>
      <c r="I247" s="32"/>
      <c r="J247" s="34"/>
      <c r="K247" s="34"/>
      <c r="L247" s="27" t="str">
        <f t="shared" si="50"/>
        <v>1</v>
      </c>
      <c r="M247" s="27" t="str">
        <f t="shared" si="51"/>
        <v>1</v>
      </c>
      <c r="N247" s="32" t="s">
        <v>427</v>
      </c>
      <c r="O247" s="32" t="s">
        <v>596</v>
      </c>
      <c r="P247" s="27" t="str">
        <f t="shared" si="52"/>
        <v>1</v>
      </c>
      <c r="Q247" s="32" t="s">
        <v>400</v>
      </c>
      <c r="R247" s="32" t="s">
        <v>399</v>
      </c>
      <c r="S247" s="32" t="s">
        <v>400</v>
      </c>
      <c r="T247" s="32" t="s">
        <v>400</v>
      </c>
      <c r="U247" s="32" t="s">
        <v>48</v>
      </c>
      <c r="V247" s="32" t="s">
        <v>400</v>
      </c>
      <c r="W247" s="32" t="s">
        <v>400</v>
      </c>
      <c r="X247" s="32" t="s">
        <v>400</v>
      </c>
      <c r="Y247" s="32" t="s">
        <v>48</v>
      </c>
      <c r="Z247" s="32" t="s">
        <v>48</v>
      </c>
      <c r="AA247" s="32" t="s">
        <v>48</v>
      </c>
      <c r="AB247" s="32" t="s">
        <v>48</v>
      </c>
      <c r="AC247" s="32" t="s">
        <v>48</v>
      </c>
      <c r="AD247" s="32"/>
      <c r="AE247" s="27" t="str">
        <f t="shared" si="53"/>
        <v>N</v>
      </c>
      <c r="AF247" s="32" t="s">
        <v>399</v>
      </c>
      <c r="AG247" s="32"/>
      <c r="AH247" s="33" t="s">
        <v>1255</v>
      </c>
      <c r="AI247" s="35">
        <v>5</v>
      </c>
      <c r="AJ247" s="57">
        <v>251</v>
      </c>
      <c r="AK247" s="33" t="s">
        <v>401</v>
      </c>
      <c r="AL247" s="10" t="s">
        <v>50</v>
      </c>
      <c r="AM247" s="6" t="str">
        <f t="shared" si="44"/>
        <v>14821/재고 실사 등록/ stock/StockCountWork</v>
      </c>
      <c r="AN247" s="30"/>
      <c r="AO247" s="30"/>
      <c r="AP247" s="30"/>
      <c r="AQ247" s="30"/>
      <c r="AR247" s="31"/>
      <c r="AS247" s="31"/>
      <c r="AT247" s="31"/>
      <c r="AU247" s="31"/>
      <c r="AV247" s="31"/>
      <c r="AW247" s="31"/>
      <c r="AX247" s="31"/>
      <c r="AY247" s="31"/>
    </row>
    <row r="248" spans="2:51" s="29" customFormat="1" ht="14.5">
      <c r="B248" s="5" t="str">
        <f t="shared" si="54"/>
        <v xml:space="preserve">        └ 재고 실사 ?확정</v>
      </c>
      <c r="C248" s="33" t="s">
        <v>47</v>
      </c>
      <c r="D248" s="32"/>
      <c r="E248" s="33" t="s">
        <v>1252</v>
      </c>
      <c r="F248" s="44" t="s">
        <v>873</v>
      </c>
      <c r="G248" s="32"/>
      <c r="H248" s="32"/>
      <c r="I248" s="32"/>
      <c r="J248" s="34"/>
      <c r="K248" s="34"/>
      <c r="L248" s="27" t="str">
        <f t="shared" si="50"/>
        <v>1</v>
      </c>
      <c r="M248" s="27" t="str">
        <f t="shared" si="51"/>
        <v>1</v>
      </c>
      <c r="N248" s="32" t="s">
        <v>427</v>
      </c>
      <c r="O248" s="32" t="s">
        <v>597</v>
      </c>
      <c r="P248" s="27" t="str">
        <f t="shared" si="52"/>
        <v>1</v>
      </c>
      <c r="Q248" s="32" t="s">
        <v>399</v>
      </c>
      <c r="R248" s="32" t="s">
        <v>399</v>
      </c>
      <c r="S248" s="32" t="s">
        <v>400</v>
      </c>
      <c r="T248" s="32" t="s">
        <v>400</v>
      </c>
      <c r="U248" s="32" t="s">
        <v>48</v>
      </c>
      <c r="V248" s="32" t="s">
        <v>400</v>
      </c>
      <c r="W248" s="32" t="s">
        <v>400</v>
      </c>
      <c r="X248" s="32" t="s">
        <v>400</v>
      </c>
      <c r="Y248" s="32" t="s">
        <v>48</v>
      </c>
      <c r="Z248" s="32" t="s">
        <v>48</v>
      </c>
      <c r="AA248" s="32" t="s">
        <v>48</v>
      </c>
      <c r="AB248" s="32" t="s">
        <v>48</v>
      </c>
      <c r="AC248" s="32" t="s">
        <v>48</v>
      </c>
      <c r="AD248" s="32"/>
      <c r="AE248" s="27" t="str">
        <f t="shared" si="53"/>
        <v>N</v>
      </c>
      <c r="AF248" s="32" t="s">
        <v>399</v>
      </c>
      <c r="AG248" s="32"/>
      <c r="AH248" s="33" t="s">
        <v>1255</v>
      </c>
      <c r="AI248" s="35">
        <v>5</v>
      </c>
      <c r="AJ248" s="57">
        <v>252</v>
      </c>
      <c r="AK248" s="33" t="s">
        <v>401</v>
      </c>
      <c r="AL248" s="10" t="s">
        <v>50</v>
      </c>
      <c r="AM248" s="6" t="str">
        <f t="shared" si="44"/>
        <v>14821/재고 실사 ?확정/ stock/StockCountConfirm</v>
      </c>
      <c r="AN248" s="30"/>
      <c r="AO248" s="30"/>
      <c r="AP248" s="30"/>
      <c r="AQ248" s="30"/>
      <c r="AR248" s="31"/>
      <c r="AS248" s="31"/>
      <c r="AT248" s="31"/>
      <c r="AU248" s="31"/>
      <c r="AV248" s="31"/>
      <c r="AW248" s="31"/>
      <c r="AX248" s="31"/>
      <c r="AY248" s="31"/>
    </row>
    <row r="249" spans="2:51" s="29" customFormat="1" ht="14.5">
      <c r="B249" s="5" t="str">
        <f t="shared" si="54"/>
        <v xml:space="preserve">        └ 부분 실사 계획 관리</v>
      </c>
      <c r="C249" s="33" t="s">
        <v>47</v>
      </c>
      <c r="D249" s="32"/>
      <c r="E249" s="33" t="s">
        <v>1253</v>
      </c>
      <c r="F249" s="44" t="s">
        <v>874</v>
      </c>
      <c r="G249" s="32"/>
      <c r="H249" s="32"/>
      <c r="I249" s="32"/>
      <c r="J249" s="34"/>
      <c r="K249" s="34"/>
      <c r="L249" s="27" t="str">
        <f t="shared" si="50"/>
        <v>1</v>
      </c>
      <c r="M249" s="27" t="str">
        <f t="shared" si="51"/>
        <v>1</v>
      </c>
      <c r="N249" s="32" t="s">
        <v>427</v>
      </c>
      <c r="O249" s="32" t="s">
        <v>598</v>
      </c>
      <c r="P249" s="27" t="str">
        <f t="shared" si="52"/>
        <v>1</v>
      </c>
      <c r="Q249" s="32" t="s">
        <v>400</v>
      </c>
      <c r="R249" s="32" t="s">
        <v>399</v>
      </c>
      <c r="S249" s="32" t="s">
        <v>400</v>
      </c>
      <c r="T249" s="32" t="s">
        <v>400</v>
      </c>
      <c r="U249" s="32" t="s">
        <v>48</v>
      </c>
      <c r="V249" s="32" t="s">
        <v>400</v>
      </c>
      <c r="W249" s="32" t="s">
        <v>400</v>
      </c>
      <c r="X249" s="32" t="s">
        <v>400</v>
      </c>
      <c r="Y249" s="32" t="s">
        <v>48</v>
      </c>
      <c r="Z249" s="32" t="s">
        <v>48</v>
      </c>
      <c r="AA249" s="32" t="s">
        <v>48</v>
      </c>
      <c r="AB249" s="32" t="s">
        <v>48</v>
      </c>
      <c r="AC249" s="32" t="s">
        <v>48</v>
      </c>
      <c r="AD249" s="32"/>
      <c r="AE249" s="27" t="str">
        <f t="shared" si="53"/>
        <v>N</v>
      </c>
      <c r="AF249" s="32" t="s">
        <v>399</v>
      </c>
      <c r="AG249" s="32"/>
      <c r="AH249" s="33" t="s">
        <v>1255</v>
      </c>
      <c r="AI249" s="35">
        <v>5</v>
      </c>
      <c r="AJ249" s="57">
        <v>253</v>
      </c>
      <c r="AK249" s="33" t="s">
        <v>401</v>
      </c>
      <c r="AL249" s="10" t="s">
        <v>50</v>
      </c>
      <c r="AM249" s="6" t="str">
        <f t="shared" si="44"/>
        <v>14821/부분 실사 계획 관리/ stock/StockCountPartManager</v>
      </c>
      <c r="AN249" s="30"/>
      <c r="AO249" s="30"/>
      <c r="AP249" s="30"/>
      <c r="AQ249" s="30"/>
      <c r="AR249" s="31"/>
      <c r="AS249" s="31"/>
      <c r="AT249" s="31"/>
      <c r="AU249" s="31"/>
      <c r="AV249" s="31"/>
      <c r="AW249" s="31"/>
      <c r="AX249" s="31"/>
      <c r="AY249" s="31"/>
    </row>
    <row r="250" spans="2:51" s="29" customFormat="1" ht="14.5">
      <c r="B250" s="5" t="str">
        <f t="shared" si="54"/>
        <v xml:space="preserve">        └ 부분 실사 등록</v>
      </c>
      <c r="C250" s="33" t="s">
        <v>47</v>
      </c>
      <c r="D250" s="32"/>
      <c r="E250" s="33" t="s">
        <v>1254</v>
      </c>
      <c r="F250" s="44" t="s">
        <v>875</v>
      </c>
      <c r="G250" s="32"/>
      <c r="H250" s="32"/>
      <c r="I250" s="32"/>
      <c r="J250" s="34"/>
      <c r="K250" s="34"/>
      <c r="L250" s="27" t="str">
        <f t="shared" si="50"/>
        <v>1</v>
      </c>
      <c r="M250" s="27" t="str">
        <f t="shared" si="51"/>
        <v>1</v>
      </c>
      <c r="N250" s="32" t="s">
        <v>427</v>
      </c>
      <c r="O250" s="32" t="s">
        <v>599</v>
      </c>
      <c r="P250" s="27" t="str">
        <f t="shared" si="52"/>
        <v>1</v>
      </c>
      <c r="Q250" s="32" t="s">
        <v>400</v>
      </c>
      <c r="R250" s="32" t="s">
        <v>399</v>
      </c>
      <c r="S250" s="32" t="s">
        <v>400</v>
      </c>
      <c r="T250" s="32" t="s">
        <v>400</v>
      </c>
      <c r="U250" s="32" t="s">
        <v>48</v>
      </c>
      <c r="V250" s="32" t="s">
        <v>400</v>
      </c>
      <c r="W250" s="32" t="s">
        <v>400</v>
      </c>
      <c r="X250" s="32" t="s">
        <v>400</v>
      </c>
      <c r="Y250" s="32" t="s">
        <v>48</v>
      </c>
      <c r="Z250" s="32" t="s">
        <v>48</v>
      </c>
      <c r="AA250" s="32" t="s">
        <v>48</v>
      </c>
      <c r="AB250" s="32" t="s">
        <v>48</v>
      </c>
      <c r="AC250" s="32" t="s">
        <v>48</v>
      </c>
      <c r="AD250" s="32"/>
      <c r="AE250" s="27" t="str">
        <f t="shared" si="53"/>
        <v>N</v>
      </c>
      <c r="AF250" s="32" t="s">
        <v>399</v>
      </c>
      <c r="AG250" s="32"/>
      <c r="AH250" s="33" t="s">
        <v>1255</v>
      </c>
      <c r="AI250" s="35">
        <v>5</v>
      </c>
      <c r="AJ250" s="57">
        <v>254</v>
      </c>
      <c r="AK250" s="33" t="s">
        <v>401</v>
      </c>
      <c r="AL250" s="10" t="s">
        <v>50</v>
      </c>
      <c r="AM250" s="6" t="str">
        <f t="shared" si="44"/>
        <v>14821/부분 실사 등록/ stock/StockCountPartWork</v>
      </c>
      <c r="AN250" s="30"/>
      <c r="AO250" s="30"/>
      <c r="AP250" s="30"/>
      <c r="AQ250" s="30"/>
      <c r="AR250" s="31"/>
      <c r="AS250" s="31"/>
      <c r="AT250" s="31"/>
      <c r="AU250" s="31"/>
      <c r="AV250" s="31"/>
      <c r="AW250" s="31"/>
      <c r="AX250" s="31"/>
      <c r="AY250" s="31"/>
    </row>
    <row r="251" spans="2:51" s="29" customFormat="1" ht="14.5">
      <c r="B251" s="5" t="str">
        <f t="shared" si="54"/>
        <v xml:space="preserve">    └ 재고 조정</v>
      </c>
      <c r="C251" s="33" t="s">
        <v>47</v>
      </c>
      <c r="D251" s="32"/>
      <c r="E251" s="9">
        <v>2060400</v>
      </c>
      <c r="F251" s="38" t="s">
        <v>1240</v>
      </c>
      <c r="G251" s="9"/>
      <c r="H251" s="9"/>
      <c r="I251" s="9"/>
      <c r="J251" s="9"/>
      <c r="K251" s="9"/>
      <c r="L251" s="9" t="str">
        <f t="shared" si="50"/>
        <v>1</v>
      </c>
      <c r="M251" s="9" t="str">
        <f t="shared" si="51"/>
        <v>0</v>
      </c>
      <c r="N251" s="38" t="s">
        <v>427</v>
      </c>
      <c r="O251" s="38"/>
      <c r="P251" s="9" t="str">
        <f t="shared" si="52"/>
        <v>1</v>
      </c>
      <c r="Q251" s="9" t="s">
        <v>986</v>
      </c>
      <c r="R251" s="9" t="s">
        <v>986</v>
      </c>
      <c r="S251" s="9" t="s">
        <v>986</v>
      </c>
      <c r="T251" s="9" t="s">
        <v>987</v>
      </c>
      <c r="U251" s="9" t="s">
        <v>985</v>
      </c>
      <c r="V251" s="9" t="s">
        <v>987</v>
      </c>
      <c r="W251" s="9" t="s">
        <v>987</v>
      </c>
      <c r="X251" s="9" t="s">
        <v>987</v>
      </c>
      <c r="Y251" s="9" t="s">
        <v>985</v>
      </c>
      <c r="Z251" s="9" t="s">
        <v>985</v>
      </c>
      <c r="AA251" s="9" t="s">
        <v>985</v>
      </c>
      <c r="AB251" s="9" t="s">
        <v>985</v>
      </c>
      <c r="AC251" s="9" t="s">
        <v>985</v>
      </c>
      <c r="AD251" s="9"/>
      <c r="AE251" s="9" t="str">
        <f t="shared" si="53"/>
        <v>N</v>
      </c>
      <c r="AF251" s="9" t="s">
        <v>986</v>
      </c>
      <c r="AG251" s="9"/>
      <c r="AH251" s="9">
        <v>2060000</v>
      </c>
      <c r="AI251" s="9">
        <v>4</v>
      </c>
      <c r="AJ251" s="57">
        <v>255</v>
      </c>
      <c r="AK251" s="10" t="s">
        <v>988</v>
      </c>
      <c r="AL251" s="10" t="s">
        <v>50</v>
      </c>
      <c r="AM251" s="6" t="str">
        <f t="shared" si="44"/>
        <v>14821/재고 조정/ stock/</v>
      </c>
      <c r="AN251" s="30"/>
      <c r="AO251" s="30"/>
      <c r="AP251" s="30"/>
      <c r="AQ251" s="30"/>
      <c r="AR251" s="31"/>
      <c r="AS251" s="31"/>
      <c r="AT251" s="31"/>
      <c r="AU251" s="31"/>
      <c r="AV251" s="31"/>
      <c r="AW251" s="31"/>
      <c r="AX251" s="31"/>
      <c r="AY251" s="31"/>
    </row>
    <row r="252" spans="2:51" s="29" customFormat="1" ht="14.5">
      <c r="B252" s="5" t="str">
        <f t="shared" si="54"/>
        <v xml:space="preserve">        └ 결합 해체 관리</v>
      </c>
      <c r="C252" s="33" t="s">
        <v>47</v>
      </c>
      <c r="D252" s="32"/>
      <c r="E252" s="33" t="s">
        <v>1256</v>
      </c>
      <c r="F252" s="44" t="s">
        <v>876</v>
      </c>
      <c r="G252" s="32"/>
      <c r="H252" s="32"/>
      <c r="I252" s="32"/>
      <c r="J252" s="34"/>
      <c r="K252" s="34"/>
      <c r="L252" s="27" t="str">
        <f t="shared" si="50"/>
        <v>1</v>
      </c>
      <c r="M252" s="27" t="str">
        <f t="shared" si="51"/>
        <v>1</v>
      </c>
      <c r="N252" s="32" t="s">
        <v>427</v>
      </c>
      <c r="O252" s="32" t="s">
        <v>600</v>
      </c>
      <c r="P252" s="27" t="str">
        <f t="shared" si="52"/>
        <v>1</v>
      </c>
      <c r="Q252" s="32" t="s">
        <v>400</v>
      </c>
      <c r="R252" s="32" t="s">
        <v>399</v>
      </c>
      <c r="S252" s="32" t="s">
        <v>400</v>
      </c>
      <c r="T252" s="32" t="s">
        <v>400</v>
      </c>
      <c r="U252" s="32" t="s">
        <v>48</v>
      </c>
      <c r="V252" s="32" t="s">
        <v>400</v>
      </c>
      <c r="W252" s="32" t="s">
        <v>400</v>
      </c>
      <c r="X252" s="32" t="s">
        <v>400</v>
      </c>
      <c r="Y252" s="32" t="s">
        <v>48</v>
      </c>
      <c r="Z252" s="32" t="s">
        <v>48</v>
      </c>
      <c r="AA252" s="32" t="s">
        <v>48</v>
      </c>
      <c r="AB252" s="32" t="s">
        <v>48</v>
      </c>
      <c r="AC252" s="32" t="s">
        <v>48</v>
      </c>
      <c r="AD252" s="32"/>
      <c r="AE252" s="27" t="str">
        <f t="shared" si="53"/>
        <v>N</v>
      </c>
      <c r="AF252" s="32" t="s">
        <v>399</v>
      </c>
      <c r="AG252" s="32"/>
      <c r="AH252" s="33" t="s">
        <v>1258</v>
      </c>
      <c r="AI252" s="35">
        <v>5</v>
      </c>
      <c r="AJ252" s="57">
        <v>256</v>
      </c>
      <c r="AK252" s="33" t="s">
        <v>401</v>
      </c>
      <c r="AL252" s="10" t="s">
        <v>50</v>
      </c>
      <c r="AM252" s="6" t="str">
        <f t="shared" si="44"/>
        <v>14821/결합 해체 관리/ stock/StockModiWork</v>
      </c>
      <c r="AN252" s="30"/>
      <c r="AO252" s="30"/>
      <c r="AP252" s="30"/>
      <c r="AQ252" s="30"/>
      <c r="AR252" s="31"/>
      <c r="AS252" s="31"/>
      <c r="AT252" s="31"/>
      <c r="AU252" s="31"/>
      <c r="AV252" s="31"/>
      <c r="AW252" s="31"/>
      <c r="AX252" s="31"/>
      <c r="AY252" s="31"/>
    </row>
    <row r="253" spans="2:51" s="29" customFormat="1" ht="14.5">
      <c r="B253" s="5" t="str">
        <f t="shared" si="54"/>
        <v xml:space="preserve">        └ 재고 조정 현황</v>
      </c>
      <c r="C253" s="33" t="s">
        <v>47</v>
      </c>
      <c r="D253" s="32"/>
      <c r="E253" s="33" t="s">
        <v>1257</v>
      </c>
      <c r="F253" s="44" t="s">
        <v>877</v>
      </c>
      <c r="G253" s="32"/>
      <c r="H253" s="32"/>
      <c r="I253" s="32"/>
      <c r="J253" s="34"/>
      <c r="K253" s="34"/>
      <c r="L253" s="27" t="str">
        <f t="shared" si="50"/>
        <v>1</v>
      </c>
      <c r="M253" s="27" t="str">
        <f t="shared" si="51"/>
        <v>1</v>
      </c>
      <c r="N253" s="32" t="s">
        <v>427</v>
      </c>
      <c r="O253" s="32" t="s">
        <v>601</v>
      </c>
      <c r="P253" s="27" t="str">
        <f t="shared" si="52"/>
        <v>1</v>
      </c>
      <c r="Q253" s="32" t="s">
        <v>399</v>
      </c>
      <c r="R253" s="32" t="s">
        <v>399</v>
      </c>
      <c r="S253" s="32" t="s">
        <v>400</v>
      </c>
      <c r="T253" s="32" t="s">
        <v>400</v>
      </c>
      <c r="U253" s="32" t="s">
        <v>48</v>
      </c>
      <c r="V253" s="32" t="s">
        <v>400</v>
      </c>
      <c r="W253" s="32" t="s">
        <v>400</v>
      </c>
      <c r="X253" s="32" t="s">
        <v>400</v>
      </c>
      <c r="Y253" s="32" t="s">
        <v>48</v>
      </c>
      <c r="Z253" s="32" t="s">
        <v>48</v>
      </c>
      <c r="AA253" s="32" t="s">
        <v>48</v>
      </c>
      <c r="AB253" s="32" t="s">
        <v>48</v>
      </c>
      <c r="AC253" s="32" t="s">
        <v>48</v>
      </c>
      <c r="AD253" s="32"/>
      <c r="AE253" s="27" t="str">
        <f t="shared" si="53"/>
        <v>N</v>
      </c>
      <c r="AF253" s="32" t="s">
        <v>399</v>
      </c>
      <c r="AG253" s="32"/>
      <c r="AH253" s="33" t="s">
        <v>1258</v>
      </c>
      <c r="AI253" s="35">
        <v>5</v>
      </c>
      <c r="AJ253" s="57">
        <v>257</v>
      </c>
      <c r="AK253" s="33" t="s">
        <v>401</v>
      </c>
      <c r="AL253" s="10" t="s">
        <v>50</v>
      </c>
      <c r="AM253" s="6" t="str">
        <f t="shared" si="44"/>
        <v>14821/재고 조정 현황/ stock/StockModiList</v>
      </c>
      <c r="AN253" s="30"/>
      <c r="AO253" s="30"/>
      <c r="AP253" s="30"/>
      <c r="AQ253" s="30"/>
      <c r="AR253" s="31"/>
      <c r="AS253" s="31"/>
      <c r="AT253" s="31"/>
      <c r="AU253" s="31"/>
      <c r="AV253" s="31"/>
      <c r="AW253" s="31"/>
      <c r="AX253" s="31"/>
      <c r="AY253" s="31"/>
    </row>
    <row r="254" spans="2:51" s="29" customFormat="1" ht="14.5">
      <c r="B254" s="5" t="str">
        <f t="shared" si="54"/>
        <v xml:space="preserve">    └ 월수불 마감</v>
      </c>
      <c r="C254" s="33" t="s">
        <v>47</v>
      </c>
      <c r="D254" s="32"/>
      <c r="E254" s="9">
        <v>2060500</v>
      </c>
      <c r="F254" s="38" t="s">
        <v>1241</v>
      </c>
      <c r="G254" s="9"/>
      <c r="H254" s="9"/>
      <c r="I254" s="9"/>
      <c r="J254" s="9"/>
      <c r="K254" s="9"/>
      <c r="L254" s="9" t="str">
        <f t="shared" si="50"/>
        <v>1</v>
      </c>
      <c r="M254" s="9" t="str">
        <f t="shared" si="51"/>
        <v>0</v>
      </c>
      <c r="N254" s="38" t="s">
        <v>48</v>
      </c>
      <c r="O254" s="38"/>
      <c r="P254" s="9" t="str">
        <f t="shared" si="52"/>
        <v>1</v>
      </c>
      <c r="Q254" s="9" t="s">
        <v>986</v>
      </c>
      <c r="R254" s="9" t="s">
        <v>986</v>
      </c>
      <c r="S254" s="9" t="s">
        <v>986</v>
      </c>
      <c r="T254" s="9" t="s">
        <v>987</v>
      </c>
      <c r="U254" s="9" t="s">
        <v>985</v>
      </c>
      <c r="V254" s="9" t="s">
        <v>987</v>
      </c>
      <c r="W254" s="9" t="s">
        <v>987</v>
      </c>
      <c r="X254" s="9" t="s">
        <v>987</v>
      </c>
      <c r="Y254" s="9" t="s">
        <v>985</v>
      </c>
      <c r="Z254" s="9" t="s">
        <v>985</v>
      </c>
      <c r="AA254" s="9" t="s">
        <v>985</v>
      </c>
      <c r="AB254" s="9" t="s">
        <v>985</v>
      </c>
      <c r="AC254" s="9" t="s">
        <v>985</v>
      </c>
      <c r="AD254" s="9"/>
      <c r="AE254" s="9" t="str">
        <f t="shared" si="53"/>
        <v>N</v>
      </c>
      <c r="AF254" s="9" t="s">
        <v>986</v>
      </c>
      <c r="AG254" s="9"/>
      <c r="AH254" s="9">
        <v>2060000</v>
      </c>
      <c r="AI254" s="9">
        <v>4</v>
      </c>
      <c r="AJ254" s="57">
        <v>258</v>
      </c>
      <c r="AK254" s="10" t="s">
        <v>988</v>
      </c>
      <c r="AL254" s="10" t="s">
        <v>50</v>
      </c>
      <c r="AM254" s="6" t="str">
        <f t="shared" si="44"/>
        <v>14821/월수불 마감/ /</v>
      </c>
      <c r="AN254" s="30"/>
      <c r="AO254" s="30"/>
      <c r="AP254" s="30"/>
      <c r="AQ254" s="30"/>
      <c r="AR254" s="31"/>
      <c r="AS254" s="31"/>
      <c r="AT254" s="31"/>
      <c r="AU254" s="31"/>
      <c r="AV254" s="31"/>
      <c r="AW254" s="31"/>
      <c r="AX254" s="31"/>
      <c r="AY254" s="31"/>
    </row>
    <row r="255" spans="2:51" s="29" customFormat="1" ht="14.5">
      <c r="B255" s="5" t="str">
        <f t="shared" si="54"/>
        <v xml:space="preserve">        └ 월 수불금액 정산</v>
      </c>
      <c r="C255" s="33" t="s">
        <v>47</v>
      </c>
      <c r="D255" s="32"/>
      <c r="E255" s="33" t="s">
        <v>1259</v>
      </c>
      <c r="F255" s="44" t="s">
        <v>878</v>
      </c>
      <c r="G255" s="32"/>
      <c r="H255" s="32"/>
      <c r="I255" s="32"/>
      <c r="J255" s="34"/>
      <c r="K255" s="34"/>
      <c r="L255" s="27" t="str">
        <f t="shared" si="50"/>
        <v>1</v>
      </c>
      <c r="M255" s="27" t="str">
        <f t="shared" si="51"/>
        <v>1</v>
      </c>
      <c r="N255" s="32" t="s">
        <v>427</v>
      </c>
      <c r="O255" s="32" t="s">
        <v>602</v>
      </c>
      <c r="P255" s="27" t="str">
        <f t="shared" si="52"/>
        <v>1</v>
      </c>
      <c r="Q255" s="32" t="s">
        <v>399</v>
      </c>
      <c r="R255" s="32" t="s">
        <v>399</v>
      </c>
      <c r="S255" s="32" t="s">
        <v>400</v>
      </c>
      <c r="T255" s="32" t="s">
        <v>400</v>
      </c>
      <c r="U255" s="32" t="s">
        <v>48</v>
      </c>
      <c r="V255" s="32" t="s">
        <v>400</v>
      </c>
      <c r="W255" s="32" t="s">
        <v>400</v>
      </c>
      <c r="X255" s="32" t="s">
        <v>400</v>
      </c>
      <c r="Y255" s="32" t="s">
        <v>48</v>
      </c>
      <c r="Z255" s="32" t="s">
        <v>48</v>
      </c>
      <c r="AA255" s="32" t="s">
        <v>48</v>
      </c>
      <c r="AB255" s="32" t="s">
        <v>48</v>
      </c>
      <c r="AC255" s="32" t="s">
        <v>48</v>
      </c>
      <c r="AD255" s="32"/>
      <c r="AE255" s="27" t="str">
        <f t="shared" si="53"/>
        <v>N</v>
      </c>
      <c r="AF255" s="32" t="s">
        <v>399</v>
      </c>
      <c r="AG255" s="32"/>
      <c r="AH255" s="33" t="s">
        <v>1265</v>
      </c>
      <c r="AI255" s="35">
        <v>5</v>
      </c>
      <c r="AJ255" s="57">
        <v>259</v>
      </c>
      <c r="AK255" s="33" t="s">
        <v>401</v>
      </c>
      <c r="AL255" s="10" t="s">
        <v>50</v>
      </c>
      <c r="AM255" s="6" t="str">
        <f t="shared" si="44"/>
        <v>14821/월 수불금액 정산/ stock/SubulMonthWork</v>
      </c>
      <c r="AN255" s="30"/>
      <c r="AO255" s="30"/>
      <c r="AP255" s="30"/>
      <c r="AQ255" s="30"/>
      <c r="AR255" s="31"/>
      <c r="AS255" s="31"/>
      <c r="AT255" s="31"/>
      <c r="AU255" s="31"/>
      <c r="AV255" s="31"/>
      <c r="AW255" s="31"/>
      <c r="AX255" s="31"/>
      <c r="AY255" s="31"/>
    </row>
    <row r="256" spans="2:51" s="29" customFormat="1" ht="14.5">
      <c r="B256" s="5" t="str">
        <f t="shared" si="54"/>
        <v xml:space="preserve">        └ 월 수불 집계표 발행</v>
      </c>
      <c r="C256" s="33" t="s">
        <v>47</v>
      </c>
      <c r="D256" s="32"/>
      <c r="E256" s="33" t="s">
        <v>1260</v>
      </c>
      <c r="F256" s="44" t="s">
        <v>879</v>
      </c>
      <c r="G256" s="32"/>
      <c r="H256" s="32"/>
      <c r="I256" s="32"/>
      <c r="J256" s="34"/>
      <c r="K256" s="34"/>
      <c r="L256" s="27" t="str">
        <f t="shared" si="50"/>
        <v>1</v>
      </c>
      <c r="M256" s="27" t="str">
        <f t="shared" si="51"/>
        <v>1</v>
      </c>
      <c r="N256" s="32" t="s">
        <v>427</v>
      </c>
      <c r="O256" s="32" t="s">
        <v>603</v>
      </c>
      <c r="P256" s="27" t="str">
        <f t="shared" si="52"/>
        <v>1</v>
      </c>
      <c r="Q256" s="32" t="s">
        <v>399</v>
      </c>
      <c r="R256" s="32" t="s">
        <v>399</v>
      </c>
      <c r="S256" s="32" t="s">
        <v>400</v>
      </c>
      <c r="T256" s="32" t="s">
        <v>400</v>
      </c>
      <c r="U256" s="32" t="s">
        <v>48</v>
      </c>
      <c r="V256" s="32" t="s">
        <v>400</v>
      </c>
      <c r="W256" s="32" t="s">
        <v>400</v>
      </c>
      <c r="X256" s="32" t="s">
        <v>400</v>
      </c>
      <c r="Y256" s="32" t="s">
        <v>48</v>
      </c>
      <c r="Z256" s="32" t="s">
        <v>48</v>
      </c>
      <c r="AA256" s="32" t="s">
        <v>48</v>
      </c>
      <c r="AB256" s="32" t="s">
        <v>48</v>
      </c>
      <c r="AC256" s="32" t="s">
        <v>48</v>
      </c>
      <c r="AD256" s="32"/>
      <c r="AE256" s="27" t="str">
        <f t="shared" si="53"/>
        <v>N</v>
      </c>
      <c r="AF256" s="32" t="s">
        <v>399</v>
      </c>
      <c r="AG256" s="32"/>
      <c r="AH256" s="33" t="s">
        <v>1265</v>
      </c>
      <c r="AI256" s="35">
        <v>5</v>
      </c>
      <c r="AJ256" s="57">
        <v>260</v>
      </c>
      <c r="AK256" s="33" t="s">
        <v>401</v>
      </c>
      <c r="AL256" s="10" t="s">
        <v>50</v>
      </c>
      <c r="AM256" s="6" t="str">
        <f t="shared" si="44"/>
        <v>14821/월 수불 집계표 발행/ stock/SubulMonthSumPrint</v>
      </c>
      <c r="AN256" s="30"/>
      <c r="AO256" s="30"/>
      <c r="AP256" s="30"/>
      <c r="AQ256" s="30"/>
      <c r="AR256" s="31"/>
      <c r="AS256" s="31"/>
      <c r="AT256" s="31"/>
      <c r="AU256" s="31"/>
      <c r="AV256" s="31"/>
      <c r="AW256" s="31"/>
      <c r="AX256" s="31"/>
      <c r="AY256" s="31"/>
    </row>
    <row r="257" spans="2:51" s="29" customFormat="1" ht="14.5">
      <c r="B257" s="5" t="str">
        <f t="shared" si="54"/>
        <v xml:space="preserve">        └ 월 수불대장 발행</v>
      </c>
      <c r="C257" s="33" t="s">
        <v>47</v>
      </c>
      <c r="D257" s="32"/>
      <c r="E257" s="33" t="s">
        <v>1261</v>
      </c>
      <c r="F257" s="44" t="s">
        <v>880</v>
      </c>
      <c r="G257" s="32"/>
      <c r="H257" s="32"/>
      <c r="I257" s="32"/>
      <c r="J257" s="34"/>
      <c r="K257" s="34"/>
      <c r="L257" s="27" t="str">
        <f t="shared" si="50"/>
        <v>1</v>
      </c>
      <c r="M257" s="27" t="str">
        <f t="shared" si="51"/>
        <v>1</v>
      </c>
      <c r="N257" s="32" t="s">
        <v>427</v>
      </c>
      <c r="O257" s="32" t="s">
        <v>604</v>
      </c>
      <c r="P257" s="27" t="str">
        <f t="shared" si="52"/>
        <v>1</v>
      </c>
      <c r="Q257" s="32" t="s">
        <v>399</v>
      </c>
      <c r="R257" s="32" t="s">
        <v>399</v>
      </c>
      <c r="S257" s="32" t="s">
        <v>400</v>
      </c>
      <c r="T257" s="32" t="s">
        <v>400</v>
      </c>
      <c r="U257" s="32" t="s">
        <v>48</v>
      </c>
      <c r="V257" s="32" t="s">
        <v>400</v>
      </c>
      <c r="W257" s="32" t="s">
        <v>400</v>
      </c>
      <c r="X257" s="32" t="s">
        <v>400</v>
      </c>
      <c r="Y257" s="32" t="s">
        <v>48</v>
      </c>
      <c r="Z257" s="32" t="s">
        <v>48</v>
      </c>
      <c r="AA257" s="32" t="s">
        <v>48</v>
      </c>
      <c r="AB257" s="32" t="s">
        <v>48</v>
      </c>
      <c r="AC257" s="32" t="s">
        <v>48</v>
      </c>
      <c r="AD257" s="32"/>
      <c r="AE257" s="27" t="str">
        <f t="shared" si="53"/>
        <v>N</v>
      </c>
      <c r="AF257" s="32" t="s">
        <v>399</v>
      </c>
      <c r="AG257" s="32"/>
      <c r="AH257" s="33" t="s">
        <v>1265</v>
      </c>
      <c r="AI257" s="35">
        <v>5</v>
      </c>
      <c r="AJ257" s="57">
        <v>261</v>
      </c>
      <c r="AK257" s="33" t="s">
        <v>401</v>
      </c>
      <c r="AL257" s="10" t="s">
        <v>50</v>
      </c>
      <c r="AM257" s="6" t="str">
        <f t="shared" si="44"/>
        <v>14821/월 수불대장 발행/ stock/SubulMonthLedgerPrint</v>
      </c>
      <c r="AN257" s="30"/>
      <c r="AO257" s="30"/>
      <c r="AP257" s="30"/>
      <c r="AQ257" s="30"/>
      <c r="AR257" s="31"/>
      <c r="AS257" s="31"/>
      <c r="AT257" s="31"/>
      <c r="AU257" s="31"/>
      <c r="AV257" s="31"/>
      <c r="AW257" s="31"/>
      <c r="AX257" s="31"/>
      <c r="AY257" s="31"/>
    </row>
    <row r="258" spans="2:51" s="29" customFormat="1" ht="14.5">
      <c r="B258" s="5" t="str">
        <f t="shared" si="54"/>
        <v xml:space="preserve">        └ 년 수불금액 정산</v>
      </c>
      <c r="C258" s="33" t="s">
        <v>47</v>
      </c>
      <c r="D258" s="32"/>
      <c r="E258" s="33" t="s">
        <v>1262</v>
      </c>
      <c r="F258" s="44" t="s">
        <v>881</v>
      </c>
      <c r="G258" s="32"/>
      <c r="H258" s="32"/>
      <c r="I258" s="32"/>
      <c r="J258" s="34"/>
      <c r="K258" s="34"/>
      <c r="L258" s="27" t="str">
        <f t="shared" si="50"/>
        <v>1</v>
      </c>
      <c r="M258" s="27" t="str">
        <f t="shared" si="51"/>
        <v>1</v>
      </c>
      <c r="N258" s="32" t="s">
        <v>427</v>
      </c>
      <c r="O258" s="32" t="s">
        <v>605</v>
      </c>
      <c r="P258" s="27" t="str">
        <f t="shared" si="52"/>
        <v>1</v>
      </c>
      <c r="Q258" s="32" t="s">
        <v>399</v>
      </c>
      <c r="R258" s="32" t="s">
        <v>399</v>
      </c>
      <c r="S258" s="32" t="s">
        <v>399</v>
      </c>
      <c r="T258" s="32" t="s">
        <v>400</v>
      </c>
      <c r="U258" s="32" t="s">
        <v>48</v>
      </c>
      <c r="V258" s="32" t="s">
        <v>400</v>
      </c>
      <c r="W258" s="32" t="s">
        <v>400</v>
      </c>
      <c r="X258" s="32" t="s">
        <v>400</v>
      </c>
      <c r="Y258" s="32" t="s">
        <v>48</v>
      </c>
      <c r="Z258" s="32" t="s">
        <v>48</v>
      </c>
      <c r="AA258" s="32" t="s">
        <v>48</v>
      </c>
      <c r="AB258" s="32" t="s">
        <v>48</v>
      </c>
      <c r="AC258" s="32" t="s">
        <v>48</v>
      </c>
      <c r="AD258" s="32"/>
      <c r="AE258" s="27" t="str">
        <f t="shared" si="53"/>
        <v>N</v>
      </c>
      <c r="AF258" s="32" t="s">
        <v>399</v>
      </c>
      <c r="AG258" s="32"/>
      <c r="AH258" s="33" t="s">
        <v>1265</v>
      </c>
      <c r="AI258" s="35">
        <v>5</v>
      </c>
      <c r="AJ258" s="57">
        <v>262</v>
      </c>
      <c r="AK258" s="33" t="s">
        <v>401</v>
      </c>
      <c r="AL258" s="10" t="s">
        <v>50</v>
      </c>
      <c r="AM258" s="6" t="str">
        <f t="shared" si="44"/>
        <v>14821/년 수불금액 정산/ stock/SubulYearWork</v>
      </c>
      <c r="AN258" s="30"/>
      <c r="AO258" s="30"/>
      <c r="AP258" s="30"/>
      <c r="AQ258" s="30"/>
      <c r="AR258" s="31"/>
      <c r="AS258" s="31"/>
      <c r="AT258" s="31"/>
      <c r="AU258" s="31"/>
      <c r="AV258" s="31"/>
      <c r="AW258" s="31"/>
      <c r="AX258" s="31"/>
      <c r="AY258" s="31"/>
    </row>
    <row r="259" spans="2:51" s="29" customFormat="1" ht="14.5">
      <c r="B259" s="5" t="str">
        <f t="shared" si="54"/>
        <v xml:space="preserve">        └ 년 수불 집계표 발행</v>
      </c>
      <c r="C259" s="33" t="s">
        <v>47</v>
      </c>
      <c r="D259" s="32"/>
      <c r="E259" s="33" t="s">
        <v>1263</v>
      </c>
      <c r="F259" s="44" t="s">
        <v>882</v>
      </c>
      <c r="G259" s="32"/>
      <c r="H259" s="32"/>
      <c r="I259" s="32"/>
      <c r="J259" s="34"/>
      <c r="K259" s="34"/>
      <c r="L259" s="27" t="str">
        <f t="shared" si="50"/>
        <v>1</v>
      </c>
      <c r="M259" s="27" t="str">
        <f t="shared" si="51"/>
        <v>1</v>
      </c>
      <c r="N259" s="32" t="s">
        <v>427</v>
      </c>
      <c r="O259" s="32" t="s">
        <v>606</v>
      </c>
      <c r="P259" s="27" t="str">
        <f t="shared" si="52"/>
        <v>1</v>
      </c>
      <c r="Q259" s="32" t="s">
        <v>399</v>
      </c>
      <c r="R259" s="32" t="s">
        <v>399</v>
      </c>
      <c r="S259" s="32" t="s">
        <v>399</v>
      </c>
      <c r="T259" s="32" t="s">
        <v>400</v>
      </c>
      <c r="U259" s="32" t="s">
        <v>48</v>
      </c>
      <c r="V259" s="32" t="s">
        <v>400</v>
      </c>
      <c r="W259" s="32" t="s">
        <v>400</v>
      </c>
      <c r="X259" s="32" t="s">
        <v>400</v>
      </c>
      <c r="Y259" s="32" t="s">
        <v>48</v>
      </c>
      <c r="Z259" s="32" t="s">
        <v>48</v>
      </c>
      <c r="AA259" s="32" t="s">
        <v>48</v>
      </c>
      <c r="AB259" s="32" t="s">
        <v>48</v>
      </c>
      <c r="AC259" s="32" t="s">
        <v>48</v>
      </c>
      <c r="AD259" s="32"/>
      <c r="AE259" s="27" t="str">
        <f t="shared" si="53"/>
        <v>N</v>
      </c>
      <c r="AF259" s="32" t="s">
        <v>399</v>
      </c>
      <c r="AG259" s="32"/>
      <c r="AH259" s="33" t="s">
        <v>1265</v>
      </c>
      <c r="AI259" s="35">
        <v>5</v>
      </c>
      <c r="AJ259" s="57">
        <v>263</v>
      </c>
      <c r="AK259" s="33" t="s">
        <v>401</v>
      </c>
      <c r="AL259" s="10" t="s">
        <v>50</v>
      </c>
      <c r="AM259" s="6" t="str">
        <f t="shared" si="44"/>
        <v>14821/년 수불 집계표 발행/ stock/SubulYearSumPrint</v>
      </c>
      <c r="AN259" s="30"/>
      <c r="AO259" s="30"/>
      <c r="AP259" s="30"/>
      <c r="AQ259" s="30"/>
      <c r="AR259" s="31"/>
      <c r="AS259" s="31"/>
      <c r="AT259" s="31"/>
      <c r="AU259" s="31"/>
      <c r="AV259" s="31"/>
      <c r="AW259" s="31"/>
      <c r="AX259" s="31"/>
      <c r="AY259" s="31"/>
    </row>
    <row r="260" spans="2:51" s="29" customFormat="1" ht="14.5">
      <c r="B260" s="5" t="str">
        <f t="shared" si="54"/>
        <v xml:space="preserve">        └ 년 수불대장 발행</v>
      </c>
      <c r="C260" s="33" t="s">
        <v>47</v>
      </c>
      <c r="D260" s="32"/>
      <c r="E260" s="33" t="s">
        <v>1264</v>
      </c>
      <c r="F260" s="44" t="s">
        <v>883</v>
      </c>
      <c r="G260" s="32"/>
      <c r="H260" s="32"/>
      <c r="I260" s="32"/>
      <c r="J260" s="34"/>
      <c r="K260" s="34"/>
      <c r="L260" s="27" t="str">
        <f t="shared" si="50"/>
        <v>1</v>
      </c>
      <c r="M260" s="27" t="str">
        <f t="shared" si="51"/>
        <v>1</v>
      </c>
      <c r="N260" s="32" t="s">
        <v>427</v>
      </c>
      <c r="O260" s="32" t="s">
        <v>607</v>
      </c>
      <c r="P260" s="27" t="str">
        <f t="shared" si="52"/>
        <v>1</v>
      </c>
      <c r="Q260" s="32" t="s">
        <v>399</v>
      </c>
      <c r="R260" s="32" t="s">
        <v>399</v>
      </c>
      <c r="S260" s="32" t="s">
        <v>399</v>
      </c>
      <c r="T260" s="32" t="s">
        <v>400</v>
      </c>
      <c r="U260" s="32" t="s">
        <v>48</v>
      </c>
      <c r="V260" s="32" t="s">
        <v>400</v>
      </c>
      <c r="W260" s="32" t="s">
        <v>400</v>
      </c>
      <c r="X260" s="32" t="s">
        <v>400</v>
      </c>
      <c r="Y260" s="32" t="s">
        <v>48</v>
      </c>
      <c r="Z260" s="32" t="s">
        <v>48</v>
      </c>
      <c r="AA260" s="32" t="s">
        <v>48</v>
      </c>
      <c r="AB260" s="32" t="s">
        <v>48</v>
      </c>
      <c r="AC260" s="32" t="s">
        <v>48</v>
      </c>
      <c r="AD260" s="32"/>
      <c r="AE260" s="27" t="str">
        <f t="shared" si="53"/>
        <v>N</v>
      </c>
      <c r="AF260" s="32" t="s">
        <v>399</v>
      </c>
      <c r="AG260" s="32"/>
      <c r="AH260" s="33" t="s">
        <v>1265</v>
      </c>
      <c r="AI260" s="35">
        <v>5</v>
      </c>
      <c r="AJ260" s="57">
        <v>264</v>
      </c>
      <c r="AK260" s="33" t="s">
        <v>401</v>
      </c>
      <c r="AL260" s="10" t="s">
        <v>50</v>
      </c>
      <c r="AM260" s="6" t="str">
        <f t="shared" ref="AM260:AM323" si="55">IF(C260="","",C260&amp;"/"&amp;F260&amp;"/"&amp;N260&amp;"/"&amp;O260)</f>
        <v>14821/년 수불대장 발행/ stock/SubulYearLedgerPrint</v>
      </c>
      <c r="AN260" s="30"/>
      <c r="AO260" s="30"/>
      <c r="AP260" s="30"/>
      <c r="AQ260" s="30"/>
      <c r="AR260" s="31"/>
      <c r="AS260" s="31"/>
      <c r="AT260" s="31"/>
      <c r="AU260" s="31"/>
      <c r="AV260" s="31"/>
      <c r="AW260" s="31"/>
      <c r="AX260" s="31"/>
      <c r="AY260" s="31"/>
    </row>
    <row r="261" spans="2:51" s="29" customFormat="1" ht="14.5">
      <c r="B261" s="5" t="str">
        <f t="shared" si="54"/>
        <v xml:space="preserve">    └ 이동관리</v>
      </c>
      <c r="C261" s="33" t="s">
        <v>47</v>
      </c>
      <c r="D261" s="32"/>
      <c r="E261" s="9">
        <v>2060600</v>
      </c>
      <c r="F261" s="38" t="s">
        <v>1242</v>
      </c>
      <c r="G261" s="9"/>
      <c r="H261" s="9"/>
      <c r="I261" s="9"/>
      <c r="J261" s="9"/>
      <c r="K261" s="9"/>
      <c r="L261" s="9" t="str">
        <f t="shared" si="50"/>
        <v>1</v>
      </c>
      <c r="M261" s="9" t="str">
        <f t="shared" si="51"/>
        <v>0</v>
      </c>
      <c r="N261" s="38" t="s">
        <v>48</v>
      </c>
      <c r="O261" s="38"/>
      <c r="P261" s="9" t="str">
        <f t="shared" si="52"/>
        <v>1</v>
      </c>
      <c r="Q261" s="9" t="s">
        <v>986</v>
      </c>
      <c r="R261" s="9" t="s">
        <v>986</v>
      </c>
      <c r="S261" s="9" t="s">
        <v>986</v>
      </c>
      <c r="T261" s="9" t="s">
        <v>987</v>
      </c>
      <c r="U261" s="9" t="s">
        <v>985</v>
      </c>
      <c r="V261" s="9" t="s">
        <v>987</v>
      </c>
      <c r="W261" s="9" t="s">
        <v>987</v>
      </c>
      <c r="X261" s="9" t="s">
        <v>987</v>
      </c>
      <c r="Y261" s="9" t="s">
        <v>985</v>
      </c>
      <c r="Z261" s="9" t="s">
        <v>985</v>
      </c>
      <c r="AA261" s="9" t="s">
        <v>985</v>
      </c>
      <c r="AB261" s="9" t="s">
        <v>985</v>
      </c>
      <c r="AC261" s="9" t="s">
        <v>985</v>
      </c>
      <c r="AD261" s="9"/>
      <c r="AE261" s="9" t="str">
        <f t="shared" si="53"/>
        <v>N</v>
      </c>
      <c r="AF261" s="9" t="s">
        <v>986</v>
      </c>
      <c r="AG261" s="9"/>
      <c r="AH261" s="9">
        <v>2060000</v>
      </c>
      <c r="AI261" s="9">
        <v>4</v>
      </c>
      <c r="AJ261" s="57">
        <v>265</v>
      </c>
      <c r="AK261" s="10" t="s">
        <v>988</v>
      </c>
      <c r="AL261" s="10" t="s">
        <v>50</v>
      </c>
      <c r="AM261" s="6" t="str">
        <f t="shared" si="55"/>
        <v>14821/이동관리/ /</v>
      </c>
      <c r="AN261" s="30"/>
      <c r="AO261" s="30"/>
      <c r="AP261" s="30"/>
      <c r="AQ261" s="30"/>
      <c r="AR261" s="31"/>
      <c r="AS261" s="31"/>
      <c r="AT261" s="31"/>
      <c r="AU261" s="31"/>
      <c r="AV261" s="31"/>
      <c r="AW261" s="31"/>
      <c r="AX261" s="31"/>
      <c r="AY261" s="31"/>
    </row>
    <row r="262" spans="2:51" s="29" customFormat="1" ht="14.5">
      <c r="B262" s="5" t="str">
        <f t="shared" si="54"/>
        <v xml:space="preserve">        └ 재고 이동 요청 관리</v>
      </c>
      <c r="C262" s="33" t="s">
        <v>47</v>
      </c>
      <c r="D262" s="32"/>
      <c r="E262" s="33" t="s">
        <v>1266</v>
      </c>
      <c r="F262" s="44" t="s">
        <v>884</v>
      </c>
      <c r="G262" s="32"/>
      <c r="H262" s="32"/>
      <c r="I262" s="32"/>
      <c r="J262" s="34"/>
      <c r="K262" s="34"/>
      <c r="L262" s="27" t="str">
        <f t="shared" si="50"/>
        <v>1</v>
      </c>
      <c r="M262" s="27" t="str">
        <f t="shared" si="51"/>
        <v>1</v>
      </c>
      <c r="N262" s="32" t="s">
        <v>428</v>
      </c>
      <c r="O262" s="32" t="s">
        <v>608</v>
      </c>
      <c r="P262" s="27" t="str">
        <f t="shared" si="52"/>
        <v>1</v>
      </c>
      <c r="Q262" s="32" t="s">
        <v>400</v>
      </c>
      <c r="R262" s="32" t="s">
        <v>400</v>
      </c>
      <c r="S262" s="32" t="s">
        <v>400</v>
      </c>
      <c r="T262" s="32" t="s">
        <v>400</v>
      </c>
      <c r="U262" s="32" t="s">
        <v>48</v>
      </c>
      <c r="V262" s="32" t="s">
        <v>400</v>
      </c>
      <c r="W262" s="32" t="s">
        <v>400</v>
      </c>
      <c r="X262" s="32" t="s">
        <v>399</v>
      </c>
      <c r="Y262" s="32" t="s">
        <v>48</v>
      </c>
      <c r="Z262" s="32" t="s">
        <v>48</v>
      </c>
      <c r="AA262" s="32" t="s">
        <v>48</v>
      </c>
      <c r="AB262" s="32" t="s">
        <v>48</v>
      </c>
      <c r="AC262" s="32" t="s">
        <v>48</v>
      </c>
      <c r="AD262" s="32"/>
      <c r="AE262" s="27" t="str">
        <f t="shared" si="53"/>
        <v>N</v>
      </c>
      <c r="AF262" s="32" t="s">
        <v>399</v>
      </c>
      <c r="AG262" s="32"/>
      <c r="AH262" s="33" t="s">
        <v>1282</v>
      </c>
      <c r="AI262" s="35">
        <v>5</v>
      </c>
      <c r="AJ262" s="57">
        <v>266</v>
      </c>
      <c r="AK262" s="33" t="s">
        <v>401</v>
      </c>
      <c r="AL262" s="10" t="s">
        <v>50</v>
      </c>
      <c r="AM262" s="6" t="str">
        <f t="shared" si="55"/>
        <v>14821/재고 이동 요청 관리/ move/MoveReqWork</v>
      </c>
      <c r="AN262" s="30"/>
      <c r="AO262" s="30"/>
      <c r="AP262" s="30"/>
      <c r="AQ262" s="30"/>
      <c r="AR262" s="31"/>
      <c r="AS262" s="31"/>
      <c r="AT262" s="31"/>
      <c r="AU262" s="31"/>
      <c r="AV262" s="31"/>
      <c r="AW262" s="31"/>
      <c r="AX262" s="31"/>
      <c r="AY262" s="31"/>
    </row>
    <row r="263" spans="2:51" s="29" customFormat="1" ht="14.5">
      <c r="B263" s="5" t="str">
        <f t="shared" si="54"/>
        <v xml:space="preserve">        └ 재고 이동 요청 현황</v>
      </c>
      <c r="C263" s="33" t="s">
        <v>47</v>
      </c>
      <c r="D263" s="32"/>
      <c r="E263" s="33" t="s">
        <v>1267</v>
      </c>
      <c r="F263" s="44" t="s">
        <v>885</v>
      </c>
      <c r="G263" s="32"/>
      <c r="H263" s="32"/>
      <c r="I263" s="32"/>
      <c r="J263" s="34"/>
      <c r="K263" s="34"/>
      <c r="L263" s="27" t="str">
        <f t="shared" si="50"/>
        <v>1</v>
      </c>
      <c r="M263" s="27" t="str">
        <f t="shared" si="51"/>
        <v>1</v>
      </c>
      <c r="N263" s="32" t="s">
        <v>428</v>
      </c>
      <c r="O263" s="32" t="s">
        <v>609</v>
      </c>
      <c r="P263" s="27" t="str">
        <f t="shared" si="52"/>
        <v>1</v>
      </c>
      <c r="Q263" s="32" t="s">
        <v>399</v>
      </c>
      <c r="R263" s="32" t="s">
        <v>399</v>
      </c>
      <c r="S263" s="32" t="s">
        <v>400</v>
      </c>
      <c r="T263" s="32" t="s">
        <v>400</v>
      </c>
      <c r="U263" s="32" t="s">
        <v>48</v>
      </c>
      <c r="V263" s="32" t="s">
        <v>400</v>
      </c>
      <c r="W263" s="32" t="s">
        <v>400</v>
      </c>
      <c r="X263" s="32" t="s">
        <v>399</v>
      </c>
      <c r="Y263" s="32" t="s">
        <v>48</v>
      </c>
      <c r="Z263" s="32" t="s">
        <v>48</v>
      </c>
      <c r="AA263" s="32" t="s">
        <v>48</v>
      </c>
      <c r="AB263" s="32" t="s">
        <v>48</v>
      </c>
      <c r="AC263" s="32" t="s">
        <v>48</v>
      </c>
      <c r="AD263" s="32"/>
      <c r="AE263" s="27" t="str">
        <f t="shared" si="53"/>
        <v>N</v>
      </c>
      <c r="AF263" s="32" t="s">
        <v>399</v>
      </c>
      <c r="AG263" s="32"/>
      <c r="AH263" s="33" t="s">
        <v>1282</v>
      </c>
      <c r="AI263" s="35">
        <v>5</v>
      </c>
      <c r="AJ263" s="57">
        <v>267</v>
      </c>
      <c r="AK263" s="33" t="s">
        <v>401</v>
      </c>
      <c r="AL263" s="10" t="s">
        <v>50</v>
      </c>
      <c r="AM263" s="6" t="str">
        <f t="shared" si="55"/>
        <v>14821/재고 이동 요청 현황/ move/MoveReqList</v>
      </c>
      <c r="AN263" s="30"/>
      <c r="AO263" s="30"/>
      <c r="AP263" s="30"/>
      <c r="AQ263" s="30"/>
      <c r="AR263" s="31"/>
      <c r="AS263" s="31"/>
      <c r="AT263" s="31"/>
      <c r="AU263" s="31"/>
      <c r="AV263" s="31"/>
      <c r="AW263" s="31"/>
      <c r="AX263" s="31"/>
      <c r="AY263" s="31"/>
    </row>
    <row r="264" spans="2:51" s="29" customFormat="1" ht="14.5">
      <c r="B264" s="5" t="str">
        <f t="shared" si="54"/>
        <v xml:space="preserve">        └ 재고 이동 출고 관리</v>
      </c>
      <c r="C264" s="33" t="s">
        <v>47</v>
      </c>
      <c r="D264" s="32"/>
      <c r="E264" s="33" t="s">
        <v>1268</v>
      </c>
      <c r="F264" s="44" t="s">
        <v>886</v>
      </c>
      <c r="G264" s="32"/>
      <c r="H264" s="32"/>
      <c r="I264" s="32"/>
      <c r="J264" s="34"/>
      <c r="K264" s="34"/>
      <c r="L264" s="27" t="str">
        <f t="shared" si="50"/>
        <v>1</v>
      </c>
      <c r="M264" s="27" t="str">
        <f t="shared" si="51"/>
        <v>1</v>
      </c>
      <c r="N264" s="32" t="s">
        <v>428</v>
      </c>
      <c r="O264" s="32" t="s">
        <v>610</v>
      </c>
      <c r="P264" s="27" t="str">
        <f t="shared" si="52"/>
        <v>1</v>
      </c>
      <c r="Q264" s="32" t="s">
        <v>400</v>
      </c>
      <c r="R264" s="32" t="s">
        <v>400</v>
      </c>
      <c r="S264" s="32" t="s">
        <v>400</v>
      </c>
      <c r="T264" s="32" t="s">
        <v>400</v>
      </c>
      <c r="U264" s="32" t="s">
        <v>48</v>
      </c>
      <c r="V264" s="32" t="s">
        <v>400</v>
      </c>
      <c r="W264" s="32" t="s">
        <v>400</v>
      </c>
      <c r="X264" s="32" t="s">
        <v>399</v>
      </c>
      <c r="Y264" s="32" t="s">
        <v>48</v>
      </c>
      <c r="Z264" s="32" t="s">
        <v>48</v>
      </c>
      <c r="AA264" s="32" t="s">
        <v>48</v>
      </c>
      <c r="AB264" s="32" t="s">
        <v>48</v>
      </c>
      <c r="AC264" s="32" t="s">
        <v>48</v>
      </c>
      <c r="AD264" s="32"/>
      <c r="AE264" s="27" t="str">
        <f t="shared" si="53"/>
        <v>N</v>
      </c>
      <c r="AF264" s="32" t="s">
        <v>399</v>
      </c>
      <c r="AG264" s="32"/>
      <c r="AH264" s="33" t="s">
        <v>1282</v>
      </c>
      <c r="AI264" s="35">
        <v>5</v>
      </c>
      <c r="AJ264" s="57">
        <v>268</v>
      </c>
      <c r="AK264" s="33" t="s">
        <v>401</v>
      </c>
      <c r="AL264" s="10" t="s">
        <v>50</v>
      </c>
      <c r="AM264" s="6" t="str">
        <f t="shared" si="55"/>
        <v>14821/재고 이동 출고 관리/ move/MoveSaleWork</v>
      </c>
      <c r="AN264" s="30"/>
      <c r="AO264" s="30"/>
      <c r="AP264" s="30"/>
      <c r="AQ264" s="30"/>
      <c r="AR264" s="31"/>
      <c r="AS264" s="31"/>
      <c r="AT264" s="31"/>
      <c r="AU264" s="31"/>
      <c r="AV264" s="31"/>
      <c r="AW264" s="31"/>
      <c r="AX264" s="31"/>
      <c r="AY264" s="31"/>
    </row>
    <row r="265" spans="2:51" s="29" customFormat="1" ht="14.5">
      <c r="B265" s="5" t="str">
        <f t="shared" si="54"/>
        <v xml:space="preserve">        └ 재고 이동 출고 현황</v>
      </c>
      <c r="C265" s="33" t="s">
        <v>47</v>
      </c>
      <c r="D265" s="32"/>
      <c r="E265" s="33" t="s">
        <v>1269</v>
      </c>
      <c r="F265" s="44" t="s">
        <v>887</v>
      </c>
      <c r="G265" s="32"/>
      <c r="H265" s="32"/>
      <c r="I265" s="32"/>
      <c r="J265" s="34"/>
      <c r="K265" s="34"/>
      <c r="L265" s="27" t="str">
        <f t="shared" si="50"/>
        <v>1</v>
      </c>
      <c r="M265" s="27" t="str">
        <f t="shared" si="51"/>
        <v>1</v>
      </c>
      <c r="N265" s="32" t="s">
        <v>428</v>
      </c>
      <c r="O265" s="32" t="s">
        <v>611</v>
      </c>
      <c r="P265" s="27" t="str">
        <f t="shared" si="52"/>
        <v>1</v>
      </c>
      <c r="Q265" s="32" t="s">
        <v>399</v>
      </c>
      <c r="R265" s="32" t="s">
        <v>400</v>
      </c>
      <c r="S265" s="32" t="s">
        <v>400</v>
      </c>
      <c r="T265" s="32" t="s">
        <v>400</v>
      </c>
      <c r="U265" s="32" t="s">
        <v>48</v>
      </c>
      <c r="V265" s="32" t="s">
        <v>400</v>
      </c>
      <c r="W265" s="32" t="s">
        <v>400</v>
      </c>
      <c r="X265" s="32" t="s">
        <v>399</v>
      </c>
      <c r="Y265" s="32" t="s">
        <v>48</v>
      </c>
      <c r="Z265" s="32" t="s">
        <v>48</v>
      </c>
      <c r="AA265" s="32" t="s">
        <v>48</v>
      </c>
      <c r="AB265" s="32" t="s">
        <v>48</v>
      </c>
      <c r="AC265" s="32" t="s">
        <v>48</v>
      </c>
      <c r="AD265" s="32"/>
      <c r="AE265" s="27" t="str">
        <f t="shared" si="53"/>
        <v>N</v>
      </c>
      <c r="AF265" s="32" t="s">
        <v>399</v>
      </c>
      <c r="AG265" s="32"/>
      <c r="AH265" s="33" t="s">
        <v>1282</v>
      </c>
      <c r="AI265" s="35">
        <v>5</v>
      </c>
      <c r="AJ265" s="57">
        <v>269</v>
      </c>
      <c r="AK265" s="33" t="s">
        <v>401</v>
      </c>
      <c r="AL265" s="10" t="s">
        <v>50</v>
      </c>
      <c r="AM265" s="6" t="str">
        <f t="shared" si="55"/>
        <v>14821/재고 이동 출고 현황/ move/MoveSaleList</v>
      </c>
      <c r="AN265" s="30"/>
      <c r="AO265" s="30"/>
      <c r="AP265" s="30"/>
      <c r="AQ265" s="30"/>
      <c r="AR265" s="31"/>
      <c r="AS265" s="31"/>
      <c r="AT265" s="31"/>
      <c r="AU265" s="31"/>
      <c r="AV265" s="31"/>
      <c r="AW265" s="31"/>
      <c r="AX265" s="31"/>
      <c r="AY265" s="31"/>
    </row>
    <row r="266" spans="2:51" s="29" customFormat="1" ht="14.5">
      <c r="B266" s="5" t="str">
        <f t="shared" si="54"/>
        <v xml:space="preserve">        └ 재고 이동 입고 관리</v>
      </c>
      <c r="C266" s="33" t="s">
        <v>47</v>
      </c>
      <c r="D266" s="32"/>
      <c r="E266" s="33" t="s">
        <v>1270</v>
      </c>
      <c r="F266" s="44" t="s">
        <v>888</v>
      </c>
      <c r="G266" s="32"/>
      <c r="H266" s="32"/>
      <c r="I266" s="32"/>
      <c r="J266" s="34"/>
      <c r="K266" s="34"/>
      <c r="L266" s="27" t="str">
        <f t="shared" si="50"/>
        <v>1</v>
      </c>
      <c r="M266" s="27" t="str">
        <f t="shared" si="51"/>
        <v>1</v>
      </c>
      <c r="N266" s="32" t="s">
        <v>428</v>
      </c>
      <c r="O266" s="32" t="s">
        <v>612</v>
      </c>
      <c r="P266" s="27" t="str">
        <f t="shared" si="52"/>
        <v>1</v>
      </c>
      <c r="Q266" s="32" t="s">
        <v>400</v>
      </c>
      <c r="R266" s="32" t="s">
        <v>400</v>
      </c>
      <c r="S266" s="32" t="s">
        <v>400</v>
      </c>
      <c r="T266" s="32" t="s">
        <v>400</v>
      </c>
      <c r="U266" s="32" t="s">
        <v>48</v>
      </c>
      <c r="V266" s="32" t="s">
        <v>400</v>
      </c>
      <c r="W266" s="32" t="s">
        <v>400</v>
      </c>
      <c r="X266" s="32" t="s">
        <v>399</v>
      </c>
      <c r="Y266" s="32" t="s">
        <v>48</v>
      </c>
      <c r="Z266" s="32" t="s">
        <v>48</v>
      </c>
      <c r="AA266" s="32" t="s">
        <v>48</v>
      </c>
      <c r="AB266" s="32" t="s">
        <v>48</v>
      </c>
      <c r="AC266" s="32" t="s">
        <v>48</v>
      </c>
      <c r="AD266" s="32"/>
      <c r="AE266" s="27" t="str">
        <f t="shared" si="53"/>
        <v>N</v>
      </c>
      <c r="AF266" s="32" t="s">
        <v>399</v>
      </c>
      <c r="AG266" s="32"/>
      <c r="AH266" s="33" t="s">
        <v>1282</v>
      </c>
      <c r="AI266" s="35">
        <v>5</v>
      </c>
      <c r="AJ266" s="57">
        <v>270</v>
      </c>
      <c r="AK266" s="33" t="s">
        <v>401</v>
      </c>
      <c r="AL266" s="10" t="s">
        <v>50</v>
      </c>
      <c r="AM266" s="6" t="str">
        <f t="shared" si="55"/>
        <v>14821/재고 이동 입고 관리/ move/MoveRecvWork</v>
      </c>
      <c r="AN266" s="30"/>
      <c r="AO266" s="30"/>
      <c r="AP266" s="30"/>
      <c r="AQ266" s="30"/>
      <c r="AR266" s="31"/>
      <c r="AS266" s="31"/>
      <c r="AT266" s="31"/>
      <c r="AU266" s="31"/>
      <c r="AV266" s="31"/>
      <c r="AW266" s="31"/>
      <c r="AX266" s="31"/>
      <c r="AY266" s="31"/>
    </row>
    <row r="267" spans="2:51" s="29" customFormat="1" ht="14.5">
      <c r="B267" s="5" t="str">
        <f t="shared" si="54"/>
        <v xml:space="preserve">        └ 재고 이동 입고 현황</v>
      </c>
      <c r="C267" s="33" t="s">
        <v>47</v>
      </c>
      <c r="D267" s="32"/>
      <c r="E267" s="33" t="s">
        <v>1271</v>
      </c>
      <c r="F267" s="44" t="s">
        <v>889</v>
      </c>
      <c r="G267" s="32"/>
      <c r="H267" s="32"/>
      <c r="I267" s="32"/>
      <c r="J267" s="34"/>
      <c r="K267" s="34"/>
      <c r="L267" s="27" t="str">
        <f t="shared" si="50"/>
        <v>1</v>
      </c>
      <c r="M267" s="27" t="str">
        <f t="shared" si="51"/>
        <v>1</v>
      </c>
      <c r="N267" s="32" t="s">
        <v>428</v>
      </c>
      <c r="O267" s="32" t="s">
        <v>613</v>
      </c>
      <c r="P267" s="27" t="str">
        <f t="shared" si="52"/>
        <v>1</v>
      </c>
      <c r="Q267" s="32" t="s">
        <v>399</v>
      </c>
      <c r="R267" s="32" t="s">
        <v>399</v>
      </c>
      <c r="S267" s="32" t="s">
        <v>400</v>
      </c>
      <c r="T267" s="32" t="s">
        <v>400</v>
      </c>
      <c r="U267" s="32" t="s">
        <v>48</v>
      </c>
      <c r="V267" s="32" t="s">
        <v>400</v>
      </c>
      <c r="W267" s="32" t="s">
        <v>400</v>
      </c>
      <c r="X267" s="32" t="s">
        <v>399</v>
      </c>
      <c r="Y267" s="32" t="s">
        <v>48</v>
      </c>
      <c r="Z267" s="32" t="s">
        <v>48</v>
      </c>
      <c r="AA267" s="32" t="s">
        <v>48</v>
      </c>
      <c r="AB267" s="32" t="s">
        <v>48</v>
      </c>
      <c r="AC267" s="32" t="s">
        <v>48</v>
      </c>
      <c r="AD267" s="32"/>
      <c r="AE267" s="27" t="str">
        <f t="shared" si="53"/>
        <v>N</v>
      </c>
      <c r="AF267" s="32" t="s">
        <v>399</v>
      </c>
      <c r="AG267" s="32"/>
      <c r="AH267" s="33" t="s">
        <v>1282</v>
      </c>
      <c r="AI267" s="35">
        <v>5</v>
      </c>
      <c r="AJ267" s="57">
        <v>271</v>
      </c>
      <c r="AK267" s="33" t="s">
        <v>401</v>
      </c>
      <c r="AL267" s="10" t="s">
        <v>50</v>
      </c>
      <c r="AM267" s="6" t="str">
        <f t="shared" si="55"/>
        <v>14821/재고 이동 입고 현황/ move/MoveRecvList</v>
      </c>
      <c r="AN267" s="30"/>
      <c r="AO267" s="30"/>
      <c r="AP267" s="30"/>
      <c r="AQ267" s="30"/>
      <c r="AR267" s="31"/>
      <c r="AS267" s="31"/>
      <c r="AT267" s="31"/>
      <c r="AU267" s="31"/>
      <c r="AV267" s="31"/>
      <c r="AW267" s="31"/>
      <c r="AX267" s="31"/>
      <c r="AY267" s="31"/>
    </row>
    <row r="268" spans="2:51" s="29" customFormat="1" ht="14.5">
      <c r="B268" s="5" t="str">
        <f t="shared" si="54"/>
        <v xml:space="preserve">        └ 재고 이동 출고 검수</v>
      </c>
      <c r="C268" s="33" t="s">
        <v>47</v>
      </c>
      <c r="D268" s="32"/>
      <c r="E268" s="33" t="s">
        <v>1272</v>
      </c>
      <c r="F268" s="44" t="s">
        <v>890</v>
      </c>
      <c r="G268" s="32"/>
      <c r="H268" s="32"/>
      <c r="I268" s="32"/>
      <c r="J268" s="34"/>
      <c r="K268" s="34"/>
      <c r="L268" s="27" t="str">
        <f t="shared" si="50"/>
        <v>1</v>
      </c>
      <c r="M268" s="27" t="str">
        <f t="shared" si="51"/>
        <v>1</v>
      </c>
      <c r="N268" s="32" t="s">
        <v>428</v>
      </c>
      <c r="O268" s="32" t="s">
        <v>614</v>
      </c>
      <c r="P268" s="27" t="str">
        <f t="shared" si="52"/>
        <v>1</v>
      </c>
      <c r="Q268" s="32" t="s">
        <v>399</v>
      </c>
      <c r="R268" s="32" t="s">
        <v>399</v>
      </c>
      <c r="S268" s="32" t="s">
        <v>399</v>
      </c>
      <c r="T268" s="32" t="s">
        <v>400</v>
      </c>
      <c r="U268" s="32" t="s">
        <v>48</v>
      </c>
      <c r="V268" s="32" t="s">
        <v>400</v>
      </c>
      <c r="W268" s="32" t="s">
        <v>400</v>
      </c>
      <c r="X268" s="32" t="s">
        <v>400</v>
      </c>
      <c r="Y268" s="32" t="s">
        <v>48</v>
      </c>
      <c r="Z268" s="32" t="s">
        <v>48</v>
      </c>
      <c r="AA268" s="32" t="s">
        <v>48</v>
      </c>
      <c r="AB268" s="32" t="s">
        <v>48</v>
      </c>
      <c r="AC268" s="32" t="s">
        <v>48</v>
      </c>
      <c r="AD268" s="32"/>
      <c r="AE268" s="27" t="str">
        <f t="shared" si="53"/>
        <v>N</v>
      </c>
      <c r="AF268" s="32" t="s">
        <v>399</v>
      </c>
      <c r="AG268" s="32"/>
      <c r="AH268" s="33" t="s">
        <v>1282</v>
      </c>
      <c r="AI268" s="35">
        <v>5</v>
      </c>
      <c r="AJ268" s="57">
        <v>272</v>
      </c>
      <c r="AK268" s="33" t="s">
        <v>401</v>
      </c>
      <c r="AL268" s="10" t="s">
        <v>50</v>
      </c>
      <c r="AM268" s="6" t="str">
        <f t="shared" si="55"/>
        <v>14821/재고 이동 출고 검수/ move/MoveSaleCheck</v>
      </c>
      <c r="AN268" s="30"/>
      <c r="AO268" s="30"/>
      <c r="AP268" s="30"/>
      <c r="AQ268" s="30"/>
      <c r="AR268" s="31"/>
      <c r="AS268" s="31"/>
      <c r="AT268" s="31"/>
      <c r="AU268" s="31"/>
      <c r="AV268" s="31"/>
      <c r="AW268" s="31"/>
      <c r="AX268" s="31"/>
      <c r="AY268" s="31"/>
    </row>
    <row r="269" spans="2:51" s="29" customFormat="1" ht="14.5">
      <c r="B269" s="5" t="str">
        <f t="shared" si="54"/>
        <v xml:space="preserve">        └ 재고 이동 입고 검수</v>
      </c>
      <c r="C269" s="33" t="s">
        <v>47</v>
      </c>
      <c r="D269" s="32"/>
      <c r="E269" s="33" t="s">
        <v>1273</v>
      </c>
      <c r="F269" s="44" t="s">
        <v>891</v>
      </c>
      <c r="G269" s="32"/>
      <c r="H269" s="32"/>
      <c r="I269" s="32"/>
      <c r="J269" s="34"/>
      <c r="K269" s="34"/>
      <c r="L269" s="27" t="str">
        <f t="shared" si="50"/>
        <v>1</v>
      </c>
      <c r="M269" s="27" t="str">
        <f t="shared" si="51"/>
        <v>1</v>
      </c>
      <c r="N269" s="32" t="s">
        <v>428</v>
      </c>
      <c r="O269" s="32" t="s">
        <v>615</v>
      </c>
      <c r="P269" s="27" t="str">
        <f t="shared" si="52"/>
        <v>1</v>
      </c>
      <c r="Q269" s="32" t="s">
        <v>399</v>
      </c>
      <c r="R269" s="32" t="s">
        <v>399</v>
      </c>
      <c r="S269" s="32" t="s">
        <v>399</v>
      </c>
      <c r="T269" s="32" t="s">
        <v>400</v>
      </c>
      <c r="U269" s="32" t="s">
        <v>48</v>
      </c>
      <c r="V269" s="32" t="s">
        <v>400</v>
      </c>
      <c r="W269" s="32" t="s">
        <v>400</v>
      </c>
      <c r="X269" s="32" t="s">
        <v>400</v>
      </c>
      <c r="Y269" s="32" t="s">
        <v>48</v>
      </c>
      <c r="Z269" s="32" t="s">
        <v>48</v>
      </c>
      <c r="AA269" s="32" t="s">
        <v>48</v>
      </c>
      <c r="AB269" s="32" t="s">
        <v>48</v>
      </c>
      <c r="AC269" s="32" t="s">
        <v>48</v>
      </c>
      <c r="AD269" s="32"/>
      <c r="AE269" s="27" t="str">
        <f t="shared" si="53"/>
        <v>N</v>
      </c>
      <c r="AF269" s="32" t="s">
        <v>399</v>
      </c>
      <c r="AG269" s="32"/>
      <c r="AH269" s="33" t="s">
        <v>1282</v>
      </c>
      <c r="AI269" s="35">
        <v>5</v>
      </c>
      <c r="AJ269" s="57">
        <v>273</v>
      </c>
      <c r="AK269" s="33" t="s">
        <v>401</v>
      </c>
      <c r="AL269" s="10" t="s">
        <v>50</v>
      </c>
      <c r="AM269" s="6" t="str">
        <f t="shared" si="55"/>
        <v>14821/재고 이동 입고 검수/ move/MoveRecvCheck</v>
      </c>
      <c r="AN269" s="30"/>
      <c r="AO269" s="30"/>
      <c r="AP269" s="30"/>
      <c r="AQ269" s="30"/>
      <c r="AR269" s="31"/>
      <c r="AS269" s="31"/>
      <c r="AT269" s="31"/>
      <c r="AU269" s="31"/>
      <c r="AV269" s="31"/>
      <c r="AW269" s="31"/>
      <c r="AX269" s="31"/>
      <c r="AY269" s="31"/>
    </row>
    <row r="270" spans="2:51" s="29" customFormat="1" ht="14.5">
      <c r="B270" s="5" t="str">
        <f t="shared" si="54"/>
        <v xml:space="preserve">        └ 이동현황 보고서</v>
      </c>
      <c r="C270" s="33" t="s">
        <v>47</v>
      </c>
      <c r="D270" s="32"/>
      <c r="E270" s="33" t="s">
        <v>1274</v>
      </c>
      <c r="F270" s="44" t="s">
        <v>892</v>
      </c>
      <c r="G270" s="32"/>
      <c r="H270" s="32"/>
      <c r="I270" s="32"/>
      <c r="J270" s="34"/>
      <c r="K270" s="34"/>
      <c r="L270" s="27" t="str">
        <f t="shared" si="50"/>
        <v>1</v>
      </c>
      <c r="M270" s="27" t="str">
        <f t="shared" si="51"/>
        <v>0</v>
      </c>
      <c r="N270" s="32" t="s">
        <v>48</v>
      </c>
      <c r="O270" s="32"/>
      <c r="P270" s="27" t="str">
        <f t="shared" si="52"/>
        <v>1</v>
      </c>
      <c r="Q270" s="32" t="s">
        <v>399</v>
      </c>
      <c r="R270" s="32" t="s">
        <v>399</v>
      </c>
      <c r="S270" s="32" t="s">
        <v>399</v>
      </c>
      <c r="T270" s="32" t="s">
        <v>400</v>
      </c>
      <c r="U270" s="32" t="s">
        <v>48</v>
      </c>
      <c r="V270" s="32" t="s">
        <v>400</v>
      </c>
      <c r="W270" s="32" t="s">
        <v>400</v>
      </c>
      <c r="X270" s="32" t="s">
        <v>400</v>
      </c>
      <c r="Y270" s="32" t="s">
        <v>48</v>
      </c>
      <c r="Z270" s="32" t="s">
        <v>48</v>
      </c>
      <c r="AA270" s="32" t="s">
        <v>48</v>
      </c>
      <c r="AB270" s="32" t="s">
        <v>48</v>
      </c>
      <c r="AC270" s="32" t="s">
        <v>48</v>
      </c>
      <c r="AD270" s="32"/>
      <c r="AE270" s="27" t="str">
        <f t="shared" si="53"/>
        <v>N</v>
      </c>
      <c r="AF270" s="32" t="s">
        <v>399</v>
      </c>
      <c r="AG270" s="32"/>
      <c r="AH270" s="33" t="s">
        <v>1282</v>
      </c>
      <c r="AI270" s="35">
        <v>5</v>
      </c>
      <c r="AJ270" s="57">
        <v>274</v>
      </c>
      <c r="AK270" s="33" t="s">
        <v>401</v>
      </c>
      <c r="AL270" s="10" t="s">
        <v>50</v>
      </c>
      <c r="AM270" s="6" t="str">
        <f t="shared" si="55"/>
        <v>14821/이동현황 보고서/ /</v>
      </c>
      <c r="AN270" s="30"/>
      <c r="AO270" s="30"/>
      <c r="AP270" s="30"/>
      <c r="AQ270" s="30"/>
      <c r="AR270" s="31"/>
      <c r="AS270" s="31"/>
      <c r="AT270" s="31"/>
      <c r="AU270" s="31"/>
      <c r="AV270" s="31"/>
      <c r="AW270" s="31"/>
      <c r="AX270" s="31"/>
      <c r="AY270" s="31"/>
    </row>
    <row r="271" spans="2:51" s="29" customFormat="1" ht="14.5">
      <c r="B271" s="5" t="str">
        <f t="shared" si="54"/>
        <v xml:space="preserve">           └ 사업장별 이동 출고현황</v>
      </c>
      <c r="C271" s="33" t="s">
        <v>47</v>
      </c>
      <c r="D271" s="32"/>
      <c r="E271" s="33" t="s">
        <v>1275</v>
      </c>
      <c r="F271" s="44" t="s">
        <v>893</v>
      </c>
      <c r="G271" s="32"/>
      <c r="H271" s="32"/>
      <c r="I271" s="32"/>
      <c r="J271" s="34"/>
      <c r="K271" s="34"/>
      <c r="L271" s="27" t="str">
        <f t="shared" si="50"/>
        <v>1</v>
      </c>
      <c r="M271" s="27" t="str">
        <f t="shared" si="51"/>
        <v>1</v>
      </c>
      <c r="N271" s="32" t="s">
        <v>417</v>
      </c>
      <c r="O271" s="32" t="s">
        <v>616</v>
      </c>
      <c r="P271" s="27" t="str">
        <f t="shared" si="52"/>
        <v>1</v>
      </c>
      <c r="Q271" s="32" t="s">
        <v>399</v>
      </c>
      <c r="R271" s="32" t="s">
        <v>399</v>
      </c>
      <c r="S271" s="32" t="s">
        <v>400</v>
      </c>
      <c r="T271" s="32" t="s">
        <v>400</v>
      </c>
      <c r="U271" s="32" t="s">
        <v>48</v>
      </c>
      <c r="V271" s="32" t="s">
        <v>400</v>
      </c>
      <c r="W271" s="32" t="s">
        <v>400</v>
      </c>
      <c r="X271" s="32" t="s">
        <v>399</v>
      </c>
      <c r="Y271" s="32" t="s">
        <v>48</v>
      </c>
      <c r="Z271" s="32" t="s">
        <v>48</v>
      </c>
      <c r="AA271" s="32" t="s">
        <v>48</v>
      </c>
      <c r="AB271" s="32" t="s">
        <v>48</v>
      </c>
      <c r="AC271" s="32" t="s">
        <v>48</v>
      </c>
      <c r="AD271" s="32"/>
      <c r="AE271" s="27" t="str">
        <f t="shared" si="53"/>
        <v>N</v>
      </c>
      <c r="AF271" s="32" t="s">
        <v>399</v>
      </c>
      <c r="AG271" s="32"/>
      <c r="AH271" s="33" t="s">
        <v>1283</v>
      </c>
      <c r="AI271" s="35">
        <v>6</v>
      </c>
      <c r="AJ271" s="57">
        <v>275</v>
      </c>
      <c r="AK271" s="33" t="s">
        <v>401</v>
      </c>
      <c r="AL271" s="10" t="s">
        <v>50</v>
      </c>
      <c r="AM271" s="6" t="str">
        <f t="shared" si="55"/>
        <v>14821/사업장별 이동 출고현황/ report/MoveSaleStoreRpt</v>
      </c>
      <c r="AN271" s="30"/>
      <c r="AO271" s="30"/>
      <c r="AP271" s="30"/>
      <c r="AQ271" s="30"/>
      <c r="AR271" s="31"/>
      <c r="AS271" s="31"/>
      <c r="AT271" s="31"/>
      <c r="AU271" s="31"/>
      <c r="AV271" s="31"/>
      <c r="AW271" s="31"/>
      <c r="AX271" s="31"/>
      <c r="AY271" s="31"/>
    </row>
    <row r="272" spans="2:51" s="29" customFormat="1" ht="14.5">
      <c r="B272" s="5" t="str">
        <f t="shared" si="54"/>
        <v xml:space="preserve">           └ 담당별 이동 출고 현황</v>
      </c>
      <c r="C272" s="33" t="s">
        <v>47</v>
      </c>
      <c r="D272" s="32"/>
      <c r="E272" s="33" t="s">
        <v>1276</v>
      </c>
      <c r="F272" s="44" t="s">
        <v>894</v>
      </c>
      <c r="G272" s="32"/>
      <c r="H272" s="32"/>
      <c r="I272" s="32"/>
      <c r="J272" s="34"/>
      <c r="K272" s="34"/>
      <c r="L272" s="27" t="str">
        <f t="shared" si="50"/>
        <v>1</v>
      </c>
      <c r="M272" s="27" t="str">
        <f t="shared" si="51"/>
        <v>1</v>
      </c>
      <c r="N272" s="32" t="s">
        <v>417</v>
      </c>
      <c r="O272" s="32" t="s">
        <v>617</v>
      </c>
      <c r="P272" s="27" t="str">
        <f t="shared" si="52"/>
        <v>1</v>
      </c>
      <c r="Q272" s="32" t="s">
        <v>399</v>
      </c>
      <c r="R272" s="32" t="s">
        <v>399</v>
      </c>
      <c r="S272" s="32" t="s">
        <v>400</v>
      </c>
      <c r="T272" s="32" t="s">
        <v>400</v>
      </c>
      <c r="U272" s="32" t="s">
        <v>48</v>
      </c>
      <c r="V272" s="32" t="s">
        <v>400</v>
      </c>
      <c r="W272" s="32" t="s">
        <v>400</v>
      </c>
      <c r="X272" s="32" t="s">
        <v>399</v>
      </c>
      <c r="Y272" s="32" t="s">
        <v>48</v>
      </c>
      <c r="Z272" s="32" t="s">
        <v>48</v>
      </c>
      <c r="AA272" s="32" t="s">
        <v>48</v>
      </c>
      <c r="AB272" s="32" t="s">
        <v>48</v>
      </c>
      <c r="AC272" s="32" t="s">
        <v>48</v>
      </c>
      <c r="AD272" s="32"/>
      <c r="AE272" s="27" t="str">
        <f t="shared" si="53"/>
        <v>N</v>
      </c>
      <c r="AF272" s="32" t="s">
        <v>399</v>
      </c>
      <c r="AG272" s="32"/>
      <c r="AH272" s="33" t="s">
        <v>1283</v>
      </c>
      <c r="AI272" s="35">
        <v>6</v>
      </c>
      <c r="AJ272" s="57">
        <v>276</v>
      </c>
      <c r="AK272" s="33" t="s">
        <v>401</v>
      </c>
      <c r="AL272" s="10" t="s">
        <v>50</v>
      </c>
      <c r="AM272" s="6" t="str">
        <f t="shared" si="55"/>
        <v>14821/담당별 이동 출고 현황/ report/MoveSaleUserRpt</v>
      </c>
      <c r="AN272" s="30"/>
      <c r="AO272" s="30"/>
      <c r="AP272" s="30"/>
      <c r="AQ272" s="30"/>
      <c r="AR272" s="31"/>
      <c r="AS272" s="31"/>
      <c r="AT272" s="31"/>
      <c r="AU272" s="31"/>
      <c r="AV272" s="31"/>
      <c r="AW272" s="31"/>
      <c r="AX272" s="31"/>
      <c r="AY272" s="31"/>
    </row>
    <row r="273" spans="2:51" s="29" customFormat="1" ht="14.5">
      <c r="B273" s="5" t="str">
        <f t="shared" si="54"/>
        <v xml:space="preserve">           └ 상품별 이동 출고 현황</v>
      </c>
      <c r="C273" s="33" t="s">
        <v>47</v>
      </c>
      <c r="D273" s="32"/>
      <c r="E273" s="33" t="s">
        <v>1277</v>
      </c>
      <c r="F273" s="44" t="s">
        <v>895</v>
      </c>
      <c r="G273" s="32"/>
      <c r="H273" s="32"/>
      <c r="I273" s="32"/>
      <c r="J273" s="34"/>
      <c r="K273" s="34"/>
      <c r="L273" s="27" t="str">
        <f t="shared" si="50"/>
        <v>1</v>
      </c>
      <c r="M273" s="27" t="str">
        <f t="shared" si="51"/>
        <v>1</v>
      </c>
      <c r="N273" s="32" t="s">
        <v>417</v>
      </c>
      <c r="O273" s="32" t="s">
        <v>618</v>
      </c>
      <c r="P273" s="27" t="str">
        <f t="shared" si="52"/>
        <v>1</v>
      </c>
      <c r="Q273" s="32" t="s">
        <v>399</v>
      </c>
      <c r="R273" s="32" t="s">
        <v>399</v>
      </c>
      <c r="S273" s="32" t="s">
        <v>400</v>
      </c>
      <c r="T273" s="32" t="s">
        <v>400</v>
      </c>
      <c r="U273" s="32" t="s">
        <v>48</v>
      </c>
      <c r="V273" s="32" t="s">
        <v>400</v>
      </c>
      <c r="W273" s="32" t="s">
        <v>400</v>
      </c>
      <c r="X273" s="32" t="s">
        <v>399</v>
      </c>
      <c r="Y273" s="32" t="s">
        <v>48</v>
      </c>
      <c r="Z273" s="32" t="s">
        <v>48</v>
      </c>
      <c r="AA273" s="32" t="s">
        <v>48</v>
      </c>
      <c r="AB273" s="32" t="s">
        <v>48</v>
      </c>
      <c r="AC273" s="32" t="s">
        <v>48</v>
      </c>
      <c r="AD273" s="32"/>
      <c r="AE273" s="27" t="str">
        <f t="shared" si="53"/>
        <v>N</v>
      </c>
      <c r="AF273" s="32" t="s">
        <v>399</v>
      </c>
      <c r="AG273" s="32"/>
      <c r="AH273" s="33" t="s">
        <v>1283</v>
      </c>
      <c r="AI273" s="35">
        <v>6</v>
      </c>
      <c r="AJ273" s="57">
        <v>277</v>
      </c>
      <c r="AK273" s="33" t="s">
        <v>401</v>
      </c>
      <c r="AL273" s="10" t="s">
        <v>50</v>
      </c>
      <c r="AM273" s="6" t="str">
        <f t="shared" si="55"/>
        <v>14821/상품별 이동 출고 현황/ report/MoveSaleItemRpt</v>
      </c>
      <c r="AN273" s="30"/>
      <c r="AO273" s="30"/>
      <c r="AP273" s="30"/>
      <c r="AQ273" s="30"/>
      <c r="AR273" s="31"/>
      <c r="AS273" s="31"/>
      <c r="AT273" s="31"/>
      <c r="AU273" s="31"/>
      <c r="AV273" s="31"/>
      <c r="AW273" s="31"/>
      <c r="AX273" s="31"/>
      <c r="AY273" s="31"/>
    </row>
    <row r="274" spans="2:51" s="29" customFormat="1" ht="14.5">
      <c r="B274" s="5" t="str">
        <f t="shared" si="54"/>
        <v xml:space="preserve">           └ 지점별 이동 입고 현황</v>
      </c>
      <c r="C274" s="33" t="s">
        <v>47</v>
      </c>
      <c r="D274" s="32"/>
      <c r="E274" s="33" t="s">
        <v>1278</v>
      </c>
      <c r="F274" s="44" t="s">
        <v>896</v>
      </c>
      <c r="G274" s="32"/>
      <c r="H274" s="32"/>
      <c r="I274" s="32"/>
      <c r="J274" s="34"/>
      <c r="K274" s="34"/>
      <c r="L274" s="27" t="str">
        <f t="shared" si="50"/>
        <v>1</v>
      </c>
      <c r="M274" s="27" t="str">
        <f t="shared" si="51"/>
        <v>1</v>
      </c>
      <c r="N274" s="32" t="s">
        <v>417</v>
      </c>
      <c r="O274" s="32" t="s">
        <v>619</v>
      </c>
      <c r="P274" s="27" t="str">
        <f t="shared" si="52"/>
        <v>1</v>
      </c>
      <c r="Q274" s="32" t="s">
        <v>399</v>
      </c>
      <c r="R274" s="32" t="s">
        <v>399</v>
      </c>
      <c r="S274" s="32" t="s">
        <v>400</v>
      </c>
      <c r="T274" s="32" t="s">
        <v>400</v>
      </c>
      <c r="U274" s="32" t="s">
        <v>48</v>
      </c>
      <c r="V274" s="32" t="s">
        <v>400</v>
      </c>
      <c r="W274" s="32" t="s">
        <v>400</v>
      </c>
      <c r="X274" s="32" t="s">
        <v>399</v>
      </c>
      <c r="Y274" s="32" t="s">
        <v>48</v>
      </c>
      <c r="Z274" s="32" t="s">
        <v>48</v>
      </c>
      <c r="AA274" s="32" t="s">
        <v>48</v>
      </c>
      <c r="AB274" s="32" t="s">
        <v>48</v>
      </c>
      <c r="AC274" s="32" t="s">
        <v>48</v>
      </c>
      <c r="AD274" s="32"/>
      <c r="AE274" s="27" t="str">
        <f t="shared" si="53"/>
        <v>N</v>
      </c>
      <c r="AF274" s="32" t="s">
        <v>399</v>
      </c>
      <c r="AG274" s="32"/>
      <c r="AH274" s="33" t="s">
        <v>1283</v>
      </c>
      <c r="AI274" s="35">
        <v>6</v>
      </c>
      <c r="AJ274" s="57">
        <v>278</v>
      </c>
      <c r="AK274" s="33" t="s">
        <v>401</v>
      </c>
      <c r="AL274" s="10" t="s">
        <v>50</v>
      </c>
      <c r="AM274" s="6" t="str">
        <f t="shared" si="55"/>
        <v>14821/지점별 이동 입고 현황/ report/MoveRecvstoreRpt</v>
      </c>
      <c r="AN274" s="30"/>
      <c r="AO274" s="30"/>
      <c r="AP274" s="30"/>
      <c r="AQ274" s="30"/>
      <c r="AR274" s="31"/>
      <c r="AS274" s="31"/>
      <c r="AT274" s="31"/>
      <c r="AU274" s="31"/>
      <c r="AV274" s="31"/>
      <c r="AW274" s="31"/>
      <c r="AX274" s="31"/>
      <c r="AY274" s="31"/>
    </row>
    <row r="275" spans="2:51" s="29" customFormat="1" ht="14.5">
      <c r="B275" s="5" t="str">
        <f t="shared" si="54"/>
        <v xml:space="preserve">           └ 담당별 이동 입고 현황</v>
      </c>
      <c r="C275" s="33" t="s">
        <v>47</v>
      </c>
      <c r="D275" s="32"/>
      <c r="E275" s="33" t="s">
        <v>1279</v>
      </c>
      <c r="F275" s="44" t="s">
        <v>897</v>
      </c>
      <c r="G275" s="32"/>
      <c r="H275" s="32"/>
      <c r="I275" s="32"/>
      <c r="J275" s="34"/>
      <c r="K275" s="34"/>
      <c r="L275" s="27" t="str">
        <f t="shared" si="50"/>
        <v>1</v>
      </c>
      <c r="M275" s="27" t="str">
        <f t="shared" si="51"/>
        <v>1</v>
      </c>
      <c r="N275" s="32" t="s">
        <v>417</v>
      </c>
      <c r="O275" s="32" t="s">
        <v>620</v>
      </c>
      <c r="P275" s="27" t="str">
        <f t="shared" si="52"/>
        <v>1</v>
      </c>
      <c r="Q275" s="32" t="s">
        <v>399</v>
      </c>
      <c r="R275" s="32" t="s">
        <v>399</v>
      </c>
      <c r="S275" s="32" t="s">
        <v>400</v>
      </c>
      <c r="T275" s="32" t="s">
        <v>400</v>
      </c>
      <c r="U275" s="32" t="s">
        <v>48</v>
      </c>
      <c r="V275" s="32" t="s">
        <v>400</v>
      </c>
      <c r="W275" s="32" t="s">
        <v>400</v>
      </c>
      <c r="X275" s="32" t="s">
        <v>399</v>
      </c>
      <c r="Y275" s="32" t="s">
        <v>48</v>
      </c>
      <c r="Z275" s="32" t="s">
        <v>48</v>
      </c>
      <c r="AA275" s="32" t="s">
        <v>48</v>
      </c>
      <c r="AB275" s="32" t="s">
        <v>48</v>
      </c>
      <c r="AC275" s="32" t="s">
        <v>48</v>
      </c>
      <c r="AD275" s="32"/>
      <c r="AE275" s="27" t="str">
        <f t="shared" si="53"/>
        <v>N</v>
      </c>
      <c r="AF275" s="32" t="s">
        <v>399</v>
      </c>
      <c r="AG275" s="32"/>
      <c r="AH275" s="33" t="s">
        <v>1283</v>
      </c>
      <c r="AI275" s="35">
        <v>6</v>
      </c>
      <c r="AJ275" s="57">
        <v>279</v>
      </c>
      <c r="AK275" s="33" t="s">
        <v>401</v>
      </c>
      <c r="AL275" s="10" t="s">
        <v>50</v>
      </c>
      <c r="AM275" s="6" t="str">
        <f t="shared" si="55"/>
        <v>14821/담당별 이동 입고 현황/ report/MoveRecvUserRpt</v>
      </c>
      <c r="AN275" s="30"/>
      <c r="AO275" s="30"/>
      <c r="AP275" s="30"/>
      <c r="AQ275" s="30"/>
      <c r="AR275" s="31"/>
      <c r="AS275" s="31"/>
      <c r="AT275" s="31"/>
      <c r="AU275" s="31"/>
      <c r="AV275" s="31"/>
      <c r="AW275" s="31"/>
      <c r="AX275" s="31"/>
      <c r="AY275" s="31"/>
    </row>
    <row r="276" spans="2:51" s="29" customFormat="1" ht="14.5">
      <c r="B276" s="5" t="str">
        <f t="shared" si="54"/>
        <v xml:space="preserve">           └ 상품별 이동 입고 현황</v>
      </c>
      <c r="C276" s="33" t="s">
        <v>47</v>
      </c>
      <c r="D276" s="32"/>
      <c r="E276" s="33" t="s">
        <v>1280</v>
      </c>
      <c r="F276" s="44" t="s">
        <v>898</v>
      </c>
      <c r="G276" s="32"/>
      <c r="H276" s="32"/>
      <c r="I276" s="32"/>
      <c r="J276" s="34"/>
      <c r="K276" s="34"/>
      <c r="L276" s="27" t="str">
        <f t="shared" si="50"/>
        <v>1</v>
      </c>
      <c r="M276" s="27" t="str">
        <f t="shared" si="51"/>
        <v>1</v>
      </c>
      <c r="N276" s="32" t="s">
        <v>417</v>
      </c>
      <c r="O276" s="32" t="s">
        <v>621</v>
      </c>
      <c r="P276" s="27" t="str">
        <f t="shared" si="52"/>
        <v>1</v>
      </c>
      <c r="Q276" s="32" t="s">
        <v>399</v>
      </c>
      <c r="R276" s="32" t="s">
        <v>399</v>
      </c>
      <c r="S276" s="32" t="s">
        <v>400</v>
      </c>
      <c r="T276" s="32" t="s">
        <v>400</v>
      </c>
      <c r="U276" s="32" t="s">
        <v>48</v>
      </c>
      <c r="V276" s="32" t="s">
        <v>400</v>
      </c>
      <c r="W276" s="32" t="s">
        <v>400</v>
      </c>
      <c r="X276" s="32" t="s">
        <v>399</v>
      </c>
      <c r="Y276" s="32" t="s">
        <v>48</v>
      </c>
      <c r="Z276" s="32" t="s">
        <v>48</v>
      </c>
      <c r="AA276" s="32" t="s">
        <v>48</v>
      </c>
      <c r="AB276" s="32" t="s">
        <v>48</v>
      </c>
      <c r="AC276" s="32" t="s">
        <v>48</v>
      </c>
      <c r="AD276" s="32"/>
      <c r="AE276" s="27" t="str">
        <f t="shared" si="53"/>
        <v>N</v>
      </c>
      <c r="AF276" s="32" t="s">
        <v>399</v>
      </c>
      <c r="AG276" s="32"/>
      <c r="AH276" s="33" t="s">
        <v>1283</v>
      </c>
      <c r="AI276" s="35">
        <v>6</v>
      </c>
      <c r="AJ276" s="57">
        <v>280</v>
      </c>
      <c r="AK276" s="33" t="s">
        <v>401</v>
      </c>
      <c r="AL276" s="10" t="s">
        <v>50</v>
      </c>
      <c r="AM276" s="6" t="str">
        <f t="shared" si="55"/>
        <v>14821/상품별 이동 입고 현황/ report/MoveRecvItemRpt</v>
      </c>
      <c r="AN276" s="30"/>
      <c r="AO276" s="30"/>
      <c r="AP276" s="30"/>
      <c r="AQ276" s="30"/>
      <c r="AR276" s="31"/>
      <c r="AS276" s="31"/>
      <c r="AT276" s="31"/>
      <c r="AU276" s="31"/>
      <c r="AV276" s="31"/>
      <c r="AW276" s="31"/>
      <c r="AX276" s="31"/>
      <c r="AY276" s="31"/>
    </row>
    <row r="277" spans="2:51" s="29" customFormat="1" ht="14.5">
      <c r="B277" s="5" t="str">
        <f t="shared" si="54"/>
        <v xml:space="preserve">           └ 내부거래 출/입고 집계 현황</v>
      </c>
      <c r="C277" s="33" t="s">
        <v>47</v>
      </c>
      <c r="D277" s="32"/>
      <c r="E277" s="33" t="s">
        <v>1281</v>
      </c>
      <c r="F277" s="44" t="s">
        <v>899</v>
      </c>
      <c r="G277" s="32"/>
      <c r="H277" s="32"/>
      <c r="I277" s="32"/>
      <c r="J277" s="34"/>
      <c r="K277" s="34"/>
      <c r="L277" s="27" t="str">
        <f t="shared" si="50"/>
        <v>1</v>
      </c>
      <c r="M277" s="27" t="str">
        <f t="shared" si="51"/>
        <v>1</v>
      </c>
      <c r="N277" s="32" t="s">
        <v>417</v>
      </c>
      <c r="O277" s="32" t="s">
        <v>622</v>
      </c>
      <c r="P277" s="27" t="str">
        <f t="shared" si="52"/>
        <v>1</v>
      </c>
      <c r="Q277" s="32" t="s">
        <v>399</v>
      </c>
      <c r="R277" s="32" t="s">
        <v>400</v>
      </c>
      <c r="S277" s="32" t="s">
        <v>400</v>
      </c>
      <c r="T277" s="32" t="s">
        <v>400</v>
      </c>
      <c r="U277" s="32" t="s">
        <v>48</v>
      </c>
      <c r="V277" s="32" t="s">
        <v>400</v>
      </c>
      <c r="W277" s="32" t="s">
        <v>400</v>
      </c>
      <c r="X277" s="32" t="s">
        <v>399</v>
      </c>
      <c r="Y277" s="32" t="s">
        <v>48</v>
      </c>
      <c r="Z277" s="32" t="s">
        <v>48</v>
      </c>
      <c r="AA277" s="32" t="s">
        <v>48</v>
      </c>
      <c r="AB277" s="32" t="s">
        <v>48</v>
      </c>
      <c r="AC277" s="32" t="s">
        <v>48</v>
      </c>
      <c r="AD277" s="32"/>
      <c r="AE277" s="27" t="str">
        <f t="shared" si="53"/>
        <v>N</v>
      </c>
      <c r="AF277" s="32" t="s">
        <v>399</v>
      </c>
      <c r="AG277" s="32"/>
      <c r="AH277" s="33" t="s">
        <v>1283</v>
      </c>
      <c r="AI277" s="35">
        <v>6</v>
      </c>
      <c r="AJ277" s="57">
        <v>281</v>
      </c>
      <c r="AK277" s="33" t="s">
        <v>401</v>
      </c>
      <c r="AL277" s="10" t="s">
        <v>50</v>
      </c>
      <c r="AM277" s="6" t="str">
        <f t="shared" si="55"/>
        <v>14821/내부거래 출/입고 집계 현황/ report/MoveInOutRpt</v>
      </c>
      <c r="AN277" s="30"/>
      <c r="AO277" s="30"/>
      <c r="AP277" s="30"/>
      <c r="AQ277" s="30"/>
      <c r="AR277" s="31"/>
      <c r="AS277" s="31"/>
      <c r="AT277" s="31"/>
      <c r="AU277" s="31"/>
      <c r="AV277" s="31"/>
      <c r="AW277" s="31"/>
      <c r="AX277" s="31"/>
      <c r="AY277" s="31"/>
    </row>
    <row r="278" spans="2:51" s="29" customFormat="1" ht="14.5">
      <c r="B278" s="5" t="str">
        <f t="shared" ref="B278:B329" si="56">IF(AI278="","",IF(AI278=1,"",IF(AI278=2,"└ ",IF(AI278=3,"  └ ",IF(AI278=4,"    └ ",IF(AI278=5,"        └ ",IF(AI278=6,"           └ ",IF(AI278=7="             └ ",""))))))))&amp;F278</f>
        <v xml:space="preserve">  └ ERP 연동</v>
      </c>
      <c r="C278" s="33" t="s">
        <v>47</v>
      </c>
      <c r="D278" s="19"/>
      <c r="E278" s="19" t="s">
        <v>1284</v>
      </c>
      <c r="F278" s="42" t="s">
        <v>1289</v>
      </c>
      <c r="G278" s="19"/>
      <c r="H278" s="19"/>
      <c r="I278" s="19"/>
      <c r="J278" s="19"/>
      <c r="K278" s="19"/>
      <c r="L278" s="19" t="str">
        <f t="shared" ref="L278:L325" si="57">IF(F278="","","1")</f>
        <v>1</v>
      </c>
      <c r="M278" s="19" t="str">
        <f t="shared" ref="M278:M325" si="58">IF(F278="","",IF(O278="","0","1"))</f>
        <v>0</v>
      </c>
      <c r="N278" s="19" t="s">
        <v>48</v>
      </c>
      <c r="O278" s="19"/>
      <c r="P278" s="19" t="str">
        <f t="shared" ref="P278:P325" si="59">IF(F278="","","1")</f>
        <v>1</v>
      </c>
      <c r="Q278" s="19" t="s">
        <v>399</v>
      </c>
      <c r="R278" s="19" t="s">
        <v>399</v>
      </c>
      <c r="S278" s="19" t="s">
        <v>399</v>
      </c>
      <c r="T278" s="19" t="s">
        <v>400</v>
      </c>
      <c r="U278" s="19" t="s">
        <v>48</v>
      </c>
      <c r="V278" s="19" t="s">
        <v>400</v>
      </c>
      <c r="W278" s="19" t="s">
        <v>400</v>
      </c>
      <c r="X278" s="19" t="s">
        <v>400</v>
      </c>
      <c r="Y278" s="19" t="s">
        <v>48</v>
      </c>
      <c r="Z278" s="19" t="s">
        <v>48</v>
      </c>
      <c r="AA278" s="19" t="s">
        <v>48</v>
      </c>
      <c r="AB278" s="19" t="s">
        <v>48</v>
      </c>
      <c r="AC278" s="19" t="s">
        <v>48</v>
      </c>
      <c r="AD278" s="19"/>
      <c r="AE278" s="19" t="str">
        <f t="shared" ref="AE278:AE325" si="60">IF(F278="","","N")</f>
        <v>N</v>
      </c>
      <c r="AF278" s="19" t="s">
        <v>399</v>
      </c>
      <c r="AG278" s="19"/>
      <c r="AH278" s="19">
        <v>2000000</v>
      </c>
      <c r="AI278" s="19">
        <v>3</v>
      </c>
      <c r="AJ278" s="57">
        <v>283</v>
      </c>
      <c r="AK278" s="10" t="s">
        <v>401</v>
      </c>
      <c r="AL278" s="10" t="s">
        <v>50</v>
      </c>
      <c r="AM278" s="6" t="str">
        <f t="shared" si="55"/>
        <v>14821/ERP 연동/ /</v>
      </c>
      <c r="AN278" s="30"/>
      <c r="AO278" s="30"/>
      <c r="AP278" s="30"/>
      <c r="AQ278" s="30"/>
      <c r="AR278" s="31"/>
      <c r="AS278" s="31"/>
      <c r="AT278" s="31"/>
      <c r="AU278" s="31"/>
      <c r="AV278" s="31"/>
      <c r="AW278" s="31"/>
      <c r="AX278" s="31"/>
      <c r="AY278" s="31"/>
    </row>
    <row r="279" spans="2:51" s="29" customFormat="1" ht="14.5">
      <c r="B279" s="5" t="str">
        <f t="shared" si="56"/>
        <v xml:space="preserve">    └ 회계연동</v>
      </c>
      <c r="C279" s="33" t="s">
        <v>47</v>
      </c>
      <c r="D279" s="32"/>
      <c r="E279" s="9" t="s">
        <v>1286</v>
      </c>
      <c r="F279" s="38" t="s">
        <v>1290</v>
      </c>
      <c r="G279" s="9"/>
      <c r="H279" s="9"/>
      <c r="I279" s="9"/>
      <c r="J279" s="9"/>
      <c r="K279" s="9"/>
      <c r="L279" s="9" t="str">
        <f t="shared" si="57"/>
        <v>1</v>
      </c>
      <c r="M279" s="9" t="str">
        <f t="shared" si="58"/>
        <v>0</v>
      </c>
      <c r="N279" s="38" t="s">
        <v>48</v>
      </c>
      <c r="O279" s="38"/>
      <c r="P279" s="9" t="str">
        <f t="shared" si="59"/>
        <v>1</v>
      </c>
      <c r="Q279" s="9" t="s">
        <v>986</v>
      </c>
      <c r="R279" s="9" t="s">
        <v>986</v>
      </c>
      <c r="S279" s="9" t="s">
        <v>986</v>
      </c>
      <c r="T279" s="9" t="s">
        <v>987</v>
      </c>
      <c r="U279" s="9" t="s">
        <v>985</v>
      </c>
      <c r="V279" s="9" t="s">
        <v>987</v>
      </c>
      <c r="W279" s="9" t="s">
        <v>987</v>
      </c>
      <c r="X279" s="9" t="s">
        <v>987</v>
      </c>
      <c r="Y279" s="9" t="s">
        <v>985</v>
      </c>
      <c r="Z279" s="9" t="s">
        <v>985</v>
      </c>
      <c r="AA279" s="9" t="s">
        <v>985</v>
      </c>
      <c r="AB279" s="9" t="s">
        <v>985</v>
      </c>
      <c r="AC279" s="9" t="s">
        <v>985</v>
      </c>
      <c r="AD279" s="9"/>
      <c r="AE279" s="9" t="str">
        <f t="shared" si="60"/>
        <v>N</v>
      </c>
      <c r="AF279" s="9" t="s">
        <v>986</v>
      </c>
      <c r="AG279" s="9"/>
      <c r="AH279" s="9">
        <v>2070000</v>
      </c>
      <c r="AI279" s="9">
        <v>4</v>
      </c>
      <c r="AJ279" s="57">
        <v>284</v>
      </c>
      <c r="AK279" s="10" t="s">
        <v>988</v>
      </c>
      <c r="AL279" s="10" t="s">
        <v>50</v>
      </c>
      <c r="AM279" s="6" t="str">
        <f t="shared" si="55"/>
        <v>14821/회계연동/ /</v>
      </c>
      <c r="AN279" s="30"/>
      <c r="AO279" s="30"/>
      <c r="AP279" s="30"/>
      <c r="AQ279" s="30"/>
      <c r="AR279" s="31"/>
      <c r="AS279" s="31"/>
      <c r="AT279" s="31"/>
      <c r="AU279" s="31"/>
      <c r="AV279" s="31"/>
      <c r="AW279" s="31"/>
      <c r="AX279" s="31"/>
      <c r="AY279" s="31"/>
    </row>
    <row r="280" spans="2:51" s="29" customFormat="1" ht="14.5">
      <c r="B280" s="5" t="str">
        <f t="shared" si="56"/>
        <v xml:space="preserve">        └ 더존 회계 연동 등록</v>
      </c>
      <c r="C280" s="33" t="s">
        <v>47</v>
      </c>
      <c r="D280" s="32"/>
      <c r="E280" s="33" t="s">
        <v>1285</v>
      </c>
      <c r="F280" s="44" t="s">
        <v>921</v>
      </c>
      <c r="G280" s="32"/>
      <c r="H280" s="32"/>
      <c r="I280" s="32"/>
      <c r="J280" s="34"/>
      <c r="K280" s="34"/>
      <c r="L280" s="27" t="str">
        <f t="shared" si="57"/>
        <v>1</v>
      </c>
      <c r="M280" s="27" t="str">
        <f t="shared" si="58"/>
        <v>0</v>
      </c>
      <c r="N280" s="32" t="s">
        <v>431</v>
      </c>
      <c r="O280" s="32"/>
      <c r="P280" s="27" t="str">
        <f t="shared" si="59"/>
        <v>1</v>
      </c>
      <c r="Q280" s="32" t="s">
        <v>399</v>
      </c>
      <c r="R280" s="32" t="s">
        <v>399</v>
      </c>
      <c r="S280" s="32" t="s">
        <v>399</v>
      </c>
      <c r="T280" s="32" t="s">
        <v>400</v>
      </c>
      <c r="U280" s="32" t="s">
        <v>48</v>
      </c>
      <c r="V280" s="32" t="s">
        <v>400</v>
      </c>
      <c r="W280" s="32" t="s">
        <v>400</v>
      </c>
      <c r="X280" s="32" t="s">
        <v>400</v>
      </c>
      <c r="Y280" s="32" t="s">
        <v>48</v>
      </c>
      <c r="Z280" s="32" t="s">
        <v>48</v>
      </c>
      <c r="AA280" s="32" t="s">
        <v>48</v>
      </c>
      <c r="AB280" s="32" t="s">
        <v>48</v>
      </c>
      <c r="AC280" s="32" t="s">
        <v>48</v>
      </c>
      <c r="AD280" s="32"/>
      <c r="AE280" s="27" t="str">
        <f t="shared" si="60"/>
        <v>N</v>
      </c>
      <c r="AF280" s="32" t="s">
        <v>399</v>
      </c>
      <c r="AG280" s="32"/>
      <c r="AH280" s="33" t="s">
        <v>1286</v>
      </c>
      <c r="AI280" s="35">
        <v>5</v>
      </c>
      <c r="AJ280" s="57">
        <v>285</v>
      </c>
      <c r="AK280" s="33" t="s">
        <v>401</v>
      </c>
      <c r="AL280" s="10" t="s">
        <v>50</v>
      </c>
      <c r="AM280" s="6" t="str">
        <f t="shared" si="55"/>
        <v>14821/더존 회계 연동 등록/ erp/</v>
      </c>
      <c r="AN280" s="30"/>
      <c r="AO280" s="30"/>
      <c r="AP280" s="30"/>
      <c r="AQ280" s="30"/>
      <c r="AR280" s="31"/>
      <c r="AS280" s="31"/>
      <c r="AT280" s="31"/>
      <c r="AU280" s="31"/>
      <c r="AV280" s="31"/>
      <c r="AW280" s="31"/>
      <c r="AX280" s="31"/>
      <c r="AY280" s="31"/>
    </row>
    <row r="281" spans="2:51" s="29" customFormat="1" ht="14.5">
      <c r="B281" s="5" t="str">
        <f t="shared" si="56"/>
        <v xml:space="preserve">        └ 더존 회계 연동 조회</v>
      </c>
      <c r="C281" s="33" t="s">
        <v>47</v>
      </c>
      <c r="D281" s="32"/>
      <c r="E281" s="33" t="s">
        <v>1287</v>
      </c>
      <c r="F281" s="44" t="s">
        <v>922</v>
      </c>
      <c r="G281" s="32"/>
      <c r="H281" s="32"/>
      <c r="I281" s="32"/>
      <c r="J281" s="34"/>
      <c r="K281" s="34"/>
      <c r="L281" s="27" t="str">
        <f t="shared" si="57"/>
        <v>1</v>
      </c>
      <c r="M281" s="27" t="str">
        <f t="shared" si="58"/>
        <v>0</v>
      </c>
      <c r="N281" s="32" t="s">
        <v>431</v>
      </c>
      <c r="O281" s="32"/>
      <c r="P281" s="27" t="str">
        <f t="shared" si="59"/>
        <v>1</v>
      </c>
      <c r="Q281" s="32" t="s">
        <v>399</v>
      </c>
      <c r="R281" s="32" t="s">
        <v>399</v>
      </c>
      <c r="S281" s="32" t="s">
        <v>399</v>
      </c>
      <c r="T281" s="32" t="s">
        <v>400</v>
      </c>
      <c r="U281" s="32" t="s">
        <v>48</v>
      </c>
      <c r="V281" s="32" t="s">
        <v>400</v>
      </c>
      <c r="W281" s="32" t="s">
        <v>400</v>
      </c>
      <c r="X281" s="32" t="s">
        <v>400</v>
      </c>
      <c r="Y281" s="32" t="s">
        <v>48</v>
      </c>
      <c r="Z281" s="32" t="s">
        <v>48</v>
      </c>
      <c r="AA281" s="32" t="s">
        <v>48</v>
      </c>
      <c r="AB281" s="32" t="s">
        <v>48</v>
      </c>
      <c r="AC281" s="32" t="s">
        <v>48</v>
      </c>
      <c r="AD281" s="32"/>
      <c r="AE281" s="27" t="str">
        <f t="shared" si="60"/>
        <v>N</v>
      </c>
      <c r="AF281" s="32" t="s">
        <v>399</v>
      </c>
      <c r="AG281" s="32"/>
      <c r="AH281" s="33" t="s">
        <v>1286</v>
      </c>
      <c r="AI281" s="35">
        <v>5</v>
      </c>
      <c r="AJ281" s="57">
        <v>286</v>
      </c>
      <c r="AK281" s="33" t="s">
        <v>401</v>
      </c>
      <c r="AL281" s="10" t="s">
        <v>50</v>
      </c>
      <c r="AM281" s="6" t="str">
        <f t="shared" si="55"/>
        <v>14821/더존 회계 연동 조회/ erp/</v>
      </c>
      <c r="AN281" s="30"/>
      <c r="AO281" s="30"/>
      <c r="AP281" s="30"/>
      <c r="AQ281" s="30"/>
      <c r="AR281" s="31"/>
      <c r="AS281" s="31"/>
      <c r="AT281" s="31"/>
      <c r="AU281" s="31"/>
      <c r="AV281" s="31"/>
      <c r="AW281" s="31"/>
      <c r="AX281" s="31"/>
      <c r="AY281" s="31"/>
    </row>
    <row r="282" spans="2:51" s="29" customFormat="1" ht="14.5">
      <c r="B282" s="5" t="str">
        <f t="shared" si="56"/>
        <v xml:space="preserve">        └ 자동 분개 메뉴 관리</v>
      </c>
      <c r="C282" s="33" t="s">
        <v>47</v>
      </c>
      <c r="D282" s="32"/>
      <c r="E282" s="33" t="s">
        <v>1288</v>
      </c>
      <c r="F282" s="44" t="s">
        <v>923</v>
      </c>
      <c r="G282" s="32"/>
      <c r="H282" s="32"/>
      <c r="I282" s="32"/>
      <c r="J282" s="34"/>
      <c r="K282" s="34"/>
      <c r="L282" s="27" t="str">
        <f t="shared" si="57"/>
        <v>1</v>
      </c>
      <c r="M282" s="27" t="str">
        <f t="shared" si="58"/>
        <v>0</v>
      </c>
      <c r="N282" s="32" t="s">
        <v>431</v>
      </c>
      <c r="O282" s="32"/>
      <c r="P282" s="27" t="str">
        <f t="shared" si="59"/>
        <v>1</v>
      </c>
      <c r="Q282" s="32" t="s">
        <v>399</v>
      </c>
      <c r="R282" s="32" t="s">
        <v>399</v>
      </c>
      <c r="S282" s="32" t="s">
        <v>399</v>
      </c>
      <c r="T282" s="32" t="s">
        <v>400</v>
      </c>
      <c r="U282" s="32" t="s">
        <v>48</v>
      </c>
      <c r="V282" s="32" t="s">
        <v>400</v>
      </c>
      <c r="W282" s="32" t="s">
        <v>400</v>
      </c>
      <c r="X282" s="32" t="s">
        <v>400</v>
      </c>
      <c r="Y282" s="32" t="s">
        <v>48</v>
      </c>
      <c r="Z282" s="32" t="s">
        <v>48</v>
      </c>
      <c r="AA282" s="32" t="s">
        <v>48</v>
      </c>
      <c r="AB282" s="32" t="s">
        <v>48</v>
      </c>
      <c r="AC282" s="32" t="s">
        <v>48</v>
      </c>
      <c r="AD282" s="32"/>
      <c r="AE282" s="27" t="str">
        <f t="shared" si="60"/>
        <v>N</v>
      </c>
      <c r="AF282" s="32" t="s">
        <v>399</v>
      </c>
      <c r="AG282" s="32"/>
      <c r="AH282" s="33" t="s">
        <v>1286</v>
      </c>
      <c r="AI282" s="35">
        <v>5</v>
      </c>
      <c r="AJ282" s="57">
        <v>287</v>
      </c>
      <c r="AK282" s="33" t="s">
        <v>401</v>
      </c>
      <c r="AL282" s="10" t="s">
        <v>50</v>
      </c>
      <c r="AM282" s="6" t="str">
        <f t="shared" si="55"/>
        <v>14821/자동 분개 메뉴 관리/ erp/</v>
      </c>
      <c r="AN282" s="30"/>
      <c r="AO282" s="30"/>
      <c r="AP282" s="30"/>
      <c r="AQ282" s="30"/>
      <c r="AR282" s="31"/>
      <c r="AS282" s="31"/>
      <c r="AT282" s="31"/>
      <c r="AU282" s="31"/>
      <c r="AV282" s="31"/>
      <c r="AW282" s="31"/>
      <c r="AX282" s="31"/>
      <c r="AY282" s="31"/>
    </row>
    <row r="283" spans="2:51" s="29" customFormat="1" ht="14.5">
      <c r="B283" s="5" t="str">
        <f>IF(AI283="","",IF(AI283=1,"",IF(AI283=2,"└ ",IF(AI283=3,"  └ ",IF(AI283=4,"    └ ",IF(AI283=5,"        └ ",IF(AI283=6,"           └ ",IF(AI283=7="             └ ",""))))))))&amp;F283</f>
        <v xml:space="preserve">  └ 포스</v>
      </c>
      <c r="C283" s="33" t="s">
        <v>47</v>
      </c>
      <c r="D283" s="19"/>
      <c r="E283" s="19">
        <v>2080000</v>
      </c>
      <c r="F283" s="42" t="s">
        <v>1291</v>
      </c>
      <c r="G283" s="19"/>
      <c r="H283" s="19"/>
      <c r="I283" s="19"/>
      <c r="J283" s="19"/>
      <c r="K283" s="19"/>
      <c r="L283" s="19" t="str">
        <f>IF(F283="","","1")</f>
        <v>1</v>
      </c>
      <c r="M283" s="19" t="str">
        <f>IF(F283="","",IF(O283="","0","1"))</f>
        <v>0</v>
      </c>
      <c r="N283" s="19" t="s">
        <v>48</v>
      </c>
      <c r="O283" s="19"/>
      <c r="P283" s="19" t="str">
        <f>IF(F283="","","1")</f>
        <v>1</v>
      </c>
      <c r="Q283" s="19" t="s">
        <v>399</v>
      </c>
      <c r="R283" s="19" t="s">
        <v>399</v>
      </c>
      <c r="S283" s="19" t="s">
        <v>399</v>
      </c>
      <c r="T283" s="19" t="s">
        <v>400</v>
      </c>
      <c r="U283" s="19" t="s">
        <v>48</v>
      </c>
      <c r="V283" s="19" t="s">
        <v>400</v>
      </c>
      <c r="W283" s="19" t="s">
        <v>400</v>
      </c>
      <c r="X283" s="19" t="s">
        <v>400</v>
      </c>
      <c r="Y283" s="19" t="s">
        <v>48</v>
      </c>
      <c r="Z283" s="19" t="s">
        <v>48</v>
      </c>
      <c r="AA283" s="19" t="s">
        <v>48</v>
      </c>
      <c r="AB283" s="19" t="s">
        <v>48</v>
      </c>
      <c r="AC283" s="19" t="s">
        <v>48</v>
      </c>
      <c r="AD283" s="19"/>
      <c r="AE283" s="19" t="str">
        <f>IF(F283="","","N")</f>
        <v>N</v>
      </c>
      <c r="AF283" s="19" t="s">
        <v>399</v>
      </c>
      <c r="AG283" s="19"/>
      <c r="AH283" s="19">
        <v>2000000</v>
      </c>
      <c r="AI283" s="19">
        <v>3</v>
      </c>
      <c r="AJ283" s="57">
        <v>289</v>
      </c>
      <c r="AK283" s="10" t="s">
        <v>401</v>
      </c>
      <c r="AL283" s="10" t="s">
        <v>50</v>
      </c>
      <c r="AM283" s="6" t="str">
        <f t="shared" si="55"/>
        <v>14821/포스/ /</v>
      </c>
      <c r="AN283" s="30"/>
      <c r="AO283" s="30"/>
      <c r="AP283" s="30"/>
      <c r="AQ283" s="30"/>
      <c r="AR283" s="31"/>
      <c r="AS283" s="31"/>
      <c r="AT283" s="31"/>
      <c r="AU283" s="31"/>
      <c r="AV283" s="31"/>
      <c r="AW283" s="31"/>
      <c r="AX283" s="31"/>
      <c r="AY283" s="31"/>
    </row>
    <row r="284" spans="2:51" s="29" customFormat="1" ht="14.5">
      <c r="B284" s="5" t="str">
        <f>IF(AI284="","",IF(AI284=1,"",IF(AI284=2,"└ ",IF(AI284=3,"  └ ",IF(AI284=4,"    └ ",IF(AI284=5,"        └ ",IF(AI284=6,"           └ ",IF(AI284=7="             └ ",""))))))))&amp;F284</f>
        <v xml:space="preserve">    └ 정산 리포트</v>
      </c>
      <c r="C284" s="33" t="s">
        <v>47</v>
      </c>
      <c r="D284" s="32"/>
      <c r="E284" s="9">
        <v>2080100</v>
      </c>
      <c r="F284" s="38" t="s">
        <v>1292</v>
      </c>
      <c r="G284" s="9"/>
      <c r="H284" s="9"/>
      <c r="I284" s="9"/>
      <c r="J284" s="9"/>
      <c r="K284" s="9"/>
      <c r="L284" s="9" t="str">
        <f>IF(F284="","","1")</f>
        <v>1</v>
      </c>
      <c r="M284" s="9" t="str">
        <f>IF(F284="","",IF(O284="","0","1"))</f>
        <v>0</v>
      </c>
      <c r="N284" s="38" t="s">
        <v>48</v>
      </c>
      <c r="O284" s="38"/>
      <c r="P284" s="9" t="str">
        <f>IF(F284="","","1")</f>
        <v>1</v>
      </c>
      <c r="Q284" s="9" t="s">
        <v>986</v>
      </c>
      <c r="R284" s="9" t="s">
        <v>986</v>
      </c>
      <c r="S284" s="9" t="s">
        <v>986</v>
      </c>
      <c r="T284" s="9" t="s">
        <v>987</v>
      </c>
      <c r="U284" s="9" t="s">
        <v>985</v>
      </c>
      <c r="V284" s="9" t="s">
        <v>987</v>
      </c>
      <c r="W284" s="9" t="s">
        <v>987</v>
      </c>
      <c r="X284" s="9" t="s">
        <v>987</v>
      </c>
      <c r="Y284" s="9" t="s">
        <v>985</v>
      </c>
      <c r="Z284" s="9" t="s">
        <v>985</v>
      </c>
      <c r="AA284" s="9" t="s">
        <v>985</v>
      </c>
      <c r="AB284" s="9" t="s">
        <v>985</v>
      </c>
      <c r="AC284" s="9" t="s">
        <v>985</v>
      </c>
      <c r="AD284" s="9"/>
      <c r="AE284" s="9" t="str">
        <f>IF(F284="","","N")</f>
        <v>N</v>
      </c>
      <c r="AF284" s="9" t="s">
        <v>986</v>
      </c>
      <c r="AG284" s="9"/>
      <c r="AH284" s="9">
        <v>2080000</v>
      </c>
      <c r="AI284" s="9">
        <v>4</v>
      </c>
      <c r="AJ284" s="57">
        <v>290</v>
      </c>
      <c r="AK284" s="10" t="s">
        <v>988</v>
      </c>
      <c r="AL284" s="10" t="s">
        <v>50</v>
      </c>
      <c r="AM284" s="6" t="str">
        <f t="shared" si="55"/>
        <v>14821/정산 리포트/ /</v>
      </c>
      <c r="AN284" s="30"/>
      <c r="AO284" s="30"/>
      <c r="AP284" s="30"/>
      <c r="AQ284" s="30"/>
      <c r="AR284" s="31"/>
      <c r="AS284" s="31"/>
      <c r="AT284" s="31"/>
      <c r="AU284" s="31"/>
      <c r="AV284" s="31"/>
      <c r="AW284" s="31"/>
      <c r="AX284" s="31"/>
      <c r="AY284" s="31"/>
    </row>
    <row r="285" spans="2:51" s="29" customFormat="1" ht="14.5">
      <c r="B285" s="5" t="str">
        <f>IF(AI285="","",IF(AI285=1,"",IF(AI285=2,"└ ",IF(AI285=3,"  └ ",IF(AI285=4,"    └ ",IF(AI285=5,"        └ ",IF(AI285=6,"           └ ",IF(AI285=7="             └ ",""))))))))&amp;F285</f>
        <v xml:space="preserve">        └ 포스 마감/정산 리포트</v>
      </c>
      <c r="C285" s="33" t="s">
        <v>47</v>
      </c>
      <c r="D285" s="32"/>
      <c r="E285" s="33" t="s">
        <v>1293</v>
      </c>
      <c r="F285" s="44" t="s">
        <v>858</v>
      </c>
      <c r="G285" s="32"/>
      <c r="H285" s="32"/>
      <c r="I285" s="32"/>
      <c r="J285" s="34"/>
      <c r="K285" s="34"/>
      <c r="L285" s="27" t="str">
        <f>IF(F285="","","1")</f>
        <v>1</v>
      </c>
      <c r="M285" s="27" t="str">
        <f>IF(F285="","",IF(O285="","0","1"))</f>
        <v>1</v>
      </c>
      <c r="N285" s="32" t="s">
        <v>426</v>
      </c>
      <c r="O285" s="32" t="s">
        <v>584</v>
      </c>
      <c r="P285" s="27" t="str">
        <f>IF(F285="","","1")</f>
        <v>1</v>
      </c>
      <c r="Q285" s="32" t="s">
        <v>399</v>
      </c>
      <c r="R285" s="32" t="s">
        <v>399</v>
      </c>
      <c r="S285" s="32" t="s">
        <v>400</v>
      </c>
      <c r="T285" s="32" t="s">
        <v>400</v>
      </c>
      <c r="U285" s="32" t="s">
        <v>48</v>
      </c>
      <c r="V285" s="32" t="s">
        <v>400</v>
      </c>
      <c r="W285" s="32" t="s">
        <v>400</v>
      </c>
      <c r="X285" s="32" t="s">
        <v>400</v>
      </c>
      <c r="Y285" s="32" t="s">
        <v>48</v>
      </c>
      <c r="Z285" s="32" t="s">
        <v>48</v>
      </c>
      <c r="AA285" s="32" t="s">
        <v>48</v>
      </c>
      <c r="AB285" s="32" t="s">
        <v>48</v>
      </c>
      <c r="AC285" s="32" t="s">
        <v>48</v>
      </c>
      <c r="AD285" s="32"/>
      <c r="AE285" s="27" t="str">
        <f>IF(F285="","","N")</f>
        <v>N</v>
      </c>
      <c r="AF285" s="32" t="s">
        <v>399</v>
      </c>
      <c r="AG285" s="32"/>
      <c r="AH285" s="33" t="s">
        <v>1295</v>
      </c>
      <c r="AI285" s="35">
        <v>5</v>
      </c>
      <c r="AJ285" s="57">
        <v>291</v>
      </c>
      <c r="AK285" s="33" t="s">
        <v>401</v>
      </c>
      <c r="AL285" s="10" t="s">
        <v>50</v>
      </c>
      <c r="AM285" s="6" t="str">
        <f t="shared" si="55"/>
        <v>14821/포스 마감/정산 리포트/ pos/JungsanReport</v>
      </c>
      <c r="AN285" s="30"/>
      <c r="AO285" s="30"/>
      <c r="AP285" s="30"/>
      <c r="AQ285" s="30"/>
      <c r="AR285" s="31"/>
      <c r="AS285" s="31"/>
      <c r="AT285" s="31"/>
      <c r="AU285" s="31"/>
      <c r="AV285" s="31"/>
      <c r="AW285" s="31"/>
      <c r="AX285" s="31"/>
      <c r="AY285" s="31"/>
    </row>
    <row r="286" spans="2:51" s="29" customFormat="1" ht="14.5">
      <c r="B286" s="5" t="str">
        <f>IF(AI286="","",IF(AI286=1,"",IF(AI286=2,"└ ",IF(AI286=3,"  └ ",IF(AI286=4,"    └ ",IF(AI286=5,"        └ ",IF(AI286=6,"           └ ",IF(AI286=7="             └ ",""))))))))&amp;F286</f>
        <v xml:space="preserve">        └ 현금/카드 승인 리포트</v>
      </c>
      <c r="C286" s="33" t="s">
        <v>47</v>
      </c>
      <c r="D286" s="32"/>
      <c r="E286" s="33" t="s">
        <v>1294</v>
      </c>
      <c r="F286" s="44" t="s">
        <v>859</v>
      </c>
      <c r="G286" s="32"/>
      <c r="H286" s="32"/>
      <c r="I286" s="32"/>
      <c r="J286" s="34"/>
      <c r="K286" s="34"/>
      <c r="L286" s="27" t="str">
        <f>IF(F286="","","1")</f>
        <v>1</v>
      </c>
      <c r="M286" s="27" t="str">
        <f>IF(F286="","",IF(O286="","0","1"))</f>
        <v>1</v>
      </c>
      <c r="N286" s="32" t="s">
        <v>426</v>
      </c>
      <c r="O286" s="32" t="s">
        <v>585</v>
      </c>
      <c r="P286" s="27" t="str">
        <f>IF(F286="","","1")</f>
        <v>1</v>
      </c>
      <c r="Q286" s="32" t="s">
        <v>399</v>
      </c>
      <c r="R286" s="32" t="s">
        <v>399</v>
      </c>
      <c r="S286" s="32" t="s">
        <v>400</v>
      </c>
      <c r="T286" s="32" t="s">
        <v>400</v>
      </c>
      <c r="U286" s="32" t="s">
        <v>48</v>
      </c>
      <c r="V286" s="32" t="s">
        <v>400</v>
      </c>
      <c r="W286" s="32" t="s">
        <v>400</v>
      </c>
      <c r="X286" s="32" t="s">
        <v>400</v>
      </c>
      <c r="Y286" s="32" t="s">
        <v>48</v>
      </c>
      <c r="Z286" s="32" t="s">
        <v>48</v>
      </c>
      <c r="AA286" s="32" t="s">
        <v>48</v>
      </c>
      <c r="AB286" s="32" t="s">
        <v>48</v>
      </c>
      <c r="AC286" s="32" t="s">
        <v>48</v>
      </c>
      <c r="AD286" s="32"/>
      <c r="AE286" s="27" t="str">
        <f>IF(F286="","","N")</f>
        <v>N</v>
      </c>
      <c r="AF286" s="32" t="s">
        <v>399</v>
      </c>
      <c r="AG286" s="32"/>
      <c r="AH286" s="33" t="s">
        <v>1295</v>
      </c>
      <c r="AI286" s="35">
        <v>5</v>
      </c>
      <c r="AJ286" s="57">
        <v>292</v>
      </c>
      <c r="AK286" s="33" t="s">
        <v>401</v>
      </c>
      <c r="AL286" s="10" t="s">
        <v>50</v>
      </c>
      <c r="AM286" s="6" t="str">
        <f t="shared" si="55"/>
        <v>14821/현금/카드 승인 리포트/ pos/PaygateReport</v>
      </c>
      <c r="AN286" s="30"/>
      <c r="AO286" s="30"/>
      <c r="AP286" s="30"/>
      <c r="AQ286" s="30"/>
      <c r="AR286" s="31"/>
      <c r="AS286" s="31"/>
      <c r="AT286" s="31"/>
      <c r="AU286" s="31"/>
      <c r="AV286" s="31"/>
      <c r="AW286" s="31"/>
      <c r="AX286" s="31"/>
      <c r="AY286" s="31"/>
    </row>
    <row r="287" spans="2:51" s="29" customFormat="1" ht="14.5">
      <c r="B287" s="5" t="str">
        <f t="shared" si="56"/>
        <v xml:space="preserve">  └ 쇼핑몰</v>
      </c>
      <c r="C287" s="33" t="s">
        <v>47</v>
      </c>
      <c r="D287" s="19"/>
      <c r="E287" s="19">
        <v>2090000</v>
      </c>
      <c r="F287" s="42" t="s">
        <v>1296</v>
      </c>
      <c r="G287" s="19"/>
      <c r="H287" s="19"/>
      <c r="I287" s="19"/>
      <c r="J287" s="19"/>
      <c r="K287" s="19"/>
      <c r="L287" s="19" t="str">
        <f t="shared" si="57"/>
        <v>1</v>
      </c>
      <c r="M287" s="19" t="str">
        <f t="shared" si="58"/>
        <v>0</v>
      </c>
      <c r="N287" s="19" t="s">
        <v>48</v>
      </c>
      <c r="O287" s="19"/>
      <c r="P287" s="19" t="str">
        <f t="shared" si="59"/>
        <v>1</v>
      </c>
      <c r="Q287" s="19" t="s">
        <v>399</v>
      </c>
      <c r="R287" s="19" t="s">
        <v>399</v>
      </c>
      <c r="S287" s="19" t="s">
        <v>399</v>
      </c>
      <c r="T287" s="19" t="s">
        <v>400</v>
      </c>
      <c r="U287" s="19" t="s">
        <v>48</v>
      </c>
      <c r="V287" s="19" t="s">
        <v>400</v>
      </c>
      <c r="W287" s="19" t="s">
        <v>400</v>
      </c>
      <c r="X287" s="19" t="s">
        <v>400</v>
      </c>
      <c r="Y287" s="19" t="s">
        <v>48</v>
      </c>
      <c r="Z287" s="19" t="s">
        <v>48</v>
      </c>
      <c r="AA287" s="19" t="s">
        <v>48</v>
      </c>
      <c r="AB287" s="19" t="s">
        <v>48</v>
      </c>
      <c r="AC287" s="19" t="s">
        <v>48</v>
      </c>
      <c r="AD287" s="19"/>
      <c r="AE287" s="19" t="str">
        <f t="shared" si="60"/>
        <v>N</v>
      </c>
      <c r="AF287" s="19" t="s">
        <v>399</v>
      </c>
      <c r="AG287" s="19"/>
      <c r="AH287" s="19">
        <v>2000000</v>
      </c>
      <c r="AI287" s="19">
        <v>3</v>
      </c>
      <c r="AJ287" s="57">
        <v>293</v>
      </c>
      <c r="AK287" s="10" t="s">
        <v>401</v>
      </c>
      <c r="AL287" s="10" t="s">
        <v>50</v>
      </c>
      <c r="AM287" s="6" t="str">
        <f t="shared" si="55"/>
        <v>14821/쇼핑몰/ /</v>
      </c>
      <c r="AN287" s="30"/>
      <c r="AO287" s="30"/>
      <c r="AP287" s="30"/>
      <c r="AQ287" s="30"/>
      <c r="AR287" s="31"/>
      <c r="AS287" s="31"/>
      <c r="AT287" s="31"/>
      <c r="AU287" s="31"/>
      <c r="AV287" s="31"/>
      <c r="AW287" s="31"/>
      <c r="AX287" s="31"/>
      <c r="AY287" s="31"/>
    </row>
    <row r="288" spans="2:51" s="29" customFormat="1" ht="14.5">
      <c r="B288" s="5" t="str">
        <f t="shared" si="56"/>
        <v xml:space="preserve">    └ 쇼핑몰 기초</v>
      </c>
      <c r="C288" s="33" t="s">
        <v>47</v>
      </c>
      <c r="D288" s="32"/>
      <c r="E288" s="9">
        <v>2090100</v>
      </c>
      <c r="F288" s="38" t="s">
        <v>1297</v>
      </c>
      <c r="G288" s="9"/>
      <c r="H288" s="9"/>
      <c r="I288" s="9"/>
      <c r="J288" s="9"/>
      <c r="K288" s="9"/>
      <c r="L288" s="9" t="str">
        <f t="shared" si="57"/>
        <v>1</v>
      </c>
      <c r="M288" s="9" t="str">
        <f t="shared" si="58"/>
        <v>0</v>
      </c>
      <c r="N288" s="38" t="s">
        <v>433</v>
      </c>
      <c r="O288" s="38"/>
      <c r="P288" s="9" t="str">
        <f t="shared" si="59"/>
        <v>1</v>
      </c>
      <c r="Q288" s="9" t="s">
        <v>986</v>
      </c>
      <c r="R288" s="9" t="s">
        <v>986</v>
      </c>
      <c r="S288" s="9" t="s">
        <v>986</v>
      </c>
      <c r="T288" s="9" t="s">
        <v>987</v>
      </c>
      <c r="U288" s="9" t="s">
        <v>985</v>
      </c>
      <c r="V288" s="9" t="s">
        <v>987</v>
      </c>
      <c r="W288" s="9" t="s">
        <v>987</v>
      </c>
      <c r="X288" s="9" t="s">
        <v>987</v>
      </c>
      <c r="Y288" s="9" t="s">
        <v>985</v>
      </c>
      <c r="Z288" s="9" t="s">
        <v>985</v>
      </c>
      <c r="AA288" s="9" t="s">
        <v>985</v>
      </c>
      <c r="AB288" s="9" t="s">
        <v>985</v>
      </c>
      <c r="AC288" s="9" t="s">
        <v>985</v>
      </c>
      <c r="AD288" s="9"/>
      <c r="AE288" s="9" t="str">
        <f t="shared" si="60"/>
        <v>N</v>
      </c>
      <c r="AF288" s="9" t="s">
        <v>986</v>
      </c>
      <c r="AG288" s="9"/>
      <c r="AH288" s="9">
        <v>2090000</v>
      </c>
      <c r="AI288" s="9">
        <v>4</v>
      </c>
      <c r="AJ288" s="57">
        <v>294</v>
      </c>
      <c r="AK288" s="10" t="s">
        <v>988</v>
      </c>
      <c r="AL288" s="10" t="s">
        <v>50</v>
      </c>
      <c r="AM288" s="6" t="str">
        <f t="shared" si="55"/>
        <v>14821/쇼핑몰 기초/ shop/</v>
      </c>
      <c r="AN288" s="30"/>
      <c r="AO288" s="30"/>
      <c r="AP288" s="30"/>
      <c r="AQ288" s="30"/>
      <c r="AR288" s="31"/>
      <c r="AS288" s="31"/>
      <c r="AT288" s="31"/>
      <c r="AU288" s="31"/>
      <c r="AV288" s="31"/>
      <c r="AW288" s="31"/>
      <c r="AX288" s="31"/>
      <c r="AY288" s="31"/>
    </row>
    <row r="289" spans="2:51" s="29" customFormat="1" ht="14.5">
      <c r="B289" s="5" t="str">
        <f t="shared" si="56"/>
        <v xml:space="preserve">        └ 쇼핑몰 정보 관리</v>
      </c>
      <c r="C289" s="33" t="s">
        <v>47</v>
      </c>
      <c r="D289" s="32"/>
      <c r="E289" s="33" t="s">
        <v>1315</v>
      </c>
      <c r="F289" s="44" t="s">
        <v>930</v>
      </c>
      <c r="G289" s="32"/>
      <c r="H289" s="32"/>
      <c r="I289" s="32"/>
      <c r="J289" s="34"/>
      <c r="K289" s="34"/>
      <c r="L289" s="27" t="str">
        <f t="shared" si="57"/>
        <v>1</v>
      </c>
      <c r="M289" s="27" t="str">
        <f t="shared" si="58"/>
        <v>1</v>
      </c>
      <c r="N289" s="32" t="s">
        <v>433</v>
      </c>
      <c r="O289" s="32" t="s">
        <v>648</v>
      </c>
      <c r="P289" s="27" t="str">
        <f t="shared" si="59"/>
        <v>1</v>
      </c>
      <c r="Q289" s="32" t="s">
        <v>399</v>
      </c>
      <c r="R289" s="32" t="s">
        <v>399</v>
      </c>
      <c r="S289" s="32" t="s">
        <v>399</v>
      </c>
      <c r="T289" s="32" t="s">
        <v>400</v>
      </c>
      <c r="U289" s="32" t="s">
        <v>48</v>
      </c>
      <c r="V289" s="32" t="s">
        <v>400</v>
      </c>
      <c r="W289" s="32" t="s">
        <v>400</v>
      </c>
      <c r="X289" s="32" t="s">
        <v>400</v>
      </c>
      <c r="Y289" s="32" t="s">
        <v>48</v>
      </c>
      <c r="Z289" s="32" t="s">
        <v>48</v>
      </c>
      <c r="AA289" s="32" t="s">
        <v>48</v>
      </c>
      <c r="AB289" s="32" t="s">
        <v>48</v>
      </c>
      <c r="AC289" s="32" t="s">
        <v>48</v>
      </c>
      <c r="AD289" s="32"/>
      <c r="AE289" s="27" t="str">
        <f t="shared" si="60"/>
        <v>N</v>
      </c>
      <c r="AF289" s="32" t="s">
        <v>399</v>
      </c>
      <c r="AG289" s="32"/>
      <c r="AH289" s="33" t="s">
        <v>1326</v>
      </c>
      <c r="AI289" s="35">
        <v>5</v>
      </c>
      <c r="AJ289" s="57">
        <v>295</v>
      </c>
      <c r="AK289" s="33" t="s">
        <v>401</v>
      </c>
      <c r="AL289" s="10" t="s">
        <v>50</v>
      </c>
      <c r="AM289" s="6" t="str">
        <f t="shared" si="55"/>
        <v>14821/쇼핑몰 정보 관리/ shop/ShopInfo</v>
      </c>
      <c r="AN289" s="30"/>
      <c r="AO289" s="30"/>
      <c r="AP289" s="30"/>
      <c r="AQ289" s="30"/>
      <c r="AR289" s="31"/>
      <c r="AS289" s="31"/>
      <c r="AT289" s="31"/>
      <c r="AU289" s="31"/>
      <c r="AV289" s="31"/>
      <c r="AW289" s="31"/>
      <c r="AX289" s="31"/>
      <c r="AY289" s="31"/>
    </row>
    <row r="290" spans="2:51" s="29" customFormat="1" ht="14.5">
      <c r="B290" s="5" t="str">
        <f t="shared" si="56"/>
        <v xml:space="preserve">        └ 쇼핑몰 계정 관리</v>
      </c>
      <c r="C290" s="33" t="s">
        <v>47</v>
      </c>
      <c r="D290" s="32"/>
      <c r="E290" s="33" t="s">
        <v>1316</v>
      </c>
      <c r="F290" s="44" t="s">
        <v>931</v>
      </c>
      <c r="G290" s="32"/>
      <c r="H290" s="32"/>
      <c r="I290" s="32"/>
      <c r="J290" s="34"/>
      <c r="K290" s="34"/>
      <c r="L290" s="27" t="str">
        <f t="shared" si="57"/>
        <v>1</v>
      </c>
      <c r="M290" s="27" t="str">
        <f t="shared" si="58"/>
        <v>1</v>
      </c>
      <c r="N290" s="32" t="s">
        <v>433</v>
      </c>
      <c r="O290" s="32" t="s">
        <v>649</v>
      </c>
      <c r="P290" s="27" t="str">
        <f t="shared" si="59"/>
        <v>1</v>
      </c>
      <c r="Q290" s="32" t="s">
        <v>399</v>
      </c>
      <c r="R290" s="32" t="s">
        <v>399</v>
      </c>
      <c r="S290" s="32" t="s">
        <v>399</v>
      </c>
      <c r="T290" s="32" t="s">
        <v>400</v>
      </c>
      <c r="U290" s="32" t="s">
        <v>48</v>
      </c>
      <c r="V290" s="32" t="s">
        <v>400</v>
      </c>
      <c r="W290" s="32" t="s">
        <v>399</v>
      </c>
      <c r="X290" s="32" t="s">
        <v>399</v>
      </c>
      <c r="Y290" s="32" t="s">
        <v>48</v>
      </c>
      <c r="Z290" s="32" t="s">
        <v>48</v>
      </c>
      <c r="AA290" s="32" t="s">
        <v>48</v>
      </c>
      <c r="AB290" s="32" t="s">
        <v>48</v>
      </c>
      <c r="AC290" s="32" t="s">
        <v>48</v>
      </c>
      <c r="AD290" s="32"/>
      <c r="AE290" s="27" t="str">
        <f t="shared" si="60"/>
        <v>N</v>
      </c>
      <c r="AF290" s="32" t="s">
        <v>399</v>
      </c>
      <c r="AG290" s="32"/>
      <c r="AH290" s="33" t="s">
        <v>1326</v>
      </c>
      <c r="AI290" s="35">
        <v>5</v>
      </c>
      <c r="AJ290" s="57">
        <v>296</v>
      </c>
      <c r="AK290" s="33" t="s">
        <v>401</v>
      </c>
      <c r="AL290" s="10" t="s">
        <v>50</v>
      </c>
      <c r="AM290" s="6" t="str">
        <f t="shared" si="55"/>
        <v>14821/쇼핑몰 계정 관리/ shop/ShopUserInfo</v>
      </c>
      <c r="AN290" s="30"/>
      <c r="AO290" s="30"/>
      <c r="AP290" s="30"/>
      <c r="AQ290" s="30"/>
      <c r="AR290" s="31"/>
      <c r="AS290" s="31"/>
      <c r="AT290" s="31"/>
      <c r="AU290" s="31"/>
      <c r="AV290" s="31"/>
      <c r="AW290" s="31"/>
      <c r="AX290" s="31"/>
      <c r="AY290" s="31"/>
    </row>
    <row r="291" spans="2:51" s="29" customFormat="1" ht="14.5">
      <c r="B291" s="5" t="str">
        <f t="shared" si="56"/>
        <v xml:space="preserve">        └ 쇼핑몰 계좌 관리</v>
      </c>
      <c r="C291" s="33" t="s">
        <v>47</v>
      </c>
      <c r="D291" s="32"/>
      <c r="E291" s="33" t="s">
        <v>1317</v>
      </c>
      <c r="F291" s="44" t="s">
        <v>932</v>
      </c>
      <c r="G291" s="32"/>
      <c r="H291" s="32"/>
      <c r="I291" s="32"/>
      <c r="J291" s="34"/>
      <c r="K291" s="34"/>
      <c r="L291" s="27" t="str">
        <f t="shared" si="57"/>
        <v>1</v>
      </c>
      <c r="M291" s="27" t="str">
        <f t="shared" si="58"/>
        <v>1</v>
      </c>
      <c r="N291" s="32" t="s">
        <v>433</v>
      </c>
      <c r="O291" s="32" t="s">
        <v>650</v>
      </c>
      <c r="P291" s="27" t="str">
        <f t="shared" si="59"/>
        <v>1</v>
      </c>
      <c r="Q291" s="32" t="s">
        <v>399</v>
      </c>
      <c r="R291" s="32" t="s">
        <v>399</v>
      </c>
      <c r="S291" s="32" t="s">
        <v>400</v>
      </c>
      <c r="T291" s="32" t="s">
        <v>400</v>
      </c>
      <c r="U291" s="32" t="s">
        <v>48</v>
      </c>
      <c r="V291" s="32" t="s">
        <v>400</v>
      </c>
      <c r="W291" s="32" t="s">
        <v>400</v>
      </c>
      <c r="X291" s="32" t="s">
        <v>400</v>
      </c>
      <c r="Y291" s="32" t="s">
        <v>48</v>
      </c>
      <c r="Z291" s="32" t="s">
        <v>48</v>
      </c>
      <c r="AA291" s="32" t="s">
        <v>48</v>
      </c>
      <c r="AB291" s="32" t="s">
        <v>48</v>
      </c>
      <c r="AC291" s="32" t="s">
        <v>48</v>
      </c>
      <c r="AD291" s="32"/>
      <c r="AE291" s="27" t="str">
        <f t="shared" si="60"/>
        <v>N</v>
      </c>
      <c r="AF291" s="32" t="s">
        <v>399</v>
      </c>
      <c r="AG291" s="32"/>
      <c r="AH291" s="33" t="s">
        <v>1326</v>
      </c>
      <c r="AI291" s="35">
        <v>5</v>
      </c>
      <c r="AJ291" s="57">
        <v>297</v>
      </c>
      <c r="AK291" s="33" t="s">
        <v>401</v>
      </c>
      <c r="AL291" s="10" t="s">
        <v>50</v>
      </c>
      <c r="AM291" s="6" t="str">
        <f t="shared" si="55"/>
        <v>14821/쇼핑몰 계좌 관리/ shop/ShopAccount</v>
      </c>
      <c r="AN291" s="30"/>
      <c r="AO291" s="30"/>
      <c r="AP291" s="30"/>
      <c r="AQ291" s="30"/>
      <c r="AR291" s="31"/>
      <c r="AS291" s="31"/>
      <c r="AT291" s="31"/>
      <c r="AU291" s="31"/>
      <c r="AV291" s="31"/>
      <c r="AW291" s="31"/>
      <c r="AX291" s="31"/>
      <c r="AY291" s="31"/>
    </row>
    <row r="292" spans="2:51" s="29" customFormat="1" ht="14.5">
      <c r="B292" s="5" t="str">
        <f t="shared" si="56"/>
        <v xml:space="preserve">        └ 사업장 옵션 관리</v>
      </c>
      <c r="C292" s="33" t="s">
        <v>47</v>
      </c>
      <c r="D292" s="32"/>
      <c r="E292" s="33" t="s">
        <v>1318</v>
      </c>
      <c r="F292" s="44" t="s">
        <v>933</v>
      </c>
      <c r="G292" s="32"/>
      <c r="H292" s="32"/>
      <c r="I292" s="32"/>
      <c r="J292" s="34"/>
      <c r="K292" s="34"/>
      <c r="L292" s="27" t="str">
        <f t="shared" si="57"/>
        <v>1</v>
      </c>
      <c r="M292" s="27" t="str">
        <f t="shared" si="58"/>
        <v>1</v>
      </c>
      <c r="N292" s="32" t="s">
        <v>433</v>
      </c>
      <c r="O292" s="32" t="s">
        <v>651</v>
      </c>
      <c r="P292" s="27" t="str">
        <f t="shared" si="59"/>
        <v>1</v>
      </c>
      <c r="Q292" s="32" t="s">
        <v>399</v>
      </c>
      <c r="R292" s="32" t="s">
        <v>399</v>
      </c>
      <c r="S292" s="32" t="s">
        <v>400</v>
      </c>
      <c r="T292" s="32" t="s">
        <v>400</v>
      </c>
      <c r="U292" s="32" t="s">
        <v>48</v>
      </c>
      <c r="V292" s="32" t="s">
        <v>400</v>
      </c>
      <c r="W292" s="32" t="s">
        <v>400</v>
      </c>
      <c r="X292" s="32" t="s">
        <v>399</v>
      </c>
      <c r="Y292" s="32" t="s">
        <v>48</v>
      </c>
      <c r="Z292" s="32" t="s">
        <v>48</v>
      </c>
      <c r="AA292" s="32" t="s">
        <v>48</v>
      </c>
      <c r="AB292" s="32" t="s">
        <v>48</v>
      </c>
      <c r="AC292" s="32" t="s">
        <v>48</v>
      </c>
      <c r="AD292" s="32"/>
      <c r="AE292" s="27" t="str">
        <f t="shared" si="60"/>
        <v>N</v>
      </c>
      <c r="AF292" s="32" t="s">
        <v>399</v>
      </c>
      <c r="AG292" s="32"/>
      <c r="AH292" s="33" t="s">
        <v>1326</v>
      </c>
      <c r="AI292" s="35">
        <v>5</v>
      </c>
      <c r="AJ292" s="57">
        <v>298</v>
      </c>
      <c r="AK292" s="33" t="s">
        <v>401</v>
      </c>
      <c r="AL292" s="10" t="s">
        <v>50</v>
      </c>
      <c r="AM292" s="6" t="str">
        <f t="shared" si="55"/>
        <v>14821/사업장 옵션 관리/ shop/ShopStore</v>
      </c>
      <c r="AN292" s="30"/>
      <c r="AO292" s="30"/>
      <c r="AP292" s="30"/>
      <c r="AQ292" s="30"/>
      <c r="AR292" s="31"/>
      <c r="AS292" s="31"/>
      <c r="AT292" s="31"/>
      <c r="AU292" s="31"/>
      <c r="AV292" s="31"/>
      <c r="AW292" s="31"/>
      <c r="AX292" s="31"/>
      <c r="AY292" s="31"/>
    </row>
    <row r="293" spans="2:51" s="29" customFormat="1" ht="14.5">
      <c r="B293" s="5" t="str">
        <f t="shared" si="56"/>
        <v xml:space="preserve">        └ 브랜드 로고 관리</v>
      </c>
      <c r="C293" s="33" t="s">
        <v>47</v>
      </c>
      <c r="D293" s="32"/>
      <c r="E293" s="33" t="s">
        <v>1319</v>
      </c>
      <c r="F293" s="44" t="s">
        <v>934</v>
      </c>
      <c r="G293" s="32"/>
      <c r="H293" s="32"/>
      <c r="I293" s="32"/>
      <c r="J293" s="34"/>
      <c r="K293" s="34"/>
      <c r="L293" s="27" t="str">
        <f t="shared" si="57"/>
        <v>1</v>
      </c>
      <c r="M293" s="27" t="str">
        <f t="shared" si="58"/>
        <v>1</v>
      </c>
      <c r="N293" s="32" t="s">
        <v>406</v>
      </c>
      <c r="O293" s="32" t="s">
        <v>652</v>
      </c>
      <c r="P293" s="27" t="str">
        <f t="shared" si="59"/>
        <v>1</v>
      </c>
      <c r="Q293" s="32" t="s">
        <v>400</v>
      </c>
      <c r="R293" s="32" t="s">
        <v>399</v>
      </c>
      <c r="S293" s="32" t="s">
        <v>400</v>
      </c>
      <c r="T293" s="32" t="s">
        <v>400</v>
      </c>
      <c r="U293" s="32" t="s">
        <v>48</v>
      </c>
      <c r="V293" s="32" t="s">
        <v>400</v>
      </c>
      <c r="W293" s="32" t="s">
        <v>400</v>
      </c>
      <c r="X293" s="32" t="s">
        <v>400</v>
      </c>
      <c r="Y293" s="32" t="s">
        <v>48</v>
      </c>
      <c r="Z293" s="32" t="s">
        <v>48</v>
      </c>
      <c r="AA293" s="32" t="s">
        <v>48</v>
      </c>
      <c r="AB293" s="32" t="s">
        <v>48</v>
      </c>
      <c r="AC293" s="32" t="s">
        <v>48</v>
      </c>
      <c r="AD293" s="32"/>
      <c r="AE293" s="27" t="str">
        <f t="shared" si="60"/>
        <v>N</v>
      </c>
      <c r="AF293" s="32" t="s">
        <v>399</v>
      </c>
      <c r="AG293" s="32"/>
      <c r="AH293" s="33" t="s">
        <v>1326</v>
      </c>
      <c r="AI293" s="35">
        <v>5</v>
      </c>
      <c r="AJ293" s="57">
        <v>299</v>
      </c>
      <c r="AK293" s="33" t="s">
        <v>401</v>
      </c>
      <c r="AL293" s="10" t="s">
        <v>50</v>
      </c>
      <c r="AM293" s="6" t="str">
        <f t="shared" si="55"/>
        <v>14821/브랜드 로고 관리/ item/BrandInfo</v>
      </c>
      <c r="AN293" s="30"/>
      <c r="AO293" s="30"/>
      <c r="AP293" s="30"/>
      <c r="AQ293" s="30"/>
      <c r="AR293" s="31"/>
      <c r="AS293" s="31"/>
      <c r="AT293" s="31"/>
      <c r="AU293" s="31"/>
      <c r="AV293" s="31"/>
      <c r="AW293" s="31"/>
      <c r="AX293" s="31"/>
      <c r="AY293" s="31"/>
    </row>
    <row r="294" spans="2:51" s="29" customFormat="1" ht="14.5">
      <c r="B294" s="5" t="str">
        <f t="shared" si="56"/>
        <v xml:space="preserve">        └ 게시판 정보 관리</v>
      </c>
      <c r="C294" s="33" t="s">
        <v>47</v>
      </c>
      <c r="D294" s="32"/>
      <c r="E294" s="33" t="s">
        <v>1320</v>
      </c>
      <c r="F294" s="44" t="s">
        <v>935</v>
      </c>
      <c r="G294" s="32"/>
      <c r="H294" s="32"/>
      <c r="I294" s="32"/>
      <c r="J294" s="34"/>
      <c r="K294" s="34"/>
      <c r="L294" s="27" t="str">
        <f t="shared" si="57"/>
        <v>1</v>
      </c>
      <c r="M294" s="27" t="str">
        <f t="shared" si="58"/>
        <v>1</v>
      </c>
      <c r="N294" s="32" t="s">
        <v>433</v>
      </c>
      <c r="O294" s="32" t="s">
        <v>653</v>
      </c>
      <c r="P294" s="27" t="str">
        <f t="shared" si="59"/>
        <v>1</v>
      </c>
      <c r="Q294" s="32" t="s">
        <v>399</v>
      </c>
      <c r="R294" s="32" t="s">
        <v>399</v>
      </c>
      <c r="S294" s="32" t="s">
        <v>400</v>
      </c>
      <c r="T294" s="32" t="s">
        <v>400</v>
      </c>
      <c r="U294" s="32" t="s">
        <v>48</v>
      </c>
      <c r="V294" s="32" t="s">
        <v>400</v>
      </c>
      <c r="W294" s="32" t="s">
        <v>400</v>
      </c>
      <c r="X294" s="32" t="s">
        <v>400</v>
      </c>
      <c r="Y294" s="32" t="s">
        <v>48</v>
      </c>
      <c r="Z294" s="32" t="s">
        <v>48</v>
      </c>
      <c r="AA294" s="32" t="s">
        <v>48</v>
      </c>
      <c r="AB294" s="32" t="s">
        <v>48</v>
      </c>
      <c r="AC294" s="32" t="s">
        <v>48</v>
      </c>
      <c r="AD294" s="32"/>
      <c r="AE294" s="27" t="str">
        <f t="shared" si="60"/>
        <v>N</v>
      </c>
      <c r="AF294" s="32" t="s">
        <v>399</v>
      </c>
      <c r="AG294" s="32"/>
      <c r="AH294" s="33" t="s">
        <v>1326</v>
      </c>
      <c r="AI294" s="35">
        <v>5</v>
      </c>
      <c r="AJ294" s="57">
        <v>300</v>
      </c>
      <c r="AK294" s="33" t="s">
        <v>401</v>
      </c>
      <c r="AL294" s="10" t="s">
        <v>50</v>
      </c>
      <c r="AM294" s="6" t="str">
        <f t="shared" si="55"/>
        <v>14821/게시판 정보 관리/ shop/BoardInfo</v>
      </c>
      <c r="AN294" s="30"/>
      <c r="AO294" s="30"/>
      <c r="AP294" s="30"/>
      <c r="AQ294" s="30"/>
      <c r="AR294" s="31"/>
      <c r="AS294" s="31"/>
      <c r="AT294" s="31"/>
      <c r="AU294" s="31"/>
      <c r="AV294" s="31"/>
      <c r="AW294" s="31"/>
      <c r="AX294" s="31"/>
      <c r="AY294" s="31"/>
    </row>
    <row r="295" spans="2:51" s="29" customFormat="1" ht="14.5">
      <c r="B295" s="5" t="str">
        <f t="shared" si="56"/>
        <v xml:space="preserve">        └ 회원 가입 경로 관리</v>
      </c>
      <c r="C295" s="33" t="s">
        <v>47</v>
      </c>
      <c r="D295" s="32"/>
      <c r="E295" s="33" t="s">
        <v>1321</v>
      </c>
      <c r="F295" s="44" t="s">
        <v>936</v>
      </c>
      <c r="G295" s="32"/>
      <c r="H295" s="32"/>
      <c r="I295" s="32"/>
      <c r="J295" s="34"/>
      <c r="K295" s="34"/>
      <c r="L295" s="27" t="str">
        <f t="shared" si="57"/>
        <v>1</v>
      </c>
      <c r="M295" s="27" t="str">
        <f t="shared" si="58"/>
        <v>1</v>
      </c>
      <c r="N295" s="32" t="s">
        <v>433</v>
      </c>
      <c r="O295" s="32" t="s">
        <v>654</v>
      </c>
      <c r="P295" s="27" t="str">
        <f t="shared" si="59"/>
        <v>1</v>
      </c>
      <c r="Q295" s="32" t="s">
        <v>400</v>
      </c>
      <c r="R295" s="32" t="s">
        <v>399</v>
      </c>
      <c r="S295" s="32" t="s">
        <v>400</v>
      </c>
      <c r="T295" s="32" t="s">
        <v>400</v>
      </c>
      <c r="U295" s="32" t="s">
        <v>48</v>
      </c>
      <c r="V295" s="32" t="s">
        <v>400</v>
      </c>
      <c r="W295" s="32" t="s">
        <v>400</v>
      </c>
      <c r="X295" s="32" t="s">
        <v>400</v>
      </c>
      <c r="Y295" s="32" t="s">
        <v>48</v>
      </c>
      <c r="Z295" s="32" t="s">
        <v>48</v>
      </c>
      <c r="AA295" s="32" t="s">
        <v>48</v>
      </c>
      <c r="AB295" s="32" t="s">
        <v>48</v>
      </c>
      <c r="AC295" s="32" t="s">
        <v>48</v>
      </c>
      <c r="AD295" s="32"/>
      <c r="AE295" s="27" t="str">
        <f t="shared" si="60"/>
        <v>N</v>
      </c>
      <c r="AF295" s="32" t="s">
        <v>399</v>
      </c>
      <c r="AG295" s="32"/>
      <c r="AH295" s="33" t="s">
        <v>1326</v>
      </c>
      <c r="AI295" s="35">
        <v>5</v>
      </c>
      <c r="AJ295" s="57">
        <v>301</v>
      </c>
      <c r="AK295" s="33" t="s">
        <v>401</v>
      </c>
      <c r="AL295" s="10" t="s">
        <v>50</v>
      </c>
      <c r="AM295" s="6" t="str">
        <f t="shared" si="55"/>
        <v>14821/회원 가입 경로 관리/ shop/ShopJoinChannel</v>
      </c>
      <c r="AN295" s="30"/>
      <c r="AO295" s="30"/>
      <c r="AP295" s="30"/>
      <c r="AQ295" s="30"/>
      <c r="AR295" s="31"/>
      <c r="AS295" s="31"/>
      <c r="AT295" s="31"/>
      <c r="AU295" s="31"/>
      <c r="AV295" s="31"/>
      <c r="AW295" s="31"/>
      <c r="AX295" s="31"/>
      <c r="AY295" s="31"/>
    </row>
    <row r="296" spans="2:51" s="29" customFormat="1" ht="14.5">
      <c r="B296" s="5" t="str">
        <f t="shared" si="56"/>
        <v xml:space="preserve">        └ 회원 탈퇴 사유 관리</v>
      </c>
      <c r="C296" s="33" t="s">
        <v>47</v>
      </c>
      <c r="D296" s="32"/>
      <c r="E296" s="33" t="s">
        <v>1322</v>
      </c>
      <c r="F296" s="44" t="s">
        <v>937</v>
      </c>
      <c r="G296" s="32"/>
      <c r="H296" s="32"/>
      <c r="I296" s="32"/>
      <c r="J296" s="34"/>
      <c r="K296" s="34"/>
      <c r="L296" s="27" t="str">
        <f t="shared" si="57"/>
        <v>1</v>
      </c>
      <c r="M296" s="27" t="str">
        <f t="shared" si="58"/>
        <v>1</v>
      </c>
      <c r="N296" s="32" t="s">
        <v>433</v>
      </c>
      <c r="O296" s="32" t="s">
        <v>655</v>
      </c>
      <c r="P296" s="27" t="str">
        <f t="shared" si="59"/>
        <v>1</v>
      </c>
      <c r="Q296" s="32" t="s">
        <v>400</v>
      </c>
      <c r="R296" s="32" t="s">
        <v>399</v>
      </c>
      <c r="S296" s="32" t="s">
        <v>400</v>
      </c>
      <c r="T296" s="32" t="s">
        <v>400</v>
      </c>
      <c r="U296" s="32" t="s">
        <v>48</v>
      </c>
      <c r="V296" s="32" t="s">
        <v>400</v>
      </c>
      <c r="W296" s="32" t="s">
        <v>400</v>
      </c>
      <c r="X296" s="32" t="s">
        <v>400</v>
      </c>
      <c r="Y296" s="32" t="s">
        <v>48</v>
      </c>
      <c r="Z296" s="32" t="s">
        <v>48</v>
      </c>
      <c r="AA296" s="32" t="s">
        <v>48</v>
      </c>
      <c r="AB296" s="32" t="s">
        <v>48</v>
      </c>
      <c r="AC296" s="32" t="s">
        <v>48</v>
      </c>
      <c r="AD296" s="32"/>
      <c r="AE296" s="27" t="str">
        <f t="shared" si="60"/>
        <v>N</v>
      </c>
      <c r="AF296" s="32" t="s">
        <v>399</v>
      </c>
      <c r="AG296" s="32"/>
      <c r="AH296" s="33" t="s">
        <v>1326</v>
      </c>
      <c r="AI296" s="35">
        <v>5</v>
      </c>
      <c r="AJ296" s="57">
        <v>302</v>
      </c>
      <c r="AK296" s="33" t="s">
        <v>401</v>
      </c>
      <c r="AL296" s="10" t="s">
        <v>50</v>
      </c>
      <c r="AM296" s="6" t="str">
        <f t="shared" si="55"/>
        <v>14821/회원 탈퇴 사유 관리/ shop/ShopLeaveReason</v>
      </c>
      <c r="AN296" s="30"/>
      <c r="AO296" s="30"/>
      <c r="AP296" s="30"/>
      <c r="AQ296" s="30"/>
      <c r="AR296" s="31"/>
      <c r="AS296" s="31"/>
      <c r="AT296" s="31"/>
      <c r="AU296" s="31"/>
      <c r="AV296" s="31"/>
      <c r="AW296" s="31"/>
      <c r="AX296" s="31"/>
      <c r="AY296" s="31"/>
    </row>
    <row r="297" spans="2:51" s="29" customFormat="1" ht="14.5">
      <c r="B297" s="5" t="str">
        <f t="shared" si="56"/>
        <v xml:space="preserve">        └ 취소/반품 사유 관리</v>
      </c>
      <c r="C297" s="33" t="s">
        <v>47</v>
      </c>
      <c r="D297" s="32"/>
      <c r="E297" s="33" t="s">
        <v>1323</v>
      </c>
      <c r="F297" s="44" t="s">
        <v>938</v>
      </c>
      <c r="G297" s="32"/>
      <c r="H297" s="32"/>
      <c r="I297" s="32"/>
      <c r="J297" s="34"/>
      <c r="K297" s="34"/>
      <c r="L297" s="27" t="str">
        <f t="shared" si="57"/>
        <v>1</v>
      </c>
      <c r="M297" s="27" t="str">
        <f t="shared" si="58"/>
        <v>1</v>
      </c>
      <c r="N297" s="32" t="s">
        <v>433</v>
      </c>
      <c r="O297" s="32" t="s">
        <v>656</v>
      </c>
      <c r="P297" s="27" t="str">
        <f t="shared" si="59"/>
        <v>1</v>
      </c>
      <c r="Q297" s="32" t="s">
        <v>400</v>
      </c>
      <c r="R297" s="32" t="s">
        <v>399</v>
      </c>
      <c r="S297" s="32" t="s">
        <v>400</v>
      </c>
      <c r="T297" s="32" t="s">
        <v>400</v>
      </c>
      <c r="U297" s="32" t="s">
        <v>48</v>
      </c>
      <c r="V297" s="32" t="s">
        <v>400</v>
      </c>
      <c r="W297" s="32" t="s">
        <v>400</v>
      </c>
      <c r="X297" s="32" t="s">
        <v>400</v>
      </c>
      <c r="Y297" s="32" t="s">
        <v>48</v>
      </c>
      <c r="Z297" s="32" t="s">
        <v>48</v>
      </c>
      <c r="AA297" s="32" t="s">
        <v>48</v>
      </c>
      <c r="AB297" s="32" t="s">
        <v>48</v>
      </c>
      <c r="AC297" s="32" t="s">
        <v>48</v>
      </c>
      <c r="AD297" s="32"/>
      <c r="AE297" s="27" t="str">
        <f t="shared" si="60"/>
        <v>N</v>
      </c>
      <c r="AF297" s="32" t="s">
        <v>399</v>
      </c>
      <c r="AG297" s="32"/>
      <c r="AH297" s="33" t="s">
        <v>1326</v>
      </c>
      <c r="AI297" s="35">
        <v>5</v>
      </c>
      <c r="AJ297" s="57">
        <v>303</v>
      </c>
      <c r="AK297" s="33" t="s">
        <v>401</v>
      </c>
      <c r="AL297" s="10" t="s">
        <v>50</v>
      </c>
      <c r="AM297" s="6" t="str">
        <f t="shared" si="55"/>
        <v>14821/취소/반품 사유 관리/ shop/ShopCancelReason</v>
      </c>
      <c r="AN297" s="30"/>
      <c r="AO297" s="30"/>
      <c r="AP297" s="30"/>
      <c r="AQ297" s="30"/>
      <c r="AR297" s="31"/>
      <c r="AS297" s="31"/>
      <c r="AT297" s="31"/>
      <c r="AU297" s="31"/>
      <c r="AV297" s="31"/>
      <c r="AW297" s="31"/>
      <c r="AX297" s="31"/>
      <c r="AY297" s="31"/>
    </row>
    <row r="298" spans="2:51" s="29" customFormat="1" ht="14.5">
      <c r="B298" s="5" t="str">
        <f t="shared" si="56"/>
        <v xml:space="preserve">        └ 쇼핑몰 배송권역 관리</v>
      </c>
      <c r="C298" s="33" t="s">
        <v>47</v>
      </c>
      <c r="D298" s="32"/>
      <c r="E298" s="33" t="s">
        <v>1324</v>
      </c>
      <c r="F298" s="44" t="s">
        <v>939</v>
      </c>
      <c r="G298" s="32"/>
      <c r="H298" s="32"/>
      <c r="I298" s="32"/>
      <c r="J298" s="34"/>
      <c r="K298" s="34"/>
      <c r="L298" s="27" t="str">
        <f t="shared" si="57"/>
        <v>1</v>
      </c>
      <c r="M298" s="27" t="str">
        <f t="shared" si="58"/>
        <v>1</v>
      </c>
      <c r="N298" s="32" t="s">
        <v>433</v>
      </c>
      <c r="O298" s="32" t="s">
        <v>657</v>
      </c>
      <c r="P298" s="27" t="str">
        <f t="shared" si="59"/>
        <v>1</v>
      </c>
      <c r="Q298" s="32" t="s">
        <v>399</v>
      </c>
      <c r="R298" s="32" t="s">
        <v>399</v>
      </c>
      <c r="S298" s="32" t="s">
        <v>399</v>
      </c>
      <c r="T298" s="32" t="s">
        <v>400</v>
      </c>
      <c r="U298" s="32" t="s">
        <v>48</v>
      </c>
      <c r="V298" s="32" t="s">
        <v>400</v>
      </c>
      <c r="W298" s="32" t="s">
        <v>400</v>
      </c>
      <c r="X298" s="32" t="s">
        <v>400</v>
      </c>
      <c r="Y298" s="32" t="s">
        <v>48</v>
      </c>
      <c r="Z298" s="32" t="s">
        <v>48</v>
      </c>
      <c r="AA298" s="32" t="s">
        <v>48</v>
      </c>
      <c r="AB298" s="32" t="s">
        <v>48</v>
      </c>
      <c r="AC298" s="32" t="s">
        <v>48</v>
      </c>
      <c r="AD298" s="32"/>
      <c r="AE298" s="27" t="str">
        <f t="shared" si="60"/>
        <v>N</v>
      </c>
      <c r="AF298" s="32" t="s">
        <v>399</v>
      </c>
      <c r="AG298" s="32"/>
      <c r="AH298" s="33" t="s">
        <v>1326</v>
      </c>
      <c r="AI298" s="35">
        <v>5</v>
      </c>
      <c r="AJ298" s="57">
        <v>304</v>
      </c>
      <c r="AK298" s="33" t="s">
        <v>401</v>
      </c>
      <c r="AL298" s="10" t="s">
        <v>50</v>
      </c>
      <c r="AM298" s="6" t="str">
        <f t="shared" si="55"/>
        <v>14821/쇼핑몰 배송권역 관리/ shop/ShopZipcode</v>
      </c>
      <c r="AN298" s="30"/>
      <c r="AO298" s="30"/>
      <c r="AP298" s="30"/>
      <c r="AQ298" s="30"/>
      <c r="AR298" s="31"/>
      <c r="AS298" s="31"/>
      <c r="AT298" s="31"/>
      <c r="AU298" s="31"/>
      <c r="AV298" s="31"/>
      <c r="AW298" s="31"/>
      <c r="AX298" s="31"/>
      <c r="AY298" s="31"/>
    </row>
    <row r="299" spans="2:51" s="29" customFormat="1" ht="14.5">
      <c r="B299" s="5" t="str">
        <f t="shared" si="56"/>
        <v xml:space="preserve">        └ 도서지역 배송비 관리</v>
      </c>
      <c r="C299" s="33" t="s">
        <v>47</v>
      </c>
      <c r="D299" s="32"/>
      <c r="E299" s="33" t="s">
        <v>1325</v>
      </c>
      <c r="F299" s="44" t="s">
        <v>940</v>
      </c>
      <c r="G299" s="32"/>
      <c r="H299" s="32"/>
      <c r="I299" s="32"/>
      <c r="J299" s="34"/>
      <c r="K299" s="34"/>
      <c r="L299" s="27" t="str">
        <f t="shared" si="57"/>
        <v>1</v>
      </c>
      <c r="M299" s="27" t="str">
        <f t="shared" si="58"/>
        <v>1</v>
      </c>
      <c r="N299" s="32" t="s">
        <v>433</v>
      </c>
      <c r="O299" s="32" t="s">
        <v>658</v>
      </c>
      <c r="P299" s="27" t="str">
        <f t="shared" si="59"/>
        <v>1</v>
      </c>
      <c r="Q299" s="32" t="s">
        <v>399</v>
      </c>
      <c r="R299" s="32" t="s">
        <v>399</v>
      </c>
      <c r="S299" s="32" t="s">
        <v>399</v>
      </c>
      <c r="T299" s="32" t="s">
        <v>400</v>
      </c>
      <c r="U299" s="32" t="s">
        <v>48</v>
      </c>
      <c r="V299" s="32" t="s">
        <v>400</v>
      </c>
      <c r="W299" s="32" t="s">
        <v>400</v>
      </c>
      <c r="X299" s="32" t="s">
        <v>400</v>
      </c>
      <c r="Y299" s="32" t="s">
        <v>48</v>
      </c>
      <c r="Z299" s="32" t="s">
        <v>48</v>
      </c>
      <c r="AA299" s="32" t="s">
        <v>48</v>
      </c>
      <c r="AB299" s="32" t="s">
        <v>48</v>
      </c>
      <c r="AC299" s="32" t="s">
        <v>48</v>
      </c>
      <c r="AD299" s="32"/>
      <c r="AE299" s="27" t="str">
        <f t="shared" si="60"/>
        <v>N</v>
      </c>
      <c r="AF299" s="32" t="s">
        <v>399</v>
      </c>
      <c r="AG299" s="32"/>
      <c r="AH299" s="33" t="s">
        <v>1326</v>
      </c>
      <c r="AI299" s="35">
        <v>5</v>
      </c>
      <c r="AJ299" s="57">
        <v>305</v>
      </c>
      <c r="AK299" s="33" t="s">
        <v>401</v>
      </c>
      <c r="AL299" s="10" t="s">
        <v>50</v>
      </c>
      <c r="AM299" s="6" t="str">
        <f t="shared" si="55"/>
        <v>14821/도서지역 배송비 관리/ shop/ShopZipFee</v>
      </c>
      <c r="AN299" s="30"/>
      <c r="AO299" s="30"/>
      <c r="AP299" s="30"/>
      <c r="AQ299" s="30"/>
      <c r="AR299" s="31"/>
      <c r="AS299" s="31"/>
      <c r="AT299" s="31"/>
      <c r="AU299" s="31"/>
      <c r="AV299" s="31"/>
      <c r="AW299" s="31"/>
      <c r="AX299" s="31"/>
      <c r="AY299" s="31"/>
    </row>
    <row r="300" spans="2:51" s="29" customFormat="1" ht="14.5">
      <c r="B300" s="5" t="str">
        <f t="shared" si="56"/>
        <v xml:space="preserve">    └ 쇼핑몰 주문</v>
      </c>
      <c r="C300" s="33" t="s">
        <v>47</v>
      </c>
      <c r="D300" s="32"/>
      <c r="E300" s="9">
        <v>2090200</v>
      </c>
      <c r="F300" s="38" t="s">
        <v>1298</v>
      </c>
      <c r="G300" s="9"/>
      <c r="H300" s="9"/>
      <c r="I300" s="9"/>
      <c r="J300" s="9"/>
      <c r="K300" s="9"/>
      <c r="L300" s="9" t="str">
        <f t="shared" si="57"/>
        <v>1</v>
      </c>
      <c r="M300" s="9" t="str">
        <f t="shared" si="58"/>
        <v>0</v>
      </c>
      <c r="N300" s="38" t="s">
        <v>48</v>
      </c>
      <c r="O300" s="38"/>
      <c r="P300" s="9" t="str">
        <f t="shared" si="59"/>
        <v>1</v>
      </c>
      <c r="Q300" s="9" t="s">
        <v>986</v>
      </c>
      <c r="R300" s="9" t="s">
        <v>986</v>
      </c>
      <c r="S300" s="9" t="s">
        <v>986</v>
      </c>
      <c r="T300" s="9" t="s">
        <v>987</v>
      </c>
      <c r="U300" s="9" t="s">
        <v>985</v>
      </c>
      <c r="V300" s="9" t="s">
        <v>987</v>
      </c>
      <c r="W300" s="9" t="s">
        <v>987</v>
      </c>
      <c r="X300" s="9" t="s">
        <v>987</v>
      </c>
      <c r="Y300" s="9" t="s">
        <v>985</v>
      </c>
      <c r="Z300" s="9" t="s">
        <v>985</v>
      </c>
      <c r="AA300" s="9" t="s">
        <v>985</v>
      </c>
      <c r="AB300" s="9" t="s">
        <v>985</v>
      </c>
      <c r="AC300" s="9" t="s">
        <v>985</v>
      </c>
      <c r="AD300" s="9"/>
      <c r="AE300" s="9" t="str">
        <f t="shared" si="60"/>
        <v>N</v>
      </c>
      <c r="AF300" s="9" t="s">
        <v>986</v>
      </c>
      <c r="AG300" s="9"/>
      <c r="AH300" s="9">
        <v>2090000</v>
      </c>
      <c r="AI300" s="9">
        <v>4</v>
      </c>
      <c r="AJ300" s="57">
        <v>306</v>
      </c>
      <c r="AK300" s="10" t="s">
        <v>988</v>
      </c>
      <c r="AL300" s="10" t="s">
        <v>50</v>
      </c>
      <c r="AM300" s="6" t="str">
        <f t="shared" si="55"/>
        <v>14821/쇼핑몰 주문/ /</v>
      </c>
      <c r="AN300" s="30"/>
      <c r="AO300" s="30"/>
      <c r="AP300" s="30"/>
      <c r="AQ300" s="30"/>
      <c r="AR300" s="31"/>
      <c r="AS300" s="31"/>
      <c r="AT300" s="31"/>
      <c r="AU300" s="31"/>
      <c r="AV300" s="31"/>
      <c r="AW300" s="31"/>
      <c r="AX300" s="31"/>
      <c r="AY300" s="31"/>
    </row>
    <row r="301" spans="2:51" s="29" customFormat="1" ht="14.5">
      <c r="B301" s="5" t="str">
        <f t="shared" si="56"/>
        <v xml:space="preserve">        └ 쇼핑몰 주문 현황</v>
      </c>
      <c r="C301" s="33" t="s">
        <v>47</v>
      </c>
      <c r="D301" s="32"/>
      <c r="E301" s="33" t="s">
        <v>1327</v>
      </c>
      <c r="F301" s="44" t="s">
        <v>941</v>
      </c>
      <c r="G301" s="32"/>
      <c r="H301" s="32"/>
      <c r="I301" s="32"/>
      <c r="J301" s="34"/>
      <c r="K301" s="34"/>
      <c r="L301" s="27" t="str">
        <f t="shared" si="57"/>
        <v>1</v>
      </c>
      <c r="M301" s="27" t="str">
        <f t="shared" si="58"/>
        <v>1</v>
      </c>
      <c r="N301" s="32" t="s">
        <v>433</v>
      </c>
      <c r="O301" s="32" t="s">
        <v>659</v>
      </c>
      <c r="P301" s="27" t="str">
        <f t="shared" si="59"/>
        <v>1</v>
      </c>
      <c r="Q301" s="32" t="s">
        <v>399</v>
      </c>
      <c r="R301" s="32" t="s">
        <v>399</v>
      </c>
      <c r="S301" s="32" t="s">
        <v>400</v>
      </c>
      <c r="T301" s="32" t="s">
        <v>400</v>
      </c>
      <c r="U301" s="32" t="s">
        <v>48</v>
      </c>
      <c r="V301" s="32" t="s">
        <v>400</v>
      </c>
      <c r="W301" s="32" t="s">
        <v>400</v>
      </c>
      <c r="X301" s="32" t="s">
        <v>400</v>
      </c>
      <c r="Y301" s="32" t="s">
        <v>48</v>
      </c>
      <c r="Z301" s="32" t="s">
        <v>48</v>
      </c>
      <c r="AA301" s="32" t="s">
        <v>48</v>
      </c>
      <c r="AB301" s="32" t="s">
        <v>48</v>
      </c>
      <c r="AC301" s="32" t="s">
        <v>48</v>
      </c>
      <c r="AD301" s="32"/>
      <c r="AE301" s="27" t="str">
        <f t="shared" si="60"/>
        <v>N</v>
      </c>
      <c r="AF301" s="32" t="s">
        <v>399</v>
      </c>
      <c r="AG301" s="32"/>
      <c r="AH301" s="33" t="s">
        <v>1331</v>
      </c>
      <c r="AI301" s="35">
        <v>5</v>
      </c>
      <c r="AJ301" s="57">
        <v>307</v>
      </c>
      <c r="AK301" s="33" t="s">
        <v>401</v>
      </c>
      <c r="AL301" s="10" t="s">
        <v>50</v>
      </c>
      <c r="AM301" s="6" t="str">
        <f t="shared" si="55"/>
        <v>14821/쇼핑몰 주문 현황/ shop/ShopOrder</v>
      </c>
      <c r="AN301" s="30"/>
      <c r="AO301" s="30"/>
      <c r="AP301" s="30"/>
      <c r="AQ301" s="30"/>
      <c r="AR301" s="31"/>
      <c r="AS301" s="31"/>
      <c r="AT301" s="31"/>
      <c r="AU301" s="31"/>
      <c r="AV301" s="31"/>
      <c r="AW301" s="31"/>
      <c r="AX301" s="31"/>
      <c r="AY301" s="31"/>
    </row>
    <row r="302" spans="2:51" s="29" customFormat="1" ht="14.5">
      <c r="B302" s="5" t="str">
        <f t="shared" si="56"/>
        <v xml:space="preserve">        └ 계좌 입금 작업</v>
      </c>
      <c r="C302" s="33" t="s">
        <v>47</v>
      </c>
      <c r="D302" s="32"/>
      <c r="E302" s="33" t="s">
        <v>1328</v>
      </c>
      <c r="F302" s="44" t="s">
        <v>942</v>
      </c>
      <c r="G302" s="32"/>
      <c r="H302" s="32"/>
      <c r="I302" s="32"/>
      <c r="J302" s="34"/>
      <c r="K302" s="34"/>
      <c r="L302" s="27" t="str">
        <f t="shared" si="57"/>
        <v>1</v>
      </c>
      <c r="M302" s="27" t="str">
        <f t="shared" si="58"/>
        <v>1</v>
      </c>
      <c r="N302" s="32" t="s">
        <v>433</v>
      </c>
      <c r="O302" s="32" t="s">
        <v>660</v>
      </c>
      <c r="P302" s="27" t="str">
        <f t="shared" si="59"/>
        <v>1</v>
      </c>
      <c r="Q302" s="32" t="s">
        <v>399</v>
      </c>
      <c r="R302" s="32" t="s">
        <v>399</v>
      </c>
      <c r="S302" s="32" t="s">
        <v>399</v>
      </c>
      <c r="T302" s="32" t="s">
        <v>400</v>
      </c>
      <c r="U302" s="32" t="s">
        <v>48</v>
      </c>
      <c r="V302" s="32" t="s">
        <v>400</v>
      </c>
      <c r="W302" s="32" t="s">
        <v>400</v>
      </c>
      <c r="X302" s="32" t="s">
        <v>400</v>
      </c>
      <c r="Y302" s="32" t="s">
        <v>48</v>
      </c>
      <c r="Z302" s="32" t="s">
        <v>48</v>
      </c>
      <c r="AA302" s="32" t="s">
        <v>48</v>
      </c>
      <c r="AB302" s="32" t="s">
        <v>48</v>
      </c>
      <c r="AC302" s="32" t="s">
        <v>48</v>
      </c>
      <c r="AD302" s="32"/>
      <c r="AE302" s="27" t="str">
        <f t="shared" si="60"/>
        <v>N</v>
      </c>
      <c r="AF302" s="32" t="s">
        <v>399</v>
      </c>
      <c r="AG302" s="32"/>
      <c r="AH302" s="33" t="s">
        <v>1331</v>
      </c>
      <c r="AI302" s="35">
        <v>5</v>
      </c>
      <c r="AJ302" s="57">
        <v>308</v>
      </c>
      <c r="AK302" s="33" t="s">
        <v>401</v>
      </c>
      <c r="AL302" s="10" t="s">
        <v>50</v>
      </c>
      <c r="AM302" s="6" t="str">
        <f t="shared" si="55"/>
        <v>14821/계좌 입금 작업/ shop/ShopDeposit</v>
      </c>
      <c r="AN302" s="30"/>
      <c r="AO302" s="30"/>
      <c r="AP302" s="30"/>
      <c r="AQ302" s="30"/>
      <c r="AR302" s="31"/>
      <c r="AS302" s="31"/>
      <c r="AT302" s="31"/>
      <c r="AU302" s="31"/>
      <c r="AV302" s="31"/>
      <c r="AW302" s="31"/>
      <c r="AX302" s="31"/>
      <c r="AY302" s="31"/>
    </row>
    <row r="303" spans="2:51" s="29" customFormat="1" ht="14.5">
      <c r="B303" s="5" t="str">
        <f t="shared" si="56"/>
        <v xml:space="preserve">        └ 계좌 환불 처리</v>
      </c>
      <c r="C303" s="33" t="s">
        <v>47</v>
      </c>
      <c r="D303" s="32"/>
      <c r="E303" s="33" t="s">
        <v>1329</v>
      </c>
      <c r="F303" s="44" t="s">
        <v>943</v>
      </c>
      <c r="G303" s="32"/>
      <c r="H303" s="32"/>
      <c r="I303" s="32"/>
      <c r="J303" s="34"/>
      <c r="K303" s="34"/>
      <c r="L303" s="27" t="str">
        <f t="shared" si="57"/>
        <v>1</v>
      </c>
      <c r="M303" s="27" t="str">
        <f t="shared" si="58"/>
        <v>1</v>
      </c>
      <c r="N303" s="32" t="s">
        <v>433</v>
      </c>
      <c r="O303" s="32" t="s">
        <v>661</v>
      </c>
      <c r="P303" s="27" t="str">
        <f t="shared" si="59"/>
        <v>1</v>
      </c>
      <c r="Q303" s="32" t="s">
        <v>399</v>
      </c>
      <c r="R303" s="32" t="s">
        <v>399</v>
      </c>
      <c r="S303" s="32" t="s">
        <v>399</v>
      </c>
      <c r="T303" s="32" t="s">
        <v>400</v>
      </c>
      <c r="U303" s="32" t="s">
        <v>48</v>
      </c>
      <c r="V303" s="32" t="s">
        <v>400</v>
      </c>
      <c r="W303" s="32" t="s">
        <v>400</v>
      </c>
      <c r="X303" s="32" t="s">
        <v>400</v>
      </c>
      <c r="Y303" s="32" t="s">
        <v>48</v>
      </c>
      <c r="Z303" s="32" t="s">
        <v>48</v>
      </c>
      <c r="AA303" s="32" t="s">
        <v>48</v>
      </c>
      <c r="AB303" s="32" t="s">
        <v>48</v>
      </c>
      <c r="AC303" s="32" t="s">
        <v>48</v>
      </c>
      <c r="AD303" s="32"/>
      <c r="AE303" s="27" t="str">
        <f t="shared" si="60"/>
        <v>N</v>
      </c>
      <c r="AF303" s="32" t="s">
        <v>399</v>
      </c>
      <c r="AG303" s="32"/>
      <c r="AH303" s="33" t="s">
        <v>1331</v>
      </c>
      <c r="AI303" s="35">
        <v>5</v>
      </c>
      <c r="AJ303" s="57">
        <v>309</v>
      </c>
      <c r="AK303" s="33" t="s">
        <v>401</v>
      </c>
      <c r="AL303" s="10" t="s">
        <v>50</v>
      </c>
      <c r="AM303" s="6" t="str">
        <f t="shared" si="55"/>
        <v>14821/계좌 환불 처리/ shop/ShopRefund</v>
      </c>
      <c r="AN303" s="30"/>
      <c r="AO303" s="30"/>
      <c r="AP303" s="30"/>
      <c r="AQ303" s="30"/>
      <c r="AR303" s="31"/>
      <c r="AS303" s="31"/>
      <c r="AT303" s="31"/>
      <c r="AU303" s="31"/>
      <c r="AV303" s="31"/>
      <c r="AW303" s="31"/>
      <c r="AX303" s="31"/>
      <c r="AY303" s="31"/>
    </row>
    <row r="304" spans="2:51" s="29" customFormat="1" ht="14.5">
      <c r="B304" s="5" t="str">
        <f t="shared" si="56"/>
        <v xml:space="preserve">        └ 계좌 입금/환불 현황</v>
      </c>
      <c r="C304" s="33" t="s">
        <v>47</v>
      </c>
      <c r="D304" s="32"/>
      <c r="E304" s="33" t="s">
        <v>1330</v>
      </c>
      <c r="F304" s="44" t="s">
        <v>944</v>
      </c>
      <c r="G304" s="32"/>
      <c r="H304" s="32"/>
      <c r="I304" s="32"/>
      <c r="J304" s="34"/>
      <c r="K304" s="34"/>
      <c r="L304" s="27" t="str">
        <f t="shared" si="57"/>
        <v>1</v>
      </c>
      <c r="M304" s="27" t="str">
        <f t="shared" si="58"/>
        <v>1</v>
      </c>
      <c r="N304" s="32" t="s">
        <v>433</v>
      </c>
      <c r="O304" s="32" t="s">
        <v>662</v>
      </c>
      <c r="P304" s="27" t="str">
        <f t="shared" si="59"/>
        <v>1</v>
      </c>
      <c r="Q304" s="32" t="s">
        <v>399</v>
      </c>
      <c r="R304" s="32" t="s">
        <v>399</v>
      </c>
      <c r="S304" s="32" t="s">
        <v>399</v>
      </c>
      <c r="T304" s="32" t="s">
        <v>400</v>
      </c>
      <c r="U304" s="32" t="s">
        <v>48</v>
      </c>
      <c r="V304" s="32" t="s">
        <v>400</v>
      </c>
      <c r="W304" s="32" t="s">
        <v>400</v>
      </c>
      <c r="X304" s="32" t="s">
        <v>400</v>
      </c>
      <c r="Y304" s="32" t="s">
        <v>48</v>
      </c>
      <c r="Z304" s="32" t="s">
        <v>48</v>
      </c>
      <c r="AA304" s="32" t="s">
        <v>48</v>
      </c>
      <c r="AB304" s="32" t="s">
        <v>48</v>
      </c>
      <c r="AC304" s="32" t="s">
        <v>48</v>
      </c>
      <c r="AD304" s="32"/>
      <c r="AE304" s="27" t="str">
        <f t="shared" si="60"/>
        <v>N</v>
      </c>
      <c r="AF304" s="32" t="s">
        <v>399</v>
      </c>
      <c r="AG304" s="32"/>
      <c r="AH304" s="33" t="s">
        <v>1331</v>
      </c>
      <c r="AI304" s="35">
        <v>5</v>
      </c>
      <c r="AJ304" s="57">
        <v>310</v>
      </c>
      <c r="AK304" s="33" t="s">
        <v>401</v>
      </c>
      <c r="AL304" s="10" t="s">
        <v>50</v>
      </c>
      <c r="AM304" s="6" t="str">
        <f t="shared" si="55"/>
        <v>14821/계좌 입금/환불 현황/ shop/BankStatement</v>
      </c>
      <c r="AN304" s="30"/>
      <c r="AO304" s="30"/>
      <c r="AP304" s="30"/>
      <c r="AQ304" s="30"/>
      <c r="AR304" s="31"/>
      <c r="AS304" s="31"/>
      <c r="AT304" s="31"/>
      <c r="AU304" s="31"/>
      <c r="AV304" s="31"/>
      <c r="AW304" s="31"/>
      <c r="AX304" s="31"/>
      <c r="AY304" s="31"/>
    </row>
    <row r="305" spans="2:51" s="29" customFormat="1" ht="14.5">
      <c r="B305" s="5" t="str">
        <f t="shared" si="56"/>
        <v xml:space="preserve">    └ 게시글 관리</v>
      </c>
      <c r="C305" s="33" t="s">
        <v>47</v>
      </c>
      <c r="D305" s="32"/>
      <c r="E305" s="9">
        <v>2090300</v>
      </c>
      <c r="F305" s="38" t="s">
        <v>1299</v>
      </c>
      <c r="G305" s="9"/>
      <c r="H305" s="9"/>
      <c r="I305" s="9"/>
      <c r="J305" s="9"/>
      <c r="K305" s="9"/>
      <c r="L305" s="9" t="str">
        <f t="shared" si="57"/>
        <v>1</v>
      </c>
      <c r="M305" s="9" t="str">
        <f t="shared" si="58"/>
        <v>0</v>
      </c>
      <c r="N305" s="38" t="s">
        <v>48</v>
      </c>
      <c r="O305" s="38"/>
      <c r="P305" s="9" t="str">
        <f t="shared" si="59"/>
        <v>1</v>
      </c>
      <c r="Q305" s="9" t="s">
        <v>986</v>
      </c>
      <c r="R305" s="9" t="s">
        <v>986</v>
      </c>
      <c r="S305" s="9" t="s">
        <v>986</v>
      </c>
      <c r="T305" s="9" t="s">
        <v>987</v>
      </c>
      <c r="U305" s="9" t="s">
        <v>985</v>
      </c>
      <c r="V305" s="9" t="s">
        <v>987</v>
      </c>
      <c r="W305" s="9" t="s">
        <v>987</v>
      </c>
      <c r="X305" s="9" t="s">
        <v>987</v>
      </c>
      <c r="Y305" s="9" t="s">
        <v>985</v>
      </c>
      <c r="Z305" s="9" t="s">
        <v>985</v>
      </c>
      <c r="AA305" s="9" t="s">
        <v>985</v>
      </c>
      <c r="AB305" s="9" t="s">
        <v>985</v>
      </c>
      <c r="AC305" s="9" t="s">
        <v>985</v>
      </c>
      <c r="AD305" s="9"/>
      <c r="AE305" s="9" t="str">
        <f t="shared" si="60"/>
        <v>N</v>
      </c>
      <c r="AF305" s="9" t="s">
        <v>986</v>
      </c>
      <c r="AG305" s="9"/>
      <c r="AH305" s="9">
        <v>209000</v>
      </c>
      <c r="AI305" s="9">
        <v>4</v>
      </c>
      <c r="AJ305" s="57">
        <v>311</v>
      </c>
      <c r="AK305" s="10" t="s">
        <v>988</v>
      </c>
      <c r="AL305" s="10" t="s">
        <v>50</v>
      </c>
      <c r="AM305" s="6" t="str">
        <f t="shared" si="55"/>
        <v>14821/게시글 관리/ /</v>
      </c>
      <c r="AN305" s="30"/>
      <c r="AO305" s="30"/>
      <c r="AP305" s="30"/>
      <c r="AQ305" s="30"/>
      <c r="AR305" s="31"/>
      <c r="AS305" s="31"/>
      <c r="AT305" s="31"/>
      <c r="AU305" s="31"/>
      <c r="AV305" s="31"/>
      <c r="AW305" s="31"/>
      <c r="AX305" s="31"/>
      <c r="AY305" s="31"/>
    </row>
    <row r="306" spans="2:51" s="29" customFormat="1" ht="14.5">
      <c r="B306" s="5" t="str">
        <f t="shared" si="56"/>
        <v xml:space="preserve">        └ 공지 사항</v>
      </c>
      <c r="C306" s="33" t="s">
        <v>47</v>
      </c>
      <c r="D306" s="32"/>
      <c r="E306" s="33" t="s">
        <v>1332</v>
      </c>
      <c r="F306" s="44" t="s">
        <v>945</v>
      </c>
      <c r="G306" s="32"/>
      <c r="H306" s="32"/>
      <c r="I306" s="32"/>
      <c r="J306" s="34"/>
      <c r="K306" s="34"/>
      <c r="L306" s="27" t="str">
        <f t="shared" si="57"/>
        <v>1</v>
      </c>
      <c r="M306" s="27" t="str">
        <f t="shared" si="58"/>
        <v>1</v>
      </c>
      <c r="N306" s="32" t="s">
        <v>433</v>
      </c>
      <c r="O306" s="32" t="s">
        <v>663</v>
      </c>
      <c r="P306" s="27" t="str">
        <f t="shared" si="59"/>
        <v>1</v>
      </c>
      <c r="Q306" s="32" t="s">
        <v>400</v>
      </c>
      <c r="R306" s="32" t="s">
        <v>399</v>
      </c>
      <c r="S306" s="32" t="s">
        <v>399</v>
      </c>
      <c r="T306" s="32" t="s">
        <v>400</v>
      </c>
      <c r="U306" s="32" t="s">
        <v>48</v>
      </c>
      <c r="V306" s="32" t="s">
        <v>400</v>
      </c>
      <c r="W306" s="32" t="s">
        <v>400</v>
      </c>
      <c r="X306" s="32" t="s">
        <v>400</v>
      </c>
      <c r="Y306" s="32" t="s">
        <v>48</v>
      </c>
      <c r="Z306" s="32" t="s">
        <v>48</v>
      </c>
      <c r="AA306" s="32" t="s">
        <v>48</v>
      </c>
      <c r="AB306" s="32" t="s">
        <v>48</v>
      </c>
      <c r="AC306" s="32" t="s">
        <v>48</v>
      </c>
      <c r="AD306" s="32"/>
      <c r="AE306" s="27" t="str">
        <f t="shared" si="60"/>
        <v>N</v>
      </c>
      <c r="AF306" s="32" t="s">
        <v>399</v>
      </c>
      <c r="AG306" s="32"/>
      <c r="AH306" s="33" t="s">
        <v>1342</v>
      </c>
      <c r="AI306" s="35">
        <v>5</v>
      </c>
      <c r="AJ306" s="57">
        <v>312</v>
      </c>
      <c r="AK306" s="33" t="s">
        <v>401</v>
      </c>
      <c r="AL306" s="10" t="s">
        <v>50</v>
      </c>
      <c r="AM306" s="6" t="str">
        <f t="shared" si="55"/>
        <v>14821/공지 사항/ shop/ShopNotice</v>
      </c>
      <c r="AN306" s="30"/>
      <c r="AO306" s="30"/>
      <c r="AP306" s="30"/>
      <c r="AQ306" s="30"/>
      <c r="AR306" s="31"/>
      <c r="AS306" s="31"/>
      <c r="AT306" s="31"/>
      <c r="AU306" s="31"/>
      <c r="AV306" s="31"/>
      <c r="AW306" s="31"/>
      <c r="AX306" s="31"/>
      <c r="AY306" s="31"/>
    </row>
    <row r="307" spans="2:51" s="29" customFormat="1" ht="14.5">
      <c r="B307" s="5" t="str">
        <f t="shared" si="56"/>
        <v xml:space="preserve">        └ FAQ</v>
      </c>
      <c r="C307" s="33" t="s">
        <v>47</v>
      </c>
      <c r="D307" s="32"/>
      <c r="E307" s="33" t="s">
        <v>1333</v>
      </c>
      <c r="F307" s="44" t="s">
        <v>946</v>
      </c>
      <c r="G307" s="32"/>
      <c r="H307" s="32"/>
      <c r="I307" s="32"/>
      <c r="J307" s="34"/>
      <c r="K307" s="34"/>
      <c r="L307" s="27" t="str">
        <f t="shared" si="57"/>
        <v>1</v>
      </c>
      <c r="M307" s="27" t="str">
        <f t="shared" si="58"/>
        <v>1</v>
      </c>
      <c r="N307" s="32" t="s">
        <v>433</v>
      </c>
      <c r="O307" s="32" t="s">
        <v>664</v>
      </c>
      <c r="P307" s="27" t="str">
        <f t="shared" si="59"/>
        <v>1</v>
      </c>
      <c r="Q307" s="32" t="s">
        <v>400</v>
      </c>
      <c r="R307" s="32" t="s">
        <v>399</v>
      </c>
      <c r="S307" s="32" t="s">
        <v>400</v>
      </c>
      <c r="T307" s="32" t="s">
        <v>400</v>
      </c>
      <c r="U307" s="32" t="s">
        <v>48</v>
      </c>
      <c r="V307" s="32" t="s">
        <v>400</v>
      </c>
      <c r="W307" s="32" t="s">
        <v>400</v>
      </c>
      <c r="X307" s="32" t="s">
        <v>400</v>
      </c>
      <c r="Y307" s="32" t="s">
        <v>48</v>
      </c>
      <c r="Z307" s="32" t="s">
        <v>48</v>
      </c>
      <c r="AA307" s="32" t="s">
        <v>48</v>
      </c>
      <c r="AB307" s="32" t="s">
        <v>48</v>
      </c>
      <c r="AC307" s="32" t="s">
        <v>48</v>
      </c>
      <c r="AD307" s="32"/>
      <c r="AE307" s="27" t="str">
        <f t="shared" si="60"/>
        <v>N</v>
      </c>
      <c r="AF307" s="32" t="s">
        <v>399</v>
      </c>
      <c r="AG307" s="32"/>
      <c r="AH307" s="33" t="s">
        <v>1342</v>
      </c>
      <c r="AI307" s="35">
        <v>5</v>
      </c>
      <c r="AJ307" s="57">
        <v>313</v>
      </c>
      <c r="AK307" s="33" t="s">
        <v>401</v>
      </c>
      <c r="AL307" s="10" t="s">
        <v>50</v>
      </c>
      <c r="AM307" s="6" t="str">
        <f t="shared" si="55"/>
        <v>14821/FAQ/ shop/ShopFAQ</v>
      </c>
      <c r="AN307" s="30"/>
      <c r="AO307" s="30"/>
      <c r="AP307" s="30"/>
      <c r="AQ307" s="30"/>
      <c r="AR307" s="31"/>
      <c r="AS307" s="31"/>
      <c r="AT307" s="31"/>
      <c r="AU307" s="31"/>
      <c r="AV307" s="31"/>
      <c r="AW307" s="31"/>
      <c r="AX307" s="31"/>
      <c r="AY307" s="31"/>
    </row>
    <row r="308" spans="2:51" s="29" customFormat="1" ht="14.5">
      <c r="B308" s="5" t="str">
        <f t="shared" si="56"/>
        <v xml:space="preserve">        └ 고객의 소리</v>
      </c>
      <c r="C308" s="33" t="s">
        <v>47</v>
      </c>
      <c r="D308" s="32"/>
      <c r="E308" s="33" t="s">
        <v>1334</v>
      </c>
      <c r="F308" s="44" t="s">
        <v>947</v>
      </c>
      <c r="G308" s="32"/>
      <c r="H308" s="32"/>
      <c r="I308" s="32"/>
      <c r="J308" s="34"/>
      <c r="K308" s="34"/>
      <c r="L308" s="27" t="str">
        <f t="shared" si="57"/>
        <v>1</v>
      </c>
      <c r="M308" s="27" t="str">
        <f t="shared" si="58"/>
        <v>1</v>
      </c>
      <c r="N308" s="32" t="s">
        <v>433</v>
      </c>
      <c r="O308" s="32" t="s">
        <v>665</v>
      </c>
      <c r="P308" s="27" t="str">
        <f t="shared" si="59"/>
        <v>1</v>
      </c>
      <c r="Q308" s="32" t="s">
        <v>400</v>
      </c>
      <c r="R308" s="32" t="s">
        <v>399</v>
      </c>
      <c r="S308" s="32" t="s">
        <v>400</v>
      </c>
      <c r="T308" s="32" t="s">
        <v>400</v>
      </c>
      <c r="U308" s="32" t="s">
        <v>48</v>
      </c>
      <c r="V308" s="32" t="s">
        <v>400</v>
      </c>
      <c r="W308" s="32" t="s">
        <v>400</v>
      </c>
      <c r="X308" s="32" t="s">
        <v>400</v>
      </c>
      <c r="Y308" s="32" t="s">
        <v>48</v>
      </c>
      <c r="Z308" s="32" t="s">
        <v>48</v>
      </c>
      <c r="AA308" s="32" t="s">
        <v>48</v>
      </c>
      <c r="AB308" s="32" t="s">
        <v>48</v>
      </c>
      <c r="AC308" s="32" t="s">
        <v>48</v>
      </c>
      <c r="AD308" s="32"/>
      <c r="AE308" s="27" t="str">
        <f t="shared" si="60"/>
        <v>N</v>
      </c>
      <c r="AF308" s="32" t="s">
        <v>399</v>
      </c>
      <c r="AG308" s="32"/>
      <c r="AH308" s="33" t="s">
        <v>1342</v>
      </c>
      <c r="AI308" s="35">
        <v>5</v>
      </c>
      <c r="AJ308" s="57">
        <v>314</v>
      </c>
      <c r="AK308" s="33" t="s">
        <v>401</v>
      </c>
      <c r="AL308" s="10" t="s">
        <v>50</v>
      </c>
      <c r="AM308" s="6" t="str">
        <f t="shared" si="55"/>
        <v>14821/고객의 소리/ shop/ShopVOC</v>
      </c>
      <c r="AN308" s="30"/>
      <c r="AO308" s="30"/>
      <c r="AP308" s="30"/>
      <c r="AQ308" s="30"/>
      <c r="AR308" s="31"/>
      <c r="AS308" s="31"/>
      <c r="AT308" s="31"/>
      <c r="AU308" s="31"/>
      <c r="AV308" s="31"/>
      <c r="AW308" s="31"/>
      <c r="AX308" s="31"/>
      <c r="AY308" s="31"/>
    </row>
    <row r="309" spans="2:51" s="29" customFormat="1" ht="14.5">
      <c r="B309" s="5" t="str">
        <f t="shared" si="56"/>
        <v xml:space="preserve">        └ 1:1 문의 게시판</v>
      </c>
      <c r="C309" s="33" t="s">
        <v>47</v>
      </c>
      <c r="D309" s="32"/>
      <c r="E309" s="33" t="s">
        <v>1335</v>
      </c>
      <c r="F309" s="44" t="s">
        <v>948</v>
      </c>
      <c r="G309" s="32"/>
      <c r="H309" s="32"/>
      <c r="I309" s="32"/>
      <c r="J309" s="34"/>
      <c r="K309" s="34"/>
      <c r="L309" s="27" t="str">
        <f t="shared" si="57"/>
        <v>1</v>
      </c>
      <c r="M309" s="27" t="str">
        <f t="shared" si="58"/>
        <v>1</v>
      </c>
      <c r="N309" s="32" t="s">
        <v>433</v>
      </c>
      <c r="O309" s="32" t="s">
        <v>666</v>
      </c>
      <c r="P309" s="27" t="str">
        <f t="shared" si="59"/>
        <v>1</v>
      </c>
      <c r="Q309" s="32" t="s">
        <v>400</v>
      </c>
      <c r="R309" s="32" t="s">
        <v>399</v>
      </c>
      <c r="S309" s="32" t="s">
        <v>399</v>
      </c>
      <c r="T309" s="32" t="s">
        <v>400</v>
      </c>
      <c r="U309" s="32" t="s">
        <v>48</v>
      </c>
      <c r="V309" s="32" t="s">
        <v>400</v>
      </c>
      <c r="W309" s="32" t="s">
        <v>400</v>
      </c>
      <c r="X309" s="32" t="s">
        <v>400</v>
      </c>
      <c r="Y309" s="32" t="s">
        <v>48</v>
      </c>
      <c r="Z309" s="32" t="s">
        <v>48</v>
      </c>
      <c r="AA309" s="32" t="s">
        <v>48</v>
      </c>
      <c r="AB309" s="32" t="s">
        <v>48</v>
      </c>
      <c r="AC309" s="32" t="s">
        <v>48</v>
      </c>
      <c r="AD309" s="32"/>
      <c r="AE309" s="27" t="str">
        <f t="shared" si="60"/>
        <v>N</v>
      </c>
      <c r="AF309" s="32" t="s">
        <v>399</v>
      </c>
      <c r="AG309" s="32"/>
      <c r="AH309" s="33" t="s">
        <v>1342</v>
      </c>
      <c r="AI309" s="35">
        <v>5</v>
      </c>
      <c r="AJ309" s="57">
        <v>315</v>
      </c>
      <c r="AK309" s="33" t="s">
        <v>401</v>
      </c>
      <c r="AL309" s="10" t="s">
        <v>50</v>
      </c>
      <c r="AM309" s="6" t="str">
        <f t="shared" si="55"/>
        <v>14821/1:1 문의 게시판/ shop/ShopQuestion</v>
      </c>
      <c r="AN309" s="30"/>
      <c r="AO309" s="30"/>
      <c r="AP309" s="30"/>
      <c r="AQ309" s="30"/>
      <c r="AR309" s="31"/>
      <c r="AS309" s="31"/>
      <c r="AT309" s="31"/>
      <c r="AU309" s="31"/>
      <c r="AV309" s="31"/>
      <c r="AW309" s="31"/>
      <c r="AX309" s="31"/>
      <c r="AY309" s="31"/>
    </row>
    <row r="310" spans="2:51" s="29" customFormat="1" ht="14.5">
      <c r="B310" s="5" t="str">
        <f t="shared" si="56"/>
        <v xml:space="preserve">        └ 상품 문의 게시판</v>
      </c>
      <c r="C310" s="33" t="s">
        <v>47</v>
      </c>
      <c r="D310" s="32"/>
      <c r="E310" s="33" t="s">
        <v>1336</v>
      </c>
      <c r="F310" s="44" t="s">
        <v>949</v>
      </c>
      <c r="G310" s="32"/>
      <c r="H310" s="32"/>
      <c r="I310" s="32"/>
      <c r="J310" s="34"/>
      <c r="K310" s="34"/>
      <c r="L310" s="27" t="str">
        <f t="shared" si="57"/>
        <v>1</v>
      </c>
      <c r="M310" s="27" t="str">
        <f t="shared" si="58"/>
        <v>1</v>
      </c>
      <c r="N310" s="32" t="s">
        <v>433</v>
      </c>
      <c r="O310" s="32" t="s">
        <v>667</v>
      </c>
      <c r="P310" s="27" t="str">
        <f t="shared" si="59"/>
        <v>1</v>
      </c>
      <c r="Q310" s="32" t="s">
        <v>400</v>
      </c>
      <c r="R310" s="32" t="s">
        <v>399</v>
      </c>
      <c r="S310" s="32" t="s">
        <v>400</v>
      </c>
      <c r="T310" s="32" t="s">
        <v>400</v>
      </c>
      <c r="U310" s="32" t="s">
        <v>48</v>
      </c>
      <c r="V310" s="32" t="s">
        <v>400</v>
      </c>
      <c r="W310" s="32" t="s">
        <v>400</v>
      </c>
      <c r="X310" s="32" t="s">
        <v>400</v>
      </c>
      <c r="Y310" s="32" t="s">
        <v>48</v>
      </c>
      <c r="Z310" s="32" t="s">
        <v>48</v>
      </c>
      <c r="AA310" s="32" t="s">
        <v>48</v>
      </c>
      <c r="AB310" s="32" t="s">
        <v>48</v>
      </c>
      <c r="AC310" s="32" t="s">
        <v>48</v>
      </c>
      <c r="AD310" s="32"/>
      <c r="AE310" s="27" t="str">
        <f t="shared" si="60"/>
        <v>N</v>
      </c>
      <c r="AF310" s="32" t="s">
        <v>399</v>
      </c>
      <c r="AG310" s="32"/>
      <c r="AH310" s="33" t="s">
        <v>1342</v>
      </c>
      <c r="AI310" s="35">
        <v>5</v>
      </c>
      <c r="AJ310" s="57">
        <v>316</v>
      </c>
      <c r="AK310" s="33" t="s">
        <v>401</v>
      </c>
      <c r="AL310" s="10" t="s">
        <v>50</v>
      </c>
      <c r="AM310" s="6" t="str">
        <f t="shared" si="55"/>
        <v>14821/상품 문의 게시판/ shop/ShopItemQA</v>
      </c>
      <c r="AN310" s="30"/>
      <c r="AO310" s="30"/>
      <c r="AP310" s="30"/>
      <c r="AQ310" s="30"/>
      <c r="AR310" s="31"/>
      <c r="AS310" s="31"/>
      <c r="AT310" s="31"/>
      <c r="AU310" s="31"/>
      <c r="AV310" s="31"/>
      <c r="AW310" s="31"/>
      <c r="AX310" s="31"/>
      <c r="AY310" s="31"/>
    </row>
    <row r="311" spans="2:51" s="29" customFormat="1" ht="14.5">
      <c r="B311" s="5" t="str">
        <f t="shared" si="56"/>
        <v xml:space="preserve">        └ 입점 문의 게시판</v>
      </c>
      <c r="C311" s="33" t="s">
        <v>47</v>
      </c>
      <c r="D311" s="32"/>
      <c r="E311" s="33" t="s">
        <v>1337</v>
      </c>
      <c r="F311" s="44" t="s">
        <v>950</v>
      </c>
      <c r="G311" s="32"/>
      <c r="H311" s="32"/>
      <c r="I311" s="32"/>
      <c r="J311" s="34"/>
      <c r="K311" s="34"/>
      <c r="L311" s="27" t="str">
        <f t="shared" si="57"/>
        <v>1</v>
      </c>
      <c r="M311" s="27" t="str">
        <f t="shared" si="58"/>
        <v>1</v>
      </c>
      <c r="N311" s="32" t="s">
        <v>433</v>
      </c>
      <c r="O311" s="32" t="s">
        <v>668</v>
      </c>
      <c r="P311" s="27" t="str">
        <f t="shared" si="59"/>
        <v>1</v>
      </c>
      <c r="Q311" s="32" t="s">
        <v>399</v>
      </c>
      <c r="R311" s="32" t="s">
        <v>399</v>
      </c>
      <c r="S311" s="32" t="s">
        <v>399</v>
      </c>
      <c r="T311" s="32" t="s">
        <v>400</v>
      </c>
      <c r="U311" s="32" t="s">
        <v>48</v>
      </c>
      <c r="V311" s="32" t="s">
        <v>400</v>
      </c>
      <c r="W311" s="32" t="s">
        <v>400</v>
      </c>
      <c r="X311" s="32" t="s">
        <v>400</v>
      </c>
      <c r="Y311" s="32" t="s">
        <v>48</v>
      </c>
      <c r="Z311" s="32" t="s">
        <v>48</v>
      </c>
      <c r="AA311" s="32" t="s">
        <v>48</v>
      </c>
      <c r="AB311" s="32" t="s">
        <v>48</v>
      </c>
      <c r="AC311" s="32" t="s">
        <v>48</v>
      </c>
      <c r="AD311" s="32"/>
      <c r="AE311" s="27" t="str">
        <f t="shared" si="60"/>
        <v>N</v>
      </c>
      <c r="AF311" s="32" t="s">
        <v>399</v>
      </c>
      <c r="AG311" s="32"/>
      <c r="AH311" s="33" t="s">
        <v>1342</v>
      </c>
      <c r="AI311" s="35">
        <v>5</v>
      </c>
      <c r="AJ311" s="57">
        <v>317</v>
      </c>
      <c r="AK311" s="33" t="s">
        <v>401</v>
      </c>
      <c r="AL311" s="10" t="s">
        <v>50</v>
      </c>
      <c r="AM311" s="6" t="str">
        <f t="shared" si="55"/>
        <v>14821/입점 문의 게시판/ shop/ShopJoinReq</v>
      </c>
      <c r="AN311" s="30"/>
      <c r="AO311" s="30"/>
      <c r="AP311" s="30"/>
      <c r="AQ311" s="30"/>
      <c r="AR311" s="31"/>
      <c r="AS311" s="31"/>
      <c r="AT311" s="31"/>
      <c r="AU311" s="31"/>
      <c r="AV311" s="31"/>
      <c r="AW311" s="31"/>
      <c r="AX311" s="31"/>
      <c r="AY311" s="31"/>
    </row>
    <row r="312" spans="2:51" s="29" customFormat="1" ht="14.5">
      <c r="B312" s="5" t="str">
        <f t="shared" si="56"/>
        <v xml:space="preserve">        └ 대량 견적 문의 게시판</v>
      </c>
      <c r="C312" s="33" t="s">
        <v>47</v>
      </c>
      <c r="D312" s="32"/>
      <c r="E312" s="33" t="s">
        <v>1338</v>
      </c>
      <c r="F312" s="44" t="s">
        <v>951</v>
      </c>
      <c r="G312" s="32"/>
      <c r="H312" s="32"/>
      <c r="I312" s="32"/>
      <c r="J312" s="34"/>
      <c r="K312" s="34"/>
      <c r="L312" s="27" t="str">
        <f t="shared" si="57"/>
        <v>1</v>
      </c>
      <c r="M312" s="27" t="str">
        <f t="shared" si="58"/>
        <v>1</v>
      </c>
      <c r="N312" s="32" t="s">
        <v>433</v>
      </c>
      <c r="O312" s="32" t="s">
        <v>669</v>
      </c>
      <c r="P312" s="27" t="str">
        <f t="shared" si="59"/>
        <v>1</v>
      </c>
      <c r="Q312" s="32" t="s">
        <v>400</v>
      </c>
      <c r="R312" s="32" t="s">
        <v>399</v>
      </c>
      <c r="S312" s="32" t="s">
        <v>399</v>
      </c>
      <c r="T312" s="32" t="s">
        <v>400</v>
      </c>
      <c r="U312" s="32" t="s">
        <v>48</v>
      </c>
      <c r="V312" s="32" t="s">
        <v>400</v>
      </c>
      <c r="W312" s="32" t="s">
        <v>400</v>
      </c>
      <c r="X312" s="32" t="s">
        <v>400</v>
      </c>
      <c r="Y312" s="32" t="s">
        <v>48</v>
      </c>
      <c r="Z312" s="32" t="s">
        <v>48</v>
      </c>
      <c r="AA312" s="32" t="s">
        <v>48</v>
      </c>
      <c r="AB312" s="32" t="s">
        <v>48</v>
      </c>
      <c r="AC312" s="32" t="s">
        <v>48</v>
      </c>
      <c r="AD312" s="32"/>
      <c r="AE312" s="27" t="str">
        <f t="shared" si="60"/>
        <v>N</v>
      </c>
      <c r="AF312" s="32" t="s">
        <v>399</v>
      </c>
      <c r="AG312" s="32"/>
      <c r="AH312" s="33" t="s">
        <v>1342</v>
      </c>
      <c r="AI312" s="35">
        <v>5</v>
      </c>
      <c r="AJ312" s="57">
        <v>318</v>
      </c>
      <c r="AK312" s="33" t="s">
        <v>401</v>
      </c>
      <c r="AL312" s="10" t="s">
        <v>50</v>
      </c>
      <c r="AM312" s="6" t="str">
        <f t="shared" si="55"/>
        <v>14821/대량 견적 문의 게시판/ shop/ShopReqEsti</v>
      </c>
      <c r="AN312" s="30"/>
      <c r="AO312" s="30"/>
      <c r="AP312" s="30"/>
      <c r="AQ312" s="30"/>
      <c r="AR312" s="31"/>
      <c r="AS312" s="31"/>
      <c r="AT312" s="31"/>
      <c r="AU312" s="31"/>
      <c r="AV312" s="31"/>
      <c r="AW312" s="31"/>
      <c r="AX312" s="31"/>
      <c r="AY312" s="31"/>
    </row>
    <row r="313" spans="2:51" s="29" customFormat="1" ht="14.5">
      <c r="B313" s="5" t="str">
        <f t="shared" si="56"/>
        <v xml:space="preserve">        └ 구매대행 요청 게시판</v>
      </c>
      <c r="C313" s="33" t="s">
        <v>47</v>
      </c>
      <c r="D313" s="32"/>
      <c r="E313" s="33" t="s">
        <v>1339</v>
      </c>
      <c r="F313" s="44" t="s">
        <v>952</v>
      </c>
      <c r="G313" s="32"/>
      <c r="H313" s="32"/>
      <c r="I313" s="32"/>
      <c r="J313" s="34"/>
      <c r="K313" s="34"/>
      <c r="L313" s="27" t="str">
        <f t="shared" si="57"/>
        <v>1</v>
      </c>
      <c r="M313" s="27" t="str">
        <f t="shared" si="58"/>
        <v>1</v>
      </c>
      <c r="N313" s="32" t="s">
        <v>433</v>
      </c>
      <c r="O313" s="32" t="s">
        <v>670</v>
      </c>
      <c r="P313" s="27" t="str">
        <f t="shared" si="59"/>
        <v>1</v>
      </c>
      <c r="Q313" s="32" t="s">
        <v>400</v>
      </c>
      <c r="R313" s="32" t="s">
        <v>400</v>
      </c>
      <c r="S313" s="32" t="s">
        <v>400</v>
      </c>
      <c r="T313" s="32" t="s">
        <v>400</v>
      </c>
      <c r="U313" s="32" t="s">
        <v>48</v>
      </c>
      <c r="V313" s="32" t="s">
        <v>400</v>
      </c>
      <c r="W313" s="32" t="s">
        <v>400</v>
      </c>
      <c r="X313" s="32" t="s">
        <v>400</v>
      </c>
      <c r="Y313" s="32" t="s">
        <v>48</v>
      </c>
      <c r="Z313" s="32" t="s">
        <v>48</v>
      </c>
      <c r="AA313" s="32" t="s">
        <v>48</v>
      </c>
      <c r="AB313" s="32" t="s">
        <v>48</v>
      </c>
      <c r="AC313" s="32" t="s">
        <v>48</v>
      </c>
      <c r="AD313" s="32"/>
      <c r="AE313" s="27" t="str">
        <f t="shared" si="60"/>
        <v>N</v>
      </c>
      <c r="AF313" s="32" t="s">
        <v>399</v>
      </c>
      <c r="AG313" s="32"/>
      <c r="AH313" s="33" t="s">
        <v>1342</v>
      </c>
      <c r="AI313" s="35">
        <v>5</v>
      </c>
      <c r="AJ313" s="57">
        <v>319</v>
      </c>
      <c r="AK313" s="33" t="s">
        <v>401</v>
      </c>
      <c r="AL313" s="10" t="s">
        <v>50</v>
      </c>
      <c r="AM313" s="6" t="str">
        <f t="shared" si="55"/>
        <v>14821/구매대행 요청 게시판/ shop/ShopReqItem</v>
      </c>
      <c r="AN313" s="30"/>
      <c r="AO313" s="30"/>
      <c r="AP313" s="30"/>
      <c r="AQ313" s="30"/>
      <c r="AR313" s="31"/>
      <c r="AS313" s="31"/>
      <c r="AT313" s="31"/>
      <c r="AU313" s="31"/>
      <c r="AV313" s="31"/>
      <c r="AW313" s="31"/>
      <c r="AX313" s="31"/>
      <c r="AY313" s="31"/>
    </row>
    <row r="314" spans="2:51" s="29" customFormat="1" ht="14.5">
      <c r="B314" s="5" t="str">
        <f t="shared" si="56"/>
        <v xml:space="preserve">        └ 카다로그 신청 게시판</v>
      </c>
      <c r="C314" s="33" t="s">
        <v>47</v>
      </c>
      <c r="D314" s="32"/>
      <c r="E314" s="33" t="s">
        <v>1340</v>
      </c>
      <c r="F314" s="44" t="s">
        <v>953</v>
      </c>
      <c r="G314" s="32"/>
      <c r="H314" s="32"/>
      <c r="I314" s="32"/>
      <c r="J314" s="34"/>
      <c r="K314" s="34"/>
      <c r="L314" s="27" t="str">
        <f t="shared" si="57"/>
        <v>1</v>
      </c>
      <c r="M314" s="27" t="str">
        <f t="shared" si="58"/>
        <v>1</v>
      </c>
      <c r="N314" s="32" t="s">
        <v>433</v>
      </c>
      <c r="O314" s="32" t="s">
        <v>671</v>
      </c>
      <c r="P314" s="27" t="str">
        <f t="shared" si="59"/>
        <v>1</v>
      </c>
      <c r="Q314" s="32" t="s">
        <v>400</v>
      </c>
      <c r="R314" s="32" t="s">
        <v>400</v>
      </c>
      <c r="S314" s="32" t="s">
        <v>400</v>
      </c>
      <c r="T314" s="32" t="s">
        <v>400</v>
      </c>
      <c r="U314" s="32" t="s">
        <v>48</v>
      </c>
      <c r="V314" s="32" t="s">
        <v>400</v>
      </c>
      <c r="W314" s="32" t="s">
        <v>400</v>
      </c>
      <c r="X314" s="32" t="s">
        <v>400</v>
      </c>
      <c r="Y314" s="32" t="s">
        <v>48</v>
      </c>
      <c r="Z314" s="32" t="s">
        <v>48</v>
      </c>
      <c r="AA314" s="32" t="s">
        <v>48</v>
      </c>
      <c r="AB314" s="32" t="s">
        <v>48</v>
      </c>
      <c r="AC314" s="32" t="s">
        <v>48</v>
      </c>
      <c r="AD314" s="32"/>
      <c r="AE314" s="27" t="str">
        <f t="shared" si="60"/>
        <v>N</v>
      </c>
      <c r="AF314" s="32" t="s">
        <v>399</v>
      </c>
      <c r="AG314" s="32"/>
      <c r="AH314" s="33" t="s">
        <v>1342</v>
      </c>
      <c r="AI314" s="35">
        <v>5</v>
      </c>
      <c r="AJ314" s="57">
        <v>320</v>
      </c>
      <c r="AK314" s="33" t="s">
        <v>401</v>
      </c>
      <c r="AL314" s="10" t="s">
        <v>50</v>
      </c>
      <c r="AM314" s="6" t="str">
        <f t="shared" si="55"/>
        <v>14821/카다로그 신청 게시판/ shop/ShopCatalogue</v>
      </c>
      <c r="AN314" s="30"/>
      <c r="AO314" s="30"/>
      <c r="AP314" s="30"/>
      <c r="AQ314" s="30"/>
      <c r="AR314" s="31"/>
      <c r="AS314" s="31"/>
      <c r="AT314" s="31"/>
      <c r="AU314" s="31"/>
      <c r="AV314" s="31"/>
      <c r="AW314" s="31"/>
      <c r="AX314" s="31"/>
      <c r="AY314" s="31"/>
    </row>
    <row r="315" spans="2:51" s="29" customFormat="1" ht="14.5">
      <c r="B315" s="5" t="str">
        <f t="shared" si="56"/>
        <v xml:space="preserve">        └ 영업사원 방문 신청 게시판</v>
      </c>
      <c r="C315" s="33" t="s">
        <v>47</v>
      </c>
      <c r="D315" s="32"/>
      <c r="E315" s="33" t="s">
        <v>1341</v>
      </c>
      <c r="F315" s="44" t="s">
        <v>954</v>
      </c>
      <c r="G315" s="32"/>
      <c r="H315" s="32"/>
      <c r="I315" s="32"/>
      <c r="J315" s="34"/>
      <c r="K315" s="34"/>
      <c r="L315" s="27" t="str">
        <f t="shared" si="57"/>
        <v>1</v>
      </c>
      <c r="M315" s="27" t="str">
        <f t="shared" si="58"/>
        <v>1</v>
      </c>
      <c r="N315" s="32" t="s">
        <v>433</v>
      </c>
      <c r="O315" s="32" t="s">
        <v>672</v>
      </c>
      <c r="P315" s="27" t="str">
        <f t="shared" si="59"/>
        <v>1</v>
      </c>
      <c r="Q315" s="32" t="s">
        <v>400</v>
      </c>
      <c r="R315" s="32" t="s">
        <v>399</v>
      </c>
      <c r="S315" s="32" t="s">
        <v>400</v>
      </c>
      <c r="T315" s="32" t="s">
        <v>400</v>
      </c>
      <c r="U315" s="32" t="s">
        <v>48</v>
      </c>
      <c r="V315" s="32" t="s">
        <v>400</v>
      </c>
      <c r="W315" s="32" t="s">
        <v>400</v>
      </c>
      <c r="X315" s="32" t="s">
        <v>400</v>
      </c>
      <c r="Y315" s="32" t="s">
        <v>48</v>
      </c>
      <c r="Z315" s="32" t="s">
        <v>48</v>
      </c>
      <c r="AA315" s="32" t="s">
        <v>48</v>
      </c>
      <c r="AB315" s="32" t="s">
        <v>48</v>
      </c>
      <c r="AC315" s="32" t="s">
        <v>48</v>
      </c>
      <c r="AD315" s="32"/>
      <c r="AE315" s="27" t="str">
        <f t="shared" si="60"/>
        <v>N</v>
      </c>
      <c r="AF315" s="32" t="s">
        <v>399</v>
      </c>
      <c r="AG315" s="32"/>
      <c r="AH315" s="33" t="s">
        <v>1342</v>
      </c>
      <c r="AI315" s="35">
        <v>5</v>
      </c>
      <c r="AJ315" s="57">
        <v>321</v>
      </c>
      <c r="AK315" s="33" t="s">
        <v>401</v>
      </c>
      <c r="AL315" s="10" t="s">
        <v>50</v>
      </c>
      <c r="AM315" s="6" t="str">
        <f t="shared" si="55"/>
        <v>14821/영업사원 방문 신청 게시판/ shop/ShopCallVisit</v>
      </c>
      <c r="AN315" s="30"/>
      <c r="AO315" s="30"/>
      <c r="AP315" s="30"/>
      <c r="AQ315" s="30"/>
      <c r="AR315" s="31"/>
      <c r="AS315" s="31"/>
      <c r="AT315" s="31"/>
      <c r="AU315" s="31"/>
      <c r="AV315" s="31"/>
      <c r="AW315" s="31"/>
      <c r="AX315" s="31"/>
      <c r="AY315" s="31"/>
    </row>
    <row r="316" spans="2:51" s="29" customFormat="1" ht="14.5">
      <c r="B316" s="5" t="str">
        <f t="shared" si="56"/>
        <v xml:space="preserve">    └ 이벤트 관리</v>
      </c>
      <c r="C316" s="33" t="s">
        <v>47</v>
      </c>
      <c r="D316" s="32"/>
      <c r="E316" s="9">
        <v>2090400</v>
      </c>
      <c r="F316" s="38" t="s">
        <v>1300</v>
      </c>
      <c r="G316" s="9"/>
      <c r="H316" s="9"/>
      <c r="I316" s="9"/>
      <c r="J316" s="9"/>
      <c r="K316" s="9"/>
      <c r="L316" s="9" t="str">
        <f t="shared" si="57"/>
        <v>1</v>
      </c>
      <c r="M316" s="9" t="str">
        <f t="shared" si="58"/>
        <v>0</v>
      </c>
      <c r="N316" s="38" t="s">
        <v>48</v>
      </c>
      <c r="O316" s="38"/>
      <c r="P316" s="9" t="str">
        <f t="shared" si="59"/>
        <v>1</v>
      </c>
      <c r="Q316" s="9" t="s">
        <v>986</v>
      </c>
      <c r="R316" s="9" t="s">
        <v>986</v>
      </c>
      <c r="S316" s="9" t="s">
        <v>986</v>
      </c>
      <c r="T316" s="9" t="s">
        <v>987</v>
      </c>
      <c r="U316" s="9" t="s">
        <v>985</v>
      </c>
      <c r="V316" s="9" t="s">
        <v>987</v>
      </c>
      <c r="W316" s="9" t="s">
        <v>987</v>
      </c>
      <c r="X316" s="9" t="s">
        <v>987</v>
      </c>
      <c r="Y316" s="9" t="s">
        <v>985</v>
      </c>
      <c r="Z316" s="9" t="s">
        <v>985</v>
      </c>
      <c r="AA316" s="9" t="s">
        <v>985</v>
      </c>
      <c r="AB316" s="9" t="s">
        <v>985</v>
      </c>
      <c r="AC316" s="9" t="s">
        <v>985</v>
      </c>
      <c r="AD316" s="9"/>
      <c r="AE316" s="9" t="str">
        <f t="shared" si="60"/>
        <v>N</v>
      </c>
      <c r="AF316" s="9" t="s">
        <v>986</v>
      </c>
      <c r="AG316" s="9"/>
      <c r="AH316" s="9">
        <v>2090000</v>
      </c>
      <c r="AI316" s="9">
        <v>4</v>
      </c>
      <c r="AJ316" s="57">
        <v>322</v>
      </c>
      <c r="AK316" s="10" t="s">
        <v>988</v>
      </c>
      <c r="AL316" s="10" t="s">
        <v>50</v>
      </c>
      <c r="AM316" s="6" t="str">
        <f t="shared" si="55"/>
        <v>14821/이벤트 관리/ /</v>
      </c>
      <c r="AN316" s="30"/>
      <c r="AO316" s="30"/>
      <c r="AP316" s="30"/>
      <c r="AQ316" s="30"/>
      <c r="AR316" s="31"/>
      <c r="AS316" s="31"/>
      <c r="AT316" s="31"/>
      <c r="AU316" s="31"/>
      <c r="AV316" s="31"/>
      <c r="AW316" s="31"/>
      <c r="AX316" s="31"/>
      <c r="AY316" s="31"/>
    </row>
    <row r="317" spans="2:51" s="29" customFormat="1" ht="14.5">
      <c r="B317" s="5" t="str">
        <f t="shared" si="56"/>
        <v xml:space="preserve">        └ 팝업 이벤트 관리</v>
      </c>
      <c r="C317" s="33" t="s">
        <v>47</v>
      </c>
      <c r="D317" s="32"/>
      <c r="E317" s="33" t="s">
        <v>1343</v>
      </c>
      <c r="F317" s="44" t="s">
        <v>955</v>
      </c>
      <c r="G317" s="32"/>
      <c r="H317" s="32"/>
      <c r="I317" s="32"/>
      <c r="J317" s="34"/>
      <c r="K317" s="34"/>
      <c r="L317" s="27" t="str">
        <f t="shared" si="57"/>
        <v>1</v>
      </c>
      <c r="M317" s="27" t="str">
        <f t="shared" si="58"/>
        <v>1</v>
      </c>
      <c r="N317" s="32" t="s">
        <v>433</v>
      </c>
      <c r="O317" s="32" t="s">
        <v>673</v>
      </c>
      <c r="P317" s="27" t="str">
        <f t="shared" si="59"/>
        <v>1</v>
      </c>
      <c r="Q317" s="32" t="s">
        <v>400</v>
      </c>
      <c r="R317" s="32" t="s">
        <v>399</v>
      </c>
      <c r="S317" s="32" t="s">
        <v>400</v>
      </c>
      <c r="T317" s="32" t="s">
        <v>400</v>
      </c>
      <c r="U317" s="32" t="s">
        <v>48</v>
      </c>
      <c r="V317" s="32" t="s">
        <v>400</v>
      </c>
      <c r="W317" s="32" t="s">
        <v>400</v>
      </c>
      <c r="X317" s="32" t="s">
        <v>400</v>
      </c>
      <c r="Y317" s="32" t="s">
        <v>48</v>
      </c>
      <c r="Z317" s="32" t="s">
        <v>48</v>
      </c>
      <c r="AA317" s="32" t="s">
        <v>48</v>
      </c>
      <c r="AB317" s="32" t="s">
        <v>48</v>
      </c>
      <c r="AC317" s="32" t="s">
        <v>48</v>
      </c>
      <c r="AD317" s="32"/>
      <c r="AE317" s="27" t="str">
        <f t="shared" si="60"/>
        <v>N</v>
      </c>
      <c r="AF317" s="32" t="s">
        <v>399</v>
      </c>
      <c r="AG317" s="32"/>
      <c r="AH317" s="33" t="s">
        <v>1347</v>
      </c>
      <c r="AI317" s="35">
        <v>5</v>
      </c>
      <c r="AJ317" s="57">
        <v>323</v>
      </c>
      <c r="AK317" s="33" t="s">
        <v>401</v>
      </c>
      <c r="AL317" s="10" t="s">
        <v>50</v>
      </c>
      <c r="AM317" s="6" t="str">
        <f t="shared" si="55"/>
        <v>14821/팝업 이벤트 관리/ shop/ShopPopup</v>
      </c>
      <c r="AN317" s="30"/>
      <c r="AO317" s="30"/>
      <c r="AP317" s="30"/>
      <c r="AQ317" s="30"/>
      <c r="AR317" s="31"/>
      <c r="AS317" s="31"/>
      <c r="AT317" s="31"/>
      <c r="AU317" s="31"/>
      <c r="AV317" s="31"/>
      <c r="AW317" s="31"/>
      <c r="AX317" s="31"/>
      <c r="AY317" s="31"/>
    </row>
    <row r="318" spans="2:51" s="29" customFormat="1" ht="14.5">
      <c r="B318" s="5" t="str">
        <f t="shared" si="56"/>
        <v xml:space="preserve">        └ 배너 이벤트 관리</v>
      </c>
      <c r="C318" s="33" t="s">
        <v>47</v>
      </c>
      <c r="D318" s="32"/>
      <c r="E318" s="33" t="s">
        <v>1344</v>
      </c>
      <c r="F318" s="44" t="s">
        <v>956</v>
      </c>
      <c r="G318" s="32"/>
      <c r="H318" s="32"/>
      <c r="I318" s="32"/>
      <c r="J318" s="34"/>
      <c r="K318" s="34"/>
      <c r="L318" s="27" t="str">
        <f t="shared" si="57"/>
        <v>1</v>
      </c>
      <c r="M318" s="27" t="str">
        <f t="shared" si="58"/>
        <v>1</v>
      </c>
      <c r="N318" s="32" t="s">
        <v>433</v>
      </c>
      <c r="O318" s="32" t="s">
        <v>674</v>
      </c>
      <c r="P318" s="27" t="str">
        <f t="shared" si="59"/>
        <v>1</v>
      </c>
      <c r="Q318" s="32" t="s">
        <v>400</v>
      </c>
      <c r="R318" s="32" t="s">
        <v>399</v>
      </c>
      <c r="S318" s="32" t="s">
        <v>400</v>
      </c>
      <c r="T318" s="32" t="s">
        <v>400</v>
      </c>
      <c r="U318" s="32" t="s">
        <v>48</v>
      </c>
      <c r="V318" s="32" t="s">
        <v>400</v>
      </c>
      <c r="W318" s="32" t="s">
        <v>400</v>
      </c>
      <c r="X318" s="32" t="s">
        <v>400</v>
      </c>
      <c r="Y318" s="32" t="s">
        <v>48</v>
      </c>
      <c r="Z318" s="32" t="s">
        <v>48</v>
      </c>
      <c r="AA318" s="32" t="s">
        <v>48</v>
      </c>
      <c r="AB318" s="32" t="s">
        <v>48</v>
      </c>
      <c r="AC318" s="32" t="s">
        <v>48</v>
      </c>
      <c r="AD318" s="32"/>
      <c r="AE318" s="27" t="str">
        <f t="shared" si="60"/>
        <v>N</v>
      </c>
      <c r="AF318" s="32" t="s">
        <v>399</v>
      </c>
      <c r="AG318" s="32"/>
      <c r="AH318" s="33" t="s">
        <v>1347</v>
      </c>
      <c r="AI318" s="35">
        <v>5</v>
      </c>
      <c r="AJ318" s="57">
        <v>324</v>
      </c>
      <c r="AK318" s="33" t="s">
        <v>401</v>
      </c>
      <c r="AL318" s="10" t="s">
        <v>50</v>
      </c>
      <c r="AM318" s="6" t="str">
        <f t="shared" si="55"/>
        <v>14821/배너 이벤트 관리/ shop/ShopEvent</v>
      </c>
      <c r="AN318" s="30"/>
      <c r="AO318" s="30"/>
      <c r="AP318" s="30"/>
      <c r="AQ318" s="30"/>
      <c r="AR318" s="31"/>
      <c r="AS318" s="31"/>
      <c r="AT318" s="31"/>
      <c r="AU318" s="31"/>
      <c r="AV318" s="31"/>
      <c r="AW318" s="31"/>
      <c r="AX318" s="31"/>
      <c r="AY318" s="31"/>
    </row>
    <row r="319" spans="2:51" s="29" customFormat="1" ht="14.5">
      <c r="B319" s="5" t="str">
        <f t="shared" si="56"/>
        <v xml:space="preserve">        └ 참여 이벤트 관리</v>
      </c>
      <c r="C319" s="33" t="s">
        <v>47</v>
      </c>
      <c r="D319" s="32"/>
      <c r="E319" s="33" t="s">
        <v>1345</v>
      </c>
      <c r="F319" s="44" t="s">
        <v>957</v>
      </c>
      <c r="G319" s="32"/>
      <c r="H319" s="32"/>
      <c r="I319" s="32"/>
      <c r="J319" s="34"/>
      <c r="K319" s="34"/>
      <c r="L319" s="27" t="str">
        <f t="shared" si="57"/>
        <v>1</v>
      </c>
      <c r="M319" s="27" t="str">
        <f t="shared" si="58"/>
        <v>1</v>
      </c>
      <c r="N319" s="32" t="s">
        <v>433</v>
      </c>
      <c r="O319" s="32" t="s">
        <v>675</v>
      </c>
      <c r="P319" s="27" t="str">
        <f t="shared" si="59"/>
        <v>1</v>
      </c>
      <c r="Q319" s="32" t="s">
        <v>400</v>
      </c>
      <c r="R319" s="32" t="s">
        <v>399</v>
      </c>
      <c r="S319" s="32" t="s">
        <v>400</v>
      </c>
      <c r="T319" s="32" t="s">
        <v>400</v>
      </c>
      <c r="U319" s="32" t="s">
        <v>48</v>
      </c>
      <c r="V319" s="32" t="s">
        <v>400</v>
      </c>
      <c r="W319" s="32" t="s">
        <v>400</v>
      </c>
      <c r="X319" s="32" t="s">
        <v>400</v>
      </c>
      <c r="Y319" s="32" t="s">
        <v>48</v>
      </c>
      <c r="Z319" s="32" t="s">
        <v>48</v>
      </c>
      <c r="AA319" s="32" t="s">
        <v>48</v>
      </c>
      <c r="AB319" s="32" t="s">
        <v>48</v>
      </c>
      <c r="AC319" s="32" t="s">
        <v>48</v>
      </c>
      <c r="AD319" s="32"/>
      <c r="AE319" s="27" t="str">
        <f t="shared" si="60"/>
        <v>N</v>
      </c>
      <c r="AF319" s="32" t="s">
        <v>399</v>
      </c>
      <c r="AG319" s="32"/>
      <c r="AH319" s="33" t="s">
        <v>1347</v>
      </c>
      <c r="AI319" s="35">
        <v>5</v>
      </c>
      <c r="AJ319" s="57">
        <v>325</v>
      </c>
      <c r="AK319" s="33" t="s">
        <v>401</v>
      </c>
      <c r="AL319" s="10" t="s">
        <v>50</v>
      </c>
      <c r="AM319" s="6" t="str">
        <f t="shared" si="55"/>
        <v>14821/참여 이벤트 관리/ shop/ShopEventCust</v>
      </c>
      <c r="AN319" s="30"/>
      <c r="AO319" s="30"/>
      <c r="AP319" s="30"/>
      <c r="AQ319" s="30"/>
      <c r="AR319" s="31"/>
      <c r="AS319" s="31"/>
      <c r="AT319" s="31"/>
      <c r="AU319" s="31"/>
      <c r="AV319" s="31"/>
      <c r="AW319" s="31"/>
      <c r="AX319" s="31"/>
      <c r="AY319" s="31"/>
    </row>
    <row r="320" spans="2:51" s="29" customFormat="1" ht="14.5">
      <c r="B320" s="5" t="str">
        <f t="shared" si="56"/>
        <v xml:space="preserve">        └ 할인 프로모션 관리</v>
      </c>
      <c r="C320" s="33" t="s">
        <v>47</v>
      </c>
      <c r="D320" s="32"/>
      <c r="E320" s="33" t="s">
        <v>1346</v>
      </c>
      <c r="F320" s="44" t="s">
        <v>958</v>
      </c>
      <c r="G320" s="32"/>
      <c r="H320" s="32"/>
      <c r="I320" s="32"/>
      <c r="J320" s="34"/>
      <c r="K320" s="34"/>
      <c r="L320" s="27" t="str">
        <f t="shared" si="57"/>
        <v>1</v>
      </c>
      <c r="M320" s="27" t="str">
        <f t="shared" si="58"/>
        <v>1</v>
      </c>
      <c r="N320" s="32" t="s">
        <v>433</v>
      </c>
      <c r="O320" s="32" t="s">
        <v>676</v>
      </c>
      <c r="P320" s="27" t="str">
        <f t="shared" si="59"/>
        <v>1</v>
      </c>
      <c r="Q320" s="32" t="s">
        <v>400</v>
      </c>
      <c r="R320" s="32" t="s">
        <v>399</v>
      </c>
      <c r="S320" s="32" t="s">
        <v>400</v>
      </c>
      <c r="T320" s="32" t="s">
        <v>400</v>
      </c>
      <c r="U320" s="32" t="s">
        <v>48</v>
      </c>
      <c r="V320" s="32" t="s">
        <v>400</v>
      </c>
      <c r="W320" s="32" t="s">
        <v>400</v>
      </c>
      <c r="X320" s="32" t="s">
        <v>400</v>
      </c>
      <c r="Y320" s="32" t="s">
        <v>48</v>
      </c>
      <c r="Z320" s="32" t="s">
        <v>48</v>
      </c>
      <c r="AA320" s="32" t="s">
        <v>48</v>
      </c>
      <c r="AB320" s="32" t="s">
        <v>48</v>
      </c>
      <c r="AC320" s="32" t="s">
        <v>48</v>
      </c>
      <c r="AD320" s="32"/>
      <c r="AE320" s="27" t="str">
        <f t="shared" si="60"/>
        <v>N</v>
      </c>
      <c r="AF320" s="32" t="s">
        <v>399</v>
      </c>
      <c r="AG320" s="32"/>
      <c r="AH320" s="33" t="s">
        <v>1347</v>
      </c>
      <c r="AI320" s="35">
        <v>5</v>
      </c>
      <c r="AJ320" s="57">
        <v>326</v>
      </c>
      <c r="AK320" s="33" t="s">
        <v>401</v>
      </c>
      <c r="AL320" s="10" t="s">
        <v>50</v>
      </c>
      <c r="AM320" s="6" t="str">
        <f t="shared" si="55"/>
        <v>14821/할인 프로모션 관리/ shop/ShopPromotion</v>
      </c>
      <c r="AN320" s="30"/>
      <c r="AO320" s="30"/>
      <c r="AP320" s="30"/>
      <c r="AQ320" s="30"/>
      <c r="AR320" s="31"/>
      <c r="AS320" s="31"/>
      <c r="AT320" s="31"/>
      <c r="AU320" s="31"/>
      <c r="AV320" s="31"/>
      <c r="AW320" s="31"/>
      <c r="AX320" s="31"/>
      <c r="AY320" s="31"/>
    </row>
    <row r="321" spans="2:51" s="29" customFormat="1" ht="14.5">
      <c r="B321" s="5" t="str">
        <f t="shared" si="56"/>
        <v xml:space="preserve">    └ 쇼핑몰 전시</v>
      </c>
      <c r="C321" s="33" t="s">
        <v>47</v>
      </c>
      <c r="D321" s="32"/>
      <c r="E321" s="9">
        <v>2090500</v>
      </c>
      <c r="F321" s="38" t="s">
        <v>1301</v>
      </c>
      <c r="G321" s="9"/>
      <c r="H321" s="9"/>
      <c r="I321" s="9"/>
      <c r="J321" s="9"/>
      <c r="K321" s="9"/>
      <c r="L321" s="9" t="str">
        <f t="shared" si="57"/>
        <v>1</v>
      </c>
      <c r="M321" s="9" t="str">
        <f t="shared" si="58"/>
        <v>0</v>
      </c>
      <c r="N321" s="38" t="s">
        <v>48</v>
      </c>
      <c r="O321" s="38"/>
      <c r="P321" s="9" t="str">
        <f t="shared" si="59"/>
        <v>1</v>
      </c>
      <c r="Q321" s="9" t="s">
        <v>986</v>
      </c>
      <c r="R321" s="9" t="s">
        <v>986</v>
      </c>
      <c r="S321" s="9" t="s">
        <v>986</v>
      </c>
      <c r="T321" s="9" t="s">
        <v>987</v>
      </c>
      <c r="U321" s="9" t="s">
        <v>985</v>
      </c>
      <c r="V321" s="9" t="s">
        <v>987</v>
      </c>
      <c r="W321" s="9" t="s">
        <v>987</v>
      </c>
      <c r="X321" s="9" t="s">
        <v>987</v>
      </c>
      <c r="Y321" s="9" t="s">
        <v>985</v>
      </c>
      <c r="Z321" s="9" t="s">
        <v>985</v>
      </c>
      <c r="AA321" s="9" t="s">
        <v>985</v>
      </c>
      <c r="AB321" s="9" t="s">
        <v>985</v>
      </c>
      <c r="AC321" s="9" t="s">
        <v>985</v>
      </c>
      <c r="AD321" s="9"/>
      <c r="AE321" s="9" t="str">
        <f t="shared" si="60"/>
        <v>N</v>
      </c>
      <c r="AF321" s="9" t="s">
        <v>986</v>
      </c>
      <c r="AG321" s="9"/>
      <c r="AH321" s="9">
        <v>2090000</v>
      </c>
      <c r="AI321" s="9">
        <v>4</v>
      </c>
      <c r="AJ321" s="57">
        <v>327</v>
      </c>
      <c r="AK321" s="10" t="s">
        <v>988</v>
      </c>
      <c r="AL321" s="10" t="s">
        <v>50</v>
      </c>
      <c r="AM321" s="6" t="str">
        <f t="shared" si="55"/>
        <v>14821/쇼핑몰 전시/ /</v>
      </c>
      <c r="AN321" s="30"/>
      <c r="AO321" s="30"/>
      <c r="AP321" s="30"/>
      <c r="AQ321" s="30"/>
      <c r="AR321" s="31"/>
      <c r="AS321" s="31"/>
      <c r="AT321" s="31"/>
      <c r="AU321" s="31"/>
      <c r="AV321" s="31"/>
      <c r="AW321" s="31"/>
      <c r="AX321" s="31"/>
      <c r="AY321" s="31"/>
    </row>
    <row r="322" spans="2:51" s="29" customFormat="1" ht="14.5">
      <c r="B322" s="5" t="str">
        <f t="shared" si="56"/>
        <v xml:space="preserve">        └ 쇼핑몰 전시 분류 코드 관리</v>
      </c>
      <c r="C322" s="33" t="s">
        <v>47</v>
      </c>
      <c r="D322" s="32"/>
      <c r="E322" s="33" t="s">
        <v>1348</v>
      </c>
      <c r="F322" s="44" t="s">
        <v>959</v>
      </c>
      <c r="G322" s="32"/>
      <c r="H322" s="32"/>
      <c r="I322" s="32"/>
      <c r="J322" s="34"/>
      <c r="K322" s="34"/>
      <c r="L322" s="27" t="str">
        <f t="shared" si="57"/>
        <v>1</v>
      </c>
      <c r="M322" s="27" t="str">
        <f t="shared" si="58"/>
        <v>1</v>
      </c>
      <c r="N322" s="32" t="s">
        <v>433</v>
      </c>
      <c r="O322" s="32" t="s">
        <v>677</v>
      </c>
      <c r="P322" s="27" t="str">
        <f t="shared" si="59"/>
        <v>1</v>
      </c>
      <c r="Q322" s="32" t="s">
        <v>400</v>
      </c>
      <c r="R322" s="32" t="s">
        <v>399</v>
      </c>
      <c r="S322" s="32" t="s">
        <v>399</v>
      </c>
      <c r="T322" s="32" t="s">
        <v>400</v>
      </c>
      <c r="U322" s="32" t="s">
        <v>48</v>
      </c>
      <c r="V322" s="32" t="s">
        <v>400</v>
      </c>
      <c r="W322" s="32" t="s">
        <v>399</v>
      </c>
      <c r="X322" s="32" t="s">
        <v>399</v>
      </c>
      <c r="Y322" s="32" t="s">
        <v>48</v>
      </c>
      <c r="Z322" s="32" t="s">
        <v>48</v>
      </c>
      <c r="AA322" s="32" t="s">
        <v>48</v>
      </c>
      <c r="AB322" s="32" t="s">
        <v>48</v>
      </c>
      <c r="AC322" s="32" t="s">
        <v>48</v>
      </c>
      <c r="AD322" s="32"/>
      <c r="AE322" s="27" t="str">
        <f t="shared" si="60"/>
        <v>N</v>
      </c>
      <c r="AF322" s="32" t="s">
        <v>399</v>
      </c>
      <c r="AG322" s="32"/>
      <c r="AH322" s="33" t="s">
        <v>1355</v>
      </c>
      <c r="AI322" s="35">
        <v>5</v>
      </c>
      <c r="AJ322" s="57">
        <v>328</v>
      </c>
      <c r="AK322" s="33" t="s">
        <v>401</v>
      </c>
      <c r="AL322" s="10" t="s">
        <v>50</v>
      </c>
      <c r="AM322" s="6" t="str">
        <f t="shared" si="55"/>
        <v>14821/쇼핑몰 전시 분류 코드 관리/ shop/CateInfo</v>
      </c>
      <c r="AN322" s="30"/>
      <c r="AO322" s="30"/>
      <c r="AP322" s="30"/>
      <c r="AQ322" s="30"/>
      <c r="AR322" s="31"/>
      <c r="AS322" s="31"/>
      <c r="AT322" s="31"/>
      <c r="AU322" s="31"/>
      <c r="AV322" s="31"/>
      <c r="AW322" s="31"/>
      <c r="AX322" s="31"/>
      <c r="AY322" s="31"/>
    </row>
    <row r="323" spans="2:51" s="29" customFormat="1" ht="14.5">
      <c r="B323" s="5" t="str">
        <f t="shared" si="56"/>
        <v xml:space="preserve">        └ 쇼핑몰 전시 분류 상품 관리</v>
      </c>
      <c r="C323" s="33" t="s">
        <v>47</v>
      </c>
      <c r="D323" s="32"/>
      <c r="E323" s="33" t="s">
        <v>1349</v>
      </c>
      <c r="F323" s="44" t="s">
        <v>960</v>
      </c>
      <c r="G323" s="32"/>
      <c r="H323" s="32"/>
      <c r="I323" s="32"/>
      <c r="J323" s="34"/>
      <c r="K323" s="34"/>
      <c r="L323" s="27" t="str">
        <f t="shared" si="57"/>
        <v>1</v>
      </c>
      <c r="M323" s="27" t="str">
        <f t="shared" si="58"/>
        <v>1</v>
      </c>
      <c r="N323" s="32" t="s">
        <v>433</v>
      </c>
      <c r="O323" s="32" t="s">
        <v>678</v>
      </c>
      <c r="P323" s="27" t="str">
        <f t="shared" si="59"/>
        <v>1</v>
      </c>
      <c r="Q323" s="32" t="s">
        <v>400</v>
      </c>
      <c r="R323" s="32" t="s">
        <v>399</v>
      </c>
      <c r="S323" s="32" t="s">
        <v>399</v>
      </c>
      <c r="T323" s="32" t="s">
        <v>400</v>
      </c>
      <c r="U323" s="32" t="s">
        <v>48</v>
      </c>
      <c r="V323" s="32" t="s">
        <v>400</v>
      </c>
      <c r="W323" s="32" t="s">
        <v>399</v>
      </c>
      <c r="X323" s="32" t="s">
        <v>399</v>
      </c>
      <c r="Y323" s="32" t="s">
        <v>48</v>
      </c>
      <c r="Z323" s="32" t="s">
        <v>48</v>
      </c>
      <c r="AA323" s="32" t="s">
        <v>48</v>
      </c>
      <c r="AB323" s="32" t="s">
        <v>48</v>
      </c>
      <c r="AC323" s="32" t="s">
        <v>48</v>
      </c>
      <c r="AD323" s="32"/>
      <c r="AE323" s="27" t="str">
        <f t="shared" si="60"/>
        <v>N</v>
      </c>
      <c r="AF323" s="32" t="s">
        <v>399</v>
      </c>
      <c r="AG323" s="32"/>
      <c r="AH323" s="33" t="s">
        <v>1355</v>
      </c>
      <c r="AI323" s="35">
        <v>5</v>
      </c>
      <c r="AJ323" s="57">
        <v>329</v>
      </c>
      <c r="AK323" s="33" t="s">
        <v>401</v>
      </c>
      <c r="AL323" s="10" t="s">
        <v>50</v>
      </c>
      <c r="AM323" s="6" t="str">
        <f t="shared" si="55"/>
        <v>14821/쇼핑몰 전시 분류 상품 관리/ shop/CateItem</v>
      </c>
      <c r="AN323" s="30"/>
      <c r="AO323" s="30"/>
      <c r="AP323" s="30"/>
      <c r="AQ323" s="30"/>
      <c r="AR323" s="31"/>
      <c r="AS323" s="31"/>
      <c r="AT323" s="31"/>
      <c r="AU323" s="31"/>
      <c r="AV323" s="31"/>
      <c r="AW323" s="31"/>
      <c r="AX323" s="31"/>
      <c r="AY323" s="31"/>
    </row>
    <row r="324" spans="2:51" s="29" customFormat="1" ht="14.5">
      <c r="B324" s="5" t="str">
        <f t="shared" si="56"/>
        <v xml:space="preserve">        └ 쇼핑몰 전시 분류 상품 현황</v>
      </c>
      <c r="C324" s="33" t="s">
        <v>47</v>
      </c>
      <c r="D324" s="32"/>
      <c r="E324" s="33" t="s">
        <v>1350</v>
      </c>
      <c r="F324" s="44" t="s">
        <v>961</v>
      </c>
      <c r="G324" s="32"/>
      <c r="H324" s="32"/>
      <c r="I324" s="32"/>
      <c r="J324" s="34"/>
      <c r="K324" s="34"/>
      <c r="L324" s="27" t="str">
        <f t="shared" si="57"/>
        <v>1</v>
      </c>
      <c r="M324" s="27" t="str">
        <f t="shared" si="58"/>
        <v>1</v>
      </c>
      <c r="N324" s="32" t="s">
        <v>433</v>
      </c>
      <c r="O324" s="32" t="s">
        <v>679</v>
      </c>
      <c r="P324" s="27" t="str">
        <f t="shared" si="59"/>
        <v>1</v>
      </c>
      <c r="Q324" s="32" t="s">
        <v>400</v>
      </c>
      <c r="R324" s="32" t="s">
        <v>400</v>
      </c>
      <c r="S324" s="32" t="s">
        <v>400</v>
      </c>
      <c r="T324" s="32" t="s">
        <v>400</v>
      </c>
      <c r="U324" s="32" t="s">
        <v>48</v>
      </c>
      <c r="V324" s="32" t="s">
        <v>400</v>
      </c>
      <c r="W324" s="32" t="s">
        <v>399</v>
      </c>
      <c r="X324" s="32" t="s">
        <v>399</v>
      </c>
      <c r="Y324" s="32" t="s">
        <v>48</v>
      </c>
      <c r="Z324" s="32" t="s">
        <v>48</v>
      </c>
      <c r="AA324" s="32" t="s">
        <v>48</v>
      </c>
      <c r="AB324" s="32" t="s">
        <v>48</v>
      </c>
      <c r="AC324" s="32" t="s">
        <v>48</v>
      </c>
      <c r="AD324" s="32"/>
      <c r="AE324" s="27" t="str">
        <f t="shared" si="60"/>
        <v>N</v>
      </c>
      <c r="AF324" s="32" t="s">
        <v>399</v>
      </c>
      <c r="AG324" s="32"/>
      <c r="AH324" s="33" t="s">
        <v>1355</v>
      </c>
      <c r="AI324" s="35">
        <v>5</v>
      </c>
      <c r="AJ324" s="57">
        <v>330</v>
      </c>
      <c r="AK324" s="33" t="s">
        <v>401</v>
      </c>
      <c r="AL324" s="10" t="s">
        <v>50</v>
      </c>
      <c r="AM324" s="6" t="str">
        <f t="shared" ref="AM324:AM391" si="61">IF(C324="","",C324&amp;"/"&amp;F324&amp;"/"&amp;N324&amp;"/"&amp;O324)</f>
        <v>14821/쇼핑몰 전시 분류 상품 현황/ shop/ItemCate</v>
      </c>
      <c r="AN324" s="30"/>
      <c r="AO324" s="30"/>
      <c r="AP324" s="30"/>
      <c r="AQ324" s="30"/>
      <c r="AR324" s="31"/>
      <c r="AS324" s="31"/>
      <c r="AT324" s="31"/>
      <c r="AU324" s="31"/>
      <c r="AV324" s="31"/>
      <c r="AW324" s="31"/>
      <c r="AX324" s="31"/>
      <c r="AY324" s="31"/>
    </row>
    <row r="325" spans="2:51" s="29" customFormat="1" ht="14.5">
      <c r="B325" s="5" t="str">
        <f t="shared" si="56"/>
        <v xml:space="preserve">        └ 쇼핑몰 전시 분류 MD 추천</v>
      </c>
      <c r="C325" s="33" t="s">
        <v>47</v>
      </c>
      <c r="D325" s="32"/>
      <c r="E325" s="33" t="s">
        <v>1351</v>
      </c>
      <c r="F325" s="44" t="s">
        <v>962</v>
      </c>
      <c r="G325" s="32"/>
      <c r="H325" s="32"/>
      <c r="I325" s="32"/>
      <c r="J325" s="34"/>
      <c r="K325" s="34"/>
      <c r="L325" s="27" t="str">
        <f t="shared" si="57"/>
        <v>1</v>
      </c>
      <c r="M325" s="27" t="str">
        <f t="shared" si="58"/>
        <v>1</v>
      </c>
      <c r="N325" s="32" t="s">
        <v>433</v>
      </c>
      <c r="O325" s="32" t="s">
        <v>680</v>
      </c>
      <c r="P325" s="27" t="str">
        <f t="shared" si="59"/>
        <v>1</v>
      </c>
      <c r="Q325" s="32" t="s">
        <v>400</v>
      </c>
      <c r="R325" s="32" t="s">
        <v>399</v>
      </c>
      <c r="S325" s="32" t="s">
        <v>399</v>
      </c>
      <c r="T325" s="32" t="s">
        <v>400</v>
      </c>
      <c r="U325" s="32" t="s">
        <v>48</v>
      </c>
      <c r="V325" s="32" t="s">
        <v>400</v>
      </c>
      <c r="W325" s="32" t="s">
        <v>399</v>
      </c>
      <c r="X325" s="32" t="s">
        <v>399</v>
      </c>
      <c r="Y325" s="32" t="s">
        <v>48</v>
      </c>
      <c r="Z325" s="32" t="s">
        <v>48</v>
      </c>
      <c r="AA325" s="32" t="s">
        <v>48</v>
      </c>
      <c r="AB325" s="32" t="s">
        <v>48</v>
      </c>
      <c r="AC325" s="32" t="s">
        <v>48</v>
      </c>
      <c r="AD325" s="32"/>
      <c r="AE325" s="27" t="str">
        <f t="shared" si="60"/>
        <v>N</v>
      </c>
      <c r="AF325" s="32" t="s">
        <v>399</v>
      </c>
      <c r="AG325" s="32"/>
      <c r="AH325" s="33" t="s">
        <v>1355</v>
      </c>
      <c r="AI325" s="35">
        <v>5</v>
      </c>
      <c r="AJ325" s="57">
        <v>331</v>
      </c>
      <c r="AK325" s="33" t="s">
        <v>401</v>
      </c>
      <c r="AL325" s="10" t="s">
        <v>50</v>
      </c>
      <c r="AM325" s="6" t="str">
        <f t="shared" si="61"/>
        <v>14821/쇼핑몰 전시 분류 MD 추천/ shop/CateItemMd</v>
      </c>
      <c r="AN325" s="30"/>
      <c r="AO325" s="30"/>
      <c r="AP325" s="30"/>
      <c r="AQ325" s="30"/>
      <c r="AR325" s="31"/>
      <c r="AS325" s="31"/>
      <c r="AT325" s="31"/>
      <c r="AU325" s="31"/>
      <c r="AV325" s="31"/>
      <c r="AW325" s="31"/>
      <c r="AX325" s="31"/>
      <c r="AY325" s="31"/>
    </row>
    <row r="326" spans="2:51" s="29" customFormat="1" ht="14.5">
      <c r="B326" s="5" t="str">
        <f t="shared" si="56"/>
        <v xml:space="preserve">        └ 판매 순위별 상품 전시 관리</v>
      </c>
      <c r="C326" s="33" t="s">
        <v>47</v>
      </c>
      <c r="D326" s="32"/>
      <c r="E326" s="33" t="s">
        <v>1352</v>
      </c>
      <c r="F326" s="44" t="s">
        <v>963</v>
      </c>
      <c r="G326" s="32"/>
      <c r="H326" s="32"/>
      <c r="I326" s="32"/>
      <c r="J326" s="34"/>
      <c r="K326" s="34"/>
      <c r="L326" s="27" t="str">
        <f t="shared" ref="L326:L385" si="62">IF(F326="","","1")</f>
        <v>1</v>
      </c>
      <c r="M326" s="27" t="str">
        <f t="shared" ref="M326:M385" si="63">IF(F326="","",IF(O326="","0","1"))</f>
        <v>1</v>
      </c>
      <c r="N326" s="32" t="s">
        <v>433</v>
      </c>
      <c r="O326" s="32" t="s">
        <v>681</v>
      </c>
      <c r="P326" s="27" t="str">
        <f t="shared" ref="P326:P385" si="64">IF(F326="","","1")</f>
        <v>1</v>
      </c>
      <c r="Q326" s="32" t="s">
        <v>399</v>
      </c>
      <c r="R326" s="32" t="s">
        <v>399</v>
      </c>
      <c r="S326" s="32" t="s">
        <v>399</v>
      </c>
      <c r="T326" s="32" t="s">
        <v>400</v>
      </c>
      <c r="U326" s="32" t="s">
        <v>48</v>
      </c>
      <c r="V326" s="32" t="s">
        <v>400</v>
      </c>
      <c r="W326" s="32" t="s">
        <v>399</v>
      </c>
      <c r="X326" s="32" t="s">
        <v>399</v>
      </c>
      <c r="Y326" s="32" t="s">
        <v>48</v>
      </c>
      <c r="Z326" s="32" t="s">
        <v>48</v>
      </c>
      <c r="AA326" s="32" t="s">
        <v>48</v>
      </c>
      <c r="AB326" s="32" t="s">
        <v>48</v>
      </c>
      <c r="AC326" s="32" t="s">
        <v>48</v>
      </c>
      <c r="AD326" s="32"/>
      <c r="AE326" s="27" t="str">
        <f t="shared" ref="AE326:AE385" si="65">IF(F326="","","N")</f>
        <v>N</v>
      </c>
      <c r="AF326" s="32" t="s">
        <v>399</v>
      </c>
      <c r="AG326" s="32"/>
      <c r="AH326" s="33" t="s">
        <v>1355</v>
      </c>
      <c r="AI326" s="35">
        <v>5</v>
      </c>
      <c r="AJ326" s="57">
        <v>332</v>
      </c>
      <c r="AK326" s="33" t="s">
        <v>401</v>
      </c>
      <c r="AL326" s="10" t="s">
        <v>50</v>
      </c>
      <c r="AM326" s="6" t="str">
        <f t="shared" si="61"/>
        <v>14821/판매 순위별 상품 전시 관리/ shop/ShopItemHits</v>
      </c>
      <c r="AN326" s="30"/>
      <c r="AO326" s="30"/>
      <c r="AP326" s="30"/>
      <c r="AQ326" s="30"/>
      <c r="AR326" s="31"/>
      <c r="AS326" s="31"/>
      <c r="AT326" s="31"/>
      <c r="AU326" s="31"/>
      <c r="AV326" s="31"/>
      <c r="AW326" s="31"/>
      <c r="AX326" s="31"/>
      <c r="AY326" s="31"/>
    </row>
    <row r="327" spans="2:51" s="29" customFormat="1" ht="14.5">
      <c r="B327" s="5" t="str">
        <f t="shared" si="56"/>
        <v xml:space="preserve">        └ 잉크/토너 카테고리 상품 관리</v>
      </c>
      <c r="C327" s="33" t="s">
        <v>47</v>
      </c>
      <c r="D327" s="32"/>
      <c r="E327" s="33" t="s">
        <v>1353</v>
      </c>
      <c r="F327" s="44" t="s">
        <v>964</v>
      </c>
      <c r="G327" s="32"/>
      <c r="H327" s="32"/>
      <c r="I327" s="32"/>
      <c r="J327" s="34"/>
      <c r="K327" s="34"/>
      <c r="L327" s="27" t="str">
        <f t="shared" si="62"/>
        <v>1</v>
      </c>
      <c r="M327" s="27" t="str">
        <f t="shared" si="63"/>
        <v>1</v>
      </c>
      <c r="N327" s="32" t="s">
        <v>433</v>
      </c>
      <c r="O327" s="32" t="s">
        <v>682</v>
      </c>
      <c r="P327" s="27" t="str">
        <f t="shared" si="64"/>
        <v>1</v>
      </c>
      <c r="Q327" s="32" t="s">
        <v>400</v>
      </c>
      <c r="R327" s="32" t="s">
        <v>399</v>
      </c>
      <c r="S327" s="32" t="s">
        <v>400</v>
      </c>
      <c r="T327" s="32" t="s">
        <v>400</v>
      </c>
      <c r="U327" s="32" t="s">
        <v>48</v>
      </c>
      <c r="V327" s="32" t="s">
        <v>400</v>
      </c>
      <c r="W327" s="32" t="s">
        <v>399</v>
      </c>
      <c r="X327" s="32" t="s">
        <v>399</v>
      </c>
      <c r="Y327" s="32" t="s">
        <v>48</v>
      </c>
      <c r="Z327" s="32" t="s">
        <v>48</v>
      </c>
      <c r="AA327" s="32" t="s">
        <v>48</v>
      </c>
      <c r="AB327" s="32" t="s">
        <v>48</v>
      </c>
      <c r="AC327" s="32" t="s">
        <v>48</v>
      </c>
      <c r="AD327" s="32"/>
      <c r="AE327" s="27" t="str">
        <f t="shared" si="65"/>
        <v>N</v>
      </c>
      <c r="AF327" s="32" t="s">
        <v>399</v>
      </c>
      <c r="AG327" s="32"/>
      <c r="AH327" s="33" t="s">
        <v>1355</v>
      </c>
      <c r="AI327" s="35">
        <v>5</v>
      </c>
      <c r="AJ327" s="57">
        <v>333</v>
      </c>
      <c r="AK327" s="33" t="s">
        <v>401</v>
      </c>
      <c r="AL327" s="10" t="s">
        <v>50</v>
      </c>
      <c r="AM327" s="6" t="str">
        <f t="shared" si="61"/>
        <v>14821/잉크/토너 카테고리 상품 관리/ shop/TonerItem</v>
      </c>
      <c r="AN327" s="30"/>
      <c r="AO327" s="30"/>
      <c r="AP327" s="30"/>
      <c r="AQ327" s="30"/>
      <c r="AR327" s="31"/>
      <c r="AS327" s="31"/>
      <c r="AT327" s="31"/>
      <c r="AU327" s="31"/>
      <c r="AV327" s="31"/>
      <c r="AW327" s="31"/>
      <c r="AX327" s="31"/>
      <c r="AY327" s="31"/>
    </row>
    <row r="328" spans="2:51" s="29" customFormat="1" ht="14.5">
      <c r="B328" s="5" t="str">
        <f t="shared" si="56"/>
        <v xml:space="preserve">        └ 잉크/토너 카테고리 상품 현황</v>
      </c>
      <c r="C328" s="33" t="s">
        <v>47</v>
      </c>
      <c r="D328" s="32"/>
      <c r="E328" s="33" t="s">
        <v>1354</v>
      </c>
      <c r="F328" s="44" t="s">
        <v>965</v>
      </c>
      <c r="G328" s="32"/>
      <c r="H328" s="32"/>
      <c r="I328" s="32"/>
      <c r="J328" s="34"/>
      <c r="K328" s="34"/>
      <c r="L328" s="27" t="str">
        <f t="shared" si="62"/>
        <v>1</v>
      </c>
      <c r="M328" s="27" t="str">
        <f t="shared" si="63"/>
        <v>1</v>
      </c>
      <c r="N328" s="32" t="s">
        <v>433</v>
      </c>
      <c r="O328" s="32" t="s">
        <v>683</v>
      </c>
      <c r="P328" s="27" t="str">
        <f t="shared" si="64"/>
        <v>1</v>
      </c>
      <c r="Q328" s="32" t="s">
        <v>400</v>
      </c>
      <c r="R328" s="32" t="s">
        <v>399</v>
      </c>
      <c r="S328" s="32" t="s">
        <v>400</v>
      </c>
      <c r="T328" s="32" t="s">
        <v>400</v>
      </c>
      <c r="U328" s="32" t="s">
        <v>48</v>
      </c>
      <c r="V328" s="32" t="s">
        <v>400</v>
      </c>
      <c r="W328" s="32" t="s">
        <v>399</v>
      </c>
      <c r="X328" s="32" t="s">
        <v>399</v>
      </c>
      <c r="Y328" s="32" t="s">
        <v>48</v>
      </c>
      <c r="Z328" s="32" t="s">
        <v>48</v>
      </c>
      <c r="AA328" s="32" t="s">
        <v>48</v>
      </c>
      <c r="AB328" s="32" t="s">
        <v>48</v>
      </c>
      <c r="AC328" s="32" t="s">
        <v>48</v>
      </c>
      <c r="AD328" s="32"/>
      <c r="AE328" s="27" t="str">
        <f t="shared" si="65"/>
        <v>N</v>
      </c>
      <c r="AF328" s="32" t="s">
        <v>399</v>
      </c>
      <c r="AG328" s="32"/>
      <c r="AH328" s="33" t="s">
        <v>1355</v>
      </c>
      <c r="AI328" s="35">
        <v>5</v>
      </c>
      <c r="AJ328" s="57">
        <v>334</v>
      </c>
      <c r="AK328" s="33" t="s">
        <v>401</v>
      </c>
      <c r="AL328" s="10" t="s">
        <v>50</v>
      </c>
      <c r="AM328" s="6" t="str">
        <f t="shared" si="61"/>
        <v>14821/잉크/토너 카테고리 상품 현황/ shop/ItemToner</v>
      </c>
      <c r="AN328" s="30"/>
      <c r="AO328" s="30"/>
      <c r="AP328" s="30"/>
      <c r="AQ328" s="30"/>
      <c r="AR328" s="31"/>
      <c r="AS328" s="31"/>
      <c r="AT328" s="31"/>
      <c r="AU328" s="31"/>
      <c r="AV328" s="31"/>
      <c r="AW328" s="31"/>
      <c r="AX328" s="31"/>
      <c r="AY328" s="31"/>
    </row>
    <row r="329" spans="2:51" s="29" customFormat="1" ht="14.5">
      <c r="B329" s="5" t="str">
        <f t="shared" si="56"/>
        <v xml:space="preserve">    └ 독립몰 전시</v>
      </c>
      <c r="C329" s="33" t="s">
        <v>47</v>
      </c>
      <c r="D329" s="32"/>
      <c r="E329" s="9">
        <v>2090600</v>
      </c>
      <c r="F329" s="38" t="s">
        <v>1302</v>
      </c>
      <c r="G329" s="9"/>
      <c r="H329" s="9"/>
      <c r="I329" s="9"/>
      <c r="J329" s="9"/>
      <c r="K329" s="9"/>
      <c r="L329" s="9" t="str">
        <f t="shared" si="62"/>
        <v>1</v>
      </c>
      <c r="M329" s="9" t="str">
        <f t="shared" si="63"/>
        <v>0</v>
      </c>
      <c r="N329" s="38" t="s">
        <v>48</v>
      </c>
      <c r="O329" s="38"/>
      <c r="P329" s="9" t="str">
        <f t="shared" si="64"/>
        <v>1</v>
      </c>
      <c r="Q329" s="9" t="s">
        <v>986</v>
      </c>
      <c r="R329" s="9" t="s">
        <v>986</v>
      </c>
      <c r="S329" s="9" t="s">
        <v>986</v>
      </c>
      <c r="T329" s="9" t="s">
        <v>987</v>
      </c>
      <c r="U329" s="9" t="s">
        <v>985</v>
      </c>
      <c r="V329" s="9" t="s">
        <v>987</v>
      </c>
      <c r="W329" s="9" t="s">
        <v>987</v>
      </c>
      <c r="X329" s="9" t="s">
        <v>987</v>
      </c>
      <c r="Y329" s="9" t="s">
        <v>985</v>
      </c>
      <c r="Z329" s="9" t="s">
        <v>985</v>
      </c>
      <c r="AA329" s="9" t="s">
        <v>985</v>
      </c>
      <c r="AB329" s="9" t="s">
        <v>985</v>
      </c>
      <c r="AC329" s="9" t="s">
        <v>985</v>
      </c>
      <c r="AD329" s="9"/>
      <c r="AE329" s="9" t="str">
        <f t="shared" si="65"/>
        <v>N</v>
      </c>
      <c r="AF329" s="9" t="s">
        <v>986</v>
      </c>
      <c r="AG329" s="9"/>
      <c r="AH329" s="9">
        <v>2090000</v>
      </c>
      <c r="AI329" s="9">
        <v>4</v>
      </c>
      <c r="AJ329" s="57">
        <v>335</v>
      </c>
      <c r="AK329" s="10" t="s">
        <v>988</v>
      </c>
      <c r="AL329" s="10" t="s">
        <v>50</v>
      </c>
      <c r="AM329" s="6" t="str">
        <f t="shared" si="61"/>
        <v>14821/독립몰 전시/ /</v>
      </c>
      <c r="AN329" s="30"/>
      <c r="AO329" s="30"/>
      <c r="AP329" s="30"/>
      <c r="AQ329" s="30"/>
      <c r="AR329" s="31"/>
      <c r="AS329" s="31"/>
      <c r="AT329" s="31"/>
      <c r="AU329" s="31"/>
      <c r="AV329" s="31"/>
      <c r="AW329" s="31"/>
      <c r="AX329" s="31"/>
      <c r="AY329" s="31"/>
    </row>
    <row r="330" spans="2:51" s="29" customFormat="1" ht="14.5">
      <c r="B330" s="5" t="str">
        <f t="shared" ref="B330:B361" si="66">IF(AI330="","",IF(AI330=1,"",IF(AI330=2,"└ ",IF(AI330=3,"  └ ",IF(AI330=4,"    └ ",IF(AI330=5,"        └ ",IF(AI330=6,"           └ ",IF(AI330=7="             └ ",""))))))))&amp;F330</f>
        <v xml:space="preserve">        └ 독립몰 전시 분류 코드 관리</v>
      </c>
      <c r="C330" s="33" t="s">
        <v>47</v>
      </c>
      <c r="D330" s="32"/>
      <c r="E330" s="33" t="s">
        <v>1356</v>
      </c>
      <c r="F330" s="44" t="s">
        <v>966</v>
      </c>
      <c r="G330" s="32"/>
      <c r="H330" s="32"/>
      <c r="I330" s="32"/>
      <c r="J330" s="34"/>
      <c r="K330" s="34"/>
      <c r="L330" s="27" t="str">
        <f t="shared" si="62"/>
        <v>1</v>
      </c>
      <c r="M330" s="27" t="str">
        <f t="shared" si="63"/>
        <v>1</v>
      </c>
      <c r="N330" s="32" t="s">
        <v>433</v>
      </c>
      <c r="O330" s="32" t="s">
        <v>684</v>
      </c>
      <c r="P330" s="27" t="str">
        <f t="shared" si="64"/>
        <v>1</v>
      </c>
      <c r="Q330" s="32" t="s">
        <v>400</v>
      </c>
      <c r="R330" s="32" t="s">
        <v>399</v>
      </c>
      <c r="S330" s="32" t="s">
        <v>399</v>
      </c>
      <c r="T330" s="32" t="s">
        <v>400</v>
      </c>
      <c r="U330" s="32" t="s">
        <v>48</v>
      </c>
      <c r="V330" s="32" t="s">
        <v>400</v>
      </c>
      <c r="W330" s="32" t="s">
        <v>400</v>
      </c>
      <c r="X330" s="32" t="s">
        <v>400</v>
      </c>
      <c r="Y330" s="32" t="s">
        <v>48</v>
      </c>
      <c r="Z330" s="32" t="s">
        <v>48</v>
      </c>
      <c r="AA330" s="32" t="s">
        <v>48</v>
      </c>
      <c r="AB330" s="32" t="s">
        <v>48</v>
      </c>
      <c r="AC330" s="32" t="s">
        <v>48</v>
      </c>
      <c r="AD330" s="32"/>
      <c r="AE330" s="27" t="str">
        <f t="shared" si="65"/>
        <v>N</v>
      </c>
      <c r="AF330" s="32" t="s">
        <v>399</v>
      </c>
      <c r="AG330" s="32"/>
      <c r="AH330" s="33" t="s">
        <v>1359</v>
      </c>
      <c r="AI330" s="35">
        <v>5</v>
      </c>
      <c r="AJ330" s="57">
        <v>336</v>
      </c>
      <c r="AK330" s="33" t="s">
        <v>401</v>
      </c>
      <c r="AL330" s="10" t="s">
        <v>50</v>
      </c>
      <c r="AM330" s="6" t="str">
        <f t="shared" si="61"/>
        <v>14821/독립몰 전시 분류 코드 관리/ shop/StoreCateInfo</v>
      </c>
      <c r="AN330" s="30"/>
      <c r="AO330" s="30"/>
      <c r="AP330" s="30"/>
      <c r="AQ330" s="30"/>
      <c r="AR330" s="31"/>
      <c r="AS330" s="31"/>
      <c r="AT330" s="31"/>
      <c r="AU330" s="31"/>
      <c r="AV330" s="31"/>
      <c r="AW330" s="31"/>
      <c r="AX330" s="31"/>
      <c r="AY330" s="31"/>
    </row>
    <row r="331" spans="2:51" s="29" customFormat="1" ht="14.5">
      <c r="B331" s="5" t="str">
        <f t="shared" si="66"/>
        <v xml:space="preserve">        └ 독립몰 전시 분류 상품 관리</v>
      </c>
      <c r="C331" s="33" t="s">
        <v>47</v>
      </c>
      <c r="D331" s="32"/>
      <c r="E331" s="33" t="s">
        <v>1357</v>
      </c>
      <c r="F331" s="44" t="s">
        <v>967</v>
      </c>
      <c r="G331" s="32"/>
      <c r="H331" s="32"/>
      <c r="I331" s="32"/>
      <c r="J331" s="34"/>
      <c r="K331" s="34"/>
      <c r="L331" s="27" t="str">
        <f t="shared" si="62"/>
        <v>1</v>
      </c>
      <c r="M331" s="27" t="str">
        <f t="shared" si="63"/>
        <v>1</v>
      </c>
      <c r="N331" s="32" t="s">
        <v>433</v>
      </c>
      <c r="O331" s="32" t="s">
        <v>685</v>
      </c>
      <c r="P331" s="27" t="str">
        <f t="shared" si="64"/>
        <v>1</v>
      </c>
      <c r="Q331" s="32" t="s">
        <v>400</v>
      </c>
      <c r="R331" s="32" t="s">
        <v>399</v>
      </c>
      <c r="S331" s="32" t="s">
        <v>399</v>
      </c>
      <c r="T331" s="32" t="s">
        <v>400</v>
      </c>
      <c r="U331" s="32" t="s">
        <v>48</v>
      </c>
      <c r="V331" s="32" t="s">
        <v>400</v>
      </c>
      <c r="W331" s="32" t="s">
        <v>400</v>
      </c>
      <c r="X331" s="32" t="s">
        <v>400</v>
      </c>
      <c r="Y331" s="32" t="s">
        <v>48</v>
      </c>
      <c r="Z331" s="32" t="s">
        <v>48</v>
      </c>
      <c r="AA331" s="32" t="s">
        <v>48</v>
      </c>
      <c r="AB331" s="32" t="s">
        <v>48</v>
      </c>
      <c r="AC331" s="32" t="s">
        <v>48</v>
      </c>
      <c r="AD331" s="32"/>
      <c r="AE331" s="27" t="str">
        <f t="shared" si="65"/>
        <v>N</v>
      </c>
      <c r="AF331" s="32" t="s">
        <v>399</v>
      </c>
      <c r="AG331" s="32"/>
      <c r="AH331" s="33" t="s">
        <v>1359</v>
      </c>
      <c r="AI331" s="35">
        <v>5</v>
      </c>
      <c r="AJ331" s="57">
        <v>337</v>
      </c>
      <c r="AK331" s="33" t="s">
        <v>401</v>
      </c>
      <c r="AL331" s="10" t="s">
        <v>50</v>
      </c>
      <c r="AM331" s="6" t="str">
        <f t="shared" si="61"/>
        <v>14821/독립몰 전시 분류 상품 관리/ shop/StoreCateItem</v>
      </c>
      <c r="AN331" s="30"/>
      <c r="AO331" s="30"/>
      <c r="AP331" s="30"/>
      <c r="AQ331" s="30"/>
      <c r="AR331" s="31"/>
      <c r="AS331" s="31"/>
      <c r="AT331" s="31"/>
      <c r="AU331" s="31"/>
      <c r="AV331" s="31"/>
      <c r="AW331" s="31"/>
      <c r="AX331" s="31"/>
      <c r="AY331" s="31"/>
    </row>
    <row r="332" spans="2:51" s="29" customFormat="1" ht="14.5">
      <c r="B332" s="5" t="str">
        <f t="shared" si="66"/>
        <v xml:space="preserve">        └ 독립몰 전시 분류 상품 현황</v>
      </c>
      <c r="C332" s="33" t="s">
        <v>47</v>
      </c>
      <c r="D332" s="32"/>
      <c r="E332" s="33" t="s">
        <v>1358</v>
      </c>
      <c r="F332" s="44" t="s">
        <v>968</v>
      </c>
      <c r="G332" s="32"/>
      <c r="H332" s="32"/>
      <c r="I332" s="32"/>
      <c r="J332" s="34"/>
      <c r="K332" s="34"/>
      <c r="L332" s="27" t="str">
        <f t="shared" si="62"/>
        <v>1</v>
      </c>
      <c r="M332" s="27" t="str">
        <f t="shared" si="63"/>
        <v>1</v>
      </c>
      <c r="N332" s="32" t="s">
        <v>433</v>
      </c>
      <c r="O332" s="32" t="s">
        <v>686</v>
      </c>
      <c r="P332" s="27" t="str">
        <f t="shared" si="64"/>
        <v>1</v>
      </c>
      <c r="Q332" s="32" t="s">
        <v>400</v>
      </c>
      <c r="R332" s="32" t="s">
        <v>399</v>
      </c>
      <c r="S332" s="32" t="s">
        <v>399</v>
      </c>
      <c r="T332" s="32" t="s">
        <v>400</v>
      </c>
      <c r="U332" s="32" t="s">
        <v>48</v>
      </c>
      <c r="V332" s="32" t="s">
        <v>400</v>
      </c>
      <c r="W332" s="32" t="s">
        <v>400</v>
      </c>
      <c r="X332" s="32" t="s">
        <v>400</v>
      </c>
      <c r="Y332" s="32" t="s">
        <v>48</v>
      </c>
      <c r="Z332" s="32" t="s">
        <v>48</v>
      </c>
      <c r="AA332" s="32" t="s">
        <v>48</v>
      </c>
      <c r="AB332" s="32" t="s">
        <v>48</v>
      </c>
      <c r="AC332" s="32" t="s">
        <v>48</v>
      </c>
      <c r="AD332" s="32"/>
      <c r="AE332" s="27" t="str">
        <f t="shared" si="65"/>
        <v>N</v>
      </c>
      <c r="AF332" s="32" t="s">
        <v>399</v>
      </c>
      <c r="AG332" s="32"/>
      <c r="AH332" s="33" t="s">
        <v>1359</v>
      </c>
      <c r="AI332" s="35">
        <v>5</v>
      </c>
      <c r="AJ332" s="57">
        <v>338</v>
      </c>
      <c r="AK332" s="33" t="s">
        <v>401</v>
      </c>
      <c r="AL332" s="10" t="s">
        <v>50</v>
      </c>
      <c r="AM332" s="6" t="str">
        <f t="shared" si="61"/>
        <v>14821/독립몰 전시 분류 상품 현황/ shop/StoreItemCate</v>
      </c>
      <c r="AN332" s="30"/>
      <c r="AO332" s="30"/>
      <c r="AP332" s="30"/>
      <c r="AQ332" s="30"/>
      <c r="AR332" s="31"/>
      <c r="AS332" s="31"/>
      <c r="AT332" s="31"/>
      <c r="AU332" s="31"/>
      <c r="AV332" s="31"/>
      <c r="AW332" s="31"/>
      <c r="AX332" s="31"/>
      <c r="AY332" s="31"/>
    </row>
    <row r="333" spans="2:51" s="29" customFormat="1" ht="14.5">
      <c r="B333" s="5" t="str">
        <f t="shared" si="66"/>
        <v xml:space="preserve">    └ 독립몰이벤트 관리</v>
      </c>
      <c r="C333" s="33" t="s">
        <v>47</v>
      </c>
      <c r="D333" s="32"/>
      <c r="E333" s="9">
        <v>2090700</v>
      </c>
      <c r="F333" s="38" t="s">
        <v>1303</v>
      </c>
      <c r="G333" s="9"/>
      <c r="H333" s="9"/>
      <c r="I333" s="9"/>
      <c r="J333" s="9"/>
      <c r="K333" s="9"/>
      <c r="L333" s="9" t="str">
        <f t="shared" si="62"/>
        <v>1</v>
      </c>
      <c r="M333" s="9" t="str">
        <f t="shared" si="63"/>
        <v>0</v>
      </c>
      <c r="N333" s="38" t="s">
        <v>48</v>
      </c>
      <c r="O333" s="38"/>
      <c r="P333" s="9" t="str">
        <f t="shared" si="64"/>
        <v>1</v>
      </c>
      <c r="Q333" s="9" t="s">
        <v>986</v>
      </c>
      <c r="R333" s="9" t="s">
        <v>986</v>
      </c>
      <c r="S333" s="9" t="s">
        <v>986</v>
      </c>
      <c r="T333" s="9" t="s">
        <v>987</v>
      </c>
      <c r="U333" s="9" t="s">
        <v>985</v>
      </c>
      <c r="V333" s="9" t="s">
        <v>987</v>
      </c>
      <c r="W333" s="9" t="s">
        <v>987</v>
      </c>
      <c r="X333" s="9" t="s">
        <v>987</v>
      </c>
      <c r="Y333" s="9" t="s">
        <v>985</v>
      </c>
      <c r="Z333" s="9" t="s">
        <v>985</v>
      </c>
      <c r="AA333" s="9" t="s">
        <v>985</v>
      </c>
      <c r="AB333" s="9" t="s">
        <v>985</v>
      </c>
      <c r="AC333" s="9" t="s">
        <v>985</v>
      </c>
      <c r="AD333" s="9"/>
      <c r="AE333" s="9" t="str">
        <f t="shared" si="65"/>
        <v>N</v>
      </c>
      <c r="AF333" s="9" t="s">
        <v>986</v>
      </c>
      <c r="AG333" s="9"/>
      <c r="AH333" s="9">
        <v>2090000</v>
      </c>
      <c r="AI333" s="9">
        <v>4</v>
      </c>
      <c r="AJ333" s="57">
        <v>339</v>
      </c>
      <c r="AK333" s="10" t="s">
        <v>988</v>
      </c>
      <c r="AL333" s="10" t="s">
        <v>50</v>
      </c>
      <c r="AM333" s="6" t="str">
        <f t="shared" si="61"/>
        <v>14821/독립몰이벤트 관리/ /</v>
      </c>
      <c r="AN333" s="30"/>
      <c r="AO333" s="30"/>
      <c r="AP333" s="30"/>
      <c r="AQ333" s="30"/>
      <c r="AR333" s="31"/>
      <c r="AS333" s="31"/>
      <c r="AT333" s="31"/>
      <c r="AU333" s="31"/>
      <c r="AV333" s="31"/>
      <c r="AW333" s="31"/>
      <c r="AX333" s="31"/>
      <c r="AY333" s="31"/>
    </row>
    <row r="334" spans="2:51" s="29" customFormat="1" ht="14.5">
      <c r="B334" s="5" t="str">
        <f t="shared" si="66"/>
        <v xml:space="preserve">        └ 독립몰 팝업 이벤트 관리</v>
      </c>
      <c r="C334" s="33" t="s">
        <v>47</v>
      </c>
      <c r="D334" s="32"/>
      <c r="E334" s="33" t="s">
        <v>1360</v>
      </c>
      <c r="F334" s="44" t="s">
        <v>969</v>
      </c>
      <c r="G334" s="32"/>
      <c r="H334" s="32"/>
      <c r="I334" s="32"/>
      <c r="J334" s="34"/>
      <c r="K334" s="34"/>
      <c r="L334" s="27" t="str">
        <f t="shared" si="62"/>
        <v>1</v>
      </c>
      <c r="M334" s="27" t="str">
        <f t="shared" si="63"/>
        <v>1</v>
      </c>
      <c r="N334" s="32" t="s">
        <v>433</v>
      </c>
      <c r="O334" s="32" t="s">
        <v>687</v>
      </c>
      <c r="P334" s="27" t="str">
        <f t="shared" si="64"/>
        <v>1</v>
      </c>
      <c r="Q334" s="32" t="s">
        <v>400</v>
      </c>
      <c r="R334" s="32" t="s">
        <v>399</v>
      </c>
      <c r="S334" s="32" t="s">
        <v>400</v>
      </c>
      <c r="T334" s="32" t="s">
        <v>400</v>
      </c>
      <c r="U334" s="32" t="s">
        <v>48</v>
      </c>
      <c r="V334" s="32" t="s">
        <v>400</v>
      </c>
      <c r="W334" s="32" t="s">
        <v>400</v>
      </c>
      <c r="X334" s="32" t="s">
        <v>400</v>
      </c>
      <c r="Y334" s="32" t="s">
        <v>48</v>
      </c>
      <c r="Z334" s="32" t="s">
        <v>48</v>
      </c>
      <c r="AA334" s="32" t="s">
        <v>48</v>
      </c>
      <c r="AB334" s="32" t="s">
        <v>48</v>
      </c>
      <c r="AC334" s="32" t="s">
        <v>48</v>
      </c>
      <c r="AD334" s="32"/>
      <c r="AE334" s="27" t="str">
        <f t="shared" si="65"/>
        <v>N</v>
      </c>
      <c r="AF334" s="32" t="s">
        <v>399</v>
      </c>
      <c r="AG334" s="32"/>
      <c r="AH334" s="33" t="s">
        <v>1364</v>
      </c>
      <c r="AI334" s="35">
        <v>5</v>
      </c>
      <c r="AJ334" s="57">
        <v>340</v>
      </c>
      <c r="AK334" s="33" t="s">
        <v>401</v>
      </c>
      <c r="AL334" s="10" t="s">
        <v>50</v>
      </c>
      <c r="AM334" s="6" t="str">
        <f t="shared" si="61"/>
        <v>14821/독립몰 팝업 이벤트 관리/ shop/StorePopup</v>
      </c>
      <c r="AN334" s="30"/>
      <c r="AO334" s="30"/>
      <c r="AP334" s="30"/>
      <c r="AQ334" s="30"/>
      <c r="AR334" s="31"/>
      <c r="AS334" s="31"/>
      <c r="AT334" s="31"/>
      <c r="AU334" s="31"/>
      <c r="AV334" s="31"/>
      <c r="AW334" s="31"/>
      <c r="AX334" s="31"/>
      <c r="AY334" s="31"/>
    </row>
    <row r="335" spans="2:51" s="29" customFormat="1" ht="14.5">
      <c r="B335" s="5" t="str">
        <f t="shared" si="66"/>
        <v xml:space="preserve">        └ 독립몰 배너 이벤트 관리</v>
      </c>
      <c r="C335" s="33" t="s">
        <v>47</v>
      </c>
      <c r="D335" s="32"/>
      <c r="E335" s="33" t="s">
        <v>1361</v>
      </c>
      <c r="F335" s="44" t="s">
        <v>970</v>
      </c>
      <c r="G335" s="32"/>
      <c r="H335" s="32"/>
      <c r="I335" s="32"/>
      <c r="J335" s="34"/>
      <c r="K335" s="34"/>
      <c r="L335" s="27" t="str">
        <f t="shared" si="62"/>
        <v>1</v>
      </c>
      <c r="M335" s="27" t="str">
        <f t="shared" si="63"/>
        <v>1</v>
      </c>
      <c r="N335" s="32" t="s">
        <v>433</v>
      </c>
      <c r="O335" s="32" t="s">
        <v>688</v>
      </c>
      <c r="P335" s="27" t="str">
        <f t="shared" si="64"/>
        <v>1</v>
      </c>
      <c r="Q335" s="32" t="s">
        <v>400</v>
      </c>
      <c r="R335" s="32" t="s">
        <v>399</v>
      </c>
      <c r="S335" s="32" t="s">
        <v>400</v>
      </c>
      <c r="T335" s="32" t="s">
        <v>400</v>
      </c>
      <c r="U335" s="32" t="s">
        <v>48</v>
      </c>
      <c r="V335" s="32" t="s">
        <v>400</v>
      </c>
      <c r="W335" s="32" t="s">
        <v>400</v>
      </c>
      <c r="X335" s="32" t="s">
        <v>400</v>
      </c>
      <c r="Y335" s="32" t="s">
        <v>48</v>
      </c>
      <c r="Z335" s="32" t="s">
        <v>48</v>
      </c>
      <c r="AA335" s="32" t="s">
        <v>48</v>
      </c>
      <c r="AB335" s="32" t="s">
        <v>48</v>
      </c>
      <c r="AC335" s="32" t="s">
        <v>48</v>
      </c>
      <c r="AD335" s="32"/>
      <c r="AE335" s="27" t="str">
        <f t="shared" si="65"/>
        <v>N</v>
      </c>
      <c r="AF335" s="32" t="s">
        <v>399</v>
      </c>
      <c r="AG335" s="32"/>
      <c r="AH335" s="33" t="s">
        <v>1364</v>
      </c>
      <c r="AI335" s="35">
        <v>5</v>
      </c>
      <c r="AJ335" s="57">
        <v>341</v>
      </c>
      <c r="AK335" s="33" t="s">
        <v>401</v>
      </c>
      <c r="AL335" s="10" t="s">
        <v>50</v>
      </c>
      <c r="AM335" s="6" t="str">
        <f t="shared" si="61"/>
        <v>14821/독립몰 배너 이벤트 관리/ shop/StoreEvent</v>
      </c>
      <c r="AN335" s="30"/>
      <c r="AO335" s="30"/>
      <c r="AP335" s="30"/>
      <c r="AQ335" s="30"/>
      <c r="AR335" s="31"/>
      <c r="AS335" s="31"/>
      <c r="AT335" s="31"/>
      <c r="AU335" s="31"/>
      <c r="AV335" s="31"/>
      <c r="AW335" s="31"/>
      <c r="AX335" s="31"/>
      <c r="AY335" s="31"/>
    </row>
    <row r="336" spans="2:51" s="29" customFormat="1" ht="14.5">
      <c r="B336" s="5" t="str">
        <f t="shared" si="66"/>
        <v xml:space="preserve">        └ 독립몰 참여 이벤트 관리</v>
      </c>
      <c r="C336" s="33" t="s">
        <v>47</v>
      </c>
      <c r="D336" s="32"/>
      <c r="E336" s="33" t="s">
        <v>1362</v>
      </c>
      <c r="F336" s="44" t="s">
        <v>971</v>
      </c>
      <c r="G336" s="32"/>
      <c r="H336" s="32"/>
      <c r="I336" s="32"/>
      <c r="J336" s="34"/>
      <c r="K336" s="34"/>
      <c r="L336" s="27" t="str">
        <f t="shared" si="62"/>
        <v>1</v>
      </c>
      <c r="M336" s="27" t="str">
        <f t="shared" si="63"/>
        <v>1</v>
      </c>
      <c r="N336" s="32" t="s">
        <v>433</v>
      </c>
      <c r="O336" s="32" t="s">
        <v>689</v>
      </c>
      <c r="P336" s="27" t="str">
        <f t="shared" si="64"/>
        <v>1</v>
      </c>
      <c r="Q336" s="32" t="s">
        <v>400</v>
      </c>
      <c r="R336" s="32" t="s">
        <v>399</v>
      </c>
      <c r="S336" s="32" t="s">
        <v>400</v>
      </c>
      <c r="T336" s="32" t="s">
        <v>400</v>
      </c>
      <c r="U336" s="32" t="s">
        <v>48</v>
      </c>
      <c r="V336" s="32" t="s">
        <v>400</v>
      </c>
      <c r="W336" s="32" t="s">
        <v>400</v>
      </c>
      <c r="X336" s="32" t="s">
        <v>400</v>
      </c>
      <c r="Y336" s="32" t="s">
        <v>48</v>
      </c>
      <c r="Z336" s="32" t="s">
        <v>48</v>
      </c>
      <c r="AA336" s="32" t="s">
        <v>48</v>
      </c>
      <c r="AB336" s="32" t="s">
        <v>48</v>
      </c>
      <c r="AC336" s="32" t="s">
        <v>48</v>
      </c>
      <c r="AD336" s="32"/>
      <c r="AE336" s="27" t="str">
        <f t="shared" si="65"/>
        <v>N</v>
      </c>
      <c r="AF336" s="32" t="s">
        <v>399</v>
      </c>
      <c r="AG336" s="32"/>
      <c r="AH336" s="33" t="s">
        <v>1364</v>
      </c>
      <c r="AI336" s="35">
        <v>5</v>
      </c>
      <c r="AJ336" s="57">
        <v>342</v>
      </c>
      <c r="AK336" s="33" t="s">
        <v>401</v>
      </c>
      <c r="AL336" s="10" t="s">
        <v>50</v>
      </c>
      <c r="AM336" s="6" t="str">
        <f t="shared" si="61"/>
        <v>14821/독립몰 참여 이벤트 관리/ shop/StoreEventCust</v>
      </c>
      <c r="AN336" s="30"/>
      <c r="AO336" s="30"/>
      <c r="AP336" s="30"/>
      <c r="AQ336" s="30"/>
      <c r="AR336" s="31"/>
      <c r="AS336" s="31"/>
      <c r="AT336" s="31"/>
      <c r="AU336" s="31"/>
      <c r="AV336" s="31"/>
      <c r="AW336" s="31"/>
      <c r="AX336" s="31"/>
      <c r="AY336" s="31"/>
    </row>
    <row r="337" spans="2:51" s="29" customFormat="1" ht="14.5">
      <c r="B337" s="5" t="str">
        <f t="shared" si="66"/>
        <v xml:space="preserve">        └ 독립몰 할인 이벤트 관리</v>
      </c>
      <c r="C337" s="33" t="s">
        <v>47</v>
      </c>
      <c r="D337" s="32"/>
      <c r="E337" s="33" t="s">
        <v>1363</v>
      </c>
      <c r="F337" s="44" t="s">
        <v>972</v>
      </c>
      <c r="G337" s="32"/>
      <c r="H337" s="32"/>
      <c r="I337" s="32"/>
      <c r="J337" s="34"/>
      <c r="K337" s="34"/>
      <c r="L337" s="27" t="str">
        <f t="shared" si="62"/>
        <v>1</v>
      </c>
      <c r="M337" s="27" t="str">
        <f t="shared" si="63"/>
        <v>1</v>
      </c>
      <c r="N337" s="32" t="s">
        <v>433</v>
      </c>
      <c r="O337" s="32" t="s">
        <v>690</v>
      </c>
      <c r="P337" s="27" t="str">
        <f t="shared" si="64"/>
        <v>1</v>
      </c>
      <c r="Q337" s="32" t="s">
        <v>400</v>
      </c>
      <c r="R337" s="32" t="s">
        <v>399</v>
      </c>
      <c r="S337" s="32" t="s">
        <v>400</v>
      </c>
      <c r="T337" s="32" t="s">
        <v>400</v>
      </c>
      <c r="U337" s="32" t="s">
        <v>48</v>
      </c>
      <c r="V337" s="32" t="s">
        <v>400</v>
      </c>
      <c r="W337" s="32" t="s">
        <v>400</v>
      </c>
      <c r="X337" s="32" t="s">
        <v>400</v>
      </c>
      <c r="Y337" s="32" t="s">
        <v>48</v>
      </c>
      <c r="Z337" s="32" t="s">
        <v>48</v>
      </c>
      <c r="AA337" s="32" t="s">
        <v>48</v>
      </c>
      <c r="AB337" s="32" t="s">
        <v>48</v>
      </c>
      <c r="AC337" s="32" t="s">
        <v>48</v>
      </c>
      <c r="AD337" s="32"/>
      <c r="AE337" s="27" t="str">
        <f t="shared" si="65"/>
        <v>N</v>
      </c>
      <c r="AF337" s="32" t="s">
        <v>399</v>
      </c>
      <c r="AG337" s="32"/>
      <c r="AH337" s="33" t="s">
        <v>1364</v>
      </c>
      <c r="AI337" s="35">
        <v>5</v>
      </c>
      <c r="AJ337" s="57">
        <v>343</v>
      </c>
      <c r="AK337" s="33" t="s">
        <v>401</v>
      </c>
      <c r="AL337" s="10" t="s">
        <v>50</v>
      </c>
      <c r="AM337" s="6" t="str">
        <f t="shared" si="61"/>
        <v>14821/독립몰 할인 이벤트 관리/ shop/StorePromotion</v>
      </c>
      <c r="AN337" s="30"/>
      <c r="AO337" s="30"/>
      <c r="AP337" s="30"/>
      <c r="AQ337" s="30"/>
      <c r="AR337" s="31"/>
      <c r="AS337" s="31"/>
      <c r="AT337" s="31"/>
      <c r="AU337" s="31"/>
      <c r="AV337" s="31"/>
      <c r="AW337" s="31"/>
      <c r="AX337" s="31"/>
      <c r="AY337" s="31"/>
    </row>
    <row r="338" spans="2:51" s="29" customFormat="1" ht="14.5">
      <c r="B338" s="5" t="str">
        <f t="shared" si="66"/>
        <v xml:space="preserve">    └ 쇼핑몰 고객</v>
      </c>
      <c r="C338" s="33" t="s">
        <v>47</v>
      </c>
      <c r="D338" s="32"/>
      <c r="E338" s="9">
        <v>2090800</v>
      </c>
      <c r="F338" s="38" t="s">
        <v>1304</v>
      </c>
      <c r="G338" s="9"/>
      <c r="H338" s="9"/>
      <c r="I338" s="9"/>
      <c r="J338" s="9"/>
      <c r="K338" s="9"/>
      <c r="L338" s="9" t="str">
        <f t="shared" si="62"/>
        <v>1</v>
      </c>
      <c r="M338" s="9" t="str">
        <f t="shared" si="63"/>
        <v>0</v>
      </c>
      <c r="N338" s="38" t="s">
        <v>48</v>
      </c>
      <c r="O338" s="38"/>
      <c r="P338" s="9" t="str">
        <f t="shared" si="64"/>
        <v>1</v>
      </c>
      <c r="Q338" s="9" t="s">
        <v>986</v>
      </c>
      <c r="R338" s="9" t="s">
        <v>986</v>
      </c>
      <c r="S338" s="9" t="s">
        <v>986</v>
      </c>
      <c r="T338" s="9" t="s">
        <v>987</v>
      </c>
      <c r="U338" s="9" t="s">
        <v>985</v>
      </c>
      <c r="V338" s="9" t="s">
        <v>987</v>
      </c>
      <c r="W338" s="9" t="s">
        <v>987</v>
      </c>
      <c r="X338" s="9" t="s">
        <v>987</v>
      </c>
      <c r="Y338" s="9" t="s">
        <v>985</v>
      </c>
      <c r="Z338" s="9" t="s">
        <v>985</v>
      </c>
      <c r="AA338" s="9" t="s">
        <v>985</v>
      </c>
      <c r="AB338" s="9" t="s">
        <v>985</v>
      </c>
      <c r="AC338" s="9" t="s">
        <v>985</v>
      </c>
      <c r="AD338" s="9"/>
      <c r="AE338" s="9" t="str">
        <f t="shared" si="65"/>
        <v>N</v>
      </c>
      <c r="AF338" s="9" t="s">
        <v>986</v>
      </c>
      <c r="AG338" s="9"/>
      <c r="AH338" s="9">
        <v>2090000</v>
      </c>
      <c r="AI338" s="9">
        <v>4</v>
      </c>
      <c r="AJ338" s="57">
        <v>344</v>
      </c>
      <c r="AK338" s="10" t="s">
        <v>988</v>
      </c>
      <c r="AL338" s="10" t="s">
        <v>50</v>
      </c>
      <c r="AM338" s="6" t="str">
        <f t="shared" si="61"/>
        <v>14821/쇼핑몰 고객/ /</v>
      </c>
      <c r="AN338" s="30"/>
      <c r="AO338" s="30"/>
      <c r="AP338" s="30"/>
      <c r="AQ338" s="30"/>
      <c r="AR338" s="31"/>
      <c r="AS338" s="31"/>
      <c r="AT338" s="31"/>
      <c r="AU338" s="31"/>
      <c r="AV338" s="31"/>
      <c r="AW338" s="31"/>
      <c r="AX338" s="31"/>
      <c r="AY338" s="31"/>
    </row>
    <row r="339" spans="2:51" s="29" customFormat="1" ht="14.5">
      <c r="B339" s="5" t="str">
        <f t="shared" si="66"/>
        <v xml:space="preserve">        └ 승인 대기 회원 관리</v>
      </c>
      <c r="C339" s="33" t="s">
        <v>47</v>
      </c>
      <c r="D339" s="32"/>
      <c r="E339" s="33" t="s">
        <v>1365</v>
      </c>
      <c r="F339" s="44" t="s">
        <v>973</v>
      </c>
      <c r="G339" s="32"/>
      <c r="H339" s="32"/>
      <c r="I339" s="32"/>
      <c r="J339" s="34"/>
      <c r="K339" s="34"/>
      <c r="L339" s="27" t="str">
        <f t="shared" si="62"/>
        <v>1</v>
      </c>
      <c r="M339" s="27" t="str">
        <f t="shared" si="63"/>
        <v>1</v>
      </c>
      <c r="N339" s="32" t="s">
        <v>433</v>
      </c>
      <c r="O339" s="32" t="s">
        <v>691</v>
      </c>
      <c r="P339" s="27" t="str">
        <f t="shared" si="64"/>
        <v>1</v>
      </c>
      <c r="Q339" s="32" t="s">
        <v>399</v>
      </c>
      <c r="R339" s="32" t="s">
        <v>399</v>
      </c>
      <c r="S339" s="32" t="s">
        <v>399</v>
      </c>
      <c r="T339" s="32" t="s">
        <v>400</v>
      </c>
      <c r="U339" s="32" t="s">
        <v>48</v>
      </c>
      <c r="V339" s="32" t="s">
        <v>400</v>
      </c>
      <c r="W339" s="32" t="s">
        <v>400</v>
      </c>
      <c r="X339" s="32" t="s">
        <v>400</v>
      </c>
      <c r="Y339" s="32" t="s">
        <v>48</v>
      </c>
      <c r="Z339" s="32" t="s">
        <v>48</v>
      </c>
      <c r="AA339" s="32" t="s">
        <v>48</v>
      </c>
      <c r="AB339" s="32" t="s">
        <v>48</v>
      </c>
      <c r="AC339" s="32" t="s">
        <v>48</v>
      </c>
      <c r="AD339" s="32"/>
      <c r="AE339" s="27" t="str">
        <f t="shared" si="65"/>
        <v>N</v>
      </c>
      <c r="AF339" s="32" t="s">
        <v>399</v>
      </c>
      <c r="AG339" s="32"/>
      <c r="AH339" s="33" t="s">
        <v>1372</v>
      </c>
      <c r="AI339" s="35">
        <v>5</v>
      </c>
      <c r="AJ339" s="57">
        <v>345</v>
      </c>
      <c r="AK339" s="33" t="s">
        <v>401</v>
      </c>
      <c r="AL339" s="10" t="s">
        <v>50</v>
      </c>
      <c r="AM339" s="6" t="str">
        <f t="shared" si="61"/>
        <v>14821/승인 대기 회원 관리/ shop/ShopCustConfirm</v>
      </c>
      <c r="AN339" s="30"/>
      <c r="AO339" s="30"/>
      <c r="AP339" s="30"/>
      <c r="AQ339" s="30"/>
      <c r="AR339" s="31"/>
      <c r="AS339" s="31"/>
      <c r="AT339" s="31"/>
      <c r="AU339" s="31"/>
      <c r="AV339" s="31"/>
      <c r="AW339" s="31"/>
      <c r="AX339" s="31"/>
      <c r="AY339" s="31"/>
    </row>
    <row r="340" spans="2:51" s="29" customFormat="1" ht="14.5">
      <c r="B340" s="5" t="str">
        <f t="shared" si="66"/>
        <v xml:space="preserve">        └ 통합 회원 코드 관리</v>
      </c>
      <c r="C340" s="33" t="s">
        <v>47</v>
      </c>
      <c r="D340" s="32"/>
      <c r="E340" s="33" t="s">
        <v>1366</v>
      </c>
      <c r="F340" s="44" t="s">
        <v>974</v>
      </c>
      <c r="G340" s="32"/>
      <c r="H340" s="32"/>
      <c r="I340" s="32"/>
      <c r="J340" s="34"/>
      <c r="K340" s="34"/>
      <c r="L340" s="27" t="str">
        <f t="shared" si="62"/>
        <v>1</v>
      </c>
      <c r="M340" s="27" t="str">
        <f t="shared" si="63"/>
        <v>1</v>
      </c>
      <c r="N340" s="32" t="s">
        <v>433</v>
      </c>
      <c r="O340" s="32" t="s">
        <v>692</v>
      </c>
      <c r="P340" s="27" t="str">
        <f t="shared" si="64"/>
        <v>1</v>
      </c>
      <c r="Q340" s="32" t="s">
        <v>399</v>
      </c>
      <c r="R340" s="32" t="s">
        <v>399</v>
      </c>
      <c r="S340" s="32" t="s">
        <v>399</v>
      </c>
      <c r="T340" s="32" t="s">
        <v>400</v>
      </c>
      <c r="U340" s="32" t="s">
        <v>48</v>
      </c>
      <c r="V340" s="32" t="s">
        <v>400</v>
      </c>
      <c r="W340" s="32" t="s">
        <v>400</v>
      </c>
      <c r="X340" s="32" t="s">
        <v>400</v>
      </c>
      <c r="Y340" s="32" t="s">
        <v>48</v>
      </c>
      <c r="Z340" s="32" t="s">
        <v>48</v>
      </c>
      <c r="AA340" s="32" t="s">
        <v>48</v>
      </c>
      <c r="AB340" s="32" t="s">
        <v>48</v>
      </c>
      <c r="AC340" s="32" t="s">
        <v>48</v>
      </c>
      <c r="AD340" s="32"/>
      <c r="AE340" s="27" t="str">
        <f t="shared" si="65"/>
        <v>N</v>
      </c>
      <c r="AF340" s="32" t="s">
        <v>399</v>
      </c>
      <c r="AG340" s="32"/>
      <c r="AH340" s="33" t="s">
        <v>1372</v>
      </c>
      <c r="AI340" s="35">
        <v>5</v>
      </c>
      <c r="AJ340" s="57">
        <v>346</v>
      </c>
      <c r="AK340" s="33" t="s">
        <v>401</v>
      </c>
      <c r="AL340" s="10" t="s">
        <v>50</v>
      </c>
      <c r="AM340" s="6" t="str">
        <f t="shared" si="61"/>
        <v>14821/통합 회원 코드 관리/ shop/ShopCustMemb</v>
      </c>
      <c r="AN340" s="30"/>
      <c r="AO340" s="30"/>
      <c r="AP340" s="30"/>
      <c r="AQ340" s="30"/>
      <c r="AR340" s="31"/>
      <c r="AS340" s="31"/>
      <c r="AT340" s="31"/>
      <c r="AU340" s="31"/>
      <c r="AV340" s="31"/>
      <c r="AW340" s="31"/>
      <c r="AX340" s="31"/>
      <c r="AY340" s="31"/>
    </row>
    <row r="341" spans="2:51" s="29" customFormat="1" ht="14.5">
      <c r="B341" s="5" t="str">
        <f t="shared" si="66"/>
        <v xml:space="preserve">        └ 기업 회원 그룹 관리</v>
      </c>
      <c r="C341" s="33" t="s">
        <v>47</v>
      </c>
      <c r="D341" s="32"/>
      <c r="E341" s="33" t="s">
        <v>1367</v>
      </c>
      <c r="F341" s="44" t="s">
        <v>975</v>
      </c>
      <c r="G341" s="32"/>
      <c r="H341" s="32"/>
      <c r="I341" s="32"/>
      <c r="J341" s="34"/>
      <c r="K341" s="34"/>
      <c r="L341" s="27" t="str">
        <f t="shared" si="62"/>
        <v>1</v>
      </c>
      <c r="M341" s="27" t="str">
        <f t="shared" si="63"/>
        <v>1</v>
      </c>
      <c r="N341" s="32" t="s">
        <v>433</v>
      </c>
      <c r="O341" s="32" t="s">
        <v>693</v>
      </c>
      <c r="P341" s="27" t="str">
        <f t="shared" si="64"/>
        <v>1</v>
      </c>
      <c r="Q341" s="32" t="s">
        <v>400</v>
      </c>
      <c r="R341" s="32" t="s">
        <v>399</v>
      </c>
      <c r="S341" s="32" t="s">
        <v>400</v>
      </c>
      <c r="T341" s="32" t="s">
        <v>400</v>
      </c>
      <c r="U341" s="32" t="s">
        <v>48</v>
      </c>
      <c r="V341" s="32" t="s">
        <v>400</v>
      </c>
      <c r="W341" s="32" t="s">
        <v>400</v>
      </c>
      <c r="X341" s="32" t="s">
        <v>399</v>
      </c>
      <c r="Y341" s="32" t="s">
        <v>48</v>
      </c>
      <c r="Z341" s="32" t="s">
        <v>48</v>
      </c>
      <c r="AA341" s="32" t="s">
        <v>48</v>
      </c>
      <c r="AB341" s="32" t="s">
        <v>48</v>
      </c>
      <c r="AC341" s="32" t="s">
        <v>48</v>
      </c>
      <c r="AD341" s="32"/>
      <c r="AE341" s="27" t="str">
        <f t="shared" si="65"/>
        <v>N</v>
      </c>
      <c r="AF341" s="32" t="s">
        <v>399</v>
      </c>
      <c r="AG341" s="32"/>
      <c r="AH341" s="33" t="s">
        <v>1372</v>
      </c>
      <c r="AI341" s="35">
        <v>5</v>
      </c>
      <c r="AJ341" s="57">
        <v>347</v>
      </c>
      <c r="AK341" s="33" t="s">
        <v>401</v>
      </c>
      <c r="AL341" s="10" t="s">
        <v>50</v>
      </c>
      <c r="AM341" s="6" t="str">
        <f t="shared" si="61"/>
        <v>14821/기업 회원 그룹 관리/ shop/ShopCustGroup</v>
      </c>
      <c r="AN341" s="30"/>
      <c r="AO341" s="30"/>
      <c r="AP341" s="30"/>
      <c r="AQ341" s="30"/>
      <c r="AR341" s="31"/>
      <c r="AS341" s="31"/>
      <c r="AT341" s="31"/>
      <c r="AU341" s="31"/>
      <c r="AV341" s="31"/>
      <c r="AW341" s="31"/>
      <c r="AX341" s="31"/>
      <c r="AY341" s="31"/>
    </row>
    <row r="342" spans="2:51" s="29" customFormat="1" ht="14.5">
      <c r="B342" s="5" t="str">
        <f t="shared" si="66"/>
        <v xml:space="preserve">        └ 기업 회원 코드 관리</v>
      </c>
      <c r="C342" s="33" t="s">
        <v>47</v>
      </c>
      <c r="D342" s="32"/>
      <c r="E342" s="33" t="s">
        <v>1368</v>
      </c>
      <c r="F342" s="44" t="s">
        <v>976</v>
      </c>
      <c r="G342" s="32"/>
      <c r="H342" s="32"/>
      <c r="I342" s="32"/>
      <c r="J342" s="34"/>
      <c r="K342" s="34"/>
      <c r="L342" s="27" t="str">
        <f t="shared" si="62"/>
        <v>1</v>
      </c>
      <c r="M342" s="27" t="str">
        <f t="shared" si="63"/>
        <v>1</v>
      </c>
      <c r="N342" s="32" t="s">
        <v>433</v>
      </c>
      <c r="O342" s="32" t="s">
        <v>694</v>
      </c>
      <c r="P342" s="27" t="str">
        <f t="shared" si="64"/>
        <v>1</v>
      </c>
      <c r="Q342" s="32" t="s">
        <v>399</v>
      </c>
      <c r="R342" s="32" t="s">
        <v>399</v>
      </c>
      <c r="S342" s="32" t="s">
        <v>400</v>
      </c>
      <c r="T342" s="32" t="s">
        <v>400</v>
      </c>
      <c r="U342" s="32" t="s">
        <v>48</v>
      </c>
      <c r="V342" s="32" t="s">
        <v>400</v>
      </c>
      <c r="W342" s="32" t="s">
        <v>400</v>
      </c>
      <c r="X342" s="32" t="s">
        <v>400</v>
      </c>
      <c r="Y342" s="32" t="s">
        <v>48</v>
      </c>
      <c r="Z342" s="32" t="s">
        <v>48</v>
      </c>
      <c r="AA342" s="32" t="s">
        <v>48</v>
      </c>
      <c r="AB342" s="32" t="s">
        <v>48</v>
      </c>
      <c r="AC342" s="32" t="s">
        <v>48</v>
      </c>
      <c r="AD342" s="32"/>
      <c r="AE342" s="27" t="str">
        <f t="shared" si="65"/>
        <v>N</v>
      </c>
      <c r="AF342" s="32" t="s">
        <v>399</v>
      </c>
      <c r="AG342" s="32"/>
      <c r="AH342" s="33" t="s">
        <v>1372</v>
      </c>
      <c r="AI342" s="35">
        <v>5</v>
      </c>
      <c r="AJ342" s="57">
        <v>348</v>
      </c>
      <c r="AK342" s="33" t="s">
        <v>401</v>
      </c>
      <c r="AL342" s="10" t="s">
        <v>50</v>
      </c>
      <c r="AM342" s="6" t="str">
        <f t="shared" si="61"/>
        <v>14821/기업 회원 코드 관리/ shop/ShopCustInfo</v>
      </c>
      <c r="AN342" s="30"/>
      <c r="AO342" s="30"/>
      <c r="AP342" s="30"/>
      <c r="AQ342" s="30"/>
      <c r="AR342" s="31"/>
      <c r="AS342" s="31"/>
      <c r="AT342" s="31"/>
      <c r="AU342" s="31"/>
      <c r="AV342" s="31"/>
      <c r="AW342" s="31"/>
      <c r="AX342" s="31"/>
      <c r="AY342" s="31"/>
    </row>
    <row r="343" spans="2:51" s="29" customFormat="1" ht="14.5">
      <c r="B343" s="5" t="str">
        <f t="shared" si="66"/>
        <v xml:space="preserve">        └ 기업 회원 상품 관리</v>
      </c>
      <c r="C343" s="33" t="s">
        <v>47</v>
      </c>
      <c r="D343" s="32"/>
      <c r="E343" s="33" t="s">
        <v>1369</v>
      </c>
      <c r="F343" s="44" t="s">
        <v>977</v>
      </c>
      <c r="G343" s="32"/>
      <c r="H343" s="32"/>
      <c r="I343" s="32"/>
      <c r="J343" s="34"/>
      <c r="K343" s="34"/>
      <c r="L343" s="27" t="str">
        <f t="shared" si="62"/>
        <v>1</v>
      </c>
      <c r="M343" s="27" t="str">
        <f t="shared" si="63"/>
        <v>1</v>
      </c>
      <c r="N343" s="32" t="s">
        <v>433</v>
      </c>
      <c r="O343" s="32" t="s">
        <v>695</v>
      </c>
      <c r="P343" s="27" t="str">
        <f t="shared" si="64"/>
        <v>1</v>
      </c>
      <c r="Q343" s="32" t="s">
        <v>400</v>
      </c>
      <c r="R343" s="32" t="s">
        <v>399</v>
      </c>
      <c r="S343" s="32" t="s">
        <v>400</v>
      </c>
      <c r="T343" s="32" t="s">
        <v>400</v>
      </c>
      <c r="U343" s="32" t="s">
        <v>48</v>
      </c>
      <c r="V343" s="32" t="s">
        <v>400</v>
      </c>
      <c r="W343" s="32" t="s">
        <v>400</v>
      </c>
      <c r="X343" s="32" t="s">
        <v>399</v>
      </c>
      <c r="Y343" s="32" t="s">
        <v>48</v>
      </c>
      <c r="Z343" s="32" t="s">
        <v>48</v>
      </c>
      <c r="AA343" s="32" t="s">
        <v>48</v>
      </c>
      <c r="AB343" s="32" t="s">
        <v>48</v>
      </c>
      <c r="AC343" s="32" t="s">
        <v>48</v>
      </c>
      <c r="AD343" s="32"/>
      <c r="AE343" s="27" t="str">
        <f t="shared" si="65"/>
        <v>N</v>
      </c>
      <c r="AF343" s="32" t="s">
        <v>399</v>
      </c>
      <c r="AG343" s="32"/>
      <c r="AH343" s="33" t="s">
        <v>1372</v>
      </c>
      <c r="AI343" s="35">
        <v>5</v>
      </c>
      <c r="AJ343" s="57">
        <v>349</v>
      </c>
      <c r="AK343" s="33" t="s">
        <v>401</v>
      </c>
      <c r="AL343" s="10" t="s">
        <v>50</v>
      </c>
      <c r="AM343" s="6" t="str">
        <f t="shared" si="61"/>
        <v>14821/기업 회원 상품 관리/ shop/ShopCustItem</v>
      </c>
      <c r="AN343" s="30"/>
      <c r="AO343" s="30"/>
      <c r="AP343" s="30"/>
      <c r="AQ343" s="30"/>
      <c r="AR343" s="31"/>
      <c r="AS343" s="31"/>
      <c r="AT343" s="31"/>
      <c r="AU343" s="31"/>
      <c r="AV343" s="31"/>
      <c r="AW343" s="31"/>
      <c r="AX343" s="31"/>
      <c r="AY343" s="31"/>
    </row>
    <row r="344" spans="2:51" s="29" customFormat="1" ht="14.5">
      <c r="B344" s="5" t="str">
        <f t="shared" si="66"/>
        <v xml:space="preserve">        └ B2B 계약 그룹 관리</v>
      </c>
      <c r="C344" s="33" t="s">
        <v>47</v>
      </c>
      <c r="D344" s="32"/>
      <c r="E344" s="33" t="s">
        <v>1370</v>
      </c>
      <c r="F344" s="44" t="s">
        <v>978</v>
      </c>
      <c r="G344" s="32"/>
      <c r="H344" s="32"/>
      <c r="I344" s="32"/>
      <c r="J344" s="34"/>
      <c r="K344" s="34"/>
      <c r="L344" s="27" t="str">
        <f t="shared" si="62"/>
        <v>1</v>
      </c>
      <c r="M344" s="27" t="str">
        <f t="shared" si="63"/>
        <v>1</v>
      </c>
      <c r="N344" s="32" t="s">
        <v>433</v>
      </c>
      <c r="O344" s="32" t="s">
        <v>696</v>
      </c>
      <c r="P344" s="27" t="str">
        <f t="shared" si="64"/>
        <v>1</v>
      </c>
      <c r="Q344" s="32" t="s">
        <v>399</v>
      </c>
      <c r="R344" s="32" t="s">
        <v>399</v>
      </c>
      <c r="S344" s="32" t="s">
        <v>400</v>
      </c>
      <c r="T344" s="32" t="s">
        <v>400</v>
      </c>
      <c r="U344" s="32" t="s">
        <v>48</v>
      </c>
      <c r="V344" s="32" t="s">
        <v>400</v>
      </c>
      <c r="W344" s="32" t="s">
        <v>400</v>
      </c>
      <c r="X344" s="32" t="s">
        <v>399</v>
      </c>
      <c r="Y344" s="32" t="s">
        <v>48</v>
      </c>
      <c r="Z344" s="32" t="s">
        <v>48</v>
      </c>
      <c r="AA344" s="32" t="s">
        <v>48</v>
      </c>
      <c r="AB344" s="32" t="s">
        <v>48</v>
      </c>
      <c r="AC344" s="32" t="s">
        <v>48</v>
      </c>
      <c r="AD344" s="32"/>
      <c r="AE344" s="27" t="str">
        <f t="shared" si="65"/>
        <v>N</v>
      </c>
      <c r="AF344" s="32" t="s">
        <v>399</v>
      </c>
      <c r="AG344" s="32"/>
      <c r="AH344" s="33" t="s">
        <v>1372</v>
      </c>
      <c r="AI344" s="35">
        <v>5</v>
      </c>
      <c r="AJ344" s="57">
        <v>350</v>
      </c>
      <c r="AK344" s="33" t="s">
        <v>401</v>
      </c>
      <c r="AL344" s="10" t="s">
        <v>50</v>
      </c>
      <c r="AM344" s="6" t="str">
        <f t="shared" si="61"/>
        <v>14821/B2B 계약 그룹 관리/ shop/B2BCustGroup</v>
      </c>
      <c r="AN344" s="30"/>
      <c r="AO344" s="30"/>
      <c r="AP344" s="30"/>
      <c r="AQ344" s="30"/>
      <c r="AR344" s="31"/>
      <c r="AS344" s="31"/>
      <c r="AT344" s="31"/>
      <c r="AU344" s="31"/>
      <c r="AV344" s="31"/>
      <c r="AW344" s="31"/>
      <c r="AX344" s="31"/>
      <c r="AY344" s="31"/>
    </row>
    <row r="345" spans="2:51" s="29" customFormat="1" ht="14.5">
      <c r="B345" s="5" t="str">
        <f t="shared" si="66"/>
        <v xml:space="preserve">        └ B2B 계약 고객 관리</v>
      </c>
      <c r="C345" s="33" t="s">
        <v>47</v>
      </c>
      <c r="D345" s="32"/>
      <c r="E345" s="33" t="s">
        <v>1371</v>
      </c>
      <c r="F345" s="44" t="s">
        <v>979</v>
      </c>
      <c r="G345" s="32"/>
      <c r="H345" s="32"/>
      <c r="I345" s="32"/>
      <c r="J345" s="34"/>
      <c r="K345" s="34"/>
      <c r="L345" s="27" t="str">
        <f t="shared" si="62"/>
        <v>1</v>
      </c>
      <c r="M345" s="27" t="str">
        <f t="shared" si="63"/>
        <v>1</v>
      </c>
      <c r="N345" s="32" t="s">
        <v>433</v>
      </c>
      <c r="O345" s="32" t="s">
        <v>697</v>
      </c>
      <c r="P345" s="27" t="str">
        <f t="shared" si="64"/>
        <v>1</v>
      </c>
      <c r="Q345" s="32" t="s">
        <v>399</v>
      </c>
      <c r="R345" s="32" t="s">
        <v>399</v>
      </c>
      <c r="S345" s="32" t="s">
        <v>399</v>
      </c>
      <c r="T345" s="32" t="s">
        <v>400</v>
      </c>
      <c r="U345" s="32" t="s">
        <v>48</v>
      </c>
      <c r="V345" s="32" t="s">
        <v>400</v>
      </c>
      <c r="W345" s="32" t="s">
        <v>400</v>
      </c>
      <c r="X345" s="32" t="s">
        <v>399</v>
      </c>
      <c r="Y345" s="32" t="s">
        <v>48</v>
      </c>
      <c r="Z345" s="32" t="s">
        <v>48</v>
      </c>
      <c r="AA345" s="32" t="s">
        <v>48</v>
      </c>
      <c r="AB345" s="32" t="s">
        <v>48</v>
      </c>
      <c r="AC345" s="32" t="s">
        <v>48</v>
      </c>
      <c r="AD345" s="32"/>
      <c r="AE345" s="27" t="str">
        <f t="shared" si="65"/>
        <v>N</v>
      </c>
      <c r="AF345" s="32" t="s">
        <v>399</v>
      </c>
      <c r="AG345" s="32"/>
      <c r="AH345" s="33" t="s">
        <v>1372</v>
      </c>
      <c r="AI345" s="35">
        <v>5</v>
      </c>
      <c r="AJ345" s="57">
        <v>351</v>
      </c>
      <c r="AK345" s="33" t="s">
        <v>401</v>
      </c>
      <c r="AL345" s="10" t="s">
        <v>50</v>
      </c>
      <c r="AM345" s="6" t="str">
        <f t="shared" si="61"/>
        <v>14821/B2B 계약 고객 관리/ shop/B2BCustInfo</v>
      </c>
      <c r="AN345" s="30"/>
      <c r="AO345" s="30"/>
      <c r="AP345" s="30"/>
      <c r="AQ345" s="30"/>
      <c r="AR345" s="31"/>
      <c r="AS345" s="31"/>
      <c r="AT345" s="31"/>
      <c r="AU345" s="31"/>
      <c r="AV345" s="31"/>
      <c r="AW345" s="31"/>
      <c r="AX345" s="31"/>
      <c r="AY345" s="31"/>
    </row>
    <row r="346" spans="2:51" s="29" customFormat="1" ht="14.5">
      <c r="B346" s="5" t="str">
        <f t="shared" si="66"/>
        <v xml:space="preserve">    └ 쇼핑몰 상품</v>
      </c>
      <c r="C346" s="33" t="s">
        <v>47</v>
      </c>
      <c r="D346" s="32"/>
      <c r="E346" s="9">
        <v>2090900</v>
      </c>
      <c r="F346" s="38" t="s">
        <v>1305</v>
      </c>
      <c r="G346" s="9"/>
      <c r="H346" s="9"/>
      <c r="I346" s="9"/>
      <c r="J346" s="9"/>
      <c r="K346" s="9"/>
      <c r="L346" s="9" t="str">
        <f t="shared" si="62"/>
        <v>1</v>
      </c>
      <c r="M346" s="9" t="str">
        <f t="shared" si="63"/>
        <v>0</v>
      </c>
      <c r="N346" s="38" t="s">
        <v>48</v>
      </c>
      <c r="O346" s="38"/>
      <c r="P346" s="9" t="str">
        <f t="shared" si="64"/>
        <v>1</v>
      </c>
      <c r="Q346" s="9" t="s">
        <v>986</v>
      </c>
      <c r="R346" s="9" t="s">
        <v>986</v>
      </c>
      <c r="S346" s="9" t="s">
        <v>986</v>
      </c>
      <c r="T346" s="9" t="s">
        <v>987</v>
      </c>
      <c r="U346" s="9" t="s">
        <v>985</v>
      </c>
      <c r="V346" s="9" t="s">
        <v>987</v>
      </c>
      <c r="W346" s="9" t="s">
        <v>987</v>
      </c>
      <c r="X346" s="9" t="s">
        <v>987</v>
      </c>
      <c r="Y346" s="9" t="s">
        <v>985</v>
      </c>
      <c r="Z346" s="9" t="s">
        <v>985</v>
      </c>
      <c r="AA346" s="9" t="s">
        <v>985</v>
      </c>
      <c r="AB346" s="9" t="s">
        <v>985</v>
      </c>
      <c r="AC346" s="9" t="s">
        <v>985</v>
      </c>
      <c r="AD346" s="9"/>
      <c r="AE346" s="9" t="str">
        <f t="shared" si="65"/>
        <v>N</v>
      </c>
      <c r="AF346" s="9" t="s">
        <v>986</v>
      </c>
      <c r="AG346" s="9"/>
      <c r="AH346" s="9">
        <v>2090000</v>
      </c>
      <c r="AI346" s="9">
        <v>4</v>
      </c>
      <c r="AJ346" s="57">
        <v>352</v>
      </c>
      <c r="AK346" s="10" t="s">
        <v>988</v>
      </c>
      <c r="AL346" s="10" t="s">
        <v>50</v>
      </c>
      <c r="AM346" s="6" t="str">
        <f t="shared" si="61"/>
        <v>14821/쇼핑몰 상품/ /</v>
      </c>
      <c r="AN346" s="30"/>
      <c r="AO346" s="30"/>
      <c r="AP346" s="30"/>
      <c r="AQ346" s="30"/>
      <c r="AR346" s="31"/>
      <c r="AS346" s="31"/>
      <c r="AT346" s="31"/>
      <c r="AU346" s="31"/>
      <c r="AV346" s="31"/>
      <c r="AW346" s="31"/>
      <c r="AX346" s="31"/>
      <c r="AY346" s="31"/>
    </row>
    <row r="347" spans="2:51" s="29" customFormat="1" ht="14.5">
      <c r="B347" s="5" t="str">
        <f t="shared" si="66"/>
        <v xml:space="preserve">        └ 쇼핑몰 전시 상품 관리</v>
      </c>
      <c r="C347" s="33" t="s">
        <v>47</v>
      </c>
      <c r="D347" s="32"/>
      <c r="E347" s="33" t="s">
        <v>1373</v>
      </c>
      <c r="F347" s="44" t="s">
        <v>980</v>
      </c>
      <c r="G347" s="32"/>
      <c r="H347" s="32"/>
      <c r="I347" s="32"/>
      <c r="J347" s="34"/>
      <c r="K347" s="34"/>
      <c r="L347" s="27" t="str">
        <f t="shared" si="62"/>
        <v>1</v>
      </c>
      <c r="M347" s="27" t="str">
        <f t="shared" si="63"/>
        <v>1</v>
      </c>
      <c r="N347" s="32" t="s">
        <v>433</v>
      </c>
      <c r="O347" s="32" t="s">
        <v>698</v>
      </c>
      <c r="P347" s="27" t="str">
        <f t="shared" si="64"/>
        <v>1</v>
      </c>
      <c r="Q347" s="32" t="s">
        <v>400</v>
      </c>
      <c r="R347" s="32" t="s">
        <v>399</v>
      </c>
      <c r="S347" s="32" t="s">
        <v>400</v>
      </c>
      <c r="T347" s="32" t="s">
        <v>400</v>
      </c>
      <c r="U347" s="32" t="s">
        <v>48</v>
      </c>
      <c r="V347" s="32" t="s">
        <v>400</v>
      </c>
      <c r="W347" s="32" t="s">
        <v>400</v>
      </c>
      <c r="X347" s="32" t="s">
        <v>400</v>
      </c>
      <c r="Y347" s="32" t="s">
        <v>48</v>
      </c>
      <c r="Z347" s="32" t="s">
        <v>48</v>
      </c>
      <c r="AA347" s="32" t="s">
        <v>48</v>
      </c>
      <c r="AB347" s="32" t="s">
        <v>48</v>
      </c>
      <c r="AC347" s="32" t="s">
        <v>48</v>
      </c>
      <c r="AD347" s="32"/>
      <c r="AE347" s="27" t="str">
        <f t="shared" si="65"/>
        <v>N</v>
      </c>
      <c r="AF347" s="32" t="s">
        <v>399</v>
      </c>
      <c r="AG347" s="32"/>
      <c r="AH347" s="33" t="s">
        <v>1374</v>
      </c>
      <c r="AI347" s="35">
        <v>5</v>
      </c>
      <c r="AJ347" s="57">
        <v>353</v>
      </c>
      <c r="AK347" s="33" t="s">
        <v>401</v>
      </c>
      <c r="AL347" s="10" t="s">
        <v>50</v>
      </c>
      <c r="AM347" s="6" t="str">
        <f t="shared" si="61"/>
        <v>14821/쇼핑몰 전시 상품 관리/ shop/ShopItemInfo</v>
      </c>
      <c r="AN347" s="30"/>
      <c r="AO347" s="30"/>
      <c r="AP347" s="30"/>
      <c r="AQ347" s="30"/>
      <c r="AR347" s="31"/>
      <c r="AS347" s="31"/>
      <c r="AT347" s="31"/>
      <c r="AU347" s="31"/>
      <c r="AV347" s="31"/>
      <c r="AW347" s="31"/>
      <c r="AX347" s="31"/>
      <c r="AY347" s="31"/>
    </row>
    <row r="348" spans="2:51" s="29" customFormat="1" ht="14.5">
      <c r="B348" s="5" t="str">
        <f t="shared" si="66"/>
        <v xml:space="preserve">  └ 임원정보(EIS)</v>
      </c>
      <c r="C348" s="33" t="s">
        <v>47</v>
      </c>
      <c r="D348" s="19"/>
      <c r="E348" s="19">
        <v>2100000</v>
      </c>
      <c r="F348" s="42" t="s">
        <v>1306</v>
      </c>
      <c r="G348" s="19"/>
      <c r="H348" s="19"/>
      <c r="I348" s="19"/>
      <c r="J348" s="19"/>
      <c r="K348" s="19"/>
      <c r="L348" s="19" t="str">
        <f t="shared" ref="L348:L373" si="67">IF(F348="","","1")</f>
        <v>1</v>
      </c>
      <c r="M348" s="19" t="str">
        <f t="shared" ref="M348:M373" si="68">IF(F348="","",IF(O348="","0","1"))</f>
        <v>0</v>
      </c>
      <c r="N348" s="19" t="s">
        <v>48</v>
      </c>
      <c r="O348" s="19"/>
      <c r="P348" s="19" t="str">
        <f t="shared" ref="P348:P373" si="69">IF(F348="","","1")</f>
        <v>1</v>
      </c>
      <c r="Q348" s="19" t="s">
        <v>399</v>
      </c>
      <c r="R348" s="19" t="s">
        <v>399</v>
      </c>
      <c r="S348" s="19" t="s">
        <v>399</v>
      </c>
      <c r="T348" s="19" t="s">
        <v>400</v>
      </c>
      <c r="U348" s="19" t="s">
        <v>48</v>
      </c>
      <c r="V348" s="19" t="s">
        <v>400</v>
      </c>
      <c r="W348" s="19" t="s">
        <v>400</v>
      </c>
      <c r="X348" s="19" t="s">
        <v>400</v>
      </c>
      <c r="Y348" s="19" t="s">
        <v>48</v>
      </c>
      <c r="Z348" s="19" t="s">
        <v>48</v>
      </c>
      <c r="AA348" s="19" t="s">
        <v>48</v>
      </c>
      <c r="AB348" s="19" t="s">
        <v>48</v>
      </c>
      <c r="AC348" s="19" t="s">
        <v>48</v>
      </c>
      <c r="AD348" s="19"/>
      <c r="AE348" s="19" t="str">
        <f t="shared" ref="AE348:AE373" si="70">IF(F348="","","N")</f>
        <v>N</v>
      </c>
      <c r="AF348" s="19" t="s">
        <v>399</v>
      </c>
      <c r="AG348" s="19"/>
      <c r="AH348" s="19">
        <v>2000000</v>
      </c>
      <c r="AI348" s="19">
        <v>3</v>
      </c>
      <c r="AJ348" s="57">
        <v>355</v>
      </c>
      <c r="AK348" s="10" t="s">
        <v>401</v>
      </c>
      <c r="AL348" s="10" t="s">
        <v>50</v>
      </c>
      <c r="AM348" s="6" t="str">
        <f t="shared" si="61"/>
        <v>14821/임원정보(EIS)/ /</v>
      </c>
      <c r="AN348" s="30"/>
      <c r="AO348" s="30"/>
      <c r="AP348" s="30"/>
      <c r="AQ348" s="30"/>
      <c r="AR348" s="31"/>
      <c r="AS348" s="31"/>
      <c r="AT348" s="31"/>
      <c r="AU348" s="31"/>
      <c r="AV348" s="31"/>
      <c r="AW348" s="31"/>
      <c r="AX348" s="31"/>
      <c r="AY348" s="31"/>
    </row>
    <row r="349" spans="2:51" s="29" customFormat="1" ht="14.5">
      <c r="B349" s="5" t="str">
        <f t="shared" si="66"/>
        <v xml:space="preserve">    └ 사업계획</v>
      </c>
      <c r="C349" s="33" t="s">
        <v>47</v>
      </c>
      <c r="D349" s="32"/>
      <c r="E349" s="9">
        <v>2100100</v>
      </c>
      <c r="F349" s="38" t="s">
        <v>1307</v>
      </c>
      <c r="G349" s="9"/>
      <c r="H349" s="9"/>
      <c r="I349" s="9"/>
      <c r="J349" s="9"/>
      <c r="K349" s="9"/>
      <c r="L349" s="9" t="str">
        <f t="shared" si="67"/>
        <v>1</v>
      </c>
      <c r="M349" s="9" t="str">
        <f t="shared" si="68"/>
        <v>0</v>
      </c>
      <c r="N349" s="38" t="s">
        <v>48</v>
      </c>
      <c r="O349" s="38"/>
      <c r="P349" s="9" t="str">
        <f t="shared" si="69"/>
        <v>1</v>
      </c>
      <c r="Q349" s="9" t="s">
        <v>986</v>
      </c>
      <c r="R349" s="9" t="s">
        <v>986</v>
      </c>
      <c r="S349" s="9" t="s">
        <v>986</v>
      </c>
      <c r="T349" s="9" t="s">
        <v>987</v>
      </c>
      <c r="U349" s="9" t="s">
        <v>985</v>
      </c>
      <c r="V349" s="9" t="s">
        <v>987</v>
      </c>
      <c r="W349" s="9" t="s">
        <v>987</v>
      </c>
      <c r="X349" s="9" t="s">
        <v>987</v>
      </c>
      <c r="Y349" s="9" t="s">
        <v>985</v>
      </c>
      <c r="Z349" s="9" t="s">
        <v>985</v>
      </c>
      <c r="AA349" s="9" t="s">
        <v>985</v>
      </c>
      <c r="AB349" s="9" t="s">
        <v>985</v>
      </c>
      <c r="AC349" s="9" t="s">
        <v>985</v>
      </c>
      <c r="AD349" s="9"/>
      <c r="AE349" s="9" t="str">
        <f t="shared" si="70"/>
        <v>N</v>
      </c>
      <c r="AF349" s="9" t="s">
        <v>986</v>
      </c>
      <c r="AG349" s="9"/>
      <c r="AH349" s="9">
        <v>2100000</v>
      </c>
      <c r="AI349" s="9">
        <v>4</v>
      </c>
      <c r="AJ349" s="57">
        <v>356</v>
      </c>
      <c r="AK349" s="10" t="s">
        <v>988</v>
      </c>
      <c r="AL349" s="10" t="s">
        <v>50</v>
      </c>
      <c r="AM349" s="6" t="str">
        <f t="shared" si="61"/>
        <v>14821/사업계획/ /</v>
      </c>
      <c r="AN349" s="30"/>
      <c r="AO349" s="30"/>
      <c r="AP349" s="30"/>
      <c r="AQ349" s="30"/>
      <c r="AR349" s="31"/>
      <c r="AS349" s="31"/>
      <c r="AT349" s="31"/>
      <c r="AU349" s="31"/>
      <c r="AV349" s="31"/>
      <c r="AW349" s="31"/>
      <c r="AX349" s="31"/>
      <c r="AY349" s="31"/>
    </row>
    <row r="350" spans="2:51" s="29" customFormat="1" ht="14.5">
      <c r="B350" s="5" t="str">
        <f t="shared" si="66"/>
        <v xml:space="preserve">        └ 년간 사업계획 관리</v>
      </c>
      <c r="C350" s="33" t="s">
        <v>47</v>
      </c>
      <c r="D350" s="32"/>
      <c r="E350" s="33" t="s">
        <v>1376</v>
      </c>
      <c r="F350" s="44" t="s">
        <v>901</v>
      </c>
      <c r="G350" s="32"/>
      <c r="H350" s="32"/>
      <c r="I350" s="32"/>
      <c r="J350" s="34"/>
      <c r="K350" s="34"/>
      <c r="L350" s="27" t="str">
        <f t="shared" si="67"/>
        <v>1</v>
      </c>
      <c r="M350" s="27" t="str">
        <f t="shared" si="68"/>
        <v>1</v>
      </c>
      <c r="N350" s="32" t="s">
        <v>429</v>
      </c>
      <c r="O350" s="32" t="s">
        <v>623</v>
      </c>
      <c r="P350" s="27" t="str">
        <f t="shared" si="69"/>
        <v>1</v>
      </c>
      <c r="Q350" s="32" t="s">
        <v>400</v>
      </c>
      <c r="R350" s="32" t="s">
        <v>399</v>
      </c>
      <c r="S350" s="32" t="s">
        <v>400</v>
      </c>
      <c r="T350" s="32" t="s">
        <v>400</v>
      </c>
      <c r="U350" s="32" t="s">
        <v>48</v>
      </c>
      <c r="V350" s="32" t="s">
        <v>400</v>
      </c>
      <c r="W350" s="32" t="s">
        <v>400</v>
      </c>
      <c r="X350" s="32" t="s">
        <v>399</v>
      </c>
      <c r="Y350" s="32" t="s">
        <v>48</v>
      </c>
      <c r="Z350" s="32" t="s">
        <v>48</v>
      </c>
      <c r="AA350" s="32" t="s">
        <v>48</v>
      </c>
      <c r="AB350" s="32" t="s">
        <v>48</v>
      </c>
      <c r="AC350" s="32" t="s">
        <v>48</v>
      </c>
      <c r="AD350" s="32"/>
      <c r="AE350" s="27" t="str">
        <f t="shared" si="70"/>
        <v>N</v>
      </c>
      <c r="AF350" s="32" t="s">
        <v>399</v>
      </c>
      <c r="AG350" s="32"/>
      <c r="AH350" s="33" t="s">
        <v>1377</v>
      </c>
      <c r="AI350" s="35">
        <v>5</v>
      </c>
      <c r="AJ350" s="57">
        <v>357</v>
      </c>
      <c r="AK350" s="33" t="s">
        <v>401</v>
      </c>
      <c r="AL350" s="10" t="s">
        <v>50</v>
      </c>
      <c r="AM350" s="6" t="str">
        <f t="shared" si="61"/>
        <v>14821/년간 사업계획 관리/ plan/YearPlanWork</v>
      </c>
      <c r="AN350" s="30"/>
      <c r="AO350" s="30"/>
      <c r="AP350" s="30"/>
      <c r="AQ350" s="30"/>
      <c r="AR350" s="31"/>
      <c r="AS350" s="31"/>
      <c r="AT350" s="31"/>
      <c r="AU350" s="31"/>
      <c r="AV350" s="31"/>
      <c r="AW350" s="31"/>
      <c r="AX350" s="31"/>
      <c r="AY350" s="31"/>
    </row>
    <row r="351" spans="2:51" s="29" customFormat="1" ht="14.5">
      <c r="B351" s="5" t="str">
        <f t="shared" si="66"/>
        <v xml:space="preserve">        └ 사업계획 조회</v>
      </c>
      <c r="C351" s="33" t="s">
        <v>47</v>
      </c>
      <c r="D351" s="32"/>
      <c r="E351" s="33" t="s">
        <v>1375</v>
      </c>
      <c r="F351" s="44" t="s">
        <v>902</v>
      </c>
      <c r="G351" s="32"/>
      <c r="H351" s="32"/>
      <c r="I351" s="32"/>
      <c r="J351" s="34"/>
      <c r="K351" s="34"/>
      <c r="L351" s="27" t="str">
        <f t="shared" si="67"/>
        <v>1</v>
      </c>
      <c r="M351" s="27" t="str">
        <f t="shared" si="68"/>
        <v>1</v>
      </c>
      <c r="N351" s="32" t="s">
        <v>429</v>
      </c>
      <c r="O351" s="32" t="s">
        <v>624</v>
      </c>
      <c r="P351" s="27" t="str">
        <f t="shared" si="69"/>
        <v>1</v>
      </c>
      <c r="Q351" s="32" t="s">
        <v>399</v>
      </c>
      <c r="R351" s="32" t="s">
        <v>399</v>
      </c>
      <c r="S351" s="32" t="s">
        <v>400</v>
      </c>
      <c r="T351" s="32" t="s">
        <v>400</v>
      </c>
      <c r="U351" s="32" t="s">
        <v>48</v>
      </c>
      <c r="V351" s="32" t="s">
        <v>400</v>
      </c>
      <c r="W351" s="32" t="s">
        <v>400</v>
      </c>
      <c r="X351" s="32" t="s">
        <v>399</v>
      </c>
      <c r="Y351" s="32" t="s">
        <v>48</v>
      </c>
      <c r="Z351" s="32" t="s">
        <v>48</v>
      </c>
      <c r="AA351" s="32" t="s">
        <v>48</v>
      </c>
      <c r="AB351" s="32" t="s">
        <v>48</v>
      </c>
      <c r="AC351" s="32" t="s">
        <v>48</v>
      </c>
      <c r="AD351" s="32"/>
      <c r="AE351" s="27" t="str">
        <f t="shared" si="70"/>
        <v>N</v>
      </c>
      <c r="AF351" s="32" t="s">
        <v>399</v>
      </c>
      <c r="AG351" s="32"/>
      <c r="AH351" s="33" t="s">
        <v>1377</v>
      </c>
      <c r="AI351" s="35">
        <v>5</v>
      </c>
      <c r="AJ351" s="57">
        <v>358</v>
      </c>
      <c r="AK351" s="33" t="s">
        <v>401</v>
      </c>
      <c r="AL351" s="10" t="s">
        <v>50</v>
      </c>
      <c r="AM351" s="6" t="str">
        <f t="shared" si="61"/>
        <v>14821/사업계획 조회/ plan/YearPlanList</v>
      </c>
      <c r="AN351" s="30"/>
      <c r="AO351" s="30"/>
      <c r="AP351" s="30"/>
      <c r="AQ351" s="30"/>
      <c r="AR351" s="31"/>
      <c r="AS351" s="31"/>
      <c r="AT351" s="31"/>
      <c r="AU351" s="31"/>
      <c r="AV351" s="31"/>
      <c r="AW351" s="31"/>
      <c r="AX351" s="31"/>
      <c r="AY351" s="31"/>
    </row>
    <row r="352" spans="2:51" s="29" customFormat="1" ht="14.5">
      <c r="B352" s="5" t="str">
        <f t="shared" si="66"/>
        <v xml:space="preserve">    └ 실적관리</v>
      </c>
      <c r="C352" s="33" t="s">
        <v>47</v>
      </c>
      <c r="D352" s="32"/>
      <c r="E352" s="9">
        <v>2100200</v>
      </c>
      <c r="F352" s="38" t="s">
        <v>1308</v>
      </c>
      <c r="G352" s="9"/>
      <c r="H352" s="9"/>
      <c r="I352" s="9"/>
      <c r="J352" s="9"/>
      <c r="K352" s="9"/>
      <c r="L352" s="9" t="str">
        <f t="shared" si="67"/>
        <v>1</v>
      </c>
      <c r="M352" s="9" t="str">
        <f t="shared" si="68"/>
        <v>0</v>
      </c>
      <c r="N352" s="38" t="s">
        <v>48</v>
      </c>
      <c r="O352" s="38"/>
      <c r="P352" s="9" t="str">
        <f t="shared" si="69"/>
        <v>1</v>
      </c>
      <c r="Q352" s="9" t="s">
        <v>986</v>
      </c>
      <c r="R352" s="9" t="s">
        <v>986</v>
      </c>
      <c r="S352" s="9" t="s">
        <v>986</v>
      </c>
      <c r="T352" s="9" t="s">
        <v>987</v>
      </c>
      <c r="U352" s="9" t="s">
        <v>985</v>
      </c>
      <c r="V352" s="9" t="s">
        <v>987</v>
      </c>
      <c r="W352" s="9" t="s">
        <v>987</v>
      </c>
      <c r="X352" s="9" t="s">
        <v>987</v>
      </c>
      <c r="Y352" s="9" t="s">
        <v>985</v>
      </c>
      <c r="Z352" s="9" t="s">
        <v>985</v>
      </c>
      <c r="AA352" s="9" t="s">
        <v>985</v>
      </c>
      <c r="AB352" s="9" t="s">
        <v>985</v>
      </c>
      <c r="AC352" s="9" t="s">
        <v>985</v>
      </c>
      <c r="AD352" s="9"/>
      <c r="AE352" s="9" t="str">
        <f t="shared" si="70"/>
        <v>N</v>
      </c>
      <c r="AF352" s="9" t="s">
        <v>986</v>
      </c>
      <c r="AG352" s="9"/>
      <c r="AH352" s="9">
        <v>2100000</v>
      </c>
      <c r="AI352" s="9">
        <v>4</v>
      </c>
      <c r="AJ352" s="57">
        <v>359</v>
      </c>
      <c r="AK352" s="10" t="s">
        <v>988</v>
      </c>
      <c r="AL352" s="10" t="s">
        <v>50</v>
      </c>
      <c r="AM352" s="6" t="str">
        <f t="shared" si="61"/>
        <v>14821/실적관리/ /</v>
      </c>
      <c r="AN352" s="30"/>
      <c r="AO352" s="30"/>
      <c r="AP352" s="30"/>
      <c r="AQ352" s="30"/>
      <c r="AR352" s="31"/>
      <c r="AS352" s="31"/>
      <c r="AT352" s="31"/>
      <c r="AU352" s="31"/>
      <c r="AV352" s="31"/>
      <c r="AW352" s="31"/>
      <c r="AX352" s="31"/>
      <c r="AY352" s="31"/>
    </row>
    <row r="353" spans="2:51" s="29" customFormat="1" ht="14.5">
      <c r="B353" s="5" t="str">
        <f t="shared" si="66"/>
        <v xml:space="preserve">        └ 영업실적 집계</v>
      </c>
      <c r="C353" s="33" t="s">
        <v>47</v>
      </c>
      <c r="D353" s="32"/>
      <c r="E353" s="33" t="s">
        <v>1378</v>
      </c>
      <c r="F353" s="44" t="s">
        <v>903</v>
      </c>
      <c r="G353" s="32"/>
      <c r="H353" s="32"/>
      <c r="I353" s="32"/>
      <c r="J353" s="34"/>
      <c r="K353" s="34"/>
      <c r="L353" s="27" t="str">
        <f t="shared" si="67"/>
        <v>1</v>
      </c>
      <c r="M353" s="27" t="str">
        <f t="shared" si="68"/>
        <v>1</v>
      </c>
      <c r="N353" s="32" t="s">
        <v>429</v>
      </c>
      <c r="O353" s="32" t="s">
        <v>625</v>
      </c>
      <c r="P353" s="27" t="str">
        <f t="shared" si="69"/>
        <v>1</v>
      </c>
      <c r="Q353" s="32" t="s">
        <v>399</v>
      </c>
      <c r="R353" s="32" t="s">
        <v>399</v>
      </c>
      <c r="S353" s="32" t="s">
        <v>399</v>
      </c>
      <c r="T353" s="32" t="s">
        <v>400</v>
      </c>
      <c r="U353" s="32" t="s">
        <v>48</v>
      </c>
      <c r="V353" s="32" t="s">
        <v>400</v>
      </c>
      <c r="W353" s="32" t="s">
        <v>400</v>
      </c>
      <c r="X353" s="32" t="s">
        <v>399</v>
      </c>
      <c r="Y353" s="32" t="s">
        <v>48</v>
      </c>
      <c r="Z353" s="32" t="s">
        <v>48</v>
      </c>
      <c r="AA353" s="32" t="s">
        <v>48</v>
      </c>
      <c r="AB353" s="32" t="s">
        <v>48</v>
      </c>
      <c r="AC353" s="32" t="s">
        <v>48</v>
      </c>
      <c r="AD353" s="32"/>
      <c r="AE353" s="27" t="str">
        <f t="shared" si="70"/>
        <v>N</v>
      </c>
      <c r="AF353" s="32" t="s">
        <v>399</v>
      </c>
      <c r="AG353" s="32"/>
      <c r="AH353" s="33" t="s">
        <v>1380</v>
      </c>
      <c r="AI353" s="35">
        <v>5</v>
      </c>
      <c r="AJ353" s="57">
        <v>360</v>
      </c>
      <c r="AK353" s="33" t="s">
        <v>401</v>
      </c>
      <c r="AL353" s="10" t="s">
        <v>50</v>
      </c>
      <c r="AM353" s="6" t="str">
        <f t="shared" si="61"/>
        <v>14821/영업실적 집계/ plan/SaleActSum</v>
      </c>
      <c r="AN353" s="30"/>
      <c r="AO353" s="30"/>
      <c r="AP353" s="30"/>
      <c r="AQ353" s="30"/>
      <c r="AR353" s="31"/>
      <c r="AS353" s="31"/>
      <c r="AT353" s="31"/>
      <c r="AU353" s="31"/>
      <c r="AV353" s="31"/>
      <c r="AW353" s="31"/>
      <c r="AX353" s="31"/>
      <c r="AY353" s="31"/>
    </row>
    <row r="354" spans="2:51" s="29" customFormat="1" ht="14.5">
      <c r="B354" s="5" t="str">
        <f t="shared" si="66"/>
        <v xml:space="preserve">        └ 계획대비 실적 분석</v>
      </c>
      <c r="C354" s="33" t="s">
        <v>47</v>
      </c>
      <c r="D354" s="32"/>
      <c r="E354" s="33" t="s">
        <v>1379</v>
      </c>
      <c r="F354" s="44" t="s">
        <v>904</v>
      </c>
      <c r="G354" s="32"/>
      <c r="H354" s="32"/>
      <c r="I354" s="32"/>
      <c r="J354" s="34"/>
      <c r="K354" s="34"/>
      <c r="L354" s="27" t="str">
        <f t="shared" si="67"/>
        <v>1</v>
      </c>
      <c r="M354" s="27" t="str">
        <f t="shared" si="68"/>
        <v>1</v>
      </c>
      <c r="N354" s="32" t="s">
        <v>429</v>
      </c>
      <c r="O354" s="32" t="s">
        <v>626</v>
      </c>
      <c r="P354" s="27" t="str">
        <f t="shared" si="69"/>
        <v>1</v>
      </c>
      <c r="Q354" s="32" t="s">
        <v>399</v>
      </c>
      <c r="R354" s="32" t="s">
        <v>399</v>
      </c>
      <c r="S354" s="32" t="s">
        <v>399</v>
      </c>
      <c r="T354" s="32" t="s">
        <v>400</v>
      </c>
      <c r="U354" s="32" t="s">
        <v>48</v>
      </c>
      <c r="V354" s="32" t="s">
        <v>400</v>
      </c>
      <c r="W354" s="32" t="s">
        <v>400</v>
      </c>
      <c r="X354" s="32" t="s">
        <v>399</v>
      </c>
      <c r="Y354" s="32" t="s">
        <v>48</v>
      </c>
      <c r="Z354" s="32" t="s">
        <v>48</v>
      </c>
      <c r="AA354" s="32" t="s">
        <v>48</v>
      </c>
      <c r="AB354" s="32" t="s">
        <v>48</v>
      </c>
      <c r="AC354" s="32" t="s">
        <v>48</v>
      </c>
      <c r="AD354" s="32"/>
      <c r="AE354" s="27" t="str">
        <f t="shared" si="70"/>
        <v>N</v>
      </c>
      <c r="AF354" s="32" t="s">
        <v>399</v>
      </c>
      <c r="AG354" s="32"/>
      <c r="AH354" s="33" t="s">
        <v>1380</v>
      </c>
      <c r="AI354" s="35">
        <v>5</v>
      </c>
      <c r="AJ354" s="57">
        <v>361</v>
      </c>
      <c r="AK354" s="33" t="s">
        <v>401</v>
      </c>
      <c r="AL354" s="10" t="s">
        <v>50</v>
      </c>
      <c r="AM354" s="6" t="str">
        <f t="shared" si="61"/>
        <v>14821/계획대비 실적 분석/ plan/PlanAnalysis</v>
      </c>
      <c r="AN354" s="30"/>
      <c r="AO354" s="30"/>
      <c r="AP354" s="30"/>
      <c r="AQ354" s="30"/>
      <c r="AR354" s="31"/>
      <c r="AS354" s="31"/>
      <c r="AT354" s="31"/>
      <c r="AU354" s="31"/>
      <c r="AV354" s="31"/>
      <c r="AW354" s="31"/>
      <c r="AX354" s="31"/>
      <c r="AY354" s="31"/>
    </row>
    <row r="355" spans="2:51" s="29" customFormat="1" ht="14.5">
      <c r="B355" s="5" t="str">
        <f t="shared" si="66"/>
        <v xml:space="preserve">    └ EIS 보고서</v>
      </c>
      <c r="C355" s="33" t="s">
        <v>47</v>
      </c>
      <c r="D355" s="32"/>
      <c r="E355" s="9">
        <v>2100300</v>
      </c>
      <c r="F355" s="38" t="s">
        <v>1309</v>
      </c>
      <c r="G355" s="9"/>
      <c r="H355" s="9"/>
      <c r="I355" s="9"/>
      <c r="J355" s="9"/>
      <c r="K355" s="9"/>
      <c r="L355" s="9" t="str">
        <f t="shared" si="67"/>
        <v>1</v>
      </c>
      <c r="M355" s="9" t="str">
        <f t="shared" si="68"/>
        <v>0</v>
      </c>
      <c r="N355" s="38" t="s">
        <v>48</v>
      </c>
      <c r="O355" s="38"/>
      <c r="P355" s="9" t="str">
        <f t="shared" si="69"/>
        <v>1</v>
      </c>
      <c r="Q355" s="9" t="s">
        <v>986</v>
      </c>
      <c r="R355" s="9" t="s">
        <v>986</v>
      </c>
      <c r="S355" s="9" t="s">
        <v>986</v>
      </c>
      <c r="T355" s="9" t="s">
        <v>987</v>
      </c>
      <c r="U355" s="9" t="s">
        <v>985</v>
      </c>
      <c r="V355" s="9" t="s">
        <v>987</v>
      </c>
      <c r="W355" s="9" t="s">
        <v>987</v>
      </c>
      <c r="X355" s="9" t="s">
        <v>987</v>
      </c>
      <c r="Y355" s="9" t="s">
        <v>985</v>
      </c>
      <c r="Z355" s="9" t="s">
        <v>985</v>
      </c>
      <c r="AA355" s="9" t="s">
        <v>985</v>
      </c>
      <c r="AB355" s="9" t="s">
        <v>985</v>
      </c>
      <c r="AC355" s="9" t="s">
        <v>985</v>
      </c>
      <c r="AD355" s="9"/>
      <c r="AE355" s="9" t="str">
        <f t="shared" si="70"/>
        <v>N</v>
      </c>
      <c r="AF355" s="9" t="s">
        <v>986</v>
      </c>
      <c r="AG355" s="9"/>
      <c r="AH355" s="9">
        <v>2100000</v>
      </c>
      <c r="AI355" s="9">
        <v>4</v>
      </c>
      <c r="AJ355" s="57">
        <v>362</v>
      </c>
      <c r="AK355" s="10" t="s">
        <v>988</v>
      </c>
      <c r="AL355" s="10" t="s">
        <v>50</v>
      </c>
      <c r="AM355" s="6" t="str">
        <f t="shared" si="61"/>
        <v>14821/EIS 보고서/ /</v>
      </c>
      <c r="AN355" s="30"/>
      <c r="AO355" s="30"/>
      <c r="AP355" s="30"/>
      <c r="AQ355" s="30"/>
      <c r="AR355" s="31"/>
      <c r="AS355" s="31"/>
      <c r="AT355" s="31"/>
      <c r="AU355" s="31"/>
      <c r="AV355" s="31"/>
      <c r="AW355" s="31"/>
      <c r="AX355" s="31"/>
      <c r="AY355" s="31"/>
    </row>
    <row r="356" spans="2:51" s="29" customFormat="1" ht="14.5">
      <c r="B356" s="5" t="str">
        <f t="shared" si="66"/>
        <v xml:space="preserve">        └ 매출 현황</v>
      </c>
      <c r="C356" s="33" t="s">
        <v>47</v>
      </c>
      <c r="D356" s="32"/>
      <c r="E356" s="33" t="s">
        <v>1381</v>
      </c>
      <c r="F356" s="44" t="s">
        <v>851</v>
      </c>
      <c r="G356" s="32"/>
      <c r="H356" s="32"/>
      <c r="I356" s="32"/>
      <c r="J356" s="34"/>
      <c r="K356" s="34"/>
      <c r="L356" s="27" t="str">
        <f t="shared" si="67"/>
        <v>1</v>
      </c>
      <c r="M356" s="27" t="str">
        <f t="shared" si="68"/>
        <v>1</v>
      </c>
      <c r="N356" s="32" t="s">
        <v>430</v>
      </c>
      <c r="O356" s="32" t="s">
        <v>628</v>
      </c>
      <c r="P356" s="27" t="str">
        <f t="shared" si="69"/>
        <v>1</v>
      </c>
      <c r="Q356" s="32" t="s">
        <v>399</v>
      </c>
      <c r="R356" s="32" t="s">
        <v>399</v>
      </c>
      <c r="S356" s="32" t="s">
        <v>400</v>
      </c>
      <c r="T356" s="32" t="s">
        <v>400</v>
      </c>
      <c r="U356" s="32" t="s">
        <v>48</v>
      </c>
      <c r="V356" s="32" t="s">
        <v>400</v>
      </c>
      <c r="W356" s="32" t="s">
        <v>400</v>
      </c>
      <c r="X356" s="32" t="s">
        <v>399</v>
      </c>
      <c r="Y356" s="32" t="s">
        <v>48</v>
      </c>
      <c r="Z356" s="32" t="s">
        <v>48</v>
      </c>
      <c r="AA356" s="32" t="s">
        <v>48</v>
      </c>
      <c r="AB356" s="32" t="s">
        <v>48</v>
      </c>
      <c r="AC356" s="32" t="s">
        <v>48</v>
      </c>
      <c r="AD356" s="32"/>
      <c r="AE356" s="27" t="str">
        <f t="shared" si="70"/>
        <v>N</v>
      </c>
      <c r="AF356" s="32" t="s">
        <v>399</v>
      </c>
      <c r="AG356" s="32"/>
      <c r="AH356" s="33" t="s">
        <v>1399</v>
      </c>
      <c r="AI356" s="35">
        <v>5</v>
      </c>
      <c r="AJ356" s="57">
        <v>363</v>
      </c>
      <c r="AK356" s="33" t="s">
        <v>401</v>
      </c>
      <c r="AL356" s="10" t="s">
        <v>50</v>
      </c>
      <c r="AM356" s="6" t="str">
        <f t="shared" si="61"/>
        <v>14821/매출 현황/ eis/SaleAnalysis</v>
      </c>
      <c r="AN356" s="30"/>
      <c r="AO356" s="30"/>
      <c r="AP356" s="30"/>
      <c r="AQ356" s="30"/>
      <c r="AR356" s="31"/>
      <c r="AS356" s="31"/>
      <c r="AT356" s="31"/>
      <c r="AU356" s="31"/>
      <c r="AV356" s="31"/>
      <c r="AW356" s="31"/>
      <c r="AX356" s="31"/>
      <c r="AY356" s="31"/>
    </row>
    <row r="357" spans="2:51" s="29" customFormat="1" ht="14.5">
      <c r="B357" s="5" t="str">
        <f t="shared" si="66"/>
        <v xml:space="preserve">        └ 경영속보</v>
      </c>
      <c r="C357" s="33" t="s">
        <v>47</v>
      </c>
      <c r="D357" s="32"/>
      <c r="E357" s="33" t="s">
        <v>1382</v>
      </c>
      <c r="F357" s="44" t="s">
        <v>905</v>
      </c>
      <c r="G357" s="32"/>
      <c r="H357" s="32"/>
      <c r="I357" s="32"/>
      <c r="J357" s="34"/>
      <c r="K357" s="34"/>
      <c r="L357" s="27" t="str">
        <f t="shared" si="67"/>
        <v>1</v>
      </c>
      <c r="M357" s="27" t="str">
        <f t="shared" si="68"/>
        <v>1</v>
      </c>
      <c r="N357" s="32" t="s">
        <v>430</v>
      </c>
      <c r="O357" s="32" t="s">
        <v>627</v>
      </c>
      <c r="P357" s="27" t="str">
        <f t="shared" si="69"/>
        <v>1</v>
      </c>
      <c r="Q357" s="32" t="s">
        <v>399</v>
      </c>
      <c r="R357" s="32" t="s">
        <v>400</v>
      </c>
      <c r="S357" s="32" t="s">
        <v>400</v>
      </c>
      <c r="T357" s="32" t="s">
        <v>400</v>
      </c>
      <c r="U357" s="32" t="s">
        <v>48</v>
      </c>
      <c r="V357" s="32" t="s">
        <v>400</v>
      </c>
      <c r="W357" s="32" t="s">
        <v>399</v>
      </c>
      <c r="X357" s="32" t="s">
        <v>399</v>
      </c>
      <c r="Y357" s="32" t="s">
        <v>48</v>
      </c>
      <c r="Z357" s="32" t="s">
        <v>48</v>
      </c>
      <c r="AA357" s="32" t="s">
        <v>48</v>
      </c>
      <c r="AB357" s="32" t="s">
        <v>48</v>
      </c>
      <c r="AC357" s="32" t="s">
        <v>48</v>
      </c>
      <c r="AD357" s="32"/>
      <c r="AE357" s="27" t="str">
        <f t="shared" si="70"/>
        <v>N</v>
      </c>
      <c r="AF357" s="32" t="s">
        <v>399</v>
      </c>
      <c r="AG357" s="32"/>
      <c r="AH357" s="33" t="s">
        <v>1399</v>
      </c>
      <c r="AI357" s="35">
        <v>5</v>
      </c>
      <c r="AJ357" s="57">
        <v>364</v>
      </c>
      <c r="AK357" s="33" t="s">
        <v>401</v>
      </c>
      <c r="AL357" s="10" t="s">
        <v>50</v>
      </c>
      <c r="AM357" s="6" t="str">
        <f t="shared" si="61"/>
        <v>14821/경영속보/ eis/QuickRpt</v>
      </c>
      <c r="AN357" s="30"/>
      <c r="AO357" s="30"/>
      <c r="AP357" s="30"/>
      <c r="AQ357" s="30"/>
      <c r="AR357" s="31"/>
      <c r="AS357" s="31"/>
      <c r="AT357" s="31"/>
      <c r="AU357" s="31"/>
      <c r="AV357" s="31"/>
      <c r="AW357" s="31"/>
      <c r="AX357" s="31"/>
      <c r="AY357" s="31"/>
    </row>
    <row r="358" spans="2:51" s="29" customFormat="1" ht="14.5">
      <c r="B358" s="5" t="str">
        <f t="shared" si="66"/>
        <v xml:space="preserve">        └ 사업장별 매출현황 보고서</v>
      </c>
      <c r="C358" s="33" t="s">
        <v>47</v>
      </c>
      <c r="D358" s="32"/>
      <c r="E358" s="33" t="s">
        <v>1383</v>
      </c>
      <c r="F358" s="44" t="s">
        <v>906</v>
      </c>
      <c r="G358" s="32"/>
      <c r="H358" s="32"/>
      <c r="I358" s="32"/>
      <c r="J358" s="34"/>
      <c r="K358" s="34"/>
      <c r="L358" s="27" t="str">
        <f t="shared" si="67"/>
        <v>1</v>
      </c>
      <c r="M358" s="27" t="str">
        <f t="shared" si="68"/>
        <v>1</v>
      </c>
      <c r="N358" s="32" t="s">
        <v>430</v>
      </c>
      <c r="O358" s="32" t="s">
        <v>629</v>
      </c>
      <c r="P358" s="27" t="str">
        <f t="shared" si="69"/>
        <v>1</v>
      </c>
      <c r="Q358" s="32" t="s">
        <v>399</v>
      </c>
      <c r="R358" s="32" t="s">
        <v>399</v>
      </c>
      <c r="S358" s="32" t="s">
        <v>399</v>
      </c>
      <c r="T358" s="32" t="s">
        <v>400</v>
      </c>
      <c r="U358" s="32" t="s">
        <v>48</v>
      </c>
      <c r="V358" s="32" t="s">
        <v>400</v>
      </c>
      <c r="W358" s="32" t="s">
        <v>400</v>
      </c>
      <c r="X358" s="32" t="s">
        <v>400</v>
      </c>
      <c r="Y358" s="32" t="s">
        <v>48</v>
      </c>
      <c r="Z358" s="32" t="s">
        <v>48</v>
      </c>
      <c r="AA358" s="32" t="s">
        <v>48</v>
      </c>
      <c r="AB358" s="32" t="s">
        <v>48</v>
      </c>
      <c r="AC358" s="32" t="s">
        <v>48</v>
      </c>
      <c r="AD358" s="32"/>
      <c r="AE358" s="27" t="str">
        <f t="shared" si="70"/>
        <v>N</v>
      </c>
      <c r="AF358" s="32" t="s">
        <v>399</v>
      </c>
      <c r="AG358" s="32"/>
      <c r="AH358" s="33" t="s">
        <v>1399</v>
      </c>
      <c r="AI358" s="35">
        <v>5</v>
      </c>
      <c r="AJ358" s="57">
        <v>365</v>
      </c>
      <c r="AK358" s="33" t="s">
        <v>401</v>
      </c>
      <c r="AL358" s="10" t="s">
        <v>50</v>
      </c>
      <c r="AM358" s="6" t="str">
        <f t="shared" si="61"/>
        <v>14821/사업장별 매출현황 보고서/ eis/SaleChannelAnalysis</v>
      </c>
      <c r="AN358" s="30"/>
      <c r="AO358" s="30"/>
      <c r="AP358" s="30"/>
      <c r="AQ358" s="30"/>
      <c r="AR358" s="31"/>
      <c r="AS358" s="31"/>
      <c r="AT358" s="31"/>
      <c r="AU358" s="31"/>
      <c r="AV358" s="31"/>
      <c r="AW358" s="31"/>
      <c r="AX358" s="31"/>
      <c r="AY358" s="31"/>
    </row>
    <row r="359" spans="2:51" s="29" customFormat="1" ht="14.5">
      <c r="B359" s="5" t="str">
        <f t="shared" si="66"/>
        <v xml:space="preserve">        └ 매출처별 매출 현황</v>
      </c>
      <c r="C359" s="33" t="s">
        <v>47</v>
      </c>
      <c r="D359" s="32"/>
      <c r="E359" s="33" t="s">
        <v>1384</v>
      </c>
      <c r="F359" s="44" t="s">
        <v>907</v>
      </c>
      <c r="G359" s="32"/>
      <c r="H359" s="32"/>
      <c r="I359" s="32"/>
      <c r="J359" s="34"/>
      <c r="K359" s="34"/>
      <c r="L359" s="27" t="str">
        <f t="shared" si="67"/>
        <v>1</v>
      </c>
      <c r="M359" s="27" t="str">
        <f t="shared" si="68"/>
        <v>1</v>
      </c>
      <c r="N359" s="32" t="s">
        <v>415</v>
      </c>
      <c r="O359" s="32" t="s">
        <v>630</v>
      </c>
      <c r="P359" s="27" t="str">
        <f t="shared" si="69"/>
        <v>1</v>
      </c>
      <c r="Q359" s="32" t="s">
        <v>399</v>
      </c>
      <c r="R359" s="32" t="s">
        <v>399</v>
      </c>
      <c r="S359" s="32" t="s">
        <v>400</v>
      </c>
      <c r="T359" s="32" t="s">
        <v>400</v>
      </c>
      <c r="U359" s="32" t="s">
        <v>48</v>
      </c>
      <c r="V359" s="32" t="s">
        <v>400</v>
      </c>
      <c r="W359" s="32" t="s">
        <v>400</v>
      </c>
      <c r="X359" s="32" t="s">
        <v>399</v>
      </c>
      <c r="Y359" s="32" t="s">
        <v>48</v>
      </c>
      <c r="Z359" s="32" t="s">
        <v>48</v>
      </c>
      <c r="AA359" s="32" t="s">
        <v>48</v>
      </c>
      <c r="AB359" s="32" t="s">
        <v>48</v>
      </c>
      <c r="AC359" s="32" t="s">
        <v>48</v>
      </c>
      <c r="AD359" s="32"/>
      <c r="AE359" s="27" t="str">
        <f t="shared" si="70"/>
        <v>N</v>
      </c>
      <c r="AF359" s="32" t="s">
        <v>399</v>
      </c>
      <c r="AG359" s="32"/>
      <c r="AH359" s="33" t="s">
        <v>1399</v>
      </c>
      <c r="AI359" s="35">
        <v>5</v>
      </c>
      <c r="AJ359" s="57">
        <v>366</v>
      </c>
      <c r="AK359" s="33" t="s">
        <v>401</v>
      </c>
      <c r="AL359" s="10" t="s">
        <v>50</v>
      </c>
      <c r="AM359" s="6" t="str">
        <f t="shared" si="61"/>
        <v>14821/매출처별 매출 현황/ zreport/GmsCustSaleAnalysis</v>
      </c>
      <c r="AN359" s="30"/>
      <c r="AO359" s="30"/>
      <c r="AP359" s="30"/>
      <c r="AQ359" s="30"/>
      <c r="AR359" s="31"/>
      <c r="AS359" s="31"/>
      <c r="AT359" s="31"/>
      <c r="AU359" s="31"/>
      <c r="AV359" s="31"/>
      <c r="AW359" s="31"/>
      <c r="AX359" s="31"/>
      <c r="AY359" s="31"/>
    </row>
    <row r="360" spans="2:51" s="29" customFormat="1" ht="14.5">
      <c r="B360" s="5" t="str">
        <f t="shared" si="66"/>
        <v xml:space="preserve">        └ 매입처별 매입 현황</v>
      </c>
      <c r="C360" s="33" t="s">
        <v>47</v>
      </c>
      <c r="D360" s="32"/>
      <c r="E360" s="33" t="s">
        <v>1385</v>
      </c>
      <c r="F360" s="44" t="s">
        <v>908</v>
      </c>
      <c r="G360" s="32"/>
      <c r="H360" s="32"/>
      <c r="I360" s="32"/>
      <c r="J360" s="34"/>
      <c r="K360" s="34"/>
      <c r="L360" s="27" t="str">
        <f t="shared" si="67"/>
        <v>1</v>
      </c>
      <c r="M360" s="27" t="str">
        <f t="shared" si="68"/>
        <v>1</v>
      </c>
      <c r="N360" s="32" t="s">
        <v>415</v>
      </c>
      <c r="O360" s="32" t="s">
        <v>631</v>
      </c>
      <c r="P360" s="27" t="str">
        <f t="shared" si="69"/>
        <v>1</v>
      </c>
      <c r="Q360" s="32" t="s">
        <v>399</v>
      </c>
      <c r="R360" s="32" t="s">
        <v>399</v>
      </c>
      <c r="S360" s="32" t="s">
        <v>400</v>
      </c>
      <c r="T360" s="32" t="s">
        <v>400</v>
      </c>
      <c r="U360" s="32" t="s">
        <v>48</v>
      </c>
      <c r="V360" s="32" t="s">
        <v>400</v>
      </c>
      <c r="W360" s="32" t="s">
        <v>400</v>
      </c>
      <c r="X360" s="32" t="s">
        <v>399</v>
      </c>
      <c r="Y360" s="32" t="s">
        <v>48</v>
      </c>
      <c r="Z360" s="32" t="s">
        <v>48</v>
      </c>
      <c r="AA360" s="32" t="s">
        <v>48</v>
      </c>
      <c r="AB360" s="32" t="s">
        <v>48</v>
      </c>
      <c r="AC360" s="32" t="s">
        <v>48</v>
      </c>
      <c r="AD360" s="32"/>
      <c r="AE360" s="27" t="str">
        <f t="shared" si="70"/>
        <v>N</v>
      </c>
      <c r="AF360" s="32" t="s">
        <v>399</v>
      </c>
      <c r="AG360" s="32"/>
      <c r="AH360" s="33" t="s">
        <v>1399</v>
      </c>
      <c r="AI360" s="35">
        <v>5</v>
      </c>
      <c r="AJ360" s="57">
        <v>367</v>
      </c>
      <c r="AK360" s="33" t="s">
        <v>401</v>
      </c>
      <c r="AL360" s="10" t="s">
        <v>50</v>
      </c>
      <c r="AM360" s="6" t="str">
        <f t="shared" si="61"/>
        <v>14821/매입처별 매입 현황/ zreport/GmsVendRecvAnalysis</v>
      </c>
      <c r="AN360" s="30"/>
      <c r="AO360" s="30"/>
      <c r="AP360" s="30"/>
      <c r="AQ360" s="30"/>
      <c r="AR360" s="31"/>
      <c r="AS360" s="31"/>
      <c r="AT360" s="31"/>
      <c r="AU360" s="31"/>
      <c r="AV360" s="31"/>
      <c r="AW360" s="31"/>
      <c r="AX360" s="31"/>
      <c r="AY360" s="31"/>
    </row>
    <row r="361" spans="2:51" s="29" customFormat="1" ht="14.5">
      <c r="B361" s="5" t="str">
        <f t="shared" si="66"/>
        <v xml:space="preserve">        └ 고객별 월별 매출현황</v>
      </c>
      <c r="C361" s="33" t="s">
        <v>47</v>
      </c>
      <c r="D361" s="32"/>
      <c r="E361" s="33" t="s">
        <v>1386</v>
      </c>
      <c r="F361" s="44" t="s">
        <v>909</v>
      </c>
      <c r="G361" s="32"/>
      <c r="H361" s="32"/>
      <c r="I361" s="32"/>
      <c r="J361" s="34"/>
      <c r="K361" s="34"/>
      <c r="L361" s="27" t="str">
        <f t="shared" si="67"/>
        <v>1</v>
      </c>
      <c r="M361" s="27" t="str">
        <f t="shared" si="68"/>
        <v>1</v>
      </c>
      <c r="N361" s="32" t="s">
        <v>415</v>
      </c>
      <c r="O361" s="32" t="s">
        <v>632</v>
      </c>
      <c r="P361" s="27" t="str">
        <f t="shared" si="69"/>
        <v>1</v>
      </c>
      <c r="Q361" s="32" t="s">
        <v>399</v>
      </c>
      <c r="R361" s="32" t="s">
        <v>399</v>
      </c>
      <c r="S361" s="32" t="s">
        <v>400</v>
      </c>
      <c r="T361" s="32" t="s">
        <v>400</v>
      </c>
      <c r="U361" s="32" t="s">
        <v>48</v>
      </c>
      <c r="V361" s="32" t="s">
        <v>400</v>
      </c>
      <c r="W361" s="32" t="s">
        <v>400</v>
      </c>
      <c r="X361" s="32" t="s">
        <v>399</v>
      </c>
      <c r="Y361" s="32" t="s">
        <v>48</v>
      </c>
      <c r="Z361" s="32" t="s">
        <v>48</v>
      </c>
      <c r="AA361" s="32" t="s">
        <v>48</v>
      </c>
      <c r="AB361" s="32" t="s">
        <v>48</v>
      </c>
      <c r="AC361" s="32" t="s">
        <v>48</v>
      </c>
      <c r="AD361" s="32"/>
      <c r="AE361" s="27" t="str">
        <f t="shared" si="70"/>
        <v>N</v>
      </c>
      <c r="AF361" s="32" t="s">
        <v>399</v>
      </c>
      <c r="AG361" s="32"/>
      <c r="AH361" s="33" t="s">
        <v>1399</v>
      </c>
      <c r="AI361" s="35">
        <v>5</v>
      </c>
      <c r="AJ361" s="57">
        <v>368</v>
      </c>
      <c r="AK361" s="33" t="s">
        <v>401</v>
      </c>
      <c r="AL361" s="10" t="s">
        <v>50</v>
      </c>
      <c r="AM361" s="6" t="str">
        <f t="shared" si="61"/>
        <v>14821/고객별 월별 매출현황/ zreport/CustMonthSaleRpt</v>
      </c>
      <c r="AN361" s="30"/>
      <c r="AO361" s="30"/>
      <c r="AP361" s="30"/>
      <c r="AQ361" s="30"/>
      <c r="AR361" s="31"/>
      <c r="AS361" s="31"/>
      <c r="AT361" s="31"/>
      <c r="AU361" s="31"/>
      <c r="AV361" s="31"/>
      <c r="AW361" s="31"/>
      <c r="AX361" s="31"/>
      <c r="AY361" s="31"/>
    </row>
    <row r="362" spans="2:51" s="29" customFormat="1" ht="14.5">
      <c r="B362" s="5" t="str">
        <f t="shared" ref="B362:B391" si="71">IF(AI362="","",IF(AI362=1,"",IF(AI362=2,"└ ",IF(AI362=3,"  └ ",IF(AI362=4,"    └ ",IF(AI362=5,"        └ ",IF(AI362=6,"           └ ",IF(AI362=7="             └ ",""))))))))&amp;F362</f>
        <v xml:space="preserve">        └ 체인점별 전년대비 매출분석현황</v>
      </c>
      <c r="C362" s="33" t="s">
        <v>47</v>
      </c>
      <c r="D362" s="32"/>
      <c r="E362" s="33" t="s">
        <v>1387</v>
      </c>
      <c r="F362" s="44" t="s">
        <v>910</v>
      </c>
      <c r="G362" s="32"/>
      <c r="H362" s="32"/>
      <c r="I362" s="32"/>
      <c r="J362" s="34"/>
      <c r="K362" s="34"/>
      <c r="L362" s="27" t="str">
        <f t="shared" si="67"/>
        <v>1</v>
      </c>
      <c r="M362" s="27" t="str">
        <f t="shared" si="68"/>
        <v>1</v>
      </c>
      <c r="N362" s="32" t="s">
        <v>430</v>
      </c>
      <c r="O362" s="32" t="s">
        <v>633</v>
      </c>
      <c r="P362" s="27" t="str">
        <f t="shared" si="69"/>
        <v>1</v>
      </c>
      <c r="Q362" s="32" t="s">
        <v>399</v>
      </c>
      <c r="R362" s="32" t="s">
        <v>400</v>
      </c>
      <c r="S362" s="32" t="s">
        <v>400</v>
      </c>
      <c r="T362" s="32" t="s">
        <v>400</v>
      </c>
      <c r="U362" s="32" t="s">
        <v>48</v>
      </c>
      <c r="V362" s="32" t="s">
        <v>400</v>
      </c>
      <c r="W362" s="32" t="s">
        <v>400</v>
      </c>
      <c r="X362" s="32" t="s">
        <v>399</v>
      </c>
      <c r="Y362" s="32" t="s">
        <v>48</v>
      </c>
      <c r="Z362" s="32" t="s">
        <v>48</v>
      </c>
      <c r="AA362" s="32" t="s">
        <v>48</v>
      </c>
      <c r="AB362" s="32" t="s">
        <v>48</v>
      </c>
      <c r="AC362" s="32" t="s">
        <v>48</v>
      </c>
      <c r="AD362" s="32"/>
      <c r="AE362" s="27" t="str">
        <f t="shared" si="70"/>
        <v>N</v>
      </c>
      <c r="AF362" s="32" t="s">
        <v>399</v>
      </c>
      <c r="AG362" s="32"/>
      <c r="AH362" s="33" t="s">
        <v>1399</v>
      </c>
      <c r="AI362" s="35">
        <v>5</v>
      </c>
      <c r="AJ362" s="57">
        <v>369</v>
      </c>
      <c r="AK362" s="33" t="s">
        <v>401</v>
      </c>
      <c r="AL362" s="10" t="s">
        <v>50</v>
      </c>
      <c r="AM362" s="6" t="str">
        <f t="shared" si="61"/>
        <v>14821/체인점별 전년대비 매출분석현황/ eis/ChainSaleAnalysis</v>
      </c>
      <c r="AN362" s="30"/>
      <c r="AO362" s="30"/>
      <c r="AP362" s="30"/>
      <c r="AQ362" s="30"/>
      <c r="AR362" s="31"/>
      <c r="AS362" s="31"/>
      <c r="AT362" s="31"/>
      <c r="AU362" s="31"/>
      <c r="AV362" s="31"/>
      <c r="AW362" s="31"/>
      <c r="AX362" s="31"/>
      <c r="AY362" s="31"/>
    </row>
    <row r="363" spans="2:51" s="29" customFormat="1" ht="14.5">
      <c r="B363" s="5" t="str">
        <f t="shared" si="71"/>
        <v xml:space="preserve">        └ 매출 분석</v>
      </c>
      <c r="C363" s="33" t="s">
        <v>47</v>
      </c>
      <c r="D363" s="32"/>
      <c r="E363" s="33" t="s">
        <v>1388</v>
      </c>
      <c r="F363" s="44" t="s">
        <v>911</v>
      </c>
      <c r="G363" s="32"/>
      <c r="H363" s="32"/>
      <c r="I363" s="32"/>
      <c r="J363" s="34"/>
      <c r="K363" s="34"/>
      <c r="L363" s="27" t="str">
        <f t="shared" si="67"/>
        <v>1</v>
      </c>
      <c r="M363" s="27" t="str">
        <f t="shared" si="68"/>
        <v>1</v>
      </c>
      <c r="N363" s="32" t="s">
        <v>430</v>
      </c>
      <c r="O363" s="32" t="s">
        <v>634</v>
      </c>
      <c r="P363" s="27" t="str">
        <f t="shared" si="69"/>
        <v>1</v>
      </c>
      <c r="Q363" s="32" t="s">
        <v>399</v>
      </c>
      <c r="R363" s="32" t="s">
        <v>399</v>
      </c>
      <c r="S363" s="32" t="s">
        <v>399</v>
      </c>
      <c r="T363" s="32" t="s">
        <v>400</v>
      </c>
      <c r="U363" s="32" t="s">
        <v>48</v>
      </c>
      <c r="V363" s="32" t="s">
        <v>400</v>
      </c>
      <c r="W363" s="32" t="s">
        <v>400</v>
      </c>
      <c r="X363" s="32" t="s">
        <v>399</v>
      </c>
      <c r="Y363" s="32" t="s">
        <v>48</v>
      </c>
      <c r="Z363" s="32" t="s">
        <v>48</v>
      </c>
      <c r="AA363" s="32" t="s">
        <v>48</v>
      </c>
      <c r="AB363" s="32" t="s">
        <v>48</v>
      </c>
      <c r="AC363" s="32" t="s">
        <v>48</v>
      </c>
      <c r="AD363" s="32"/>
      <c r="AE363" s="27" t="str">
        <f t="shared" si="70"/>
        <v>N</v>
      </c>
      <c r="AF363" s="32" t="s">
        <v>399</v>
      </c>
      <c r="AG363" s="32"/>
      <c r="AH363" s="33" t="s">
        <v>1399</v>
      </c>
      <c r="AI363" s="35">
        <v>5</v>
      </c>
      <c r="AJ363" s="57">
        <v>370</v>
      </c>
      <c r="AK363" s="33" t="s">
        <v>401</v>
      </c>
      <c r="AL363" s="10" t="s">
        <v>50</v>
      </c>
      <c r="AM363" s="6" t="str">
        <f t="shared" si="61"/>
        <v>14821/매출 분석/ eis/SaleMonthAnalysis</v>
      </c>
      <c r="AN363" s="30"/>
      <c r="AO363" s="30"/>
      <c r="AP363" s="30"/>
      <c r="AQ363" s="30"/>
      <c r="AR363" s="31"/>
      <c r="AS363" s="31"/>
      <c r="AT363" s="31"/>
      <c r="AU363" s="31"/>
      <c r="AV363" s="31"/>
      <c r="AW363" s="31"/>
      <c r="AX363" s="31"/>
      <c r="AY363" s="31"/>
    </row>
    <row r="364" spans="2:51" s="29" customFormat="1" ht="14.5">
      <c r="B364" s="5" t="str">
        <f t="shared" si="71"/>
        <v xml:space="preserve">        └ 매입 현황</v>
      </c>
      <c r="C364" s="33" t="s">
        <v>47</v>
      </c>
      <c r="D364" s="32"/>
      <c r="E364" s="33" t="s">
        <v>1389</v>
      </c>
      <c r="F364" s="44" t="s">
        <v>912</v>
      </c>
      <c r="G364" s="32"/>
      <c r="H364" s="32"/>
      <c r="I364" s="32"/>
      <c r="J364" s="34"/>
      <c r="K364" s="34"/>
      <c r="L364" s="27" t="str">
        <f t="shared" si="67"/>
        <v>1</v>
      </c>
      <c r="M364" s="27" t="str">
        <f t="shared" si="68"/>
        <v>1</v>
      </c>
      <c r="N364" s="32" t="s">
        <v>430</v>
      </c>
      <c r="O364" s="32" t="s">
        <v>635</v>
      </c>
      <c r="P364" s="27" t="str">
        <f t="shared" si="69"/>
        <v>1</v>
      </c>
      <c r="Q364" s="32" t="s">
        <v>399</v>
      </c>
      <c r="R364" s="32" t="s">
        <v>399</v>
      </c>
      <c r="S364" s="32" t="s">
        <v>399</v>
      </c>
      <c r="T364" s="32" t="s">
        <v>400</v>
      </c>
      <c r="U364" s="32" t="s">
        <v>48</v>
      </c>
      <c r="V364" s="32" t="s">
        <v>400</v>
      </c>
      <c r="W364" s="32" t="s">
        <v>400</v>
      </c>
      <c r="X364" s="32" t="s">
        <v>399</v>
      </c>
      <c r="Y364" s="32" t="s">
        <v>48</v>
      </c>
      <c r="Z364" s="32" t="s">
        <v>48</v>
      </c>
      <c r="AA364" s="32" t="s">
        <v>48</v>
      </c>
      <c r="AB364" s="32" t="s">
        <v>48</v>
      </c>
      <c r="AC364" s="32" t="s">
        <v>48</v>
      </c>
      <c r="AD364" s="32"/>
      <c r="AE364" s="27" t="str">
        <f t="shared" si="70"/>
        <v>N</v>
      </c>
      <c r="AF364" s="32" t="s">
        <v>399</v>
      </c>
      <c r="AG364" s="32"/>
      <c r="AH364" s="33" t="s">
        <v>1399</v>
      </c>
      <c r="AI364" s="35">
        <v>5</v>
      </c>
      <c r="AJ364" s="57">
        <v>371</v>
      </c>
      <c r="AK364" s="33" t="s">
        <v>401</v>
      </c>
      <c r="AL364" s="10" t="s">
        <v>50</v>
      </c>
      <c r="AM364" s="6" t="str">
        <f t="shared" si="61"/>
        <v>14821/매입 현황/ eis/RecvAnalysis</v>
      </c>
      <c r="AN364" s="30"/>
      <c r="AO364" s="30"/>
      <c r="AP364" s="30"/>
      <c r="AQ364" s="30"/>
      <c r="AR364" s="31"/>
      <c r="AS364" s="31"/>
      <c r="AT364" s="31"/>
      <c r="AU364" s="31"/>
      <c r="AV364" s="31"/>
      <c r="AW364" s="31"/>
      <c r="AX364" s="31"/>
      <c r="AY364" s="31"/>
    </row>
    <row r="365" spans="2:51" s="29" customFormat="1" ht="14.5">
      <c r="B365" s="5" t="str">
        <f t="shared" si="71"/>
        <v xml:space="preserve">        └ 매입 분석</v>
      </c>
      <c r="C365" s="33" t="s">
        <v>47</v>
      </c>
      <c r="D365" s="32"/>
      <c r="E365" s="33" t="s">
        <v>1390</v>
      </c>
      <c r="F365" s="44" t="s">
        <v>913</v>
      </c>
      <c r="G365" s="32"/>
      <c r="H365" s="32"/>
      <c r="I365" s="32"/>
      <c r="J365" s="34"/>
      <c r="K365" s="34"/>
      <c r="L365" s="27" t="str">
        <f t="shared" si="67"/>
        <v>1</v>
      </c>
      <c r="M365" s="27" t="str">
        <f t="shared" si="68"/>
        <v>1</v>
      </c>
      <c r="N365" s="32" t="s">
        <v>430</v>
      </c>
      <c r="O365" s="32" t="s">
        <v>636</v>
      </c>
      <c r="P365" s="27" t="str">
        <f t="shared" si="69"/>
        <v>1</v>
      </c>
      <c r="Q365" s="32" t="s">
        <v>399</v>
      </c>
      <c r="R365" s="32" t="s">
        <v>399</v>
      </c>
      <c r="S365" s="32" t="s">
        <v>399</v>
      </c>
      <c r="T365" s="32" t="s">
        <v>400</v>
      </c>
      <c r="U365" s="32" t="s">
        <v>48</v>
      </c>
      <c r="V365" s="32" t="s">
        <v>400</v>
      </c>
      <c r="W365" s="32" t="s">
        <v>400</v>
      </c>
      <c r="X365" s="32" t="s">
        <v>399</v>
      </c>
      <c r="Y365" s="32" t="s">
        <v>48</v>
      </c>
      <c r="Z365" s="32" t="s">
        <v>48</v>
      </c>
      <c r="AA365" s="32" t="s">
        <v>48</v>
      </c>
      <c r="AB365" s="32" t="s">
        <v>48</v>
      </c>
      <c r="AC365" s="32" t="s">
        <v>48</v>
      </c>
      <c r="AD365" s="32"/>
      <c r="AE365" s="27" t="str">
        <f t="shared" si="70"/>
        <v>N</v>
      </c>
      <c r="AF365" s="32" t="s">
        <v>399</v>
      </c>
      <c r="AG365" s="32"/>
      <c r="AH365" s="33" t="s">
        <v>1399</v>
      </c>
      <c r="AI365" s="35">
        <v>5</v>
      </c>
      <c r="AJ365" s="57">
        <v>372</v>
      </c>
      <c r="AK365" s="33" t="s">
        <v>401</v>
      </c>
      <c r="AL365" s="10" t="s">
        <v>50</v>
      </c>
      <c r="AM365" s="6" t="str">
        <f t="shared" si="61"/>
        <v>14821/매입 분석/ eis/RecvMonthAnalysis</v>
      </c>
      <c r="AN365" s="30"/>
      <c r="AO365" s="30"/>
      <c r="AP365" s="30"/>
      <c r="AQ365" s="30"/>
      <c r="AR365" s="31"/>
      <c r="AS365" s="31"/>
      <c r="AT365" s="31"/>
      <c r="AU365" s="31"/>
      <c r="AV365" s="31"/>
      <c r="AW365" s="31"/>
      <c r="AX365" s="31"/>
      <c r="AY365" s="31"/>
    </row>
    <row r="366" spans="2:51" s="29" customFormat="1" ht="14.5">
      <c r="B366" s="5" t="str">
        <f t="shared" si="71"/>
        <v xml:space="preserve">        └ 상품별 매출 현황</v>
      </c>
      <c r="C366" s="33" t="s">
        <v>47</v>
      </c>
      <c r="D366" s="32"/>
      <c r="E366" s="33" t="s">
        <v>1391</v>
      </c>
      <c r="F366" s="44" t="s">
        <v>842</v>
      </c>
      <c r="G366" s="32"/>
      <c r="H366" s="32"/>
      <c r="I366" s="32"/>
      <c r="J366" s="34"/>
      <c r="K366" s="34"/>
      <c r="L366" s="27" t="str">
        <f t="shared" si="67"/>
        <v>1</v>
      </c>
      <c r="M366" s="27" t="str">
        <f t="shared" si="68"/>
        <v>1</v>
      </c>
      <c r="N366" s="32" t="s">
        <v>417</v>
      </c>
      <c r="O366" s="32" t="s">
        <v>568</v>
      </c>
      <c r="P366" s="27" t="str">
        <f t="shared" si="69"/>
        <v>1</v>
      </c>
      <c r="Q366" s="32" t="s">
        <v>399</v>
      </c>
      <c r="R366" s="32" t="s">
        <v>399</v>
      </c>
      <c r="S366" s="32" t="s">
        <v>400</v>
      </c>
      <c r="T366" s="32" t="s">
        <v>400</v>
      </c>
      <c r="U366" s="32" t="s">
        <v>48</v>
      </c>
      <c r="V366" s="32" t="s">
        <v>400</v>
      </c>
      <c r="W366" s="32" t="s">
        <v>400</v>
      </c>
      <c r="X366" s="32" t="s">
        <v>400</v>
      </c>
      <c r="Y366" s="32" t="s">
        <v>48</v>
      </c>
      <c r="Z366" s="32" t="s">
        <v>48</v>
      </c>
      <c r="AA366" s="32" t="s">
        <v>48</v>
      </c>
      <c r="AB366" s="32" t="s">
        <v>48</v>
      </c>
      <c r="AC366" s="32" t="s">
        <v>48</v>
      </c>
      <c r="AD366" s="32"/>
      <c r="AE366" s="27" t="str">
        <f t="shared" si="70"/>
        <v>N</v>
      </c>
      <c r="AF366" s="32" t="s">
        <v>399</v>
      </c>
      <c r="AG366" s="32"/>
      <c r="AH366" s="33" t="s">
        <v>1399</v>
      </c>
      <c r="AI366" s="35">
        <v>5</v>
      </c>
      <c r="AJ366" s="57">
        <v>373</v>
      </c>
      <c r="AK366" s="33" t="s">
        <v>401</v>
      </c>
      <c r="AL366" s="10" t="s">
        <v>50</v>
      </c>
      <c r="AM366" s="6" t="str">
        <f t="shared" si="61"/>
        <v>14821/상품별 매출 현황/ report/SaleItemRpt</v>
      </c>
      <c r="AN366" s="30"/>
      <c r="AO366" s="30"/>
      <c r="AP366" s="30"/>
      <c r="AQ366" s="30"/>
      <c r="AR366" s="31"/>
      <c r="AS366" s="31"/>
      <c r="AT366" s="31"/>
      <c r="AU366" s="31"/>
      <c r="AV366" s="31"/>
      <c r="AW366" s="31"/>
      <c r="AX366" s="31"/>
      <c r="AY366" s="31"/>
    </row>
    <row r="367" spans="2:51" s="29" customFormat="1" ht="14.5">
      <c r="B367" s="5" t="str">
        <f t="shared" si="71"/>
        <v xml:space="preserve">        └ 미수현황</v>
      </c>
      <c r="C367" s="33" t="s">
        <v>47</v>
      </c>
      <c r="D367" s="32"/>
      <c r="E367" s="33" t="s">
        <v>1392</v>
      </c>
      <c r="F367" s="44" t="s">
        <v>914</v>
      </c>
      <c r="G367" s="32"/>
      <c r="H367" s="32"/>
      <c r="I367" s="32"/>
      <c r="J367" s="34"/>
      <c r="K367" s="34"/>
      <c r="L367" s="27" t="str">
        <f t="shared" si="67"/>
        <v>1</v>
      </c>
      <c r="M367" s="27" t="str">
        <f t="shared" si="68"/>
        <v>1</v>
      </c>
      <c r="N367" s="32" t="s">
        <v>430</v>
      </c>
      <c r="O367" s="32" t="s">
        <v>637</v>
      </c>
      <c r="P367" s="27" t="str">
        <f t="shared" si="69"/>
        <v>1</v>
      </c>
      <c r="Q367" s="32" t="s">
        <v>399</v>
      </c>
      <c r="R367" s="32" t="s">
        <v>399</v>
      </c>
      <c r="S367" s="32" t="s">
        <v>399</v>
      </c>
      <c r="T367" s="32" t="s">
        <v>400</v>
      </c>
      <c r="U367" s="32" t="s">
        <v>48</v>
      </c>
      <c r="V367" s="32" t="s">
        <v>400</v>
      </c>
      <c r="W367" s="32" t="s">
        <v>400</v>
      </c>
      <c r="X367" s="32" t="s">
        <v>399</v>
      </c>
      <c r="Y367" s="32" t="s">
        <v>48</v>
      </c>
      <c r="Z367" s="32" t="s">
        <v>48</v>
      </c>
      <c r="AA367" s="32" t="s">
        <v>48</v>
      </c>
      <c r="AB367" s="32" t="s">
        <v>48</v>
      </c>
      <c r="AC367" s="32" t="s">
        <v>48</v>
      </c>
      <c r="AD367" s="32"/>
      <c r="AE367" s="27" t="str">
        <f t="shared" si="70"/>
        <v>N</v>
      </c>
      <c r="AF367" s="32" t="s">
        <v>399</v>
      </c>
      <c r="AG367" s="32"/>
      <c r="AH367" s="33" t="s">
        <v>1399</v>
      </c>
      <c r="AI367" s="35">
        <v>5</v>
      </c>
      <c r="AJ367" s="57">
        <v>374</v>
      </c>
      <c r="AK367" s="33" t="s">
        <v>401</v>
      </c>
      <c r="AL367" s="10" t="s">
        <v>50</v>
      </c>
      <c r="AM367" s="6" t="str">
        <f t="shared" si="61"/>
        <v>14821/미수현황/ eis/ArMonthAnalysis</v>
      </c>
      <c r="AN367" s="30"/>
      <c r="AO367" s="30"/>
      <c r="AP367" s="30"/>
      <c r="AQ367" s="30"/>
      <c r="AR367" s="31"/>
      <c r="AS367" s="31"/>
      <c r="AT367" s="31"/>
      <c r="AU367" s="31"/>
      <c r="AV367" s="31"/>
      <c r="AW367" s="31"/>
      <c r="AX367" s="31"/>
      <c r="AY367" s="31"/>
    </row>
    <row r="368" spans="2:51" s="29" customFormat="1" ht="14.5">
      <c r="B368" s="5" t="str">
        <f t="shared" si="71"/>
        <v xml:space="preserve">        └ 재고현황</v>
      </c>
      <c r="C368" s="33" t="s">
        <v>47</v>
      </c>
      <c r="D368" s="32"/>
      <c r="E368" s="33" t="s">
        <v>1393</v>
      </c>
      <c r="F368" s="44" t="s">
        <v>915</v>
      </c>
      <c r="G368" s="32"/>
      <c r="H368" s="32"/>
      <c r="I368" s="32"/>
      <c r="J368" s="34"/>
      <c r="K368" s="34"/>
      <c r="L368" s="27" t="str">
        <f t="shared" si="67"/>
        <v>1</v>
      </c>
      <c r="M368" s="27" t="str">
        <f t="shared" si="68"/>
        <v>1</v>
      </c>
      <c r="N368" s="32" t="s">
        <v>430</v>
      </c>
      <c r="O368" s="32" t="s">
        <v>638</v>
      </c>
      <c r="P368" s="27" t="str">
        <f t="shared" si="69"/>
        <v>1</v>
      </c>
      <c r="Q368" s="32" t="s">
        <v>399</v>
      </c>
      <c r="R368" s="32" t="s">
        <v>399</v>
      </c>
      <c r="S368" s="32" t="s">
        <v>399</v>
      </c>
      <c r="T368" s="32" t="s">
        <v>400</v>
      </c>
      <c r="U368" s="32" t="s">
        <v>48</v>
      </c>
      <c r="V368" s="32" t="s">
        <v>400</v>
      </c>
      <c r="W368" s="32" t="s">
        <v>400</v>
      </c>
      <c r="X368" s="32" t="s">
        <v>400</v>
      </c>
      <c r="Y368" s="32" t="s">
        <v>48</v>
      </c>
      <c r="Z368" s="32" t="s">
        <v>48</v>
      </c>
      <c r="AA368" s="32" t="s">
        <v>48</v>
      </c>
      <c r="AB368" s="32" t="s">
        <v>48</v>
      </c>
      <c r="AC368" s="32" t="s">
        <v>48</v>
      </c>
      <c r="AD368" s="32"/>
      <c r="AE368" s="27" t="str">
        <f t="shared" si="70"/>
        <v>N</v>
      </c>
      <c r="AF368" s="32" t="s">
        <v>399</v>
      </c>
      <c r="AG368" s="32"/>
      <c r="AH368" s="33" t="s">
        <v>1399</v>
      </c>
      <c r="AI368" s="35">
        <v>5</v>
      </c>
      <c r="AJ368" s="57">
        <v>375</v>
      </c>
      <c r="AK368" s="33" t="s">
        <v>401</v>
      </c>
      <c r="AL368" s="10" t="s">
        <v>50</v>
      </c>
      <c r="AM368" s="6" t="str">
        <f t="shared" si="61"/>
        <v>14821/재고현황/ eis/StockMonthAnalysis</v>
      </c>
      <c r="AN368" s="30"/>
      <c r="AO368" s="30"/>
      <c r="AP368" s="30"/>
      <c r="AQ368" s="30"/>
      <c r="AR368" s="31"/>
      <c r="AS368" s="31"/>
      <c r="AT368" s="31"/>
      <c r="AU368" s="31"/>
      <c r="AV368" s="31"/>
      <c r="AW368" s="31"/>
      <c r="AX368" s="31"/>
      <c r="AY368" s="31"/>
    </row>
    <row r="369" spans="2:51" s="29" customFormat="1" ht="14.5">
      <c r="B369" s="5" t="str">
        <f t="shared" si="71"/>
        <v xml:space="preserve">        └ 재고 증감 리포트</v>
      </c>
      <c r="C369" s="33" t="s">
        <v>47</v>
      </c>
      <c r="D369" s="32"/>
      <c r="E369" s="33" t="s">
        <v>1394</v>
      </c>
      <c r="F369" s="44" t="s">
        <v>916</v>
      </c>
      <c r="G369" s="32"/>
      <c r="H369" s="32"/>
      <c r="I369" s="32"/>
      <c r="J369" s="34"/>
      <c r="K369" s="34"/>
      <c r="L369" s="27" t="str">
        <f t="shared" si="67"/>
        <v>1</v>
      </c>
      <c r="M369" s="27" t="str">
        <f t="shared" si="68"/>
        <v>0</v>
      </c>
      <c r="N369" s="32" t="s">
        <v>430</v>
      </c>
      <c r="O369" s="32"/>
      <c r="P369" s="27" t="str">
        <f t="shared" si="69"/>
        <v>1</v>
      </c>
      <c r="Q369" s="32" t="s">
        <v>399</v>
      </c>
      <c r="R369" s="32" t="s">
        <v>399</v>
      </c>
      <c r="S369" s="32" t="s">
        <v>399</v>
      </c>
      <c r="T369" s="32" t="s">
        <v>400</v>
      </c>
      <c r="U369" s="32" t="s">
        <v>48</v>
      </c>
      <c r="V369" s="32" t="s">
        <v>400</v>
      </c>
      <c r="W369" s="32" t="s">
        <v>400</v>
      </c>
      <c r="X369" s="32" t="s">
        <v>400</v>
      </c>
      <c r="Y369" s="32" t="s">
        <v>48</v>
      </c>
      <c r="Z369" s="32" t="s">
        <v>48</v>
      </c>
      <c r="AA369" s="32" t="s">
        <v>48</v>
      </c>
      <c r="AB369" s="32" t="s">
        <v>48</v>
      </c>
      <c r="AC369" s="32" t="s">
        <v>48</v>
      </c>
      <c r="AD369" s="32"/>
      <c r="AE369" s="27" t="str">
        <f t="shared" si="70"/>
        <v>N</v>
      </c>
      <c r="AF369" s="32" t="s">
        <v>399</v>
      </c>
      <c r="AG369" s="32"/>
      <c r="AH369" s="33" t="s">
        <v>1399</v>
      </c>
      <c r="AI369" s="35">
        <v>5</v>
      </c>
      <c r="AJ369" s="57">
        <v>376</v>
      </c>
      <c r="AK369" s="33" t="s">
        <v>401</v>
      </c>
      <c r="AL369" s="10" t="s">
        <v>50</v>
      </c>
      <c r="AM369" s="6" t="str">
        <f t="shared" si="61"/>
        <v>14821/재고 증감 리포트/ eis/</v>
      </c>
      <c r="AN369" s="30"/>
      <c r="AO369" s="30"/>
      <c r="AP369" s="30"/>
      <c r="AQ369" s="30"/>
      <c r="AR369" s="31"/>
      <c r="AS369" s="31"/>
      <c r="AT369" s="31"/>
      <c r="AU369" s="31"/>
      <c r="AV369" s="31"/>
      <c r="AW369" s="31"/>
      <c r="AX369" s="31"/>
      <c r="AY369" s="31"/>
    </row>
    <row r="370" spans="2:51" s="29" customFormat="1" ht="14.5">
      <c r="B370" s="5" t="str">
        <f t="shared" si="71"/>
        <v xml:space="preserve">        └ 월 매입/매출 마감현황</v>
      </c>
      <c r="C370" s="33" t="s">
        <v>47</v>
      </c>
      <c r="D370" s="32"/>
      <c r="E370" s="33" t="s">
        <v>1395</v>
      </c>
      <c r="F370" s="44" t="s">
        <v>917</v>
      </c>
      <c r="G370" s="32"/>
      <c r="H370" s="32"/>
      <c r="I370" s="32"/>
      <c r="J370" s="34"/>
      <c r="K370" s="34"/>
      <c r="L370" s="27" t="str">
        <f t="shared" si="67"/>
        <v>1</v>
      </c>
      <c r="M370" s="27" t="str">
        <f t="shared" si="68"/>
        <v>0</v>
      </c>
      <c r="N370" s="32" t="s">
        <v>430</v>
      </c>
      <c r="O370" s="32"/>
      <c r="P370" s="27" t="str">
        <f t="shared" si="69"/>
        <v>1</v>
      </c>
      <c r="Q370" s="32" t="s">
        <v>399</v>
      </c>
      <c r="R370" s="32" t="s">
        <v>399</v>
      </c>
      <c r="S370" s="32" t="s">
        <v>399</v>
      </c>
      <c r="T370" s="32" t="s">
        <v>400</v>
      </c>
      <c r="U370" s="32" t="s">
        <v>48</v>
      </c>
      <c r="V370" s="32" t="s">
        <v>400</v>
      </c>
      <c r="W370" s="32" t="s">
        <v>400</v>
      </c>
      <c r="X370" s="32" t="s">
        <v>400</v>
      </c>
      <c r="Y370" s="32" t="s">
        <v>48</v>
      </c>
      <c r="Z370" s="32" t="s">
        <v>48</v>
      </c>
      <c r="AA370" s="32" t="s">
        <v>48</v>
      </c>
      <c r="AB370" s="32" t="s">
        <v>48</v>
      </c>
      <c r="AC370" s="32" t="s">
        <v>48</v>
      </c>
      <c r="AD370" s="32"/>
      <c r="AE370" s="27" t="str">
        <f t="shared" si="70"/>
        <v>N</v>
      </c>
      <c r="AF370" s="32" t="s">
        <v>399</v>
      </c>
      <c r="AG370" s="32"/>
      <c r="AH370" s="33" t="s">
        <v>1399</v>
      </c>
      <c r="AI370" s="35">
        <v>5</v>
      </c>
      <c r="AJ370" s="57">
        <v>377</v>
      </c>
      <c r="AK370" s="33" t="s">
        <v>401</v>
      </c>
      <c r="AL370" s="10" t="s">
        <v>50</v>
      </c>
      <c r="AM370" s="6" t="str">
        <f t="shared" si="61"/>
        <v>14821/월 매입/매출 마감현황/ eis/</v>
      </c>
      <c r="AN370" s="30"/>
      <c r="AO370" s="30"/>
      <c r="AP370" s="30"/>
      <c r="AQ370" s="30"/>
      <c r="AR370" s="31"/>
      <c r="AS370" s="31"/>
      <c r="AT370" s="31"/>
      <c r="AU370" s="31"/>
      <c r="AV370" s="31"/>
      <c r="AW370" s="31"/>
      <c r="AX370" s="31"/>
      <c r="AY370" s="31"/>
    </row>
    <row r="371" spans="2:51" s="29" customFormat="1" ht="14.5">
      <c r="B371" s="5" t="str">
        <f t="shared" si="71"/>
        <v xml:space="preserve">        └ 본사 미지급 정보</v>
      </c>
      <c r="C371" s="33" t="s">
        <v>47</v>
      </c>
      <c r="D371" s="32"/>
      <c r="E371" s="33" t="s">
        <v>1396</v>
      </c>
      <c r="F371" s="44" t="s">
        <v>918</v>
      </c>
      <c r="G371" s="32"/>
      <c r="H371" s="32"/>
      <c r="I371" s="32"/>
      <c r="J371" s="34"/>
      <c r="K371" s="34"/>
      <c r="L371" s="27" t="str">
        <f t="shared" si="67"/>
        <v>1</v>
      </c>
      <c r="M371" s="27" t="str">
        <f t="shared" si="68"/>
        <v>1</v>
      </c>
      <c r="N371" s="32" t="s">
        <v>430</v>
      </c>
      <c r="O371" s="32" t="s">
        <v>639</v>
      </c>
      <c r="P371" s="27" t="str">
        <f t="shared" si="69"/>
        <v>1</v>
      </c>
      <c r="Q371" s="32" t="s">
        <v>399</v>
      </c>
      <c r="R371" s="32" t="s">
        <v>399</v>
      </c>
      <c r="S371" s="32" t="s">
        <v>399</v>
      </c>
      <c r="T371" s="32" t="s">
        <v>400</v>
      </c>
      <c r="U371" s="32" t="s">
        <v>48</v>
      </c>
      <c r="V371" s="32" t="s">
        <v>400</v>
      </c>
      <c r="W371" s="32" t="s">
        <v>400</v>
      </c>
      <c r="X371" s="32" t="s">
        <v>400</v>
      </c>
      <c r="Y371" s="32" t="s">
        <v>48</v>
      </c>
      <c r="Z371" s="32" t="s">
        <v>48</v>
      </c>
      <c r="AA371" s="32" t="s">
        <v>48</v>
      </c>
      <c r="AB371" s="32" t="s">
        <v>48</v>
      </c>
      <c r="AC371" s="32" t="s">
        <v>48</v>
      </c>
      <c r="AD371" s="32"/>
      <c r="AE371" s="27" t="str">
        <f t="shared" si="70"/>
        <v>N</v>
      </c>
      <c r="AF371" s="32" t="s">
        <v>399</v>
      </c>
      <c r="AG371" s="32"/>
      <c r="AH371" s="33" t="s">
        <v>1399</v>
      </c>
      <c r="AI371" s="35">
        <v>5</v>
      </c>
      <c r="AJ371" s="57">
        <v>378</v>
      </c>
      <c r="AK371" s="33" t="s">
        <v>401</v>
      </c>
      <c r="AL371" s="10" t="s">
        <v>50</v>
      </c>
      <c r="AM371" s="6" t="str">
        <f t="shared" si="61"/>
        <v>14821/본사 미지급 정보/ eis/ApAnalysis</v>
      </c>
      <c r="AN371" s="30"/>
      <c r="AO371" s="30"/>
      <c r="AP371" s="30"/>
      <c r="AQ371" s="30"/>
      <c r="AR371" s="31"/>
      <c r="AS371" s="31"/>
      <c r="AT371" s="31"/>
      <c r="AU371" s="31"/>
      <c r="AV371" s="31"/>
      <c r="AW371" s="31"/>
      <c r="AX371" s="31"/>
      <c r="AY371" s="31"/>
    </row>
    <row r="372" spans="2:51" s="29" customFormat="1" ht="14.5">
      <c r="B372" s="5" t="str">
        <f t="shared" si="71"/>
        <v xml:space="preserve">        └ 마감작업</v>
      </c>
      <c r="C372" s="33" t="s">
        <v>47</v>
      </c>
      <c r="D372" s="32"/>
      <c r="E372" s="33" t="s">
        <v>1397</v>
      </c>
      <c r="F372" s="44" t="s">
        <v>919</v>
      </c>
      <c r="G372" s="32"/>
      <c r="H372" s="32"/>
      <c r="I372" s="32"/>
      <c r="J372" s="34"/>
      <c r="K372" s="34"/>
      <c r="L372" s="27" t="str">
        <f t="shared" si="67"/>
        <v>1</v>
      </c>
      <c r="M372" s="27" t="str">
        <f t="shared" si="68"/>
        <v>1</v>
      </c>
      <c r="N372" s="32" t="s">
        <v>430</v>
      </c>
      <c r="O372" s="32" t="s">
        <v>640</v>
      </c>
      <c r="P372" s="27" t="str">
        <f t="shared" si="69"/>
        <v>1</v>
      </c>
      <c r="Q372" s="32" t="s">
        <v>399</v>
      </c>
      <c r="R372" s="32" t="s">
        <v>399</v>
      </c>
      <c r="S372" s="32" t="s">
        <v>399</v>
      </c>
      <c r="T372" s="32" t="s">
        <v>400</v>
      </c>
      <c r="U372" s="32" t="s">
        <v>48</v>
      </c>
      <c r="V372" s="32" t="s">
        <v>400</v>
      </c>
      <c r="W372" s="32" t="s">
        <v>400</v>
      </c>
      <c r="X372" s="32" t="s">
        <v>400</v>
      </c>
      <c r="Y372" s="32" t="s">
        <v>48</v>
      </c>
      <c r="Z372" s="32" t="s">
        <v>48</v>
      </c>
      <c r="AA372" s="32" t="s">
        <v>48</v>
      </c>
      <c r="AB372" s="32" t="s">
        <v>48</v>
      </c>
      <c r="AC372" s="32" t="s">
        <v>48</v>
      </c>
      <c r="AD372" s="32"/>
      <c r="AE372" s="27" t="str">
        <f t="shared" si="70"/>
        <v>N</v>
      </c>
      <c r="AF372" s="32" t="s">
        <v>399</v>
      </c>
      <c r="AG372" s="32"/>
      <c r="AH372" s="33" t="s">
        <v>1399</v>
      </c>
      <c r="AI372" s="35">
        <v>5</v>
      </c>
      <c r="AJ372" s="57">
        <v>379</v>
      </c>
      <c r="AK372" s="33" t="s">
        <v>401</v>
      </c>
      <c r="AL372" s="10" t="s">
        <v>50</v>
      </c>
      <c r="AM372" s="6" t="str">
        <f t="shared" si="61"/>
        <v>14821/마감작업/ eis/GmsClose</v>
      </c>
      <c r="AN372" s="30"/>
      <c r="AO372" s="30"/>
      <c r="AP372" s="30"/>
      <c r="AQ372" s="30"/>
      <c r="AR372" s="31"/>
      <c r="AS372" s="31"/>
      <c r="AT372" s="31"/>
      <c r="AU372" s="31"/>
      <c r="AV372" s="31"/>
      <c r="AW372" s="31"/>
      <c r="AX372" s="31"/>
      <c r="AY372" s="31"/>
    </row>
    <row r="373" spans="2:51" s="29" customFormat="1" ht="14.5">
      <c r="B373" s="5" t="str">
        <f t="shared" si="71"/>
        <v xml:space="preserve">        └ 미회전 상품 현황</v>
      </c>
      <c r="C373" s="33" t="s">
        <v>47</v>
      </c>
      <c r="D373" s="32"/>
      <c r="E373" s="33" t="s">
        <v>1398</v>
      </c>
      <c r="F373" s="44" t="s">
        <v>920</v>
      </c>
      <c r="G373" s="32"/>
      <c r="H373" s="32"/>
      <c r="I373" s="32"/>
      <c r="J373" s="34"/>
      <c r="K373" s="34"/>
      <c r="L373" s="27" t="str">
        <f t="shared" si="67"/>
        <v>1</v>
      </c>
      <c r="M373" s="27" t="str">
        <f t="shared" si="68"/>
        <v>1</v>
      </c>
      <c r="N373" s="32" t="s">
        <v>430</v>
      </c>
      <c r="O373" s="32" t="s">
        <v>641</v>
      </c>
      <c r="P373" s="27" t="str">
        <f t="shared" si="69"/>
        <v>1</v>
      </c>
      <c r="Q373" s="32" t="s">
        <v>399</v>
      </c>
      <c r="R373" s="32" t="s">
        <v>400</v>
      </c>
      <c r="S373" s="32" t="s">
        <v>400</v>
      </c>
      <c r="T373" s="32" t="s">
        <v>400</v>
      </c>
      <c r="U373" s="32" t="s">
        <v>48</v>
      </c>
      <c r="V373" s="32" t="s">
        <v>400</v>
      </c>
      <c r="W373" s="32" t="s">
        <v>400</v>
      </c>
      <c r="X373" s="32" t="s">
        <v>399</v>
      </c>
      <c r="Y373" s="32" t="s">
        <v>48</v>
      </c>
      <c r="Z373" s="32" t="s">
        <v>48</v>
      </c>
      <c r="AA373" s="32" t="s">
        <v>48</v>
      </c>
      <c r="AB373" s="32" t="s">
        <v>48</v>
      </c>
      <c r="AC373" s="32" t="s">
        <v>48</v>
      </c>
      <c r="AD373" s="32"/>
      <c r="AE373" s="27" t="str">
        <f t="shared" si="70"/>
        <v>N</v>
      </c>
      <c r="AF373" s="32" t="s">
        <v>399</v>
      </c>
      <c r="AG373" s="32"/>
      <c r="AH373" s="33" t="s">
        <v>1399</v>
      </c>
      <c r="AI373" s="35">
        <v>5</v>
      </c>
      <c r="AJ373" s="57">
        <v>380</v>
      </c>
      <c r="AK373" s="33" t="s">
        <v>401</v>
      </c>
      <c r="AL373" s="10" t="s">
        <v>50</v>
      </c>
      <c r="AM373" s="6" t="str">
        <f t="shared" si="61"/>
        <v>14821/미회전 상품 현황/ eis/SaleStockReport</v>
      </c>
      <c r="AN373" s="30"/>
      <c r="AO373" s="30"/>
      <c r="AP373" s="30"/>
      <c r="AQ373" s="30"/>
      <c r="AR373" s="31"/>
      <c r="AS373" s="31"/>
      <c r="AT373" s="31"/>
      <c r="AU373" s="31"/>
      <c r="AV373" s="31"/>
      <c r="AW373" s="31"/>
      <c r="AX373" s="31"/>
      <c r="AY373" s="31"/>
    </row>
    <row r="374" spans="2:51" s="29" customFormat="1" ht="14.5">
      <c r="B374" s="5" t="str">
        <f t="shared" si="71"/>
        <v xml:space="preserve">  └ SCM</v>
      </c>
      <c r="C374" s="33" t="s">
        <v>47</v>
      </c>
      <c r="D374" s="19"/>
      <c r="E374" s="19">
        <v>2110000</v>
      </c>
      <c r="F374" s="42" t="s">
        <v>1310</v>
      </c>
      <c r="G374" s="19"/>
      <c r="H374" s="19"/>
      <c r="I374" s="19"/>
      <c r="J374" s="19"/>
      <c r="K374" s="19"/>
      <c r="L374" s="19" t="str">
        <f t="shared" si="62"/>
        <v>1</v>
      </c>
      <c r="M374" s="19" t="str">
        <f t="shared" si="63"/>
        <v>0</v>
      </c>
      <c r="N374" s="19" t="s">
        <v>48</v>
      </c>
      <c r="O374" s="19"/>
      <c r="P374" s="19" t="str">
        <f t="shared" si="64"/>
        <v>1</v>
      </c>
      <c r="Q374" s="19" t="s">
        <v>399</v>
      </c>
      <c r="R374" s="19" t="s">
        <v>399</v>
      </c>
      <c r="S374" s="19" t="s">
        <v>399</v>
      </c>
      <c r="T374" s="19" t="s">
        <v>400</v>
      </c>
      <c r="U374" s="19" t="s">
        <v>48</v>
      </c>
      <c r="V374" s="19" t="s">
        <v>400</v>
      </c>
      <c r="W374" s="19" t="s">
        <v>400</v>
      </c>
      <c r="X374" s="19" t="s">
        <v>400</v>
      </c>
      <c r="Y374" s="19" t="s">
        <v>48</v>
      </c>
      <c r="Z374" s="19" t="s">
        <v>48</v>
      </c>
      <c r="AA374" s="19" t="s">
        <v>48</v>
      </c>
      <c r="AB374" s="19" t="s">
        <v>48</v>
      </c>
      <c r="AC374" s="19" t="s">
        <v>48</v>
      </c>
      <c r="AD374" s="19"/>
      <c r="AE374" s="19" t="str">
        <f t="shared" si="65"/>
        <v>N</v>
      </c>
      <c r="AF374" s="19" t="s">
        <v>399</v>
      </c>
      <c r="AG374" s="19"/>
      <c r="AH374" s="19">
        <v>2000000</v>
      </c>
      <c r="AI374" s="19">
        <v>3</v>
      </c>
      <c r="AJ374" s="57">
        <v>381</v>
      </c>
      <c r="AK374" s="10" t="s">
        <v>401</v>
      </c>
      <c r="AL374" s="10" t="s">
        <v>50</v>
      </c>
      <c r="AM374" s="6" t="str">
        <f t="shared" si="61"/>
        <v>14821/SCM/ /</v>
      </c>
      <c r="AN374" s="30"/>
      <c r="AO374" s="30"/>
      <c r="AP374" s="30"/>
      <c r="AQ374" s="30"/>
      <c r="AR374" s="31"/>
      <c r="AS374" s="31"/>
      <c r="AT374" s="31"/>
      <c r="AU374" s="31"/>
      <c r="AV374" s="31"/>
      <c r="AW374" s="31"/>
      <c r="AX374" s="31"/>
      <c r="AY374" s="31"/>
    </row>
    <row r="375" spans="2:51" s="29" customFormat="1" ht="14.5">
      <c r="B375" s="5" t="str">
        <f t="shared" si="71"/>
        <v xml:space="preserve">    └ 주문</v>
      </c>
      <c r="C375" s="33" t="s">
        <v>47</v>
      </c>
      <c r="D375" s="32"/>
      <c r="E375" s="9">
        <v>2110100</v>
      </c>
      <c r="F375" s="38" t="s">
        <v>1159</v>
      </c>
      <c r="G375" s="9"/>
      <c r="H375" s="9"/>
      <c r="I375" s="9"/>
      <c r="J375" s="9"/>
      <c r="K375" s="9"/>
      <c r="L375" s="9" t="str">
        <f t="shared" si="62"/>
        <v>1</v>
      </c>
      <c r="M375" s="9" t="str">
        <f t="shared" si="63"/>
        <v>0</v>
      </c>
      <c r="N375" s="38" t="s">
        <v>48</v>
      </c>
      <c r="O375" s="38"/>
      <c r="P375" s="9" t="str">
        <f t="shared" si="64"/>
        <v>1</v>
      </c>
      <c r="Q375" s="9" t="s">
        <v>986</v>
      </c>
      <c r="R375" s="9" t="s">
        <v>986</v>
      </c>
      <c r="S375" s="9" t="s">
        <v>986</v>
      </c>
      <c r="T375" s="9" t="s">
        <v>987</v>
      </c>
      <c r="U375" s="9" t="s">
        <v>985</v>
      </c>
      <c r="V375" s="9" t="s">
        <v>986</v>
      </c>
      <c r="W375" s="9" t="s">
        <v>986</v>
      </c>
      <c r="X375" s="9" t="s">
        <v>986</v>
      </c>
      <c r="Y375" s="9" t="s">
        <v>985</v>
      </c>
      <c r="Z375" s="9" t="s">
        <v>985</v>
      </c>
      <c r="AA375" s="9" t="s">
        <v>985</v>
      </c>
      <c r="AB375" s="9" t="s">
        <v>985</v>
      </c>
      <c r="AC375" s="9" t="s">
        <v>985</v>
      </c>
      <c r="AD375" s="9"/>
      <c r="AE375" s="9" t="str">
        <f t="shared" si="65"/>
        <v>N</v>
      </c>
      <c r="AF375" s="9" t="s">
        <v>986</v>
      </c>
      <c r="AG375" s="9"/>
      <c r="AH375" s="9">
        <v>2110000</v>
      </c>
      <c r="AI375" s="9">
        <v>4</v>
      </c>
      <c r="AJ375" s="57">
        <v>382</v>
      </c>
      <c r="AK375" s="10" t="s">
        <v>988</v>
      </c>
      <c r="AL375" s="10" t="s">
        <v>50</v>
      </c>
      <c r="AM375" s="6" t="str">
        <f t="shared" si="61"/>
        <v>14821/주문/ /</v>
      </c>
      <c r="AN375" s="30"/>
      <c r="AO375" s="30"/>
      <c r="AP375" s="30"/>
      <c r="AQ375" s="30"/>
      <c r="AR375" s="31"/>
      <c r="AS375" s="31"/>
      <c r="AT375" s="31"/>
      <c r="AU375" s="31"/>
      <c r="AV375" s="31"/>
      <c r="AW375" s="31"/>
      <c r="AX375" s="31"/>
      <c r="AY375" s="31"/>
    </row>
    <row r="376" spans="2:51" s="29" customFormat="1" ht="14.5">
      <c r="B376" s="5" t="str">
        <f t="shared" si="71"/>
        <v xml:space="preserve">        └ 발주 잔량 조회</v>
      </c>
      <c r="C376" s="33" t="s">
        <v>47</v>
      </c>
      <c r="D376" s="32"/>
      <c r="E376" s="33" t="s">
        <v>1400</v>
      </c>
      <c r="F376" s="44" t="s">
        <v>925</v>
      </c>
      <c r="G376" s="32"/>
      <c r="H376" s="32"/>
      <c r="I376" s="32"/>
      <c r="J376" s="34"/>
      <c r="K376" s="34"/>
      <c r="L376" s="27" t="str">
        <f>IF(F376="","","1")</f>
        <v>1</v>
      </c>
      <c r="M376" s="27" t="str">
        <f>IF(F376="","",IF(O376="","0","1"))</f>
        <v>1</v>
      </c>
      <c r="N376" s="32" t="s">
        <v>432</v>
      </c>
      <c r="O376" s="32" t="s">
        <v>643</v>
      </c>
      <c r="P376" s="27" t="str">
        <f>IF(F376="","","1")</f>
        <v>1</v>
      </c>
      <c r="Q376" s="32" t="s">
        <v>399</v>
      </c>
      <c r="R376" s="32" t="s">
        <v>399</v>
      </c>
      <c r="S376" s="32" t="s">
        <v>399</v>
      </c>
      <c r="T376" s="32" t="s">
        <v>400</v>
      </c>
      <c r="U376" s="32" t="s">
        <v>48</v>
      </c>
      <c r="V376" s="32" t="s">
        <v>400</v>
      </c>
      <c r="W376" s="32" t="s">
        <v>400</v>
      </c>
      <c r="X376" s="32" t="s">
        <v>400</v>
      </c>
      <c r="Y376" s="32" t="s">
        <v>48</v>
      </c>
      <c r="Z376" s="32" t="s">
        <v>48</v>
      </c>
      <c r="AA376" s="32" t="s">
        <v>48</v>
      </c>
      <c r="AB376" s="32" t="s">
        <v>48</v>
      </c>
      <c r="AC376" s="32" t="s">
        <v>48</v>
      </c>
      <c r="AD376" s="32"/>
      <c r="AE376" s="27" t="str">
        <f>IF(F376="","","N")</f>
        <v>N</v>
      </c>
      <c r="AF376" s="32" t="s">
        <v>399</v>
      </c>
      <c r="AG376" s="32"/>
      <c r="AH376" s="33" t="s">
        <v>993</v>
      </c>
      <c r="AI376" s="35">
        <v>5</v>
      </c>
      <c r="AJ376" s="57">
        <v>383</v>
      </c>
      <c r="AK376" s="33" t="s">
        <v>401</v>
      </c>
      <c r="AL376" s="10" t="s">
        <v>50</v>
      </c>
      <c r="AM376" s="6" t="str">
        <f t="shared" si="61"/>
        <v>14821/발주 잔량 조회/ scm/ScmOrderList</v>
      </c>
      <c r="AN376" s="30"/>
      <c r="AO376" s="30"/>
      <c r="AP376" s="30"/>
      <c r="AQ376" s="30"/>
      <c r="AR376" s="31"/>
      <c r="AS376" s="31"/>
      <c r="AT376" s="31"/>
      <c r="AU376" s="31"/>
      <c r="AV376" s="31"/>
      <c r="AW376" s="31"/>
      <c r="AX376" s="31"/>
      <c r="AY376" s="31"/>
    </row>
    <row r="377" spans="2:51" s="29" customFormat="1" ht="14.5">
      <c r="B377" s="5" t="str">
        <f t="shared" si="71"/>
        <v xml:space="preserve">        └ 직배 매입/매출 확정</v>
      </c>
      <c r="C377" s="33" t="s">
        <v>47</v>
      </c>
      <c r="D377" s="32"/>
      <c r="E377" s="33" t="s">
        <v>1401</v>
      </c>
      <c r="F377" s="44" t="s">
        <v>926</v>
      </c>
      <c r="G377" s="32"/>
      <c r="H377" s="32"/>
      <c r="I377" s="32"/>
      <c r="J377" s="34"/>
      <c r="K377" s="34"/>
      <c r="L377" s="27" t="str">
        <f>IF(F377="","","1")</f>
        <v>1</v>
      </c>
      <c r="M377" s="27" t="str">
        <f>IF(F377="","",IF(O377="","0","1"))</f>
        <v>1</v>
      </c>
      <c r="N377" s="32" t="s">
        <v>432</v>
      </c>
      <c r="O377" s="32" t="s">
        <v>644</v>
      </c>
      <c r="P377" s="27" t="str">
        <f>IF(F377="","","1")</f>
        <v>1</v>
      </c>
      <c r="Q377" s="32" t="s">
        <v>399</v>
      </c>
      <c r="R377" s="32" t="s">
        <v>399</v>
      </c>
      <c r="S377" s="32" t="s">
        <v>399</v>
      </c>
      <c r="T377" s="32" t="s">
        <v>400</v>
      </c>
      <c r="U377" s="32" t="s">
        <v>48</v>
      </c>
      <c r="V377" s="32" t="s">
        <v>400</v>
      </c>
      <c r="W377" s="32" t="s">
        <v>400</v>
      </c>
      <c r="X377" s="32" t="s">
        <v>400</v>
      </c>
      <c r="Y377" s="32" t="s">
        <v>48</v>
      </c>
      <c r="Z377" s="32" t="s">
        <v>48</v>
      </c>
      <c r="AA377" s="32" t="s">
        <v>48</v>
      </c>
      <c r="AB377" s="32" t="s">
        <v>48</v>
      </c>
      <c r="AC377" s="32" t="s">
        <v>48</v>
      </c>
      <c r="AD377" s="32"/>
      <c r="AE377" s="27" t="str">
        <f>IF(F377="","","N")</f>
        <v>N</v>
      </c>
      <c r="AF377" s="32" t="s">
        <v>399</v>
      </c>
      <c r="AG377" s="32"/>
      <c r="AH377" s="33" t="s">
        <v>993</v>
      </c>
      <c r="AI377" s="35">
        <v>5</v>
      </c>
      <c r="AJ377" s="57">
        <v>384</v>
      </c>
      <c r="AK377" s="33" t="s">
        <v>401</v>
      </c>
      <c r="AL377" s="10" t="s">
        <v>50</v>
      </c>
      <c r="AM377" s="6" t="str">
        <f t="shared" si="61"/>
        <v>14821/직배 매입/매출 확정/ scm/ScmOrderWork</v>
      </c>
      <c r="AN377" s="30"/>
      <c r="AO377" s="30"/>
      <c r="AP377" s="30"/>
      <c r="AQ377" s="30"/>
      <c r="AR377" s="31"/>
      <c r="AS377" s="31"/>
      <c r="AT377" s="31"/>
      <c r="AU377" s="31"/>
      <c r="AV377" s="31"/>
      <c r="AW377" s="31"/>
      <c r="AX377" s="31"/>
      <c r="AY377" s="31"/>
    </row>
    <row r="378" spans="2:51" s="29" customFormat="1" ht="14.5">
      <c r="B378" s="5" t="str">
        <f t="shared" si="71"/>
        <v xml:space="preserve">    └ 배송</v>
      </c>
      <c r="C378" s="33" t="s">
        <v>47</v>
      </c>
      <c r="D378" s="32"/>
      <c r="E378" s="9">
        <v>2110200</v>
      </c>
      <c r="F378" s="38" t="s">
        <v>1311</v>
      </c>
      <c r="G378" s="9"/>
      <c r="H378" s="9"/>
      <c r="I378" s="9"/>
      <c r="J378" s="9"/>
      <c r="K378" s="9"/>
      <c r="L378" s="9" t="str">
        <f t="shared" si="62"/>
        <v>1</v>
      </c>
      <c r="M378" s="9" t="str">
        <f t="shared" si="63"/>
        <v>0</v>
      </c>
      <c r="N378" s="38" t="s">
        <v>48</v>
      </c>
      <c r="O378" s="38"/>
      <c r="P378" s="9" t="str">
        <f t="shared" si="64"/>
        <v>1</v>
      </c>
      <c r="Q378" s="9" t="s">
        <v>986</v>
      </c>
      <c r="R378" s="9" t="s">
        <v>986</v>
      </c>
      <c r="S378" s="9" t="s">
        <v>986</v>
      </c>
      <c r="T378" s="9" t="s">
        <v>987</v>
      </c>
      <c r="U378" s="9" t="s">
        <v>985</v>
      </c>
      <c r="V378" s="9" t="s">
        <v>986</v>
      </c>
      <c r="W378" s="9" t="s">
        <v>986</v>
      </c>
      <c r="X378" s="9" t="s">
        <v>986</v>
      </c>
      <c r="Y378" s="9" t="s">
        <v>985</v>
      </c>
      <c r="Z378" s="9" t="s">
        <v>985</v>
      </c>
      <c r="AA378" s="9" t="s">
        <v>985</v>
      </c>
      <c r="AB378" s="9" t="s">
        <v>985</v>
      </c>
      <c r="AC378" s="9" t="s">
        <v>985</v>
      </c>
      <c r="AD378" s="9"/>
      <c r="AE378" s="9" t="str">
        <f t="shared" si="65"/>
        <v>N</v>
      </c>
      <c r="AF378" s="9" t="s">
        <v>986</v>
      </c>
      <c r="AG378" s="9"/>
      <c r="AH378" s="9">
        <v>2110000</v>
      </c>
      <c r="AI378" s="9">
        <v>4</v>
      </c>
      <c r="AJ378" s="57">
        <v>385</v>
      </c>
      <c r="AK378" s="10" t="s">
        <v>988</v>
      </c>
      <c r="AL378" s="10" t="s">
        <v>50</v>
      </c>
      <c r="AM378" s="6" t="str">
        <f t="shared" si="61"/>
        <v>14821/배송/ /</v>
      </c>
      <c r="AN378" s="30"/>
      <c r="AO378" s="30"/>
      <c r="AP378" s="30"/>
      <c r="AQ378" s="30"/>
      <c r="AR378" s="31"/>
      <c r="AS378" s="31"/>
      <c r="AT378" s="31"/>
      <c r="AU378" s="31"/>
      <c r="AV378" s="31"/>
      <c r="AW378" s="31"/>
      <c r="AX378" s="31"/>
      <c r="AY378" s="31"/>
    </row>
    <row r="379" spans="2:51" s="29" customFormat="1" ht="14.5">
      <c r="B379" s="5" t="str">
        <f t="shared" si="71"/>
        <v xml:space="preserve">        └ 납품 관리</v>
      </c>
      <c r="C379" s="33" t="s">
        <v>47</v>
      </c>
      <c r="D379" s="32"/>
      <c r="E379" s="33" t="s">
        <v>1402</v>
      </c>
      <c r="F379" s="44" t="s">
        <v>981</v>
      </c>
      <c r="G379" s="32"/>
      <c r="H379" s="32"/>
      <c r="I379" s="32"/>
      <c r="J379" s="34"/>
      <c r="K379" s="34"/>
      <c r="L379" s="27" t="str">
        <f t="shared" si="62"/>
        <v>1</v>
      </c>
      <c r="M379" s="27" t="str">
        <f t="shared" si="63"/>
        <v>1</v>
      </c>
      <c r="N379" s="32" t="s">
        <v>420</v>
      </c>
      <c r="O379" s="32" t="s">
        <v>535</v>
      </c>
      <c r="P379" s="27" t="str">
        <f t="shared" si="64"/>
        <v>1</v>
      </c>
      <c r="Q379" s="32" t="s">
        <v>399</v>
      </c>
      <c r="R379" s="32" t="s">
        <v>399</v>
      </c>
      <c r="S379" s="32" t="s">
        <v>399</v>
      </c>
      <c r="T379" s="32" t="s">
        <v>400</v>
      </c>
      <c r="U379" s="32" t="s">
        <v>48</v>
      </c>
      <c r="V379" s="32" t="s">
        <v>400</v>
      </c>
      <c r="W379" s="32" t="s">
        <v>399</v>
      </c>
      <c r="X379" s="32" t="s">
        <v>399</v>
      </c>
      <c r="Y379" s="32" t="s">
        <v>48</v>
      </c>
      <c r="Z379" s="32" t="s">
        <v>48</v>
      </c>
      <c r="AA379" s="32" t="s">
        <v>48</v>
      </c>
      <c r="AB379" s="32" t="s">
        <v>48</v>
      </c>
      <c r="AC379" s="32" t="s">
        <v>48</v>
      </c>
      <c r="AD379" s="32"/>
      <c r="AE379" s="27" t="str">
        <f t="shared" si="65"/>
        <v>N</v>
      </c>
      <c r="AF379" s="32" t="s">
        <v>399</v>
      </c>
      <c r="AG379" s="32"/>
      <c r="AH379" s="33" t="s">
        <v>994</v>
      </c>
      <c r="AI379" s="35">
        <v>5</v>
      </c>
      <c r="AJ379" s="57">
        <v>386</v>
      </c>
      <c r="AK379" s="33" t="s">
        <v>401</v>
      </c>
      <c r="AL379" s="10" t="s">
        <v>50</v>
      </c>
      <c r="AM379" s="6" t="str">
        <f t="shared" si="61"/>
        <v>14821/납품 관리/ sale/SaleWork</v>
      </c>
      <c r="AN379" s="30"/>
      <c r="AO379" s="30"/>
      <c r="AP379" s="30"/>
      <c r="AQ379" s="30"/>
      <c r="AR379" s="31"/>
      <c r="AS379" s="31"/>
      <c r="AT379" s="31"/>
      <c r="AU379" s="31"/>
      <c r="AV379" s="31"/>
      <c r="AW379" s="31"/>
      <c r="AX379" s="31"/>
      <c r="AY379" s="31"/>
    </row>
    <row r="380" spans="2:51" s="29" customFormat="1" ht="14.5">
      <c r="B380" s="5" t="str">
        <f t="shared" si="71"/>
        <v xml:space="preserve">        └ 납품 현황</v>
      </c>
      <c r="C380" s="33" t="s">
        <v>47</v>
      </c>
      <c r="D380" s="32"/>
      <c r="E380" s="33" t="s">
        <v>1403</v>
      </c>
      <c r="F380" s="44" t="s">
        <v>982</v>
      </c>
      <c r="G380" s="32"/>
      <c r="H380" s="32"/>
      <c r="I380" s="32"/>
      <c r="J380" s="34"/>
      <c r="K380" s="34"/>
      <c r="L380" s="27" t="str">
        <f t="shared" si="62"/>
        <v>1</v>
      </c>
      <c r="M380" s="27" t="str">
        <f t="shared" si="63"/>
        <v>1</v>
      </c>
      <c r="N380" s="32" t="s">
        <v>420</v>
      </c>
      <c r="O380" s="32" t="s">
        <v>579</v>
      </c>
      <c r="P380" s="27" t="str">
        <f t="shared" si="64"/>
        <v>1</v>
      </c>
      <c r="Q380" s="32" t="s">
        <v>399</v>
      </c>
      <c r="R380" s="32" t="s">
        <v>399</v>
      </c>
      <c r="S380" s="32" t="s">
        <v>399</v>
      </c>
      <c r="T380" s="32" t="s">
        <v>400</v>
      </c>
      <c r="U380" s="32" t="s">
        <v>48</v>
      </c>
      <c r="V380" s="32" t="s">
        <v>400</v>
      </c>
      <c r="W380" s="32" t="s">
        <v>399</v>
      </c>
      <c r="X380" s="32" t="s">
        <v>399</v>
      </c>
      <c r="Y380" s="32" t="s">
        <v>48</v>
      </c>
      <c r="Z380" s="32" t="s">
        <v>48</v>
      </c>
      <c r="AA380" s="32" t="s">
        <v>48</v>
      </c>
      <c r="AB380" s="32" t="s">
        <v>48</v>
      </c>
      <c r="AC380" s="32" t="s">
        <v>48</v>
      </c>
      <c r="AD380" s="32"/>
      <c r="AE380" s="27" t="str">
        <f t="shared" si="65"/>
        <v>N</v>
      </c>
      <c r="AF380" s="32" t="s">
        <v>399</v>
      </c>
      <c r="AG380" s="32"/>
      <c r="AH380" s="33" t="s">
        <v>994</v>
      </c>
      <c r="AI380" s="35">
        <v>5</v>
      </c>
      <c r="AJ380" s="57">
        <v>387</v>
      </c>
      <c r="AK380" s="33" t="s">
        <v>401</v>
      </c>
      <c r="AL380" s="10" t="s">
        <v>50</v>
      </c>
      <c r="AM380" s="6" t="str">
        <f t="shared" si="61"/>
        <v>14821/납품 현황/ sale/SaleList</v>
      </c>
      <c r="AN380" s="30"/>
      <c r="AO380" s="30"/>
      <c r="AP380" s="30"/>
      <c r="AQ380" s="30"/>
      <c r="AR380" s="31"/>
      <c r="AS380" s="31"/>
      <c r="AT380" s="31"/>
      <c r="AU380" s="31"/>
      <c r="AV380" s="31"/>
      <c r="AW380" s="31"/>
      <c r="AX380" s="31"/>
      <c r="AY380" s="31"/>
    </row>
    <row r="381" spans="2:51" s="29" customFormat="1" ht="14.5">
      <c r="B381" s="5" t="str">
        <f t="shared" si="71"/>
        <v xml:space="preserve">        └ 직접 배송 관리</v>
      </c>
      <c r="C381" s="33" t="s">
        <v>47</v>
      </c>
      <c r="D381" s="32"/>
      <c r="E381" s="33" t="s">
        <v>1404</v>
      </c>
      <c r="F381" s="44" t="s">
        <v>983</v>
      </c>
      <c r="G381" s="32"/>
      <c r="H381" s="32"/>
      <c r="I381" s="32"/>
      <c r="J381" s="34"/>
      <c r="K381" s="34"/>
      <c r="L381" s="27" t="str">
        <f t="shared" si="62"/>
        <v>1</v>
      </c>
      <c r="M381" s="27" t="str">
        <f t="shared" si="63"/>
        <v>1</v>
      </c>
      <c r="N381" s="32" t="s">
        <v>420</v>
      </c>
      <c r="O381" s="32" t="s">
        <v>699</v>
      </c>
      <c r="P381" s="27" t="str">
        <f t="shared" si="64"/>
        <v>1</v>
      </c>
      <c r="Q381" s="32" t="s">
        <v>400</v>
      </c>
      <c r="R381" s="32" t="s">
        <v>400</v>
      </c>
      <c r="S381" s="32" t="s">
        <v>399</v>
      </c>
      <c r="T381" s="32" t="s">
        <v>400</v>
      </c>
      <c r="U381" s="32" t="s">
        <v>48</v>
      </c>
      <c r="V381" s="32" t="s">
        <v>400</v>
      </c>
      <c r="W381" s="32" t="s">
        <v>400</v>
      </c>
      <c r="X381" s="32" t="s">
        <v>399</v>
      </c>
      <c r="Y381" s="32" t="s">
        <v>48</v>
      </c>
      <c r="Z381" s="32" t="s">
        <v>48</v>
      </c>
      <c r="AA381" s="32" t="s">
        <v>48</v>
      </c>
      <c r="AB381" s="32" t="s">
        <v>48</v>
      </c>
      <c r="AC381" s="32" t="s">
        <v>48</v>
      </c>
      <c r="AD381" s="32"/>
      <c r="AE381" s="27" t="str">
        <f t="shared" si="65"/>
        <v>N</v>
      </c>
      <c r="AF381" s="32" t="s">
        <v>399</v>
      </c>
      <c r="AG381" s="32"/>
      <c r="AH381" s="33" t="s">
        <v>994</v>
      </c>
      <c r="AI381" s="35">
        <v>5</v>
      </c>
      <c r="AJ381" s="57">
        <v>388</v>
      </c>
      <c r="AK381" s="33" t="s">
        <v>401</v>
      </c>
      <c r="AL381" s="10" t="s">
        <v>50</v>
      </c>
      <c r="AM381" s="6" t="str">
        <f t="shared" si="61"/>
        <v>14821/직접 배송 관리/ sale/DirectSaleWork</v>
      </c>
      <c r="AN381" s="30"/>
      <c r="AO381" s="30"/>
      <c r="AP381" s="30"/>
      <c r="AQ381" s="30"/>
      <c r="AR381" s="31"/>
      <c r="AS381" s="31"/>
      <c r="AT381" s="31"/>
      <c r="AU381" s="31"/>
      <c r="AV381" s="31"/>
      <c r="AW381" s="31"/>
      <c r="AX381" s="31"/>
      <c r="AY381" s="31"/>
    </row>
    <row r="382" spans="2:51" s="29" customFormat="1" ht="14.5">
      <c r="B382" s="5" t="str">
        <f t="shared" si="71"/>
        <v xml:space="preserve">        └ 납품 진행 현황</v>
      </c>
      <c r="C382" s="33" t="s">
        <v>47</v>
      </c>
      <c r="D382" s="32"/>
      <c r="E382" s="33" t="s">
        <v>1405</v>
      </c>
      <c r="F382" s="44" t="s">
        <v>778</v>
      </c>
      <c r="G382" s="32"/>
      <c r="H382" s="32"/>
      <c r="I382" s="32"/>
      <c r="J382" s="34"/>
      <c r="K382" s="34"/>
      <c r="L382" s="27" t="str">
        <f t="shared" si="62"/>
        <v>1</v>
      </c>
      <c r="M382" s="27" t="str">
        <f t="shared" si="63"/>
        <v>1</v>
      </c>
      <c r="N382" s="32" t="s">
        <v>420</v>
      </c>
      <c r="O382" s="32" t="s">
        <v>700</v>
      </c>
      <c r="P382" s="27" t="str">
        <f t="shared" si="64"/>
        <v>1</v>
      </c>
      <c r="Q382" s="32" t="s">
        <v>399</v>
      </c>
      <c r="R382" s="32" t="s">
        <v>400</v>
      </c>
      <c r="S382" s="32" t="s">
        <v>400</v>
      </c>
      <c r="T382" s="32" t="s">
        <v>400</v>
      </c>
      <c r="U382" s="32" t="s">
        <v>48</v>
      </c>
      <c r="V382" s="32" t="s">
        <v>400</v>
      </c>
      <c r="W382" s="32" t="s">
        <v>399</v>
      </c>
      <c r="X382" s="32" t="s">
        <v>399</v>
      </c>
      <c r="Y382" s="32" t="s">
        <v>48</v>
      </c>
      <c r="Z382" s="32" t="s">
        <v>48</v>
      </c>
      <c r="AA382" s="32" t="s">
        <v>48</v>
      </c>
      <c r="AB382" s="32" t="s">
        <v>48</v>
      </c>
      <c r="AC382" s="32" t="s">
        <v>48</v>
      </c>
      <c r="AD382" s="32"/>
      <c r="AE382" s="27" t="str">
        <f t="shared" si="65"/>
        <v>N</v>
      </c>
      <c r="AF382" s="32" t="s">
        <v>399</v>
      </c>
      <c r="AG382" s="32"/>
      <c r="AH382" s="33" t="s">
        <v>994</v>
      </c>
      <c r="AI382" s="35">
        <v>5</v>
      </c>
      <c r="AJ382" s="57">
        <v>389</v>
      </c>
      <c r="AK382" s="33" t="s">
        <v>401</v>
      </c>
      <c r="AL382" s="10" t="s">
        <v>50</v>
      </c>
      <c r="AM382" s="6" t="str">
        <f t="shared" si="61"/>
        <v>14821/납품 진행 현황/ sale/SaleStsList</v>
      </c>
      <c r="AN382" s="30"/>
      <c r="AO382" s="30"/>
      <c r="AP382" s="30"/>
      <c r="AQ382" s="30"/>
      <c r="AR382" s="31"/>
      <c r="AS382" s="31"/>
      <c r="AT382" s="31"/>
      <c r="AU382" s="31"/>
      <c r="AV382" s="31"/>
      <c r="AW382" s="31"/>
      <c r="AX382" s="31"/>
      <c r="AY382" s="31"/>
    </row>
    <row r="383" spans="2:51" s="29" customFormat="1" ht="14.5">
      <c r="B383" s="5" t="str">
        <f t="shared" si="71"/>
        <v xml:space="preserve">    └ 정산</v>
      </c>
      <c r="C383" s="33" t="s">
        <v>47</v>
      </c>
      <c r="D383" s="32"/>
      <c r="E383" s="9">
        <v>2110300</v>
      </c>
      <c r="F383" s="38" t="s">
        <v>1312</v>
      </c>
      <c r="G383" s="9"/>
      <c r="H383" s="9"/>
      <c r="I383" s="9"/>
      <c r="J383" s="9"/>
      <c r="K383" s="9"/>
      <c r="L383" s="9" t="str">
        <f t="shared" si="62"/>
        <v>1</v>
      </c>
      <c r="M383" s="9" t="str">
        <f t="shared" si="63"/>
        <v>0</v>
      </c>
      <c r="N383" s="38" t="s">
        <v>48</v>
      </c>
      <c r="O383" s="38"/>
      <c r="P383" s="9" t="str">
        <f t="shared" si="64"/>
        <v>1</v>
      </c>
      <c r="Q383" s="9" t="s">
        <v>986</v>
      </c>
      <c r="R383" s="9" t="s">
        <v>986</v>
      </c>
      <c r="S383" s="9" t="s">
        <v>986</v>
      </c>
      <c r="T383" s="9" t="s">
        <v>987</v>
      </c>
      <c r="U383" s="9" t="s">
        <v>985</v>
      </c>
      <c r="V383" s="9" t="s">
        <v>986</v>
      </c>
      <c r="W383" s="9" t="s">
        <v>986</v>
      </c>
      <c r="X383" s="9" t="s">
        <v>986</v>
      </c>
      <c r="Y383" s="9" t="s">
        <v>985</v>
      </c>
      <c r="Z383" s="9" t="s">
        <v>985</v>
      </c>
      <c r="AA383" s="9" t="s">
        <v>985</v>
      </c>
      <c r="AB383" s="9" t="s">
        <v>985</v>
      </c>
      <c r="AC383" s="9" t="s">
        <v>985</v>
      </c>
      <c r="AD383" s="9"/>
      <c r="AE383" s="9" t="str">
        <f t="shared" si="65"/>
        <v>N</v>
      </c>
      <c r="AF383" s="9" t="s">
        <v>986</v>
      </c>
      <c r="AG383" s="9"/>
      <c r="AH383" s="9">
        <v>2110000</v>
      </c>
      <c r="AI383" s="9">
        <v>4</v>
      </c>
      <c r="AJ383" s="57">
        <v>390</v>
      </c>
      <c r="AK383" s="10" t="s">
        <v>988</v>
      </c>
      <c r="AL383" s="10" t="s">
        <v>50</v>
      </c>
      <c r="AM383" s="6" t="str">
        <f t="shared" si="61"/>
        <v>14821/정산/ /</v>
      </c>
      <c r="AN383" s="30"/>
      <c r="AO383" s="30"/>
      <c r="AP383" s="30"/>
      <c r="AQ383" s="30"/>
      <c r="AR383" s="31"/>
      <c r="AS383" s="31"/>
      <c r="AT383" s="31"/>
      <c r="AU383" s="31"/>
      <c r="AV383" s="31"/>
      <c r="AW383" s="31"/>
      <c r="AX383" s="31"/>
      <c r="AY383" s="31"/>
    </row>
    <row r="384" spans="2:51" s="29" customFormat="1" ht="14.5">
      <c r="B384" s="5" t="str">
        <f t="shared" si="71"/>
        <v xml:space="preserve">        └ 정산 대기 현황</v>
      </c>
      <c r="C384" s="33" t="s">
        <v>47</v>
      </c>
      <c r="D384" s="32"/>
      <c r="E384" s="33" t="s">
        <v>1406</v>
      </c>
      <c r="F384" s="44" t="s">
        <v>929</v>
      </c>
      <c r="G384" s="32"/>
      <c r="H384" s="32"/>
      <c r="I384" s="32"/>
      <c r="J384" s="34"/>
      <c r="K384" s="34"/>
      <c r="L384" s="27" t="str">
        <f>IF(F384="","","1")</f>
        <v>1</v>
      </c>
      <c r="M384" s="27" t="str">
        <f>IF(F384="","",IF(O384="","0","1"))</f>
        <v>1</v>
      </c>
      <c r="N384" s="32" t="s">
        <v>432</v>
      </c>
      <c r="O384" s="32" t="s">
        <v>647</v>
      </c>
      <c r="P384" s="27" t="str">
        <f>IF(F384="","","1")</f>
        <v>1</v>
      </c>
      <c r="Q384" s="32" t="s">
        <v>399</v>
      </c>
      <c r="R384" s="32" t="s">
        <v>399</v>
      </c>
      <c r="S384" s="32" t="s">
        <v>399</v>
      </c>
      <c r="T384" s="32" t="s">
        <v>400</v>
      </c>
      <c r="U384" s="32" t="s">
        <v>48</v>
      </c>
      <c r="V384" s="32" t="s">
        <v>400</v>
      </c>
      <c r="W384" s="32" t="s">
        <v>400</v>
      </c>
      <c r="X384" s="32" t="s">
        <v>400</v>
      </c>
      <c r="Y384" s="32" t="s">
        <v>48</v>
      </c>
      <c r="Z384" s="32" t="s">
        <v>48</v>
      </c>
      <c r="AA384" s="32" t="s">
        <v>48</v>
      </c>
      <c r="AB384" s="32" t="s">
        <v>48</v>
      </c>
      <c r="AC384" s="32" t="s">
        <v>48</v>
      </c>
      <c r="AD384" s="32"/>
      <c r="AE384" s="27" t="str">
        <f>IF(F384="","","N")</f>
        <v>N</v>
      </c>
      <c r="AF384" s="32" t="s">
        <v>399</v>
      </c>
      <c r="AG384" s="32"/>
      <c r="AH384" s="33" t="s">
        <v>1408</v>
      </c>
      <c r="AI384" s="35">
        <v>5</v>
      </c>
      <c r="AJ384" s="57">
        <v>391</v>
      </c>
      <c r="AK384" s="33" t="s">
        <v>401</v>
      </c>
      <c r="AL384" s="10" t="s">
        <v>50</v>
      </c>
      <c r="AM384" s="6" t="str">
        <f t="shared" si="61"/>
        <v>14821/정산 대기 현황/ scm/ScmBillStandby</v>
      </c>
      <c r="AN384" s="30"/>
      <c r="AO384" s="30"/>
      <c r="AP384" s="30"/>
      <c r="AQ384" s="30"/>
      <c r="AR384" s="31"/>
      <c r="AS384" s="31"/>
      <c r="AT384" s="31"/>
      <c r="AU384" s="31"/>
      <c r="AV384" s="31"/>
      <c r="AW384" s="31"/>
      <c r="AX384" s="31"/>
      <c r="AY384" s="31"/>
    </row>
    <row r="385" spans="1:51" s="29" customFormat="1" ht="14.5">
      <c r="B385" s="5" t="str">
        <f t="shared" si="71"/>
        <v xml:space="preserve">        └ 정산 현황</v>
      </c>
      <c r="C385" s="33" t="s">
        <v>47</v>
      </c>
      <c r="D385" s="32"/>
      <c r="E385" s="33" t="s">
        <v>1407</v>
      </c>
      <c r="F385" s="44" t="s">
        <v>984</v>
      </c>
      <c r="G385" s="32"/>
      <c r="H385" s="32"/>
      <c r="I385" s="32"/>
      <c r="J385" s="34"/>
      <c r="K385" s="34"/>
      <c r="L385" s="27" t="str">
        <f t="shared" si="62"/>
        <v>1</v>
      </c>
      <c r="M385" s="27" t="str">
        <f t="shared" si="63"/>
        <v>1</v>
      </c>
      <c r="N385" s="32" t="s">
        <v>434</v>
      </c>
      <c r="O385" s="32" t="s">
        <v>701</v>
      </c>
      <c r="P385" s="27" t="str">
        <f t="shared" si="64"/>
        <v>1</v>
      </c>
      <c r="Q385" s="32" t="s">
        <v>399</v>
      </c>
      <c r="R385" s="32" t="s">
        <v>399</v>
      </c>
      <c r="S385" s="32" t="s">
        <v>399</v>
      </c>
      <c r="T385" s="32" t="s">
        <v>400</v>
      </c>
      <c r="U385" s="32" t="s">
        <v>48</v>
      </c>
      <c r="V385" s="32" t="s">
        <v>400</v>
      </c>
      <c r="W385" s="32" t="s">
        <v>399</v>
      </c>
      <c r="X385" s="32" t="s">
        <v>399</v>
      </c>
      <c r="Y385" s="32" t="s">
        <v>48</v>
      </c>
      <c r="Z385" s="32" t="s">
        <v>48</v>
      </c>
      <c r="AA385" s="32" t="s">
        <v>48</v>
      </c>
      <c r="AB385" s="32" t="s">
        <v>48</v>
      </c>
      <c r="AC385" s="32" t="s">
        <v>48</v>
      </c>
      <c r="AD385" s="32"/>
      <c r="AE385" s="27" t="str">
        <f t="shared" si="65"/>
        <v>N</v>
      </c>
      <c r="AF385" s="32" t="s">
        <v>399</v>
      </c>
      <c r="AG385" s="32"/>
      <c r="AH385" s="33" t="s">
        <v>1408</v>
      </c>
      <c r="AI385" s="35">
        <v>5</v>
      </c>
      <c r="AJ385" s="57">
        <v>392</v>
      </c>
      <c r="AK385" s="33" t="s">
        <v>401</v>
      </c>
      <c r="AL385" s="10" t="s">
        <v>50</v>
      </c>
      <c r="AM385" s="6" t="str">
        <f t="shared" si="61"/>
        <v>14821/정산 현황/ bill/StandByList</v>
      </c>
      <c r="AN385" s="30"/>
      <c r="AO385" s="30"/>
      <c r="AP385" s="30"/>
      <c r="AQ385" s="30"/>
      <c r="AR385" s="31"/>
      <c r="AS385" s="31"/>
      <c r="AT385" s="31"/>
      <c r="AU385" s="31"/>
      <c r="AV385" s="31"/>
      <c r="AW385" s="31"/>
      <c r="AX385" s="31"/>
      <c r="AY385" s="31"/>
    </row>
    <row r="386" spans="1:51" s="29" customFormat="1" ht="14.5">
      <c r="B386" s="5" t="str">
        <f t="shared" si="71"/>
        <v xml:space="preserve">    └ 직배</v>
      </c>
      <c r="C386" s="33" t="s">
        <v>47</v>
      </c>
      <c r="D386" s="32"/>
      <c r="E386" s="9">
        <v>2110400</v>
      </c>
      <c r="F386" s="38" t="s">
        <v>1313</v>
      </c>
      <c r="G386" s="9"/>
      <c r="H386" s="9"/>
      <c r="I386" s="9"/>
      <c r="J386" s="9"/>
      <c r="K386" s="9"/>
      <c r="L386" s="9" t="str">
        <f t="shared" ref="L386:L391" si="72">IF(F386="","","1")</f>
        <v>1</v>
      </c>
      <c r="M386" s="9" t="str">
        <f t="shared" ref="M386:M391" si="73">IF(F386="","",IF(O386="","0","1"))</f>
        <v>0</v>
      </c>
      <c r="N386" s="38" t="s">
        <v>48</v>
      </c>
      <c r="O386" s="38"/>
      <c r="P386" s="9" t="str">
        <f t="shared" ref="P386:P391" si="74">IF(F386="","","1")</f>
        <v>1</v>
      </c>
      <c r="Q386" s="9" t="s">
        <v>986</v>
      </c>
      <c r="R386" s="9" t="s">
        <v>986</v>
      </c>
      <c r="S386" s="9" t="s">
        <v>986</v>
      </c>
      <c r="T386" s="9" t="s">
        <v>987</v>
      </c>
      <c r="U386" s="9" t="s">
        <v>985</v>
      </c>
      <c r="V386" s="9" t="s">
        <v>987</v>
      </c>
      <c r="W386" s="9" t="s">
        <v>987</v>
      </c>
      <c r="X386" s="9" t="s">
        <v>987</v>
      </c>
      <c r="Y386" s="9" t="s">
        <v>985</v>
      </c>
      <c r="Z386" s="9" t="s">
        <v>985</v>
      </c>
      <c r="AA386" s="9" t="s">
        <v>985</v>
      </c>
      <c r="AB386" s="9" t="s">
        <v>985</v>
      </c>
      <c r="AC386" s="9" t="s">
        <v>985</v>
      </c>
      <c r="AD386" s="9"/>
      <c r="AE386" s="9" t="str">
        <f t="shared" ref="AE386:AE391" si="75">IF(F386="","","N")</f>
        <v>N</v>
      </c>
      <c r="AF386" s="9" t="s">
        <v>986</v>
      </c>
      <c r="AG386" s="9"/>
      <c r="AH386" s="9">
        <v>2110000</v>
      </c>
      <c r="AI386" s="9">
        <v>4</v>
      </c>
      <c r="AJ386" s="57">
        <v>393</v>
      </c>
      <c r="AK386" s="10" t="s">
        <v>988</v>
      </c>
      <c r="AL386" s="10" t="s">
        <v>50</v>
      </c>
      <c r="AM386" s="6" t="str">
        <f t="shared" si="61"/>
        <v>14821/직배/ /</v>
      </c>
      <c r="AN386" s="30"/>
      <c r="AO386" s="30"/>
      <c r="AP386" s="30"/>
      <c r="AQ386" s="30"/>
      <c r="AR386" s="31"/>
      <c r="AS386" s="31"/>
      <c r="AT386" s="31"/>
      <c r="AU386" s="31"/>
      <c r="AV386" s="31"/>
      <c r="AW386" s="31"/>
      <c r="AX386" s="31"/>
      <c r="AY386" s="31"/>
    </row>
    <row r="387" spans="1:51" s="29" customFormat="1" ht="14.5">
      <c r="B387" s="5" t="str">
        <f t="shared" si="71"/>
        <v xml:space="preserve">        └ 직배 업체 상품 관리</v>
      </c>
      <c r="C387" s="33" t="s">
        <v>47</v>
      </c>
      <c r="D387" s="32"/>
      <c r="E387" s="33" t="s">
        <v>1409</v>
      </c>
      <c r="F387" s="44" t="s">
        <v>924</v>
      </c>
      <c r="G387" s="32"/>
      <c r="H387" s="32"/>
      <c r="I387" s="32"/>
      <c r="J387" s="34"/>
      <c r="K387" s="34"/>
      <c r="L387" s="27" t="str">
        <f t="shared" si="72"/>
        <v>1</v>
      </c>
      <c r="M387" s="27" t="str">
        <f t="shared" si="73"/>
        <v>1</v>
      </c>
      <c r="N387" s="32" t="s">
        <v>432</v>
      </c>
      <c r="O387" s="32" t="s">
        <v>642</v>
      </c>
      <c r="P387" s="27" t="str">
        <f t="shared" si="74"/>
        <v>1</v>
      </c>
      <c r="Q387" s="32" t="s">
        <v>399</v>
      </c>
      <c r="R387" s="32" t="s">
        <v>399</v>
      </c>
      <c r="S387" s="32" t="s">
        <v>399</v>
      </c>
      <c r="T387" s="32" t="s">
        <v>400</v>
      </c>
      <c r="U387" s="32" t="s">
        <v>48</v>
      </c>
      <c r="V387" s="32" t="s">
        <v>400</v>
      </c>
      <c r="W387" s="32" t="s">
        <v>400</v>
      </c>
      <c r="X387" s="32" t="s">
        <v>400</v>
      </c>
      <c r="Y387" s="32" t="s">
        <v>48</v>
      </c>
      <c r="Z387" s="32" t="s">
        <v>48</v>
      </c>
      <c r="AA387" s="32" t="s">
        <v>48</v>
      </c>
      <c r="AB387" s="32" t="s">
        <v>48</v>
      </c>
      <c r="AC387" s="32" t="s">
        <v>48</v>
      </c>
      <c r="AD387" s="32"/>
      <c r="AE387" s="27" t="str">
        <f t="shared" si="75"/>
        <v>N</v>
      </c>
      <c r="AF387" s="32" t="s">
        <v>399</v>
      </c>
      <c r="AG387" s="32"/>
      <c r="AH387" s="33" t="s">
        <v>1410</v>
      </c>
      <c r="AI387" s="35">
        <v>5</v>
      </c>
      <c r="AJ387" s="57">
        <v>394</v>
      </c>
      <c r="AK387" s="33" t="s">
        <v>401</v>
      </c>
      <c r="AL387" s="10" t="s">
        <v>50</v>
      </c>
      <c r="AM387" s="6" t="str">
        <f t="shared" si="61"/>
        <v>14821/직배 업체 상품 관리/ scm/ScmVendorInfo</v>
      </c>
      <c r="AN387" s="30"/>
      <c r="AO387" s="30"/>
      <c r="AP387" s="30"/>
      <c r="AQ387" s="30"/>
      <c r="AR387" s="31"/>
      <c r="AS387" s="31"/>
      <c r="AT387" s="31"/>
      <c r="AU387" s="31"/>
      <c r="AV387" s="31"/>
      <c r="AW387" s="31"/>
      <c r="AX387" s="31"/>
      <c r="AY387" s="31"/>
    </row>
    <row r="388" spans="1:51" s="29" customFormat="1" ht="14.5">
      <c r="B388" s="5" t="str">
        <f t="shared" si="71"/>
        <v xml:space="preserve">    └ 출고</v>
      </c>
      <c r="C388" s="33" t="s">
        <v>47</v>
      </c>
      <c r="D388" s="32"/>
      <c r="E388" s="9">
        <v>2110500</v>
      </c>
      <c r="F388" s="38" t="s">
        <v>1314</v>
      </c>
      <c r="G388" s="9"/>
      <c r="H388" s="9"/>
      <c r="I388" s="9"/>
      <c r="J388" s="9"/>
      <c r="K388" s="9"/>
      <c r="L388" s="9" t="str">
        <f t="shared" si="72"/>
        <v>1</v>
      </c>
      <c r="M388" s="9" t="str">
        <f t="shared" si="73"/>
        <v>0</v>
      </c>
      <c r="N388" s="38" t="s">
        <v>48</v>
      </c>
      <c r="O388" s="38"/>
      <c r="P388" s="9" t="str">
        <f t="shared" si="74"/>
        <v>1</v>
      </c>
      <c r="Q388" s="9" t="s">
        <v>986</v>
      </c>
      <c r="R388" s="9" t="s">
        <v>986</v>
      </c>
      <c r="S388" s="9" t="s">
        <v>986</v>
      </c>
      <c r="T388" s="9" t="s">
        <v>987</v>
      </c>
      <c r="U388" s="9" t="s">
        <v>985</v>
      </c>
      <c r="V388" s="9" t="s">
        <v>987</v>
      </c>
      <c r="W388" s="9" t="s">
        <v>987</v>
      </c>
      <c r="X388" s="9" t="s">
        <v>987</v>
      </c>
      <c r="Y388" s="9" t="s">
        <v>985</v>
      </c>
      <c r="Z388" s="9" t="s">
        <v>985</v>
      </c>
      <c r="AA388" s="9" t="s">
        <v>985</v>
      </c>
      <c r="AB388" s="9" t="s">
        <v>985</v>
      </c>
      <c r="AC388" s="9" t="s">
        <v>985</v>
      </c>
      <c r="AD388" s="9"/>
      <c r="AE388" s="9" t="str">
        <f t="shared" si="75"/>
        <v>N</v>
      </c>
      <c r="AF388" s="9" t="s">
        <v>986</v>
      </c>
      <c r="AG388" s="9"/>
      <c r="AH388" s="9">
        <v>2110000</v>
      </c>
      <c r="AI388" s="9">
        <v>4</v>
      </c>
      <c r="AJ388" s="57">
        <v>395</v>
      </c>
      <c r="AK388" s="10" t="s">
        <v>988</v>
      </c>
      <c r="AL388" s="10" t="s">
        <v>50</v>
      </c>
      <c r="AM388" s="6" t="str">
        <f t="shared" si="61"/>
        <v>14821/출고/ /</v>
      </c>
      <c r="AN388" s="30"/>
      <c r="AO388" s="30"/>
      <c r="AP388" s="30"/>
      <c r="AQ388" s="30"/>
      <c r="AR388" s="31"/>
      <c r="AS388" s="31"/>
      <c r="AT388" s="31"/>
      <c r="AU388" s="31"/>
      <c r="AV388" s="31"/>
      <c r="AW388" s="31"/>
      <c r="AX388" s="31"/>
      <c r="AY388" s="31"/>
    </row>
    <row r="389" spans="1:51" s="29" customFormat="1" ht="14.5">
      <c r="B389" s="5" t="str">
        <f t="shared" si="71"/>
        <v xml:space="preserve">        └ 납품관리</v>
      </c>
      <c r="C389" s="33" t="s">
        <v>47</v>
      </c>
      <c r="D389" s="32"/>
      <c r="E389" s="33" t="s">
        <v>1411</v>
      </c>
      <c r="F389" s="44" t="s">
        <v>927</v>
      </c>
      <c r="G389" s="32"/>
      <c r="H389" s="32"/>
      <c r="I389" s="32"/>
      <c r="J389" s="34"/>
      <c r="K389" s="34"/>
      <c r="L389" s="27" t="str">
        <f t="shared" si="72"/>
        <v>1</v>
      </c>
      <c r="M389" s="27" t="str">
        <f t="shared" si="73"/>
        <v>1</v>
      </c>
      <c r="N389" s="32" t="s">
        <v>432</v>
      </c>
      <c r="O389" s="32" t="s">
        <v>645</v>
      </c>
      <c r="P389" s="27" t="str">
        <f t="shared" si="74"/>
        <v>1</v>
      </c>
      <c r="Q389" s="32" t="s">
        <v>399</v>
      </c>
      <c r="R389" s="32" t="s">
        <v>399</v>
      </c>
      <c r="S389" s="32" t="s">
        <v>399</v>
      </c>
      <c r="T389" s="32" t="s">
        <v>400</v>
      </c>
      <c r="U389" s="32" t="s">
        <v>48</v>
      </c>
      <c r="V389" s="32" t="s">
        <v>400</v>
      </c>
      <c r="W389" s="32" t="s">
        <v>400</v>
      </c>
      <c r="X389" s="32" t="s">
        <v>400</v>
      </c>
      <c r="Y389" s="32" t="s">
        <v>48</v>
      </c>
      <c r="Z389" s="32" t="s">
        <v>48</v>
      </c>
      <c r="AA389" s="32" t="s">
        <v>48</v>
      </c>
      <c r="AB389" s="32" t="s">
        <v>48</v>
      </c>
      <c r="AC389" s="32" t="s">
        <v>48</v>
      </c>
      <c r="AD389" s="32"/>
      <c r="AE389" s="27" t="str">
        <f t="shared" si="75"/>
        <v>N</v>
      </c>
      <c r="AF389" s="32" t="s">
        <v>399</v>
      </c>
      <c r="AG389" s="32"/>
      <c r="AH389" s="33" t="s">
        <v>1413</v>
      </c>
      <c r="AI389" s="35">
        <v>5</v>
      </c>
      <c r="AJ389" s="57">
        <v>396</v>
      </c>
      <c r="AK389" s="33" t="s">
        <v>401</v>
      </c>
      <c r="AL389" s="10" t="s">
        <v>50</v>
      </c>
      <c r="AM389" s="6" t="str">
        <f t="shared" si="61"/>
        <v>14821/납품관리/ scm/ScmSaleWork</v>
      </c>
      <c r="AN389" s="30"/>
      <c r="AO389" s="30"/>
      <c r="AP389" s="30"/>
      <c r="AQ389" s="30"/>
      <c r="AR389" s="31"/>
      <c r="AS389" s="31"/>
      <c r="AT389" s="31"/>
      <c r="AU389" s="31"/>
      <c r="AV389" s="31"/>
      <c r="AW389" s="31"/>
      <c r="AX389" s="31"/>
      <c r="AY389" s="31"/>
    </row>
    <row r="390" spans="1:51" s="29" customFormat="1" ht="14.5">
      <c r="B390" s="5" t="str">
        <f t="shared" si="71"/>
        <v xml:space="preserve">        └ 납품현황</v>
      </c>
      <c r="C390" s="33" t="s">
        <v>47</v>
      </c>
      <c r="D390" s="32"/>
      <c r="E390" s="33" t="s">
        <v>1412</v>
      </c>
      <c r="F390" s="44" t="s">
        <v>928</v>
      </c>
      <c r="G390" s="32"/>
      <c r="H390" s="32"/>
      <c r="I390" s="32"/>
      <c r="J390" s="34"/>
      <c r="K390" s="34"/>
      <c r="L390" s="27" t="str">
        <f t="shared" si="72"/>
        <v>1</v>
      </c>
      <c r="M390" s="27" t="str">
        <f t="shared" si="73"/>
        <v>1</v>
      </c>
      <c r="N390" s="32" t="s">
        <v>432</v>
      </c>
      <c r="O390" s="32" t="s">
        <v>646</v>
      </c>
      <c r="P390" s="27" t="str">
        <f t="shared" si="74"/>
        <v>1</v>
      </c>
      <c r="Q390" s="32" t="s">
        <v>399</v>
      </c>
      <c r="R390" s="32" t="s">
        <v>399</v>
      </c>
      <c r="S390" s="32" t="s">
        <v>399</v>
      </c>
      <c r="T390" s="32" t="s">
        <v>400</v>
      </c>
      <c r="U390" s="32" t="s">
        <v>48</v>
      </c>
      <c r="V390" s="32" t="s">
        <v>400</v>
      </c>
      <c r="W390" s="32" t="s">
        <v>400</v>
      </c>
      <c r="X390" s="32" t="s">
        <v>400</v>
      </c>
      <c r="Y390" s="32" t="s">
        <v>48</v>
      </c>
      <c r="Z390" s="32" t="s">
        <v>48</v>
      </c>
      <c r="AA390" s="32" t="s">
        <v>48</v>
      </c>
      <c r="AB390" s="32" t="s">
        <v>48</v>
      </c>
      <c r="AC390" s="32" t="s">
        <v>48</v>
      </c>
      <c r="AD390" s="32"/>
      <c r="AE390" s="27" t="str">
        <f t="shared" si="75"/>
        <v>N</v>
      </c>
      <c r="AF390" s="32" t="s">
        <v>399</v>
      </c>
      <c r="AG390" s="32"/>
      <c r="AH390" s="33" t="s">
        <v>1413</v>
      </c>
      <c r="AI390" s="35">
        <v>5</v>
      </c>
      <c r="AJ390" s="57">
        <v>397</v>
      </c>
      <c r="AK390" s="33" t="s">
        <v>401</v>
      </c>
      <c r="AL390" s="10" t="s">
        <v>50</v>
      </c>
      <c r="AM390" s="6" t="str">
        <f t="shared" si="61"/>
        <v>14821/납품현황/ scm/ScmSaleList</v>
      </c>
      <c r="AN390" s="30"/>
      <c r="AO390" s="30"/>
      <c r="AP390" s="30"/>
      <c r="AQ390" s="30"/>
      <c r="AR390" s="31"/>
      <c r="AS390" s="31"/>
      <c r="AT390" s="31"/>
      <c r="AU390" s="31"/>
      <c r="AV390" s="31"/>
      <c r="AW390" s="31"/>
      <c r="AX390" s="31"/>
      <c r="AY390" s="31"/>
    </row>
    <row r="391" spans="1:51" s="29" customFormat="1" ht="14.5">
      <c r="B391" s="5" t="str">
        <f t="shared" si="71"/>
        <v/>
      </c>
      <c r="C391" s="33"/>
      <c r="D391" s="32"/>
      <c r="E391" s="33"/>
      <c r="F391" s="44" t="s">
        <v>900</v>
      </c>
      <c r="G391" s="32"/>
      <c r="H391" s="32"/>
      <c r="I391" s="32"/>
      <c r="J391" s="34"/>
      <c r="K391" s="34"/>
      <c r="L391" s="27" t="str">
        <f t="shared" si="72"/>
        <v/>
      </c>
      <c r="M391" s="27" t="str">
        <f t="shared" si="73"/>
        <v/>
      </c>
      <c r="N391" s="32"/>
      <c r="O391" s="32"/>
      <c r="P391" s="27" t="str">
        <f t="shared" si="74"/>
        <v/>
      </c>
      <c r="Q391" s="32"/>
      <c r="R391" s="32"/>
      <c r="S391" s="32"/>
      <c r="T391" s="32"/>
      <c r="U391" s="32"/>
      <c r="V391" s="32"/>
      <c r="W391" s="32"/>
      <c r="X391" s="32"/>
      <c r="Y391" s="32"/>
      <c r="Z391" s="32"/>
      <c r="AA391" s="32"/>
      <c r="AB391" s="32"/>
      <c r="AC391" s="32"/>
      <c r="AD391" s="32"/>
      <c r="AE391" s="27" t="str">
        <f t="shared" si="75"/>
        <v/>
      </c>
      <c r="AF391" s="32"/>
      <c r="AG391" s="32"/>
      <c r="AH391" s="33"/>
      <c r="AI391" s="35"/>
      <c r="AJ391" s="58"/>
      <c r="AK391" s="33" t="s">
        <v>401</v>
      </c>
      <c r="AL391" s="10" t="s">
        <v>50</v>
      </c>
      <c r="AM391" s="6" t="str">
        <f t="shared" si="61"/>
        <v/>
      </c>
      <c r="AN391" s="30"/>
      <c r="AO391" s="30"/>
      <c r="AP391" s="30"/>
      <c r="AQ391" s="30"/>
      <c r="AR391" s="31"/>
      <c r="AS391" s="31"/>
      <c r="AT391" s="31"/>
      <c r="AU391" s="31"/>
      <c r="AV391" s="31"/>
      <c r="AW391" s="31"/>
      <c r="AX391" s="31"/>
      <c r="AY391" s="31"/>
    </row>
    <row r="392" spans="1:51">
      <c r="A392" s="1">
        <v>216</v>
      </c>
      <c r="B392" s="5"/>
      <c r="C392" s="10" t="str">
        <f t="shared" ref="C392:C420" si="76">IF(E392="","","14821")</f>
        <v/>
      </c>
      <c r="D392" s="5"/>
      <c r="E392" s="10"/>
      <c r="F392" s="43"/>
      <c r="G392" s="5"/>
      <c r="H392" s="5"/>
      <c r="I392" s="5"/>
      <c r="J392" s="5"/>
      <c r="K392" s="10"/>
      <c r="L392" s="10"/>
      <c r="M392" s="10"/>
      <c r="N392" s="5"/>
      <c r="O392" s="5"/>
      <c r="P392" s="5"/>
      <c r="Q392" s="5"/>
      <c r="R392" s="5"/>
      <c r="S392" s="5"/>
      <c r="T392" s="5"/>
      <c r="U392" s="5"/>
      <c r="V392" s="5"/>
      <c r="W392" s="5"/>
      <c r="X392" s="5"/>
      <c r="Y392" s="5"/>
      <c r="Z392" s="5"/>
      <c r="AA392" s="5"/>
      <c r="AB392" s="5"/>
      <c r="AC392" s="5"/>
      <c r="AD392" s="5"/>
      <c r="AE392" s="5"/>
      <c r="AF392" s="5"/>
      <c r="AG392" s="5"/>
      <c r="AH392" s="27"/>
      <c r="AI392" s="27"/>
      <c r="AJ392" s="57"/>
      <c r="AK392" s="27"/>
      <c r="AL392" s="10"/>
      <c r="AM392" s="6"/>
      <c r="AN392" s="7"/>
      <c r="AO392" s="7"/>
      <c r="AP392" s="7"/>
      <c r="AQ392" s="7"/>
      <c r="AR392" s="7"/>
      <c r="AS392" s="7"/>
      <c r="AT392" s="7"/>
      <c r="AU392" s="7"/>
      <c r="AV392" s="7"/>
      <c r="AW392" s="7"/>
    </row>
    <row r="393" spans="1:51">
      <c r="A393" s="1">
        <v>217</v>
      </c>
      <c r="B393" s="5"/>
      <c r="C393" s="10" t="str">
        <f t="shared" si="76"/>
        <v/>
      </c>
      <c r="D393" s="5"/>
      <c r="E393" s="10"/>
      <c r="F393" s="43"/>
      <c r="G393" s="5"/>
      <c r="H393" s="5"/>
      <c r="I393" s="5"/>
      <c r="J393" s="5"/>
      <c r="K393" s="10"/>
      <c r="L393" s="10"/>
      <c r="M393" s="10"/>
      <c r="N393" s="5"/>
      <c r="O393" s="5"/>
      <c r="P393" s="5"/>
      <c r="Q393" s="5"/>
      <c r="R393" s="5"/>
      <c r="S393" s="5"/>
      <c r="T393" s="5"/>
      <c r="U393" s="5"/>
      <c r="V393" s="5"/>
      <c r="W393" s="5"/>
      <c r="X393" s="5"/>
      <c r="Y393" s="5"/>
      <c r="Z393" s="5"/>
      <c r="AA393" s="5"/>
      <c r="AB393" s="5"/>
      <c r="AC393" s="5"/>
      <c r="AD393" s="5"/>
      <c r="AE393" s="5"/>
      <c r="AF393" s="5"/>
      <c r="AG393" s="5"/>
      <c r="AH393" s="27"/>
      <c r="AI393" s="27"/>
      <c r="AJ393" s="57"/>
      <c r="AK393" s="27"/>
      <c r="AL393" s="10"/>
      <c r="AM393" s="6"/>
      <c r="AN393" s="7"/>
      <c r="AO393" s="7"/>
      <c r="AP393" s="7"/>
      <c r="AQ393" s="7"/>
      <c r="AR393" s="7"/>
      <c r="AS393" s="7"/>
      <c r="AT393" s="7"/>
      <c r="AU393" s="7"/>
      <c r="AV393" s="7"/>
      <c r="AW393" s="7"/>
    </row>
    <row r="394" spans="1:51">
      <c r="A394" s="1">
        <v>218</v>
      </c>
      <c r="B394" s="5"/>
      <c r="C394" s="10" t="str">
        <f t="shared" si="76"/>
        <v/>
      </c>
      <c r="D394" s="5"/>
      <c r="E394" s="10"/>
      <c r="F394" s="43"/>
      <c r="G394" s="5"/>
      <c r="H394" s="5"/>
      <c r="I394" s="5"/>
      <c r="J394" s="5"/>
      <c r="K394" s="10"/>
      <c r="L394" s="10"/>
      <c r="M394" s="10"/>
      <c r="N394" s="5"/>
      <c r="O394" s="5"/>
      <c r="P394" s="5"/>
      <c r="Q394" s="5"/>
      <c r="R394" s="5"/>
      <c r="S394" s="5"/>
      <c r="T394" s="5"/>
      <c r="U394" s="5"/>
      <c r="V394" s="5"/>
      <c r="W394" s="5"/>
      <c r="X394" s="5"/>
      <c r="Y394" s="5"/>
      <c r="Z394" s="5"/>
      <c r="AA394" s="5"/>
      <c r="AB394" s="5"/>
      <c r="AC394" s="5"/>
      <c r="AD394" s="5"/>
      <c r="AE394" s="5"/>
      <c r="AF394" s="5"/>
      <c r="AG394" s="5"/>
      <c r="AH394" s="27"/>
      <c r="AI394" s="27"/>
      <c r="AJ394" s="57"/>
      <c r="AK394" s="27"/>
      <c r="AL394" s="10"/>
      <c r="AM394" s="6"/>
      <c r="AN394" s="7"/>
      <c r="AO394" s="7"/>
      <c r="AP394" s="7"/>
      <c r="AQ394" s="7"/>
      <c r="AR394" s="7"/>
      <c r="AS394" s="7"/>
      <c r="AT394" s="7"/>
      <c r="AU394" s="7"/>
      <c r="AV394" s="7"/>
      <c r="AW394" s="7"/>
    </row>
    <row r="395" spans="1:51">
      <c r="A395" s="1">
        <v>219</v>
      </c>
      <c r="B395" s="5"/>
      <c r="C395" s="10" t="str">
        <f t="shared" si="76"/>
        <v/>
      </c>
      <c r="D395" s="5"/>
      <c r="E395" s="10"/>
      <c r="F395" s="43"/>
      <c r="G395" s="5"/>
      <c r="H395" s="5"/>
      <c r="I395" s="5"/>
      <c r="J395" s="5"/>
      <c r="K395" s="10"/>
      <c r="L395" s="10"/>
      <c r="M395" s="10"/>
      <c r="N395" s="5"/>
      <c r="O395" s="5"/>
      <c r="P395" s="5"/>
      <c r="Q395" s="5"/>
      <c r="R395" s="5"/>
      <c r="S395" s="5"/>
      <c r="T395" s="5"/>
      <c r="U395" s="5"/>
      <c r="V395" s="5"/>
      <c r="W395" s="5"/>
      <c r="X395" s="5"/>
      <c r="Y395" s="5"/>
      <c r="Z395" s="5"/>
      <c r="AA395" s="5"/>
      <c r="AB395" s="5"/>
      <c r="AC395" s="5"/>
      <c r="AD395" s="5"/>
      <c r="AE395" s="5"/>
      <c r="AF395" s="5"/>
      <c r="AG395" s="5"/>
      <c r="AH395" s="27"/>
      <c r="AI395" s="27"/>
      <c r="AJ395" s="57"/>
      <c r="AK395" s="27"/>
      <c r="AL395" s="10"/>
      <c r="AM395" s="6"/>
      <c r="AN395" s="7"/>
      <c r="AO395" s="7"/>
      <c r="AP395" s="7"/>
      <c r="AQ395" s="7"/>
      <c r="AR395" s="7"/>
      <c r="AS395" s="7"/>
      <c r="AT395" s="7"/>
      <c r="AU395" s="7"/>
      <c r="AV395" s="7"/>
      <c r="AW395" s="7"/>
    </row>
    <row r="396" spans="1:51">
      <c r="A396" s="1">
        <v>220</v>
      </c>
      <c r="B396" s="5"/>
      <c r="C396" s="10" t="str">
        <f t="shared" si="76"/>
        <v/>
      </c>
      <c r="D396" s="5"/>
      <c r="E396" s="10"/>
      <c r="F396" s="43"/>
      <c r="G396" s="5"/>
      <c r="H396" s="5"/>
      <c r="I396" s="5"/>
      <c r="J396" s="5"/>
      <c r="K396" s="10"/>
      <c r="L396" s="10"/>
      <c r="M396" s="10"/>
      <c r="N396" s="5"/>
      <c r="O396" s="5"/>
      <c r="P396" s="5"/>
      <c r="Q396" s="5"/>
      <c r="R396" s="5"/>
      <c r="S396" s="5"/>
      <c r="T396" s="5"/>
      <c r="U396" s="5"/>
      <c r="V396" s="5"/>
      <c r="W396" s="5"/>
      <c r="X396" s="5"/>
      <c r="Y396" s="5"/>
      <c r="Z396" s="5"/>
      <c r="AA396" s="5"/>
      <c r="AB396" s="5"/>
      <c r="AC396" s="5"/>
      <c r="AD396" s="5"/>
      <c r="AE396" s="5"/>
      <c r="AF396" s="5"/>
      <c r="AG396" s="5"/>
      <c r="AH396" s="27"/>
      <c r="AI396" s="27"/>
      <c r="AJ396" s="57"/>
      <c r="AK396" s="27"/>
      <c r="AL396" s="10"/>
      <c r="AM396" s="6"/>
      <c r="AN396" s="7"/>
      <c r="AO396" s="7"/>
      <c r="AP396" s="7"/>
      <c r="AQ396" s="7"/>
      <c r="AR396" s="7"/>
      <c r="AS396" s="7"/>
      <c r="AT396" s="7"/>
      <c r="AU396" s="7"/>
      <c r="AV396" s="7"/>
      <c r="AW396" s="7"/>
    </row>
    <row r="397" spans="1:51">
      <c r="A397" s="1">
        <v>221</v>
      </c>
      <c r="B397" s="5"/>
      <c r="C397" s="10" t="str">
        <f t="shared" si="76"/>
        <v/>
      </c>
      <c r="D397" s="5"/>
      <c r="E397" s="10"/>
      <c r="F397" s="43"/>
      <c r="G397" s="5"/>
      <c r="H397" s="5"/>
      <c r="I397" s="5"/>
      <c r="J397" s="5"/>
      <c r="K397" s="10"/>
      <c r="L397" s="10"/>
      <c r="M397" s="10"/>
      <c r="N397" s="5"/>
      <c r="O397" s="5"/>
      <c r="P397" s="5"/>
      <c r="Q397" s="5"/>
      <c r="R397" s="5"/>
      <c r="S397" s="5"/>
      <c r="T397" s="5"/>
      <c r="U397" s="5"/>
      <c r="V397" s="5"/>
      <c r="W397" s="5"/>
      <c r="X397" s="5"/>
      <c r="Y397" s="5"/>
      <c r="Z397" s="5"/>
      <c r="AA397" s="5"/>
      <c r="AB397" s="5"/>
      <c r="AC397" s="5"/>
      <c r="AD397" s="5"/>
      <c r="AE397" s="5"/>
      <c r="AF397" s="5"/>
      <c r="AG397" s="5"/>
      <c r="AH397" s="27"/>
      <c r="AI397" s="27"/>
      <c r="AJ397" s="57"/>
      <c r="AK397" s="27"/>
      <c r="AL397" s="10"/>
      <c r="AM397" s="6"/>
      <c r="AN397" s="7"/>
      <c r="AO397" s="7"/>
      <c r="AP397" s="7"/>
      <c r="AQ397" s="7"/>
      <c r="AR397" s="7"/>
      <c r="AS397" s="7"/>
      <c r="AT397" s="7"/>
      <c r="AU397" s="7"/>
      <c r="AV397" s="7"/>
      <c r="AW397" s="7"/>
    </row>
    <row r="398" spans="1:51">
      <c r="A398" s="1">
        <v>222</v>
      </c>
      <c r="B398" s="5"/>
      <c r="C398" s="10" t="str">
        <f t="shared" si="76"/>
        <v/>
      </c>
      <c r="D398" s="5"/>
      <c r="E398" s="10"/>
      <c r="F398" s="43"/>
      <c r="G398" s="5"/>
      <c r="H398" s="5"/>
      <c r="I398" s="5"/>
      <c r="J398" s="5"/>
      <c r="K398" s="10"/>
      <c r="L398" s="10"/>
      <c r="M398" s="10"/>
      <c r="N398" s="5"/>
      <c r="O398" s="5"/>
      <c r="P398" s="5"/>
      <c r="Q398" s="5"/>
      <c r="R398" s="5"/>
      <c r="S398" s="5"/>
      <c r="T398" s="5"/>
      <c r="U398" s="5"/>
      <c r="V398" s="5"/>
      <c r="W398" s="5"/>
      <c r="X398" s="5"/>
      <c r="Y398" s="5"/>
      <c r="Z398" s="5"/>
      <c r="AA398" s="5"/>
      <c r="AB398" s="5"/>
      <c r="AC398" s="5"/>
      <c r="AD398" s="5"/>
      <c r="AE398" s="5"/>
      <c r="AF398" s="5"/>
      <c r="AG398" s="5"/>
      <c r="AH398" s="27"/>
      <c r="AI398" s="27"/>
      <c r="AJ398" s="57"/>
      <c r="AK398" s="27"/>
      <c r="AL398" s="10"/>
      <c r="AM398" s="6"/>
      <c r="AN398" s="7"/>
      <c r="AO398" s="7"/>
      <c r="AP398" s="7"/>
      <c r="AQ398" s="7"/>
      <c r="AR398" s="7"/>
      <c r="AS398" s="7"/>
      <c r="AT398" s="7"/>
      <c r="AU398" s="7"/>
      <c r="AV398" s="7"/>
      <c r="AW398" s="7"/>
    </row>
    <row r="399" spans="1:51">
      <c r="A399" s="1">
        <v>223</v>
      </c>
      <c r="B399" s="5"/>
      <c r="C399" s="10" t="str">
        <f t="shared" si="76"/>
        <v/>
      </c>
      <c r="D399" s="5"/>
      <c r="E399" s="10"/>
      <c r="F399" s="43"/>
      <c r="G399" s="5"/>
      <c r="H399" s="5"/>
      <c r="I399" s="5"/>
      <c r="J399" s="5"/>
      <c r="K399" s="10"/>
      <c r="L399" s="10"/>
      <c r="M399" s="10"/>
      <c r="N399" s="5"/>
      <c r="O399" s="5"/>
      <c r="P399" s="5"/>
      <c r="Q399" s="5"/>
      <c r="R399" s="5"/>
      <c r="S399" s="5"/>
      <c r="T399" s="5"/>
      <c r="U399" s="5"/>
      <c r="V399" s="5"/>
      <c r="W399" s="5"/>
      <c r="X399" s="5"/>
      <c r="Y399" s="5"/>
      <c r="Z399" s="5"/>
      <c r="AA399" s="5"/>
      <c r="AB399" s="5"/>
      <c r="AC399" s="5"/>
      <c r="AD399" s="5"/>
      <c r="AE399" s="5"/>
      <c r="AF399" s="5"/>
      <c r="AG399" s="5"/>
      <c r="AH399" s="27"/>
      <c r="AI399" s="27"/>
      <c r="AJ399" s="57"/>
      <c r="AK399" s="27"/>
      <c r="AL399" s="10"/>
      <c r="AM399" s="6"/>
      <c r="AN399" s="7"/>
      <c r="AO399" s="7"/>
      <c r="AP399" s="7"/>
      <c r="AQ399" s="7"/>
      <c r="AR399" s="7"/>
      <c r="AS399" s="7"/>
      <c r="AT399" s="7"/>
      <c r="AU399" s="7"/>
      <c r="AV399" s="7"/>
      <c r="AW399" s="7"/>
    </row>
    <row r="400" spans="1:51">
      <c r="A400" s="1">
        <v>224</v>
      </c>
      <c r="B400" s="5"/>
      <c r="C400" s="10" t="str">
        <f t="shared" si="76"/>
        <v/>
      </c>
      <c r="D400" s="5"/>
      <c r="E400" s="10"/>
      <c r="F400" s="43"/>
      <c r="G400" s="5"/>
      <c r="H400" s="5"/>
      <c r="I400" s="5"/>
      <c r="J400" s="5"/>
      <c r="K400" s="10"/>
      <c r="L400" s="10"/>
      <c r="M400" s="10"/>
      <c r="N400" s="5"/>
      <c r="O400" s="5"/>
      <c r="P400" s="5"/>
      <c r="Q400" s="5"/>
      <c r="R400" s="5"/>
      <c r="S400" s="5"/>
      <c r="T400" s="5"/>
      <c r="U400" s="5"/>
      <c r="V400" s="5"/>
      <c r="W400" s="5"/>
      <c r="X400" s="5"/>
      <c r="Y400" s="5"/>
      <c r="Z400" s="5"/>
      <c r="AA400" s="5"/>
      <c r="AB400" s="5"/>
      <c r="AC400" s="5"/>
      <c r="AD400" s="5"/>
      <c r="AE400" s="5"/>
      <c r="AF400" s="5"/>
      <c r="AG400" s="5"/>
      <c r="AH400" s="27"/>
      <c r="AI400" s="27"/>
      <c r="AJ400" s="57"/>
      <c r="AK400" s="27"/>
      <c r="AL400" s="10"/>
      <c r="AM400" s="6"/>
      <c r="AN400" s="7"/>
      <c r="AO400" s="7"/>
      <c r="AP400" s="7"/>
      <c r="AQ400" s="7"/>
      <c r="AR400" s="7"/>
      <c r="AS400" s="7"/>
      <c r="AT400" s="7"/>
      <c r="AU400" s="7"/>
      <c r="AV400" s="7"/>
      <c r="AW400" s="7"/>
    </row>
    <row r="401" spans="1:49">
      <c r="A401" s="1">
        <v>225</v>
      </c>
      <c r="B401" s="5"/>
      <c r="C401" s="10" t="str">
        <f t="shared" si="76"/>
        <v/>
      </c>
      <c r="D401" s="5"/>
      <c r="E401" s="10"/>
      <c r="F401" s="43"/>
      <c r="G401" s="5"/>
      <c r="H401" s="5"/>
      <c r="I401" s="5"/>
      <c r="J401" s="5"/>
      <c r="K401" s="10"/>
      <c r="L401" s="10"/>
      <c r="M401" s="10"/>
      <c r="N401" s="5"/>
      <c r="O401" s="5"/>
      <c r="P401" s="5"/>
      <c r="Q401" s="5"/>
      <c r="R401" s="5"/>
      <c r="S401" s="5"/>
      <c r="T401" s="5"/>
      <c r="U401" s="5"/>
      <c r="V401" s="5"/>
      <c r="W401" s="5"/>
      <c r="X401" s="5"/>
      <c r="Y401" s="5"/>
      <c r="Z401" s="5"/>
      <c r="AA401" s="5"/>
      <c r="AB401" s="5"/>
      <c r="AC401" s="5"/>
      <c r="AD401" s="5"/>
      <c r="AE401" s="5"/>
      <c r="AF401" s="5"/>
      <c r="AG401" s="5"/>
      <c r="AH401" s="27"/>
      <c r="AI401" s="27"/>
      <c r="AJ401" s="57"/>
      <c r="AK401" s="27"/>
      <c r="AL401" s="10"/>
      <c r="AM401" s="6"/>
      <c r="AN401" s="7"/>
      <c r="AO401" s="7"/>
      <c r="AP401" s="7"/>
      <c r="AQ401" s="7"/>
      <c r="AR401" s="7"/>
      <c r="AS401" s="7"/>
      <c r="AT401" s="7"/>
      <c r="AU401" s="7"/>
      <c r="AV401" s="7"/>
      <c r="AW401" s="7"/>
    </row>
    <row r="402" spans="1:49">
      <c r="A402" s="1">
        <v>226</v>
      </c>
      <c r="B402" s="5"/>
      <c r="C402" s="10" t="str">
        <f t="shared" si="76"/>
        <v/>
      </c>
      <c r="D402" s="5"/>
      <c r="E402" s="10"/>
      <c r="F402" s="43"/>
      <c r="G402" s="5"/>
      <c r="H402" s="5"/>
      <c r="I402" s="5"/>
      <c r="J402" s="5"/>
      <c r="K402" s="10"/>
      <c r="L402" s="10"/>
      <c r="M402" s="10"/>
      <c r="N402" s="5"/>
      <c r="O402" s="5"/>
      <c r="P402" s="5"/>
      <c r="Q402" s="5"/>
      <c r="R402" s="5"/>
      <c r="S402" s="5"/>
      <c r="T402" s="5"/>
      <c r="U402" s="5"/>
      <c r="V402" s="5"/>
      <c r="W402" s="5"/>
      <c r="X402" s="5"/>
      <c r="Y402" s="5"/>
      <c r="Z402" s="5"/>
      <c r="AA402" s="5"/>
      <c r="AB402" s="5"/>
      <c r="AC402" s="5"/>
      <c r="AD402" s="5"/>
      <c r="AE402" s="5"/>
      <c r="AF402" s="5"/>
      <c r="AG402" s="5"/>
      <c r="AH402" s="27"/>
      <c r="AI402" s="27"/>
      <c r="AJ402" s="57"/>
      <c r="AK402" s="27"/>
      <c r="AL402" s="10"/>
      <c r="AM402" s="6"/>
      <c r="AN402" s="7"/>
      <c r="AO402" s="7"/>
      <c r="AP402" s="7"/>
      <c r="AQ402" s="7"/>
      <c r="AR402" s="7"/>
      <c r="AS402" s="7"/>
      <c r="AT402" s="7"/>
      <c r="AU402" s="7"/>
      <c r="AV402" s="7"/>
      <c r="AW402" s="7"/>
    </row>
    <row r="403" spans="1:49">
      <c r="A403" s="1">
        <v>227</v>
      </c>
      <c r="B403" s="5"/>
      <c r="C403" s="10" t="str">
        <f t="shared" si="76"/>
        <v/>
      </c>
      <c r="D403" s="5"/>
      <c r="E403" s="10"/>
      <c r="F403" s="43"/>
      <c r="G403" s="5"/>
      <c r="H403" s="5"/>
      <c r="I403" s="5"/>
      <c r="J403" s="5"/>
      <c r="K403" s="10"/>
      <c r="L403" s="10"/>
      <c r="M403" s="10"/>
      <c r="N403" s="5"/>
      <c r="O403" s="5"/>
      <c r="P403" s="5"/>
      <c r="Q403" s="5"/>
      <c r="R403" s="5"/>
      <c r="S403" s="5"/>
      <c r="T403" s="5"/>
      <c r="U403" s="5"/>
      <c r="V403" s="5"/>
      <c r="W403" s="5"/>
      <c r="X403" s="5"/>
      <c r="Y403" s="5"/>
      <c r="Z403" s="5"/>
      <c r="AA403" s="5"/>
      <c r="AB403" s="5"/>
      <c r="AC403" s="5"/>
      <c r="AD403" s="5"/>
      <c r="AE403" s="5"/>
      <c r="AF403" s="5"/>
      <c r="AG403" s="5"/>
      <c r="AH403" s="27"/>
      <c r="AI403" s="27"/>
      <c r="AJ403" s="57"/>
      <c r="AK403" s="27"/>
      <c r="AL403" s="10"/>
      <c r="AM403" s="6"/>
      <c r="AN403" s="7"/>
      <c r="AO403" s="7"/>
      <c r="AP403" s="7"/>
      <c r="AQ403" s="7"/>
      <c r="AR403" s="7"/>
      <c r="AS403" s="7"/>
      <c r="AT403" s="7"/>
      <c r="AU403" s="7"/>
      <c r="AV403" s="7"/>
      <c r="AW403" s="7"/>
    </row>
    <row r="404" spans="1:49">
      <c r="A404" s="1">
        <v>228</v>
      </c>
      <c r="B404" s="5"/>
      <c r="C404" s="10" t="str">
        <f t="shared" si="76"/>
        <v/>
      </c>
      <c r="D404" s="5"/>
      <c r="E404" s="10"/>
      <c r="F404" s="43"/>
      <c r="G404" s="5"/>
      <c r="H404" s="5"/>
      <c r="I404" s="5"/>
      <c r="J404" s="5"/>
      <c r="K404" s="10"/>
      <c r="L404" s="10"/>
      <c r="M404" s="10"/>
      <c r="N404" s="5"/>
      <c r="O404" s="5"/>
      <c r="P404" s="5"/>
      <c r="Q404" s="5"/>
      <c r="R404" s="5"/>
      <c r="S404" s="5"/>
      <c r="T404" s="5"/>
      <c r="U404" s="5"/>
      <c r="V404" s="5"/>
      <c r="W404" s="5"/>
      <c r="X404" s="5"/>
      <c r="Y404" s="5"/>
      <c r="Z404" s="5"/>
      <c r="AA404" s="5"/>
      <c r="AB404" s="5"/>
      <c r="AC404" s="5"/>
      <c r="AD404" s="5"/>
      <c r="AE404" s="5"/>
      <c r="AF404" s="5"/>
      <c r="AG404" s="5"/>
      <c r="AH404" s="27"/>
      <c r="AI404" s="27"/>
      <c r="AJ404" s="57"/>
      <c r="AK404" s="27"/>
      <c r="AL404" s="10"/>
      <c r="AM404" s="6"/>
      <c r="AN404" s="7"/>
      <c r="AO404" s="7"/>
      <c r="AP404" s="7"/>
      <c r="AQ404" s="7"/>
      <c r="AR404" s="7"/>
      <c r="AS404" s="7"/>
      <c r="AT404" s="7"/>
      <c r="AU404" s="7"/>
      <c r="AV404" s="7"/>
      <c r="AW404" s="7"/>
    </row>
    <row r="405" spans="1:49">
      <c r="A405" s="1">
        <v>229</v>
      </c>
      <c r="B405" s="5"/>
      <c r="C405" s="10" t="str">
        <f t="shared" si="76"/>
        <v/>
      </c>
      <c r="D405" s="5"/>
      <c r="E405" s="10"/>
      <c r="F405" s="43"/>
      <c r="G405" s="5"/>
      <c r="H405" s="5"/>
      <c r="I405" s="5"/>
      <c r="J405" s="5"/>
      <c r="K405" s="10"/>
      <c r="L405" s="10"/>
      <c r="M405" s="10"/>
      <c r="N405" s="5"/>
      <c r="O405" s="5"/>
      <c r="P405" s="5"/>
      <c r="Q405" s="5"/>
      <c r="R405" s="5"/>
      <c r="S405" s="5"/>
      <c r="T405" s="5"/>
      <c r="U405" s="5"/>
      <c r="V405" s="5"/>
      <c r="W405" s="5"/>
      <c r="X405" s="5"/>
      <c r="Y405" s="5"/>
      <c r="Z405" s="5"/>
      <c r="AA405" s="5"/>
      <c r="AB405" s="5"/>
      <c r="AC405" s="5"/>
      <c r="AD405" s="5"/>
      <c r="AE405" s="5"/>
      <c r="AF405" s="5"/>
      <c r="AG405" s="5"/>
      <c r="AH405" s="27"/>
      <c r="AI405" s="27"/>
      <c r="AJ405" s="57"/>
      <c r="AK405" s="27"/>
      <c r="AL405" s="10"/>
      <c r="AM405" s="6"/>
      <c r="AN405" s="7"/>
      <c r="AO405" s="7"/>
      <c r="AP405" s="7"/>
      <c r="AQ405" s="7"/>
      <c r="AR405" s="7"/>
      <c r="AS405" s="7"/>
      <c r="AT405" s="7"/>
      <c r="AU405" s="7"/>
      <c r="AV405" s="7"/>
      <c r="AW405" s="7"/>
    </row>
    <row r="406" spans="1:49">
      <c r="A406" s="1">
        <v>230</v>
      </c>
      <c r="B406" s="5"/>
      <c r="C406" s="10" t="str">
        <f t="shared" si="76"/>
        <v/>
      </c>
      <c r="D406" s="5"/>
      <c r="E406" s="10"/>
      <c r="F406" s="43"/>
      <c r="G406" s="5"/>
      <c r="H406" s="5"/>
      <c r="I406" s="5"/>
      <c r="J406" s="5"/>
      <c r="K406" s="10"/>
      <c r="L406" s="10"/>
      <c r="M406" s="10"/>
      <c r="N406" s="5"/>
      <c r="O406" s="5"/>
      <c r="P406" s="5"/>
      <c r="Q406" s="5"/>
      <c r="R406" s="5"/>
      <c r="S406" s="5"/>
      <c r="T406" s="5"/>
      <c r="U406" s="5"/>
      <c r="V406" s="5"/>
      <c r="W406" s="5"/>
      <c r="X406" s="5"/>
      <c r="Y406" s="5"/>
      <c r="Z406" s="5"/>
      <c r="AA406" s="5"/>
      <c r="AB406" s="5"/>
      <c r="AC406" s="5"/>
      <c r="AD406" s="5"/>
      <c r="AE406" s="5"/>
      <c r="AF406" s="5"/>
      <c r="AG406" s="5"/>
      <c r="AH406" s="27"/>
      <c r="AI406" s="27"/>
      <c r="AJ406" s="57"/>
      <c r="AK406" s="27"/>
      <c r="AL406" s="10"/>
      <c r="AM406" s="6"/>
      <c r="AN406" s="7"/>
      <c r="AO406" s="7"/>
      <c r="AP406" s="7"/>
      <c r="AQ406" s="7"/>
      <c r="AR406" s="7"/>
      <c r="AS406" s="7"/>
      <c r="AT406" s="7"/>
      <c r="AU406" s="7"/>
      <c r="AV406" s="7"/>
      <c r="AW406" s="7"/>
    </row>
    <row r="407" spans="1:49">
      <c r="A407" s="1">
        <v>231</v>
      </c>
      <c r="B407" s="5"/>
      <c r="C407" s="10" t="str">
        <f t="shared" si="76"/>
        <v/>
      </c>
      <c r="D407" s="5"/>
      <c r="E407" s="10"/>
      <c r="F407" s="43"/>
      <c r="G407" s="5"/>
      <c r="H407" s="5"/>
      <c r="I407" s="5"/>
      <c r="J407" s="5"/>
      <c r="K407" s="10"/>
      <c r="L407" s="10"/>
      <c r="M407" s="10"/>
      <c r="N407" s="5"/>
      <c r="O407" s="5"/>
      <c r="P407" s="5"/>
      <c r="Q407" s="5"/>
      <c r="R407" s="5"/>
      <c r="S407" s="5"/>
      <c r="T407" s="5"/>
      <c r="U407" s="5"/>
      <c r="V407" s="5"/>
      <c r="W407" s="5"/>
      <c r="X407" s="5"/>
      <c r="Y407" s="5"/>
      <c r="Z407" s="5"/>
      <c r="AA407" s="5"/>
      <c r="AB407" s="5"/>
      <c r="AC407" s="5"/>
      <c r="AD407" s="5"/>
      <c r="AE407" s="5"/>
      <c r="AF407" s="5"/>
      <c r="AG407" s="5"/>
      <c r="AH407" s="27"/>
      <c r="AI407" s="27"/>
      <c r="AJ407" s="57"/>
      <c r="AK407" s="27"/>
      <c r="AL407" s="10"/>
      <c r="AM407" s="6"/>
      <c r="AN407" s="7"/>
      <c r="AO407" s="7"/>
      <c r="AP407" s="7"/>
      <c r="AQ407" s="7"/>
      <c r="AR407" s="7"/>
      <c r="AS407" s="7"/>
      <c r="AT407" s="7"/>
      <c r="AU407" s="7"/>
      <c r="AV407" s="7"/>
      <c r="AW407" s="7"/>
    </row>
    <row r="408" spans="1:49">
      <c r="A408" s="1">
        <v>232</v>
      </c>
      <c r="B408" s="5"/>
      <c r="C408" s="10" t="str">
        <f t="shared" si="76"/>
        <v/>
      </c>
      <c r="D408" s="5"/>
      <c r="E408" s="10"/>
      <c r="F408" s="43"/>
      <c r="G408" s="5"/>
      <c r="H408" s="5"/>
      <c r="I408" s="5"/>
      <c r="J408" s="5"/>
      <c r="K408" s="10"/>
      <c r="L408" s="10"/>
      <c r="M408" s="10"/>
      <c r="N408" s="5"/>
      <c r="O408" s="5"/>
      <c r="P408" s="5"/>
      <c r="Q408" s="5"/>
      <c r="R408" s="5"/>
      <c r="S408" s="5"/>
      <c r="T408" s="5"/>
      <c r="U408" s="5"/>
      <c r="V408" s="5"/>
      <c r="W408" s="5"/>
      <c r="X408" s="5"/>
      <c r="Y408" s="5"/>
      <c r="Z408" s="5"/>
      <c r="AA408" s="5"/>
      <c r="AB408" s="5"/>
      <c r="AC408" s="5"/>
      <c r="AD408" s="5"/>
      <c r="AE408" s="5"/>
      <c r="AF408" s="5"/>
      <c r="AG408" s="5"/>
      <c r="AH408" s="27"/>
      <c r="AI408" s="27"/>
      <c r="AJ408" s="57"/>
      <c r="AK408" s="27"/>
      <c r="AL408" s="10"/>
      <c r="AM408" s="6"/>
      <c r="AN408" s="7"/>
      <c r="AO408" s="7"/>
      <c r="AP408" s="7"/>
      <c r="AQ408" s="7"/>
      <c r="AR408" s="7"/>
      <c r="AS408" s="7"/>
      <c r="AT408" s="7"/>
      <c r="AU408" s="7"/>
      <c r="AV408" s="7"/>
      <c r="AW408" s="7"/>
    </row>
    <row r="409" spans="1:49">
      <c r="A409" s="1">
        <v>233</v>
      </c>
      <c r="B409" s="5"/>
      <c r="C409" s="10" t="str">
        <f t="shared" si="76"/>
        <v/>
      </c>
      <c r="D409" s="5"/>
      <c r="E409" s="10"/>
      <c r="F409" s="43"/>
      <c r="G409" s="5"/>
      <c r="H409" s="5"/>
      <c r="I409" s="5"/>
      <c r="J409" s="5"/>
      <c r="K409" s="10"/>
      <c r="L409" s="10"/>
      <c r="M409" s="10"/>
      <c r="N409" s="5"/>
      <c r="O409" s="5"/>
      <c r="P409" s="5"/>
      <c r="Q409" s="5"/>
      <c r="R409" s="5"/>
      <c r="S409" s="5"/>
      <c r="T409" s="5"/>
      <c r="U409" s="5"/>
      <c r="V409" s="5"/>
      <c r="W409" s="5"/>
      <c r="X409" s="5"/>
      <c r="Y409" s="5"/>
      <c r="Z409" s="5"/>
      <c r="AA409" s="5"/>
      <c r="AB409" s="5"/>
      <c r="AC409" s="5"/>
      <c r="AD409" s="5"/>
      <c r="AE409" s="5"/>
      <c r="AF409" s="5"/>
      <c r="AG409" s="5"/>
      <c r="AH409" s="27"/>
      <c r="AI409" s="27"/>
      <c r="AJ409" s="57"/>
      <c r="AK409" s="27"/>
      <c r="AL409" s="10"/>
      <c r="AM409" s="6"/>
      <c r="AN409" s="7"/>
      <c r="AO409" s="7"/>
      <c r="AP409" s="7"/>
      <c r="AQ409" s="7"/>
      <c r="AR409" s="7"/>
      <c r="AS409" s="7"/>
      <c r="AT409" s="7"/>
      <c r="AU409" s="7"/>
      <c r="AV409" s="7"/>
      <c r="AW409" s="7"/>
    </row>
    <row r="410" spans="1:49">
      <c r="A410" s="1">
        <v>234</v>
      </c>
      <c r="B410" s="5"/>
      <c r="C410" s="10" t="str">
        <f t="shared" si="76"/>
        <v/>
      </c>
      <c r="D410" s="5"/>
      <c r="E410" s="10"/>
      <c r="F410" s="43"/>
      <c r="G410" s="5"/>
      <c r="H410" s="5"/>
      <c r="I410" s="5"/>
      <c r="J410" s="5"/>
      <c r="K410" s="10"/>
      <c r="L410" s="10"/>
      <c r="M410" s="10"/>
      <c r="N410" s="5"/>
      <c r="O410" s="5"/>
      <c r="P410" s="5"/>
      <c r="Q410" s="5"/>
      <c r="R410" s="5"/>
      <c r="S410" s="5"/>
      <c r="T410" s="5"/>
      <c r="U410" s="5"/>
      <c r="V410" s="5"/>
      <c r="W410" s="5"/>
      <c r="X410" s="5"/>
      <c r="Y410" s="5"/>
      <c r="Z410" s="5"/>
      <c r="AA410" s="5"/>
      <c r="AB410" s="5"/>
      <c r="AC410" s="5"/>
      <c r="AD410" s="5"/>
      <c r="AE410" s="5"/>
      <c r="AF410" s="5"/>
      <c r="AG410" s="5"/>
      <c r="AH410" s="27"/>
      <c r="AI410" s="27"/>
      <c r="AJ410" s="57"/>
      <c r="AK410" s="27"/>
      <c r="AL410" s="10"/>
      <c r="AM410" s="6"/>
      <c r="AN410" s="7"/>
      <c r="AO410" s="7"/>
      <c r="AP410" s="7"/>
      <c r="AQ410" s="7"/>
      <c r="AR410" s="7"/>
      <c r="AS410" s="7"/>
      <c r="AT410" s="7"/>
      <c r="AU410" s="7"/>
      <c r="AV410" s="7"/>
      <c r="AW410" s="7"/>
    </row>
    <row r="411" spans="1:49">
      <c r="A411" s="1">
        <v>235</v>
      </c>
      <c r="B411" s="5"/>
      <c r="C411" s="10" t="str">
        <f t="shared" si="76"/>
        <v/>
      </c>
      <c r="D411" s="5"/>
      <c r="E411" s="10"/>
      <c r="F411" s="43"/>
      <c r="G411" s="5"/>
      <c r="H411" s="5"/>
      <c r="I411" s="5"/>
      <c r="J411" s="5"/>
      <c r="K411" s="10"/>
      <c r="L411" s="10"/>
      <c r="M411" s="10"/>
      <c r="N411" s="5"/>
      <c r="O411" s="5"/>
      <c r="P411" s="5"/>
      <c r="Q411" s="5"/>
      <c r="R411" s="5"/>
      <c r="S411" s="5"/>
      <c r="T411" s="5"/>
      <c r="U411" s="5"/>
      <c r="V411" s="5"/>
      <c r="W411" s="5"/>
      <c r="X411" s="5"/>
      <c r="Y411" s="5"/>
      <c r="Z411" s="5"/>
      <c r="AA411" s="5"/>
      <c r="AB411" s="5"/>
      <c r="AC411" s="5"/>
      <c r="AD411" s="5"/>
      <c r="AE411" s="5"/>
      <c r="AF411" s="5"/>
      <c r="AG411" s="5"/>
      <c r="AH411" s="27"/>
      <c r="AI411" s="27"/>
      <c r="AJ411" s="57"/>
      <c r="AK411" s="27"/>
      <c r="AL411" s="10"/>
      <c r="AM411" s="6"/>
      <c r="AN411" s="7"/>
      <c r="AO411" s="7"/>
      <c r="AP411" s="7"/>
      <c r="AQ411" s="7"/>
      <c r="AR411" s="7"/>
      <c r="AS411" s="7"/>
      <c r="AT411" s="7"/>
      <c r="AU411" s="7"/>
      <c r="AV411" s="7"/>
      <c r="AW411" s="7"/>
    </row>
    <row r="412" spans="1:49">
      <c r="A412" s="1">
        <v>236</v>
      </c>
      <c r="B412" s="5"/>
      <c r="C412" s="10" t="str">
        <f t="shared" si="76"/>
        <v/>
      </c>
      <c r="D412" s="5"/>
      <c r="E412" s="10"/>
      <c r="F412" s="43"/>
      <c r="G412" s="5"/>
      <c r="H412" s="5"/>
      <c r="I412" s="5"/>
      <c r="J412" s="5"/>
      <c r="K412" s="10"/>
      <c r="L412" s="10"/>
      <c r="M412" s="10"/>
      <c r="N412" s="5"/>
      <c r="O412" s="5"/>
      <c r="P412" s="5"/>
      <c r="Q412" s="5"/>
      <c r="R412" s="5"/>
      <c r="S412" s="5"/>
      <c r="T412" s="5"/>
      <c r="U412" s="5"/>
      <c r="V412" s="5"/>
      <c r="W412" s="5"/>
      <c r="X412" s="5"/>
      <c r="Y412" s="5"/>
      <c r="Z412" s="5"/>
      <c r="AA412" s="5"/>
      <c r="AB412" s="5"/>
      <c r="AC412" s="5"/>
      <c r="AD412" s="5"/>
      <c r="AE412" s="5"/>
      <c r="AF412" s="5"/>
      <c r="AG412" s="5"/>
      <c r="AH412" s="27"/>
      <c r="AI412" s="27"/>
      <c r="AJ412" s="57"/>
      <c r="AK412" s="27"/>
      <c r="AL412" s="10"/>
      <c r="AM412" s="6"/>
      <c r="AN412" s="7"/>
      <c r="AO412" s="7"/>
      <c r="AP412" s="7"/>
      <c r="AQ412" s="7"/>
      <c r="AR412" s="7"/>
      <c r="AS412" s="7"/>
      <c r="AT412" s="7"/>
      <c r="AU412" s="7"/>
      <c r="AV412" s="7"/>
      <c r="AW412" s="7"/>
    </row>
    <row r="413" spans="1:49">
      <c r="A413" s="1">
        <v>237</v>
      </c>
      <c r="B413" s="5"/>
      <c r="C413" s="10" t="str">
        <f t="shared" si="76"/>
        <v/>
      </c>
      <c r="D413" s="5"/>
      <c r="E413" s="10"/>
      <c r="F413" s="43"/>
      <c r="G413" s="5"/>
      <c r="H413" s="5"/>
      <c r="I413" s="5"/>
      <c r="J413" s="5"/>
      <c r="K413" s="10"/>
      <c r="L413" s="10"/>
      <c r="M413" s="10"/>
      <c r="N413" s="5"/>
      <c r="O413" s="5"/>
      <c r="P413" s="5"/>
      <c r="Q413" s="5"/>
      <c r="R413" s="5"/>
      <c r="S413" s="5"/>
      <c r="T413" s="5"/>
      <c r="U413" s="5"/>
      <c r="V413" s="5"/>
      <c r="W413" s="5"/>
      <c r="X413" s="5"/>
      <c r="Y413" s="5"/>
      <c r="Z413" s="5"/>
      <c r="AA413" s="5"/>
      <c r="AB413" s="5"/>
      <c r="AC413" s="5"/>
      <c r="AD413" s="5"/>
      <c r="AE413" s="5"/>
      <c r="AF413" s="5"/>
      <c r="AG413" s="5"/>
      <c r="AH413" s="27"/>
      <c r="AI413" s="27"/>
      <c r="AJ413" s="57"/>
      <c r="AK413" s="27"/>
      <c r="AL413" s="10"/>
      <c r="AM413" s="6"/>
      <c r="AN413" s="7"/>
      <c r="AO413" s="7"/>
      <c r="AP413" s="7"/>
      <c r="AQ413" s="7"/>
      <c r="AR413" s="7"/>
      <c r="AS413" s="7"/>
      <c r="AT413" s="7"/>
      <c r="AU413" s="7"/>
      <c r="AV413" s="7"/>
      <c r="AW413" s="7"/>
    </row>
    <row r="414" spans="1:49">
      <c r="A414" s="1">
        <v>238</v>
      </c>
      <c r="B414" s="5"/>
      <c r="C414" s="10" t="str">
        <f t="shared" si="76"/>
        <v/>
      </c>
      <c r="D414" s="5"/>
      <c r="E414" s="10"/>
      <c r="F414" s="43"/>
      <c r="G414" s="5"/>
      <c r="H414" s="5"/>
      <c r="I414" s="5"/>
      <c r="J414" s="5"/>
      <c r="K414" s="10"/>
      <c r="L414" s="10"/>
      <c r="M414" s="10"/>
      <c r="N414" s="5"/>
      <c r="O414" s="5"/>
      <c r="P414" s="5"/>
      <c r="Q414" s="5"/>
      <c r="R414" s="5"/>
      <c r="S414" s="5"/>
      <c r="T414" s="5"/>
      <c r="U414" s="5"/>
      <c r="V414" s="5"/>
      <c r="W414" s="5"/>
      <c r="X414" s="5"/>
      <c r="Y414" s="5"/>
      <c r="Z414" s="5"/>
      <c r="AA414" s="5"/>
      <c r="AB414" s="5"/>
      <c r="AC414" s="5"/>
      <c r="AD414" s="5"/>
      <c r="AE414" s="5"/>
      <c r="AF414" s="5"/>
      <c r="AG414" s="5"/>
      <c r="AH414" s="27"/>
      <c r="AI414" s="27"/>
      <c r="AJ414" s="57"/>
      <c r="AK414" s="27"/>
      <c r="AL414" s="10"/>
      <c r="AM414" s="6"/>
      <c r="AN414" s="7"/>
      <c r="AO414" s="7"/>
      <c r="AP414" s="7"/>
      <c r="AQ414" s="7"/>
      <c r="AR414" s="7"/>
      <c r="AS414" s="7"/>
      <c r="AT414" s="7"/>
      <c r="AU414" s="7"/>
      <c r="AV414" s="7"/>
      <c r="AW414" s="7"/>
    </row>
    <row r="415" spans="1:49">
      <c r="A415" s="1">
        <v>239</v>
      </c>
      <c r="B415" s="5"/>
      <c r="C415" s="10" t="str">
        <f t="shared" si="76"/>
        <v/>
      </c>
      <c r="D415" s="5"/>
      <c r="E415" s="10"/>
      <c r="F415" s="43"/>
      <c r="G415" s="5"/>
      <c r="H415" s="5"/>
      <c r="I415" s="5"/>
      <c r="J415" s="5"/>
      <c r="K415" s="10"/>
      <c r="L415" s="10"/>
      <c r="M415" s="10"/>
      <c r="N415" s="5"/>
      <c r="O415" s="5"/>
      <c r="P415" s="5"/>
      <c r="Q415" s="5"/>
      <c r="R415" s="5"/>
      <c r="S415" s="5"/>
      <c r="T415" s="5"/>
      <c r="U415" s="5"/>
      <c r="V415" s="5"/>
      <c r="W415" s="5"/>
      <c r="X415" s="5"/>
      <c r="Y415" s="5"/>
      <c r="Z415" s="5"/>
      <c r="AA415" s="5"/>
      <c r="AB415" s="5"/>
      <c r="AC415" s="5"/>
      <c r="AD415" s="5"/>
      <c r="AE415" s="5"/>
      <c r="AF415" s="5"/>
      <c r="AG415" s="5"/>
      <c r="AH415" s="27"/>
      <c r="AI415" s="27"/>
      <c r="AJ415" s="57"/>
      <c r="AK415" s="27"/>
      <c r="AL415" s="10"/>
      <c r="AM415" s="6"/>
      <c r="AN415" s="7"/>
      <c r="AO415" s="7"/>
      <c r="AP415" s="7"/>
      <c r="AQ415" s="7"/>
      <c r="AR415" s="7"/>
      <c r="AS415" s="7"/>
      <c r="AT415" s="7"/>
      <c r="AU415" s="7"/>
      <c r="AV415" s="7"/>
      <c r="AW415" s="7"/>
    </row>
    <row r="416" spans="1:49">
      <c r="A416" s="1">
        <v>240</v>
      </c>
      <c r="B416" s="5"/>
      <c r="C416" s="10" t="str">
        <f t="shared" si="76"/>
        <v/>
      </c>
      <c r="D416" s="5"/>
      <c r="E416" s="10"/>
      <c r="F416" s="43"/>
      <c r="G416" s="5"/>
      <c r="H416" s="5"/>
      <c r="I416" s="5"/>
      <c r="J416" s="5"/>
      <c r="K416" s="10"/>
      <c r="L416" s="10"/>
      <c r="M416" s="10"/>
      <c r="N416" s="5"/>
      <c r="O416" s="5"/>
      <c r="P416" s="5"/>
      <c r="Q416" s="5"/>
      <c r="R416" s="5"/>
      <c r="S416" s="5"/>
      <c r="T416" s="5"/>
      <c r="U416" s="5"/>
      <c r="V416" s="5"/>
      <c r="W416" s="5"/>
      <c r="X416" s="5"/>
      <c r="Y416" s="5"/>
      <c r="Z416" s="5"/>
      <c r="AA416" s="5"/>
      <c r="AB416" s="5"/>
      <c r="AC416" s="5"/>
      <c r="AD416" s="5"/>
      <c r="AE416" s="5"/>
      <c r="AF416" s="5"/>
      <c r="AG416" s="5"/>
      <c r="AH416" s="27"/>
      <c r="AI416" s="27"/>
      <c r="AJ416" s="57"/>
      <c r="AK416" s="27"/>
      <c r="AL416" s="10"/>
      <c r="AM416" s="6"/>
      <c r="AN416" s="7"/>
      <c r="AO416" s="7"/>
      <c r="AP416" s="7"/>
      <c r="AQ416" s="7"/>
      <c r="AR416" s="7"/>
      <c r="AS416" s="7"/>
      <c r="AT416" s="7"/>
      <c r="AU416" s="7"/>
      <c r="AV416" s="7"/>
      <c r="AW416" s="7"/>
    </row>
    <row r="417" spans="1:49">
      <c r="A417" s="1">
        <v>241</v>
      </c>
      <c r="B417" s="5"/>
      <c r="C417" s="10" t="str">
        <f t="shared" si="76"/>
        <v/>
      </c>
      <c r="D417" s="5"/>
      <c r="E417" s="10"/>
      <c r="F417" s="43"/>
      <c r="G417" s="5"/>
      <c r="H417" s="5"/>
      <c r="I417" s="5"/>
      <c r="J417" s="5"/>
      <c r="K417" s="10"/>
      <c r="L417" s="10"/>
      <c r="M417" s="10"/>
      <c r="N417" s="5"/>
      <c r="O417" s="5"/>
      <c r="P417" s="5"/>
      <c r="Q417" s="5"/>
      <c r="R417" s="5"/>
      <c r="S417" s="5"/>
      <c r="T417" s="5"/>
      <c r="U417" s="5"/>
      <c r="V417" s="5"/>
      <c r="W417" s="5"/>
      <c r="X417" s="5"/>
      <c r="Y417" s="5"/>
      <c r="Z417" s="5"/>
      <c r="AA417" s="5"/>
      <c r="AB417" s="5"/>
      <c r="AC417" s="5"/>
      <c r="AD417" s="5"/>
      <c r="AE417" s="5"/>
      <c r="AF417" s="5"/>
      <c r="AG417" s="5"/>
      <c r="AH417" s="27"/>
      <c r="AI417" s="27"/>
      <c r="AJ417" s="57"/>
      <c r="AK417" s="27"/>
      <c r="AL417" s="10"/>
      <c r="AM417" s="6"/>
      <c r="AN417" s="7"/>
      <c r="AO417" s="7"/>
      <c r="AP417" s="7"/>
      <c r="AQ417" s="7"/>
      <c r="AR417" s="7"/>
      <c r="AS417" s="7"/>
      <c r="AT417" s="7"/>
      <c r="AU417" s="7"/>
      <c r="AV417" s="7"/>
      <c r="AW417" s="7"/>
    </row>
    <row r="418" spans="1:49">
      <c r="A418" s="1">
        <v>242</v>
      </c>
      <c r="B418" s="5"/>
      <c r="C418" s="10" t="str">
        <f t="shared" si="76"/>
        <v/>
      </c>
      <c r="D418" s="5"/>
      <c r="E418" s="10"/>
      <c r="F418" s="43"/>
      <c r="G418" s="5"/>
      <c r="H418" s="5"/>
      <c r="I418" s="5"/>
      <c r="J418" s="5"/>
      <c r="K418" s="10"/>
      <c r="L418" s="10"/>
      <c r="M418" s="10"/>
      <c r="N418" s="5"/>
      <c r="O418" s="5"/>
      <c r="P418" s="5"/>
      <c r="Q418" s="5"/>
      <c r="R418" s="5"/>
      <c r="S418" s="5"/>
      <c r="T418" s="5"/>
      <c r="U418" s="5"/>
      <c r="V418" s="5"/>
      <c r="W418" s="5"/>
      <c r="X418" s="5"/>
      <c r="Y418" s="5"/>
      <c r="Z418" s="5"/>
      <c r="AA418" s="5"/>
      <c r="AB418" s="5"/>
      <c r="AC418" s="5"/>
      <c r="AD418" s="5"/>
      <c r="AE418" s="5"/>
      <c r="AF418" s="5"/>
      <c r="AG418" s="5"/>
      <c r="AH418" s="27"/>
      <c r="AI418" s="27"/>
      <c r="AJ418" s="57"/>
      <c r="AK418" s="27"/>
      <c r="AL418" s="10"/>
      <c r="AM418" s="6"/>
      <c r="AN418" s="7"/>
      <c r="AO418" s="7"/>
      <c r="AP418" s="7"/>
      <c r="AQ418" s="7"/>
      <c r="AR418" s="7"/>
      <c r="AS418" s="7"/>
      <c r="AT418" s="7"/>
      <c r="AU418" s="7"/>
      <c r="AV418" s="7"/>
      <c r="AW418" s="7"/>
    </row>
    <row r="419" spans="1:49">
      <c r="A419" s="1">
        <v>243</v>
      </c>
      <c r="B419" s="5"/>
      <c r="C419" s="10" t="str">
        <f t="shared" si="76"/>
        <v/>
      </c>
      <c r="D419" s="5"/>
      <c r="E419" s="10"/>
      <c r="F419" s="43"/>
      <c r="G419" s="5"/>
      <c r="H419" s="5"/>
      <c r="I419" s="5"/>
      <c r="J419" s="5"/>
      <c r="K419" s="10"/>
      <c r="L419" s="10"/>
      <c r="M419" s="10"/>
      <c r="N419" s="5"/>
      <c r="O419" s="5"/>
      <c r="P419" s="5"/>
      <c r="Q419" s="5"/>
      <c r="R419" s="5"/>
      <c r="S419" s="5"/>
      <c r="T419" s="5"/>
      <c r="U419" s="5"/>
      <c r="V419" s="5"/>
      <c r="W419" s="5"/>
      <c r="X419" s="5"/>
      <c r="Y419" s="5"/>
      <c r="Z419" s="5"/>
      <c r="AA419" s="5"/>
      <c r="AB419" s="5"/>
      <c r="AC419" s="5"/>
      <c r="AD419" s="5"/>
      <c r="AE419" s="5"/>
      <c r="AF419" s="5"/>
      <c r="AG419" s="5"/>
      <c r="AH419" s="27"/>
      <c r="AI419" s="27"/>
      <c r="AJ419" s="57"/>
      <c r="AK419" s="27"/>
      <c r="AL419" s="10"/>
      <c r="AM419" s="6"/>
      <c r="AN419" s="7"/>
      <c r="AO419" s="7"/>
      <c r="AP419" s="7"/>
      <c r="AQ419" s="7"/>
      <c r="AR419" s="7"/>
      <c r="AS419" s="7"/>
      <c r="AT419" s="7"/>
      <c r="AU419" s="7"/>
      <c r="AV419" s="7"/>
      <c r="AW419" s="7"/>
    </row>
    <row r="420" spans="1:49">
      <c r="A420" s="1">
        <v>244</v>
      </c>
      <c r="B420" s="5"/>
      <c r="C420" s="10" t="str">
        <f t="shared" si="76"/>
        <v/>
      </c>
      <c r="D420" s="5"/>
      <c r="E420" s="10"/>
      <c r="F420" s="43"/>
      <c r="G420" s="5"/>
      <c r="H420" s="5"/>
      <c r="I420" s="5"/>
      <c r="J420" s="5"/>
      <c r="K420" s="10"/>
      <c r="L420" s="10"/>
      <c r="M420" s="10"/>
      <c r="N420" s="5"/>
      <c r="O420" s="5"/>
      <c r="P420" s="5"/>
      <c r="Q420" s="5"/>
      <c r="R420" s="5"/>
      <c r="S420" s="5"/>
      <c r="T420" s="5"/>
      <c r="U420" s="5"/>
      <c r="V420" s="5"/>
      <c r="W420" s="5"/>
      <c r="X420" s="5"/>
      <c r="Y420" s="5"/>
      <c r="Z420" s="5"/>
      <c r="AA420" s="5"/>
      <c r="AB420" s="5"/>
      <c r="AC420" s="5"/>
      <c r="AD420" s="5"/>
      <c r="AE420" s="5"/>
      <c r="AF420" s="5"/>
      <c r="AG420" s="5"/>
      <c r="AH420" s="27"/>
      <c r="AI420" s="27"/>
      <c r="AJ420" s="57"/>
      <c r="AK420" s="27"/>
      <c r="AL420" s="10"/>
      <c r="AM420" s="6"/>
      <c r="AN420" s="7"/>
      <c r="AO420" s="7"/>
      <c r="AP420" s="7"/>
      <c r="AQ420" s="7"/>
      <c r="AR420" s="7"/>
      <c r="AS420" s="7"/>
      <c r="AT420" s="7"/>
      <c r="AU420" s="7"/>
      <c r="AV420" s="7"/>
      <c r="AW420" s="7"/>
    </row>
    <row r="421" spans="1:49">
      <c r="A421" s="1">
        <v>245</v>
      </c>
      <c r="B421" s="5"/>
      <c r="C421" s="10" t="str">
        <f t="shared" ref="C421:C464" si="77">IF(E421="","","14821")</f>
        <v/>
      </c>
      <c r="D421" s="5"/>
      <c r="E421" s="10"/>
      <c r="F421" s="43"/>
      <c r="G421" s="5"/>
      <c r="H421" s="5"/>
      <c r="I421" s="5"/>
      <c r="J421" s="5"/>
      <c r="K421" s="10"/>
      <c r="L421" s="10"/>
      <c r="M421" s="10"/>
      <c r="N421" s="5"/>
      <c r="O421" s="5"/>
      <c r="P421" s="5"/>
      <c r="Q421" s="5"/>
      <c r="R421" s="5"/>
      <c r="S421" s="5"/>
      <c r="T421" s="5"/>
      <c r="U421" s="5"/>
      <c r="V421" s="5"/>
      <c r="W421" s="5"/>
      <c r="X421" s="5"/>
      <c r="Y421" s="5"/>
      <c r="Z421" s="5"/>
      <c r="AA421" s="5"/>
      <c r="AB421" s="5"/>
      <c r="AC421" s="5"/>
      <c r="AD421" s="5"/>
      <c r="AE421" s="5"/>
      <c r="AF421" s="5"/>
      <c r="AG421" s="5"/>
      <c r="AH421" s="27"/>
      <c r="AI421" s="27"/>
      <c r="AJ421" s="57"/>
      <c r="AK421" s="27"/>
      <c r="AL421" s="10"/>
      <c r="AM421" s="6"/>
      <c r="AN421" s="7"/>
      <c r="AO421" s="7"/>
      <c r="AP421" s="7"/>
      <c r="AQ421" s="7"/>
      <c r="AR421" s="7"/>
      <c r="AS421" s="7"/>
      <c r="AT421" s="7"/>
      <c r="AU421" s="7"/>
      <c r="AV421" s="7"/>
      <c r="AW421" s="7"/>
    </row>
    <row r="422" spans="1:49">
      <c r="A422" s="1">
        <v>246</v>
      </c>
      <c r="B422" s="5"/>
      <c r="C422" s="10" t="str">
        <f t="shared" si="77"/>
        <v/>
      </c>
      <c r="D422" s="5"/>
      <c r="E422" s="10"/>
      <c r="F422" s="43"/>
      <c r="G422" s="5"/>
      <c r="H422" s="5"/>
      <c r="I422" s="5"/>
      <c r="J422" s="5"/>
      <c r="K422" s="10"/>
      <c r="L422" s="10"/>
      <c r="M422" s="10"/>
      <c r="N422" s="5"/>
      <c r="O422" s="5"/>
      <c r="P422" s="5"/>
      <c r="Q422" s="5"/>
      <c r="R422" s="5"/>
      <c r="S422" s="5"/>
      <c r="T422" s="5"/>
      <c r="U422" s="5"/>
      <c r="V422" s="5"/>
      <c r="W422" s="5"/>
      <c r="X422" s="5"/>
      <c r="Y422" s="5"/>
      <c r="Z422" s="5"/>
      <c r="AA422" s="5"/>
      <c r="AB422" s="5"/>
      <c r="AC422" s="5"/>
      <c r="AD422" s="5"/>
      <c r="AE422" s="5"/>
      <c r="AF422" s="5"/>
      <c r="AG422" s="5"/>
      <c r="AH422" s="27"/>
      <c r="AI422" s="27"/>
      <c r="AJ422" s="57"/>
      <c r="AK422" s="27"/>
      <c r="AL422" s="10"/>
      <c r="AM422" s="6"/>
      <c r="AN422" s="7"/>
      <c r="AO422" s="7"/>
      <c r="AP422" s="7"/>
      <c r="AQ422" s="7"/>
      <c r="AR422" s="7"/>
      <c r="AS422" s="7"/>
      <c r="AT422" s="7"/>
      <c r="AU422" s="7"/>
      <c r="AV422" s="7"/>
      <c r="AW422" s="7"/>
    </row>
    <row r="423" spans="1:49">
      <c r="A423" s="1">
        <v>247</v>
      </c>
      <c r="B423" s="5"/>
      <c r="C423" s="10" t="str">
        <f t="shared" si="77"/>
        <v/>
      </c>
      <c r="D423" s="5"/>
      <c r="E423" s="10"/>
      <c r="F423" s="43"/>
      <c r="G423" s="5"/>
      <c r="H423" s="5"/>
      <c r="I423" s="5"/>
      <c r="J423" s="5"/>
      <c r="K423" s="10"/>
      <c r="L423" s="10"/>
      <c r="M423" s="10"/>
      <c r="N423" s="5"/>
      <c r="O423" s="5"/>
      <c r="P423" s="5"/>
      <c r="Q423" s="5"/>
      <c r="R423" s="5"/>
      <c r="S423" s="5"/>
      <c r="T423" s="5"/>
      <c r="U423" s="5"/>
      <c r="V423" s="5"/>
      <c r="W423" s="5"/>
      <c r="X423" s="5"/>
      <c r="Y423" s="5"/>
      <c r="Z423" s="5"/>
      <c r="AA423" s="5"/>
      <c r="AB423" s="5"/>
      <c r="AC423" s="5"/>
      <c r="AD423" s="5"/>
      <c r="AE423" s="5"/>
      <c r="AF423" s="5"/>
      <c r="AG423" s="5"/>
      <c r="AH423" s="27"/>
      <c r="AI423" s="27"/>
      <c r="AJ423" s="57"/>
      <c r="AK423" s="27"/>
      <c r="AL423" s="10"/>
      <c r="AM423" s="6"/>
      <c r="AN423" s="7"/>
      <c r="AO423" s="7"/>
      <c r="AP423" s="7"/>
      <c r="AQ423" s="7"/>
      <c r="AR423" s="7"/>
      <c r="AS423" s="7"/>
      <c r="AT423" s="7"/>
      <c r="AU423" s="7"/>
      <c r="AV423" s="7"/>
      <c r="AW423" s="7"/>
    </row>
    <row r="424" spans="1:49">
      <c r="A424" s="1">
        <v>248</v>
      </c>
      <c r="B424" s="5"/>
      <c r="C424" s="10" t="str">
        <f t="shared" si="77"/>
        <v/>
      </c>
      <c r="D424" s="5"/>
      <c r="E424" s="10"/>
      <c r="F424" s="43"/>
      <c r="G424" s="5"/>
      <c r="H424" s="5"/>
      <c r="I424" s="5"/>
      <c r="J424" s="5"/>
      <c r="K424" s="10"/>
      <c r="L424" s="10"/>
      <c r="M424" s="10"/>
      <c r="N424" s="5"/>
      <c r="O424" s="5"/>
      <c r="P424" s="5"/>
      <c r="Q424" s="5"/>
      <c r="R424" s="5"/>
      <c r="S424" s="5"/>
      <c r="T424" s="5"/>
      <c r="U424" s="5"/>
      <c r="V424" s="5"/>
      <c r="W424" s="5"/>
      <c r="X424" s="5"/>
      <c r="Y424" s="5"/>
      <c r="Z424" s="5"/>
      <c r="AA424" s="5"/>
      <c r="AB424" s="5"/>
      <c r="AC424" s="5"/>
      <c r="AD424" s="5"/>
      <c r="AE424" s="5"/>
      <c r="AF424" s="5"/>
      <c r="AG424" s="5"/>
      <c r="AH424" s="27"/>
      <c r="AI424" s="27"/>
      <c r="AJ424" s="57"/>
      <c r="AK424" s="27"/>
      <c r="AL424" s="10"/>
      <c r="AM424" s="6"/>
      <c r="AN424" s="7"/>
      <c r="AO424" s="7"/>
      <c r="AP424" s="7"/>
      <c r="AQ424" s="7"/>
      <c r="AR424" s="7"/>
      <c r="AS424" s="7"/>
      <c r="AT424" s="7"/>
      <c r="AU424" s="7"/>
      <c r="AV424" s="7"/>
      <c r="AW424" s="7"/>
    </row>
    <row r="425" spans="1:49">
      <c r="A425" s="1">
        <v>249</v>
      </c>
      <c r="B425" s="5"/>
      <c r="C425" s="10" t="str">
        <f t="shared" si="77"/>
        <v/>
      </c>
      <c r="D425" s="5"/>
      <c r="E425" s="10"/>
      <c r="F425" s="43"/>
      <c r="G425" s="5"/>
      <c r="H425" s="5"/>
      <c r="I425" s="5"/>
      <c r="J425" s="5"/>
      <c r="K425" s="10"/>
      <c r="L425" s="10"/>
      <c r="M425" s="10"/>
      <c r="N425" s="5"/>
      <c r="O425" s="5"/>
      <c r="P425" s="5"/>
      <c r="Q425" s="5"/>
      <c r="R425" s="5"/>
      <c r="S425" s="5"/>
      <c r="T425" s="5"/>
      <c r="U425" s="5"/>
      <c r="V425" s="5"/>
      <c r="W425" s="5"/>
      <c r="X425" s="5"/>
      <c r="Y425" s="5"/>
      <c r="Z425" s="5"/>
      <c r="AA425" s="5"/>
      <c r="AB425" s="5"/>
      <c r="AC425" s="5"/>
      <c r="AD425" s="5"/>
      <c r="AE425" s="5"/>
      <c r="AF425" s="5"/>
      <c r="AG425" s="5"/>
      <c r="AH425" s="27"/>
      <c r="AI425" s="27"/>
      <c r="AJ425" s="57"/>
      <c r="AK425" s="27"/>
      <c r="AL425" s="10"/>
      <c r="AM425" s="6"/>
      <c r="AN425" s="7"/>
      <c r="AO425" s="7"/>
      <c r="AP425" s="7"/>
      <c r="AQ425" s="7"/>
      <c r="AR425" s="7"/>
      <c r="AS425" s="7"/>
      <c r="AT425" s="7"/>
      <c r="AU425" s="7"/>
      <c r="AV425" s="7"/>
      <c r="AW425" s="7"/>
    </row>
    <row r="426" spans="1:49">
      <c r="A426" s="1">
        <v>250</v>
      </c>
      <c r="B426" s="5"/>
      <c r="C426" s="10" t="str">
        <f t="shared" si="77"/>
        <v/>
      </c>
      <c r="D426" s="5"/>
      <c r="E426" s="10"/>
      <c r="F426" s="43"/>
      <c r="G426" s="5"/>
      <c r="H426" s="5"/>
      <c r="I426" s="5"/>
      <c r="J426" s="5"/>
      <c r="K426" s="10"/>
      <c r="L426" s="10"/>
      <c r="M426" s="10"/>
      <c r="N426" s="5"/>
      <c r="O426" s="5"/>
      <c r="P426" s="5"/>
      <c r="Q426" s="5"/>
      <c r="R426" s="5"/>
      <c r="S426" s="5"/>
      <c r="T426" s="5"/>
      <c r="U426" s="5"/>
      <c r="V426" s="5"/>
      <c r="W426" s="5"/>
      <c r="X426" s="5"/>
      <c r="Y426" s="5"/>
      <c r="Z426" s="5"/>
      <c r="AA426" s="5"/>
      <c r="AB426" s="5"/>
      <c r="AC426" s="5"/>
      <c r="AD426" s="5"/>
      <c r="AE426" s="5"/>
      <c r="AF426" s="5"/>
      <c r="AG426" s="5"/>
      <c r="AH426" s="27"/>
      <c r="AI426" s="27"/>
      <c r="AJ426" s="57"/>
      <c r="AK426" s="27"/>
      <c r="AL426" s="10"/>
      <c r="AM426" s="6"/>
      <c r="AN426" s="7"/>
      <c r="AO426" s="7"/>
      <c r="AP426" s="7"/>
      <c r="AQ426" s="7"/>
      <c r="AR426" s="7"/>
      <c r="AS426" s="7"/>
      <c r="AT426" s="7"/>
      <c r="AU426" s="7"/>
      <c r="AV426" s="7"/>
      <c r="AW426" s="7"/>
    </row>
    <row r="427" spans="1:49">
      <c r="A427" s="1">
        <v>251</v>
      </c>
      <c r="B427" s="5"/>
      <c r="C427" s="10" t="str">
        <f t="shared" si="77"/>
        <v/>
      </c>
      <c r="D427" s="5"/>
      <c r="E427" s="10"/>
      <c r="F427" s="43"/>
      <c r="G427" s="5"/>
      <c r="H427" s="5"/>
      <c r="I427" s="5"/>
      <c r="J427" s="5"/>
      <c r="K427" s="10"/>
      <c r="L427" s="10"/>
      <c r="M427" s="10"/>
      <c r="N427" s="5"/>
      <c r="O427" s="5"/>
      <c r="P427" s="5"/>
      <c r="Q427" s="5"/>
      <c r="R427" s="5"/>
      <c r="S427" s="5"/>
      <c r="T427" s="5"/>
      <c r="U427" s="5"/>
      <c r="V427" s="5"/>
      <c r="W427" s="5"/>
      <c r="X427" s="5"/>
      <c r="Y427" s="5"/>
      <c r="Z427" s="5"/>
      <c r="AA427" s="5"/>
      <c r="AB427" s="5"/>
      <c r="AC427" s="5"/>
      <c r="AD427" s="5"/>
      <c r="AE427" s="5"/>
      <c r="AF427" s="5"/>
      <c r="AG427" s="5"/>
      <c r="AH427" s="27"/>
      <c r="AI427" s="27"/>
      <c r="AJ427" s="57"/>
      <c r="AK427" s="27"/>
      <c r="AL427" s="10"/>
      <c r="AM427" s="6"/>
      <c r="AN427" s="7"/>
      <c r="AO427" s="7"/>
      <c r="AP427" s="7"/>
      <c r="AQ427" s="7"/>
      <c r="AR427" s="7"/>
      <c r="AS427" s="7"/>
      <c r="AT427" s="7"/>
      <c r="AU427" s="7"/>
      <c r="AV427" s="7"/>
      <c r="AW427" s="7"/>
    </row>
    <row r="428" spans="1:49">
      <c r="A428" s="1">
        <v>252</v>
      </c>
      <c r="B428" s="5"/>
      <c r="C428" s="10" t="str">
        <f t="shared" si="77"/>
        <v/>
      </c>
      <c r="D428" s="5"/>
      <c r="E428" s="10"/>
      <c r="F428" s="43"/>
      <c r="G428" s="5"/>
      <c r="H428" s="5"/>
      <c r="I428" s="5"/>
      <c r="J428" s="5"/>
      <c r="K428" s="10"/>
      <c r="L428" s="10"/>
      <c r="M428" s="10"/>
      <c r="N428" s="5"/>
      <c r="O428" s="5"/>
      <c r="P428" s="5"/>
      <c r="Q428" s="5"/>
      <c r="R428" s="5"/>
      <c r="S428" s="5"/>
      <c r="T428" s="5"/>
      <c r="U428" s="5"/>
      <c r="V428" s="5"/>
      <c r="W428" s="5"/>
      <c r="X428" s="5"/>
      <c r="Y428" s="5"/>
      <c r="Z428" s="5"/>
      <c r="AA428" s="5"/>
      <c r="AB428" s="5"/>
      <c r="AC428" s="5"/>
      <c r="AD428" s="5"/>
      <c r="AE428" s="5"/>
      <c r="AF428" s="5"/>
      <c r="AG428" s="5"/>
      <c r="AH428" s="27"/>
      <c r="AI428" s="27"/>
      <c r="AJ428" s="57"/>
      <c r="AK428" s="27"/>
      <c r="AL428" s="10"/>
      <c r="AM428" s="6"/>
      <c r="AN428" s="7"/>
      <c r="AO428" s="7"/>
      <c r="AP428" s="7"/>
      <c r="AQ428" s="7"/>
      <c r="AR428" s="7"/>
      <c r="AS428" s="7"/>
      <c r="AT428" s="7"/>
      <c r="AU428" s="7"/>
      <c r="AV428" s="7"/>
      <c r="AW428" s="7"/>
    </row>
    <row r="429" spans="1:49">
      <c r="A429" s="1">
        <v>253</v>
      </c>
      <c r="B429" s="5"/>
      <c r="C429" s="10" t="str">
        <f t="shared" si="77"/>
        <v/>
      </c>
      <c r="D429" s="5"/>
      <c r="E429" s="10"/>
      <c r="F429" s="43"/>
      <c r="G429" s="5"/>
      <c r="H429" s="5"/>
      <c r="I429" s="5"/>
      <c r="J429" s="5"/>
      <c r="K429" s="10"/>
      <c r="L429" s="10"/>
      <c r="M429" s="10"/>
      <c r="N429" s="5"/>
      <c r="O429" s="5"/>
      <c r="P429" s="5"/>
      <c r="Q429" s="5"/>
      <c r="R429" s="5"/>
      <c r="S429" s="5"/>
      <c r="T429" s="5"/>
      <c r="U429" s="5"/>
      <c r="V429" s="5"/>
      <c r="W429" s="5"/>
      <c r="X429" s="5"/>
      <c r="Y429" s="5"/>
      <c r="Z429" s="5"/>
      <c r="AA429" s="5"/>
      <c r="AB429" s="5"/>
      <c r="AC429" s="5"/>
      <c r="AD429" s="5"/>
      <c r="AE429" s="5"/>
      <c r="AF429" s="5"/>
      <c r="AG429" s="5"/>
      <c r="AH429" s="27"/>
      <c r="AI429" s="27"/>
      <c r="AJ429" s="57"/>
      <c r="AK429" s="27"/>
      <c r="AL429" s="10"/>
      <c r="AM429" s="6"/>
      <c r="AN429" s="7"/>
      <c r="AO429" s="7"/>
      <c r="AP429" s="7"/>
      <c r="AQ429" s="7"/>
      <c r="AR429" s="7"/>
      <c r="AS429" s="7"/>
      <c r="AT429" s="7"/>
      <c r="AU429" s="7"/>
      <c r="AV429" s="7"/>
      <c r="AW429" s="7"/>
    </row>
    <row r="430" spans="1:49">
      <c r="A430" s="1">
        <v>254</v>
      </c>
      <c r="B430" s="5"/>
      <c r="C430" s="10" t="str">
        <f t="shared" si="77"/>
        <v/>
      </c>
      <c r="D430" s="5"/>
      <c r="E430" s="10"/>
      <c r="F430" s="43"/>
      <c r="G430" s="5"/>
      <c r="H430" s="5"/>
      <c r="I430" s="5"/>
      <c r="J430" s="5"/>
      <c r="K430" s="10"/>
      <c r="L430" s="10"/>
      <c r="M430" s="10"/>
      <c r="N430" s="5"/>
      <c r="O430" s="5"/>
      <c r="P430" s="5"/>
      <c r="Q430" s="5"/>
      <c r="R430" s="5"/>
      <c r="S430" s="5"/>
      <c r="T430" s="5"/>
      <c r="U430" s="5"/>
      <c r="V430" s="5"/>
      <c r="W430" s="5"/>
      <c r="X430" s="5"/>
      <c r="Y430" s="5"/>
      <c r="Z430" s="5"/>
      <c r="AA430" s="5"/>
      <c r="AB430" s="5"/>
      <c r="AC430" s="5"/>
      <c r="AD430" s="5"/>
      <c r="AE430" s="5"/>
      <c r="AF430" s="5"/>
      <c r="AG430" s="5"/>
      <c r="AH430" s="27"/>
      <c r="AI430" s="27"/>
      <c r="AJ430" s="57"/>
      <c r="AK430" s="27"/>
      <c r="AL430" s="10"/>
      <c r="AM430" s="6"/>
      <c r="AN430" s="7"/>
      <c r="AO430" s="7"/>
      <c r="AP430" s="7"/>
      <c r="AQ430" s="7"/>
      <c r="AR430" s="7"/>
      <c r="AS430" s="7"/>
      <c r="AT430" s="7"/>
      <c r="AU430" s="7"/>
      <c r="AV430" s="7"/>
      <c r="AW430" s="7"/>
    </row>
    <row r="431" spans="1:49">
      <c r="A431" s="1">
        <v>255</v>
      </c>
      <c r="B431" s="5"/>
      <c r="C431" s="10" t="str">
        <f t="shared" si="77"/>
        <v/>
      </c>
      <c r="D431" s="5"/>
      <c r="E431" s="10"/>
      <c r="F431" s="43"/>
      <c r="G431" s="5"/>
      <c r="H431" s="5"/>
      <c r="I431" s="5"/>
      <c r="J431" s="5"/>
      <c r="K431" s="10"/>
      <c r="L431" s="10"/>
      <c r="M431" s="10"/>
      <c r="N431" s="5"/>
      <c r="O431" s="5"/>
      <c r="P431" s="5"/>
      <c r="Q431" s="5"/>
      <c r="R431" s="5"/>
      <c r="S431" s="5"/>
      <c r="T431" s="5"/>
      <c r="U431" s="5"/>
      <c r="V431" s="5"/>
      <c r="W431" s="5"/>
      <c r="X431" s="5"/>
      <c r="Y431" s="5"/>
      <c r="Z431" s="5"/>
      <c r="AA431" s="5"/>
      <c r="AB431" s="5"/>
      <c r="AC431" s="5"/>
      <c r="AD431" s="5"/>
      <c r="AE431" s="5"/>
      <c r="AF431" s="5"/>
      <c r="AG431" s="5"/>
      <c r="AH431" s="27"/>
      <c r="AI431" s="27"/>
      <c r="AJ431" s="57"/>
      <c r="AK431" s="27"/>
      <c r="AL431" s="10"/>
      <c r="AM431" s="6"/>
      <c r="AN431" s="7"/>
      <c r="AO431" s="7"/>
      <c r="AP431" s="7"/>
      <c r="AQ431" s="7"/>
      <c r="AR431" s="7"/>
      <c r="AS431" s="7"/>
      <c r="AT431" s="7"/>
      <c r="AU431" s="7"/>
      <c r="AV431" s="7"/>
      <c r="AW431" s="7"/>
    </row>
    <row r="432" spans="1:49">
      <c r="A432" s="1">
        <v>256</v>
      </c>
      <c r="B432" s="5"/>
      <c r="C432" s="10" t="str">
        <f t="shared" si="77"/>
        <v/>
      </c>
      <c r="D432" s="5"/>
      <c r="E432" s="10"/>
      <c r="F432" s="43"/>
      <c r="G432" s="5"/>
      <c r="H432" s="5"/>
      <c r="I432" s="5"/>
      <c r="J432" s="5"/>
      <c r="K432" s="10"/>
      <c r="L432" s="10"/>
      <c r="M432" s="10"/>
      <c r="N432" s="5"/>
      <c r="O432" s="5"/>
      <c r="P432" s="5"/>
      <c r="Q432" s="5"/>
      <c r="R432" s="5"/>
      <c r="S432" s="5"/>
      <c r="T432" s="5"/>
      <c r="U432" s="5"/>
      <c r="V432" s="5"/>
      <c r="W432" s="5"/>
      <c r="X432" s="5"/>
      <c r="Y432" s="5"/>
      <c r="Z432" s="5"/>
      <c r="AA432" s="5"/>
      <c r="AB432" s="5"/>
      <c r="AC432" s="5"/>
      <c r="AD432" s="5"/>
      <c r="AE432" s="5"/>
      <c r="AF432" s="5"/>
      <c r="AG432" s="5"/>
      <c r="AH432" s="27"/>
      <c r="AI432" s="27"/>
      <c r="AJ432" s="57"/>
      <c r="AK432" s="27"/>
      <c r="AL432" s="10"/>
      <c r="AM432" s="6"/>
      <c r="AN432" s="7"/>
      <c r="AO432" s="7"/>
      <c r="AP432" s="7"/>
      <c r="AQ432" s="7"/>
      <c r="AR432" s="7"/>
      <c r="AS432" s="7"/>
      <c r="AT432" s="7"/>
      <c r="AU432" s="7"/>
      <c r="AV432" s="7"/>
      <c r="AW432" s="7"/>
    </row>
    <row r="433" spans="1:49">
      <c r="A433" s="1">
        <v>257</v>
      </c>
      <c r="B433" s="5"/>
      <c r="C433" s="10" t="str">
        <f t="shared" si="77"/>
        <v/>
      </c>
      <c r="D433" s="5"/>
      <c r="E433" s="10"/>
      <c r="F433" s="43"/>
      <c r="G433" s="5"/>
      <c r="H433" s="5"/>
      <c r="I433" s="5"/>
      <c r="J433" s="5"/>
      <c r="K433" s="10"/>
      <c r="L433" s="10"/>
      <c r="M433" s="10"/>
      <c r="N433" s="5"/>
      <c r="O433" s="5"/>
      <c r="P433" s="5"/>
      <c r="Q433" s="5"/>
      <c r="R433" s="5"/>
      <c r="S433" s="5"/>
      <c r="T433" s="5"/>
      <c r="U433" s="5"/>
      <c r="V433" s="5"/>
      <c r="W433" s="5"/>
      <c r="X433" s="5"/>
      <c r="Y433" s="5"/>
      <c r="Z433" s="5"/>
      <c r="AA433" s="5"/>
      <c r="AB433" s="5"/>
      <c r="AC433" s="5"/>
      <c r="AD433" s="5"/>
      <c r="AE433" s="5"/>
      <c r="AF433" s="5"/>
      <c r="AG433" s="5"/>
      <c r="AH433" s="27"/>
      <c r="AI433" s="27"/>
      <c r="AJ433" s="57"/>
      <c r="AK433" s="27"/>
      <c r="AL433" s="10"/>
      <c r="AM433" s="6"/>
      <c r="AN433" s="7"/>
      <c r="AO433" s="7"/>
      <c r="AP433" s="7"/>
      <c r="AQ433" s="7"/>
      <c r="AR433" s="7"/>
      <c r="AS433" s="7"/>
      <c r="AT433" s="7"/>
      <c r="AU433" s="7"/>
      <c r="AV433" s="7"/>
      <c r="AW433" s="7"/>
    </row>
    <row r="434" spans="1:49">
      <c r="A434" s="1">
        <v>258</v>
      </c>
      <c r="B434" s="5"/>
      <c r="C434" s="10" t="str">
        <f t="shared" si="77"/>
        <v/>
      </c>
      <c r="D434" s="5"/>
      <c r="E434" s="10"/>
      <c r="F434" s="43"/>
      <c r="G434" s="5"/>
      <c r="H434" s="5"/>
      <c r="I434" s="5"/>
      <c r="J434" s="5"/>
      <c r="K434" s="10"/>
      <c r="L434" s="10"/>
      <c r="M434" s="10"/>
      <c r="N434" s="5"/>
      <c r="O434" s="5"/>
      <c r="P434" s="5"/>
      <c r="Q434" s="5"/>
      <c r="R434" s="5"/>
      <c r="S434" s="5"/>
      <c r="T434" s="5"/>
      <c r="U434" s="5"/>
      <c r="V434" s="5"/>
      <c r="W434" s="5"/>
      <c r="X434" s="5"/>
      <c r="Y434" s="5"/>
      <c r="Z434" s="5"/>
      <c r="AA434" s="5"/>
      <c r="AB434" s="5"/>
      <c r="AC434" s="5"/>
      <c r="AD434" s="5"/>
      <c r="AE434" s="5"/>
      <c r="AF434" s="5"/>
      <c r="AG434" s="5"/>
      <c r="AH434" s="27"/>
      <c r="AI434" s="27"/>
      <c r="AJ434" s="57"/>
      <c r="AK434" s="27"/>
      <c r="AL434" s="10"/>
      <c r="AM434" s="6"/>
      <c r="AN434" s="7"/>
      <c r="AO434" s="7"/>
      <c r="AP434" s="7"/>
      <c r="AQ434" s="7"/>
      <c r="AR434" s="7"/>
      <c r="AS434" s="7"/>
      <c r="AT434" s="7"/>
      <c r="AU434" s="7"/>
      <c r="AV434" s="7"/>
      <c r="AW434" s="7"/>
    </row>
    <row r="435" spans="1:49">
      <c r="A435" s="1">
        <v>259</v>
      </c>
      <c r="B435" s="5"/>
      <c r="C435" s="10" t="str">
        <f t="shared" si="77"/>
        <v/>
      </c>
      <c r="D435" s="5"/>
      <c r="E435" s="10"/>
      <c r="F435" s="43"/>
      <c r="G435" s="5"/>
      <c r="H435" s="5"/>
      <c r="I435" s="5"/>
      <c r="J435" s="5"/>
      <c r="K435" s="10"/>
      <c r="L435" s="10"/>
      <c r="M435" s="10"/>
      <c r="N435" s="5"/>
      <c r="O435" s="5"/>
      <c r="P435" s="5"/>
      <c r="Q435" s="5"/>
      <c r="R435" s="5"/>
      <c r="S435" s="5"/>
      <c r="T435" s="5"/>
      <c r="U435" s="5"/>
      <c r="V435" s="5"/>
      <c r="W435" s="5"/>
      <c r="X435" s="5"/>
      <c r="Y435" s="5"/>
      <c r="Z435" s="5"/>
      <c r="AA435" s="5"/>
      <c r="AB435" s="5"/>
      <c r="AC435" s="5"/>
      <c r="AD435" s="5"/>
      <c r="AE435" s="5"/>
      <c r="AF435" s="5"/>
      <c r="AG435" s="5"/>
      <c r="AH435" s="27"/>
      <c r="AI435" s="27"/>
      <c r="AJ435" s="57"/>
      <c r="AK435" s="27"/>
      <c r="AL435" s="10"/>
      <c r="AM435" s="6"/>
      <c r="AN435" s="7"/>
      <c r="AO435" s="7"/>
      <c r="AP435" s="7"/>
      <c r="AQ435" s="7"/>
      <c r="AR435" s="7"/>
      <c r="AS435" s="7"/>
      <c r="AT435" s="7"/>
      <c r="AU435" s="7"/>
      <c r="AV435" s="7"/>
      <c r="AW435" s="7"/>
    </row>
    <row r="436" spans="1:49">
      <c r="A436" s="1">
        <v>260</v>
      </c>
      <c r="B436" s="5"/>
      <c r="C436" s="10" t="str">
        <f t="shared" si="77"/>
        <v/>
      </c>
      <c r="D436" s="5"/>
      <c r="E436" s="10"/>
      <c r="F436" s="43"/>
      <c r="G436" s="5"/>
      <c r="H436" s="5"/>
      <c r="I436" s="5"/>
      <c r="J436" s="5"/>
      <c r="K436" s="10"/>
      <c r="L436" s="10"/>
      <c r="M436" s="10"/>
      <c r="N436" s="5"/>
      <c r="O436" s="5"/>
      <c r="P436" s="5"/>
      <c r="Q436" s="5"/>
      <c r="R436" s="5"/>
      <c r="S436" s="5"/>
      <c r="T436" s="5"/>
      <c r="U436" s="5"/>
      <c r="V436" s="5"/>
      <c r="W436" s="5"/>
      <c r="X436" s="5"/>
      <c r="Y436" s="5"/>
      <c r="Z436" s="5"/>
      <c r="AA436" s="5"/>
      <c r="AB436" s="5"/>
      <c r="AC436" s="5"/>
      <c r="AD436" s="5"/>
      <c r="AE436" s="5"/>
      <c r="AF436" s="5"/>
      <c r="AG436" s="5"/>
      <c r="AH436" s="27"/>
      <c r="AI436" s="27"/>
      <c r="AJ436" s="57"/>
      <c r="AK436" s="27"/>
      <c r="AL436" s="10"/>
      <c r="AM436" s="6"/>
      <c r="AN436" s="7"/>
      <c r="AO436" s="7"/>
      <c r="AP436" s="7"/>
      <c r="AQ436" s="7"/>
      <c r="AR436" s="7"/>
      <c r="AS436" s="7"/>
      <c r="AT436" s="7"/>
      <c r="AU436" s="7"/>
      <c r="AV436" s="7"/>
      <c r="AW436" s="7"/>
    </row>
    <row r="437" spans="1:49">
      <c r="A437" s="1">
        <v>261</v>
      </c>
      <c r="B437" s="5"/>
      <c r="C437" s="10" t="str">
        <f t="shared" si="77"/>
        <v/>
      </c>
      <c r="D437" s="5"/>
      <c r="E437" s="10"/>
      <c r="F437" s="43"/>
      <c r="G437" s="5"/>
      <c r="H437" s="5"/>
      <c r="I437" s="5"/>
      <c r="J437" s="5"/>
      <c r="K437" s="10"/>
      <c r="L437" s="10"/>
      <c r="M437" s="10"/>
      <c r="N437" s="5"/>
      <c r="O437" s="5"/>
      <c r="P437" s="5"/>
      <c r="Q437" s="5"/>
      <c r="R437" s="5"/>
      <c r="S437" s="5"/>
      <c r="T437" s="5"/>
      <c r="U437" s="5"/>
      <c r="V437" s="5"/>
      <c r="W437" s="5"/>
      <c r="X437" s="5"/>
      <c r="Y437" s="5"/>
      <c r="Z437" s="5"/>
      <c r="AA437" s="5"/>
      <c r="AB437" s="5"/>
      <c r="AC437" s="5"/>
      <c r="AD437" s="5"/>
      <c r="AE437" s="5"/>
      <c r="AF437" s="5"/>
      <c r="AG437" s="5"/>
      <c r="AH437" s="27"/>
      <c r="AI437" s="27"/>
      <c r="AJ437" s="57"/>
      <c r="AK437" s="27"/>
      <c r="AL437" s="10"/>
      <c r="AM437" s="6"/>
      <c r="AN437" s="7"/>
      <c r="AO437" s="7"/>
      <c r="AP437" s="7"/>
      <c r="AQ437" s="7"/>
      <c r="AR437" s="7"/>
      <c r="AS437" s="7"/>
      <c r="AT437" s="7"/>
      <c r="AU437" s="7"/>
      <c r="AV437" s="7"/>
      <c r="AW437" s="7"/>
    </row>
    <row r="438" spans="1:49">
      <c r="A438" s="1">
        <v>262</v>
      </c>
      <c r="B438" s="5"/>
      <c r="C438" s="10" t="str">
        <f t="shared" si="77"/>
        <v/>
      </c>
      <c r="D438" s="5"/>
      <c r="E438" s="10"/>
      <c r="F438" s="43"/>
      <c r="G438" s="5"/>
      <c r="H438" s="5"/>
      <c r="I438" s="5"/>
      <c r="J438" s="5"/>
      <c r="K438" s="10"/>
      <c r="L438" s="10"/>
      <c r="M438" s="10"/>
      <c r="N438" s="5"/>
      <c r="O438" s="5"/>
      <c r="P438" s="5"/>
      <c r="Q438" s="5"/>
      <c r="R438" s="5"/>
      <c r="S438" s="5"/>
      <c r="T438" s="5"/>
      <c r="U438" s="5"/>
      <c r="V438" s="5"/>
      <c r="W438" s="5"/>
      <c r="X438" s="5"/>
      <c r="Y438" s="5"/>
      <c r="Z438" s="5"/>
      <c r="AA438" s="5"/>
      <c r="AB438" s="5"/>
      <c r="AC438" s="5"/>
      <c r="AD438" s="5"/>
      <c r="AE438" s="5"/>
      <c r="AF438" s="5"/>
      <c r="AG438" s="5"/>
      <c r="AH438" s="27"/>
      <c r="AI438" s="27"/>
      <c r="AJ438" s="57"/>
      <c r="AK438" s="27"/>
      <c r="AL438" s="10"/>
      <c r="AM438" s="6"/>
      <c r="AN438" s="7"/>
      <c r="AO438" s="7"/>
      <c r="AP438" s="7"/>
      <c r="AQ438" s="7"/>
      <c r="AR438" s="7"/>
      <c r="AS438" s="7"/>
      <c r="AT438" s="7"/>
      <c r="AU438" s="7"/>
      <c r="AV438" s="7"/>
      <c r="AW438" s="7"/>
    </row>
    <row r="439" spans="1:49">
      <c r="A439" s="1">
        <v>263</v>
      </c>
      <c r="B439" s="5"/>
      <c r="C439" s="10" t="str">
        <f t="shared" si="77"/>
        <v/>
      </c>
      <c r="D439" s="5"/>
      <c r="E439" s="10"/>
      <c r="F439" s="43"/>
      <c r="G439" s="5"/>
      <c r="H439" s="5"/>
      <c r="I439" s="5"/>
      <c r="J439" s="5"/>
      <c r="K439" s="10"/>
      <c r="L439" s="10"/>
      <c r="M439" s="10"/>
      <c r="N439" s="5"/>
      <c r="O439" s="5"/>
      <c r="P439" s="5"/>
      <c r="Q439" s="5"/>
      <c r="R439" s="5"/>
      <c r="S439" s="5"/>
      <c r="T439" s="5"/>
      <c r="U439" s="5"/>
      <c r="V439" s="5"/>
      <c r="W439" s="5"/>
      <c r="X439" s="5"/>
      <c r="Y439" s="5"/>
      <c r="Z439" s="5"/>
      <c r="AA439" s="5"/>
      <c r="AB439" s="5"/>
      <c r="AC439" s="5"/>
      <c r="AD439" s="5"/>
      <c r="AE439" s="5"/>
      <c r="AF439" s="5"/>
      <c r="AG439" s="5"/>
      <c r="AH439" s="27"/>
      <c r="AI439" s="27"/>
      <c r="AJ439" s="57"/>
      <c r="AK439" s="27"/>
      <c r="AL439" s="10"/>
      <c r="AM439" s="6"/>
      <c r="AN439" s="7"/>
      <c r="AO439" s="7"/>
      <c r="AP439" s="7"/>
      <c r="AQ439" s="7"/>
      <c r="AR439" s="7"/>
      <c r="AS439" s="7"/>
      <c r="AT439" s="7"/>
      <c r="AU439" s="7"/>
      <c r="AV439" s="7"/>
      <c r="AW439" s="7"/>
    </row>
    <row r="440" spans="1:49">
      <c r="A440" s="1">
        <v>264</v>
      </c>
      <c r="B440" s="5"/>
      <c r="C440" s="10" t="str">
        <f t="shared" si="77"/>
        <v/>
      </c>
      <c r="D440" s="5"/>
      <c r="E440" s="10"/>
      <c r="F440" s="43"/>
      <c r="G440" s="5"/>
      <c r="H440" s="5"/>
      <c r="I440" s="5"/>
      <c r="J440" s="5"/>
      <c r="K440" s="10"/>
      <c r="L440" s="10"/>
      <c r="M440" s="10"/>
      <c r="N440" s="5"/>
      <c r="O440" s="5"/>
      <c r="P440" s="5"/>
      <c r="Q440" s="5"/>
      <c r="R440" s="5"/>
      <c r="S440" s="5"/>
      <c r="T440" s="5"/>
      <c r="U440" s="5"/>
      <c r="V440" s="5"/>
      <c r="W440" s="5"/>
      <c r="X440" s="5"/>
      <c r="Y440" s="5"/>
      <c r="Z440" s="5"/>
      <c r="AA440" s="5"/>
      <c r="AB440" s="5"/>
      <c r="AC440" s="5"/>
      <c r="AD440" s="5"/>
      <c r="AE440" s="5"/>
      <c r="AF440" s="5"/>
      <c r="AG440" s="5"/>
      <c r="AH440" s="27"/>
      <c r="AI440" s="27"/>
      <c r="AJ440" s="57"/>
      <c r="AK440" s="27"/>
      <c r="AL440" s="10"/>
      <c r="AM440" s="6"/>
      <c r="AN440" s="7"/>
      <c r="AO440" s="7"/>
      <c r="AP440" s="7"/>
      <c r="AQ440" s="7"/>
      <c r="AR440" s="7"/>
      <c r="AS440" s="7"/>
      <c r="AT440" s="7"/>
      <c r="AU440" s="7"/>
      <c r="AV440" s="7"/>
      <c r="AW440" s="7"/>
    </row>
    <row r="441" spans="1:49">
      <c r="A441" s="1">
        <v>265</v>
      </c>
      <c r="B441" s="5"/>
      <c r="C441" s="10" t="str">
        <f t="shared" si="77"/>
        <v/>
      </c>
      <c r="D441" s="5"/>
      <c r="E441" s="10"/>
      <c r="F441" s="43"/>
      <c r="G441" s="5"/>
      <c r="H441" s="5"/>
      <c r="I441" s="5"/>
      <c r="J441" s="5"/>
      <c r="K441" s="10"/>
      <c r="L441" s="10"/>
      <c r="M441" s="10"/>
      <c r="N441" s="5"/>
      <c r="O441" s="5"/>
      <c r="P441" s="5"/>
      <c r="Q441" s="5"/>
      <c r="R441" s="5"/>
      <c r="S441" s="5"/>
      <c r="T441" s="5"/>
      <c r="U441" s="5"/>
      <c r="V441" s="5"/>
      <c r="W441" s="5"/>
      <c r="X441" s="5"/>
      <c r="Y441" s="5"/>
      <c r="Z441" s="5"/>
      <c r="AA441" s="5"/>
      <c r="AB441" s="5"/>
      <c r="AC441" s="5"/>
      <c r="AD441" s="5"/>
      <c r="AE441" s="5"/>
      <c r="AF441" s="5"/>
      <c r="AG441" s="5"/>
      <c r="AH441" s="27"/>
      <c r="AI441" s="27"/>
      <c r="AJ441" s="57"/>
      <c r="AK441" s="27"/>
      <c r="AL441" s="10"/>
      <c r="AM441" s="6"/>
      <c r="AN441" s="7"/>
      <c r="AO441" s="7"/>
      <c r="AP441" s="7"/>
      <c r="AQ441" s="7"/>
      <c r="AR441" s="7"/>
      <c r="AS441" s="7"/>
      <c r="AT441" s="7"/>
      <c r="AU441" s="7"/>
      <c r="AV441" s="7"/>
      <c r="AW441" s="7"/>
    </row>
    <row r="442" spans="1:49">
      <c r="A442" s="1">
        <v>266</v>
      </c>
      <c r="B442" s="5"/>
      <c r="C442" s="10" t="str">
        <f t="shared" si="77"/>
        <v/>
      </c>
      <c r="D442" s="5"/>
      <c r="E442" s="10"/>
      <c r="F442" s="43"/>
      <c r="G442" s="5"/>
      <c r="H442" s="5"/>
      <c r="I442" s="5"/>
      <c r="J442" s="5"/>
      <c r="K442" s="10"/>
      <c r="L442" s="10"/>
      <c r="M442" s="10"/>
      <c r="N442" s="5"/>
      <c r="O442" s="5"/>
      <c r="P442" s="5"/>
      <c r="Q442" s="5"/>
      <c r="R442" s="5"/>
      <c r="S442" s="5"/>
      <c r="T442" s="5"/>
      <c r="U442" s="5"/>
      <c r="V442" s="5"/>
      <c r="W442" s="5"/>
      <c r="X442" s="5"/>
      <c r="Y442" s="5"/>
      <c r="Z442" s="5"/>
      <c r="AA442" s="5"/>
      <c r="AB442" s="5"/>
      <c r="AC442" s="5"/>
      <c r="AD442" s="5"/>
      <c r="AE442" s="5"/>
      <c r="AF442" s="5"/>
      <c r="AG442" s="5"/>
      <c r="AH442" s="27"/>
      <c r="AI442" s="27"/>
      <c r="AJ442" s="57"/>
      <c r="AK442" s="27"/>
      <c r="AL442" s="10"/>
      <c r="AM442" s="6"/>
      <c r="AN442" s="7"/>
      <c r="AO442" s="7"/>
      <c r="AP442" s="7"/>
      <c r="AQ442" s="7"/>
      <c r="AR442" s="7"/>
      <c r="AS442" s="7"/>
      <c r="AT442" s="7"/>
      <c r="AU442" s="7"/>
      <c r="AV442" s="7"/>
      <c r="AW442" s="7"/>
    </row>
    <row r="443" spans="1:49">
      <c r="A443" s="1">
        <v>267</v>
      </c>
      <c r="B443" s="5"/>
      <c r="C443" s="10" t="str">
        <f t="shared" si="77"/>
        <v/>
      </c>
      <c r="D443" s="5"/>
      <c r="E443" s="10"/>
      <c r="F443" s="43"/>
      <c r="G443" s="5"/>
      <c r="H443" s="5"/>
      <c r="I443" s="5"/>
      <c r="J443" s="5"/>
      <c r="K443" s="10"/>
      <c r="L443" s="10"/>
      <c r="M443" s="10"/>
      <c r="N443" s="5"/>
      <c r="O443" s="5"/>
      <c r="P443" s="5"/>
      <c r="Q443" s="5"/>
      <c r="R443" s="5"/>
      <c r="S443" s="5"/>
      <c r="T443" s="5"/>
      <c r="U443" s="5"/>
      <c r="V443" s="5"/>
      <c r="W443" s="5"/>
      <c r="X443" s="5"/>
      <c r="Y443" s="5"/>
      <c r="Z443" s="5"/>
      <c r="AA443" s="5"/>
      <c r="AB443" s="5"/>
      <c r="AC443" s="5"/>
      <c r="AD443" s="5"/>
      <c r="AE443" s="5"/>
      <c r="AF443" s="5"/>
      <c r="AG443" s="5"/>
      <c r="AH443" s="27"/>
      <c r="AI443" s="27"/>
      <c r="AJ443" s="57"/>
      <c r="AK443" s="27"/>
      <c r="AL443" s="10"/>
      <c r="AM443" s="6"/>
      <c r="AN443" s="7"/>
      <c r="AO443" s="7"/>
      <c r="AP443" s="7"/>
      <c r="AQ443" s="7"/>
      <c r="AR443" s="7"/>
      <c r="AS443" s="7"/>
      <c r="AT443" s="7"/>
      <c r="AU443" s="7"/>
      <c r="AV443" s="7"/>
      <c r="AW443" s="7"/>
    </row>
    <row r="444" spans="1:49">
      <c r="A444" s="1">
        <v>268</v>
      </c>
      <c r="B444" s="5"/>
      <c r="C444" s="10" t="str">
        <f t="shared" si="77"/>
        <v/>
      </c>
      <c r="D444" s="5"/>
      <c r="E444" s="10"/>
      <c r="F444" s="43"/>
      <c r="G444" s="5"/>
      <c r="H444" s="5"/>
      <c r="I444" s="5"/>
      <c r="J444" s="5"/>
      <c r="K444" s="10"/>
      <c r="L444" s="10"/>
      <c r="M444" s="10"/>
      <c r="N444" s="5"/>
      <c r="O444" s="5"/>
      <c r="P444" s="5"/>
      <c r="Q444" s="5"/>
      <c r="R444" s="5"/>
      <c r="S444" s="5"/>
      <c r="T444" s="5"/>
      <c r="U444" s="5"/>
      <c r="V444" s="5"/>
      <c r="W444" s="5"/>
      <c r="X444" s="5"/>
      <c r="Y444" s="5"/>
      <c r="Z444" s="5"/>
      <c r="AA444" s="5"/>
      <c r="AB444" s="5"/>
      <c r="AC444" s="5"/>
      <c r="AD444" s="5"/>
      <c r="AE444" s="5"/>
      <c r="AF444" s="5"/>
      <c r="AG444" s="5"/>
      <c r="AH444" s="27"/>
      <c r="AI444" s="27"/>
      <c r="AJ444" s="57"/>
      <c r="AK444" s="27"/>
      <c r="AL444" s="10"/>
      <c r="AM444" s="6"/>
      <c r="AN444" s="7"/>
      <c r="AO444" s="7"/>
      <c r="AP444" s="7"/>
      <c r="AQ444" s="7"/>
      <c r="AR444" s="7"/>
      <c r="AS444" s="7"/>
      <c r="AT444" s="7"/>
      <c r="AU444" s="7"/>
      <c r="AV444" s="7"/>
      <c r="AW444" s="7"/>
    </row>
    <row r="445" spans="1:49">
      <c r="A445" s="1">
        <v>269</v>
      </c>
      <c r="B445" s="5"/>
      <c r="C445" s="10" t="str">
        <f t="shared" si="77"/>
        <v/>
      </c>
      <c r="D445" s="5"/>
      <c r="E445" s="10"/>
      <c r="F445" s="43"/>
      <c r="G445" s="5"/>
      <c r="H445" s="5"/>
      <c r="I445" s="5"/>
      <c r="J445" s="5"/>
      <c r="K445" s="10"/>
      <c r="L445" s="10"/>
      <c r="M445" s="10"/>
      <c r="N445" s="5"/>
      <c r="O445" s="5"/>
      <c r="P445" s="5"/>
      <c r="Q445" s="5"/>
      <c r="R445" s="5"/>
      <c r="S445" s="5"/>
      <c r="T445" s="5"/>
      <c r="U445" s="5"/>
      <c r="V445" s="5"/>
      <c r="W445" s="5"/>
      <c r="X445" s="5"/>
      <c r="Y445" s="5"/>
      <c r="Z445" s="5"/>
      <c r="AA445" s="5"/>
      <c r="AB445" s="5"/>
      <c r="AC445" s="5"/>
      <c r="AD445" s="5"/>
      <c r="AE445" s="5"/>
      <c r="AF445" s="5"/>
      <c r="AG445" s="5"/>
      <c r="AH445" s="27"/>
      <c r="AI445" s="27"/>
      <c r="AJ445" s="57"/>
      <c r="AK445" s="27"/>
      <c r="AL445" s="10"/>
      <c r="AM445" s="6"/>
      <c r="AN445" s="7"/>
      <c r="AO445" s="7"/>
      <c r="AP445" s="7"/>
      <c r="AQ445" s="7"/>
      <c r="AR445" s="7"/>
      <c r="AS445" s="7"/>
      <c r="AT445" s="7"/>
      <c r="AU445" s="7"/>
      <c r="AV445" s="7"/>
      <c r="AW445" s="7"/>
    </row>
    <row r="446" spans="1:49">
      <c r="A446" s="1">
        <v>270</v>
      </c>
      <c r="B446" s="5"/>
      <c r="C446" s="10" t="str">
        <f t="shared" si="77"/>
        <v/>
      </c>
      <c r="D446" s="5"/>
      <c r="E446" s="10"/>
      <c r="F446" s="43"/>
      <c r="G446" s="5"/>
      <c r="H446" s="5"/>
      <c r="I446" s="5"/>
      <c r="J446" s="5"/>
      <c r="K446" s="10"/>
      <c r="L446" s="10"/>
      <c r="M446" s="10"/>
      <c r="N446" s="5"/>
      <c r="O446" s="5"/>
      <c r="P446" s="5"/>
      <c r="Q446" s="5"/>
      <c r="R446" s="5"/>
      <c r="S446" s="5"/>
      <c r="T446" s="5"/>
      <c r="U446" s="5"/>
      <c r="V446" s="5"/>
      <c r="W446" s="5"/>
      <c r="X446" s="5"/>
      <c r="Y446" s="5"/>
      <c r="Z446" s="5"/>
      <c r="AA446" s="5"/>
      <c r="AB446" s="5"/>
      <c r="AC446" s="5"/>
      <c r="AD446" s="5"/>
      <c r="AE446" s="5"/>
      <c r="AF446" s="5"/>
      <c r="AG446" s="5"/>
      <c r="AH446" s="27"/>
      <c r="AI446" s="27"/>
      <c r="AJ446" s="57"/>
      <c r="AK446" s="27"/>
      <c r="AL446" s="10"/>
      <c r="AM446" s="6"/>
      <c r="AN446" s="7"/>
      <c r="AO446" s="7"/>
      <c r="AP446" s="7"/>
      <c r="AQ446" s="7"/>
      <c r="AR446" s="7"/>
      <c r="AS446" s="7"/>
      <c r="AT446" s="7"/>
      <c r="AU446" s="7"/>
      <c r="AV446" s="7"/>
      <c r="AW446" s="7"/>
    </row>
    <row r="447" spans="1:49">
      <c r="A447" s="1">
        <v>271</v>
      </c>
      <c r="B447" s="5"/>
      <c r="C447" s="10" t="str">
        <f t="shared" si="77"/>
        <v/>
      </c>
      <c r="D447" s="5"/>
      <c r="E447" s="10"/>
      <c r="F447" s="43"/>
      <c r="G447" s="5"/>
      <c r="H447" s="5"/>
      <c r="I447" s="5"/>
      <c r="J447" s="5"/>
      <c r="K447" s="10"/>
      <c r="L447" s="10"/>
      <c r="M447" s="10"/>
      <c r="N447" s="5"/>
      <c r="O447" s="5"/>
      <c r="P447" s="5"/>
      <c r="Q447" s="5"/>
      <c r="R447" s="5"/>
      <c r="S447" s="5"/>
      <c r="T447" s="5"/>
      <c r="U447" s="5"/>
      <c r="V447" s="5"/>
      <c r="W447" s="5"/>
      <c r="X447" s="5"/>
      <c r="Y447" s="5"/>
      <c r="Z447" s="5"/>
      <c r="AA447" s="5"/>
      <c r="AB447" s="5"/>
      <c r="AC447" s="5"/>
      <c r="AD447" s="5"/>
      <c r="AE447" s="5"/>
      <c r="AF447" s="5"/>
      <c r="AG447" s="5"/>
      <c r="AH447" s="27"/>
      <c r="AI447" s="27"/>
      <c r="AJ447" s="57"/>
      <c r="AK447" s="27"/>
      <c r="AL447" s="10"/>
      <c r="AM447" s="6"/>
      <c r="AN447" s="7"/>
      <c r="AO447" s="7"/>
      <c r="AP447" s="7"/>
      <c r="AQ447" s="7"/>
      <c r="AR447" s="7"/>
      <c r="AS447" s="7"/>
      <c r="AT447" s="7"/>
      <c r="AU447" s="7"/>
      <c r="AV447" s="7"/>
      <c r="AW447" s="7"/>
    </row>
    <row r="448" spans="1:49">
      <c r="A448" s="1">
        <v>272</v>
      </c>
      <c r="B448" s="5"/>
      <c r="C448" s="10" t="str">
        <f t="shared" si="77"/>
        <v/>
      </c>
      <c r="D448" s="5"/>
      <c r="E448" s="10"/>
      <c r="F448" s="43"/>
      <c r="G448" s="5"/>
      <c r="H448" s="5"/>
      <c r="I448" s="5"/>
      <c r="J448" s="5"/>
      <c r="K448" s="10"/>
      <c r="L448" s="10"/>
      <c r="M448" s="10"/>
      <c r="N448" s="5"/>
      <c r="O448" s="5"/>
      <c r="P448" s="5"/>
      <c r="Q448" s="5"/>
      <c r="R448" s="5"/>
      <c r="S448" s="5"/>
      <c r="T448" s="5"/>
      <c r="U448" s="5"/>
      <c r="V448" s="5"/>
      <c r="W448" s="5"/>
      <c r="X448" s="5"/>
      <c r="Y448" s="5"/>
      <c r="Z448" s="5"/>
      <c r="AA448" s="5"/>
      <c r="AB448" s="5"/>
      <c r="AC448" s="5"/>
      <c r="AD448" s="5"/>
      <c r="AE448" s="5"/>
      <c r="AF448" s="5"/>
      <c r="AG448" s="5"/>
      <c r="AH448" s="27"/>
      <c r="AI448" s="27"/>
      <c r="AJ448" s="57"/>
      <c r="AK448" s="27"/>
      <c r="AL448" s="10"/>
      <c r="AM448" s="6"/>
      <c r="AN448" s="7"/>
      <c r="AO448" s="7"/>
      <c r="AP448" s="7"/>
      <c r="AQ448" s="7"/>
      <c r="AR448" s="7"/>
      <c r="AS448" s="7"/>
      <c r="AT448" s="7"/>
      <c r="AU448" s="7"/>
      <c r="AV448" s="7"/>
      <c r="AW448" s="7"/>
    </row>
    <row r="449" spans="1:49">
      <c r="A449" s="1">
        <v>273</v>
      </c>
      <c r="B449" s="5"/>
      <c r="C449" s="10" t="str">
        <f t="shared" si="77"/>
        <v/>
      </c>
      <c r="D449" s="5"/>
      <c r="E449" s="10"/>
      <c r="F449" s="43"/>
      <c r="G449" s="5"/>
      <c r="H449" s="5"/>
      <c r="I449" s="5"/>
      <c r="J449" s="5"/>
      <c r="K449" s="10"/>
      <c r="L449" s="10"/>
      <c r="M449" s="10"/>
      <c r="N449" s="5"/>
      <c r="O449" s="5"/>
      <c r="P449" s="5"/>
      <c r="Q449" s="5"/>
      <c r="R449" s="5"/>
      <c r="S449" s="5"/>
      <c r="T449" s="5"/>
      <c r="U449" s="5"/>
      <c r="V449" s="5"/>
      <c r="W449" s="5"/>
      <c r="X449" s="5"/>
      <c r="Y449" s="5"/>
      <c r="Z449" s="5"/>
      <c r="AA449" s="5"/>
      <c r="AB449" s="5"/>
      <c r="AC449" s="5"/>
      <c r="AD449" s="5"/>
      <c r="AE449" s="5"/>
      <c r="AF449" s="5"/>
      <c r="AG449" s="5"/>
      <c r="AH449" s="27"/>
      <c r="AI449" s="27"/>
      <c r="AJ449" s="57"/>
      <c r="AK449" s="27"/>
      <c r="AL449" s="10"/>
      <c r="AM449" s="6"/>
      <c r="AN449" s="7"/>
      <c r="AO449" s="7"/>
      <c r="AP449" s="7"/>
      <c r="AQ449" s="7"/>
      <c r="AR449" s="7"/>
      <c r="AS449" s="7"/>
      <c r="AT449" s="7"/>
      <c r="AU449" s="7"/>
      <c r="AV449" s="7"/>
      <c r="AW449" s="7"/>
    </row>
    <row r="450" spans="1:49">
      <c r="A450" s="1">
        <v>274</v>
      </c>
      <c r="B450" s="5"/>
      <c r="C450" s="10" t="str">
        <f t="shared" si="77"/>
        <v/>
      </c>
      <c r="D450" s="5"/>
      <c r="E450" s="10"/>
      <c r="F450" s="43"/>
      <c r="G450" s="5"/>
      <c r="H450" s="5"/>
      <c r="I450" s="5"/>
      <c r="J450" s="5"/>
      <c r="K450" s="10"/>
      <c r="L450" s="10"/>
      <c r="M450" s="10"/>
      <c r="N450" s="5"/>
      <c r="O450" s="5"/>
      <c r="P450" s="5"/>
      <c r="Q450" s="5"/>
      <c r="R450" s="5"/>
      <c r="S450" s="5"/>
      <c r="T450" s="5"/>
      <c r="U450" s="5"/>
      <c r="V450" s="5"/>
      <c r="W450" s="5"/>
      <c r="X450" s="5"/>
      <c r="Y450" s="5"/>
      <c r="Z450" s="5"/>
      <c r="AA450" s="5"/>
      <c r="AB450" s="5"/>
      <c r="AC450" s="5"/>
      <c r="AD450" s="5"/>
      <c r="AE450" s="5"/>
      <c r="AF450" s="5"/>
      <c r="AG450" s="5"/>
      <c r="AH450" s="27"/>
      <c r="AI450" s="27"/>
      <c r="AJ450" s="57"/>
      <c r="AK450" s="27"/>
      <c r="AL450" s="10"/>
      <c r="AM450" s="6"/>
      <c r="AN450" s="7"/>
      <c r="AO450" s="7"/>
      <c r="AP450" s="7"/>
      <c r="AQ450" s="7"/>
      <c r="AR450" s="7"/>
      <c r="AS450" s="7"/>
      <c r="AT450" s="7"/>
      <c r="AU450" s="7"/>
      <c r="AV450" s="7"/>
      <c r="AW450" s="7"/>
    </row>
    <row r="451" spans="1:49">
      <c r="A451" s="1">
        <v>275</v>
      </c>
      <c r="B451" s="5"/>
      <c r="C451" s="10" t="str">
        <f t="shared" si="77"/>
        <v/>
      </c>
      <c r="D451" s="5"/>
      <c r="E451" s="10"/>
      <c r="F451" s="43"/>
      <c r="G451" s="5"/>
      <c r="H451" s="5"/>
      <c r="I451" s="5"/>
      <c r="J451" s="5"/>
      <c r="K451" s="10"/>
      <c r="L451" s="10"/>
      <c r="M451" s="10"/>
      <c r="N451" s="5"/>
      <c r="O451" s="5"/>
      <c r="P451" s="5"/>
      <c r="Q451" s="5"/>
      <c r="R451" s="5"/>
      <c r="S451" s="5"/>
      <c r="T451" s="5"/>
      <c r="U451" s="5"/>
      <c r="V451" s="5"/>
      <c r="W451" s="5"/>
      <c r="X451" s="5"/>
      <c r="Y451" s="5"/>
      <c r="Z451" s="5"/>
      <c r="AA451" s="5"/>
      <c r="AB451" s="5"/>
      <c r="AC451" s="5"/>
      <c r="AD451" s="5"/>
      <c r="AE451" s="5"/>
      <c r="AF451" s="5"/>
      <c r="AG451" s="5"/>
      <c r="AH451" s="27"/>
      <c r="AI451" s="27"/>
      <c r="AJ451" s="57"/>
      <c r="AK451" s="27"/>
      <c r="AL451" s="10"/>
      <c r="AM451" s="6"/>
      <c r="AN451" s="7"/>
      <c r="AO451" s="7"/>
      <c r="AP451" s="7"/>
      <c r="AQ451" s="7"/>
      <c r="AR451" s="7"/>
      <c r="AS451" s="7"/>
      <c r="AT451" s="7"/>
      <c r="AU451" s="7"/>
      <c r="AV451" s="7"/>
      <c r="AW451" s="7"/>
    </row>
    <row r="452" spans="1:49">
      <c r="A452" s="1">
        <v>276</v>
      </c>
      <c r="B452" s="5"/>
      <c r="C452" s="10" t="str">
        <f t="shared" si="77"/>
        <v/>
      </c>
      <c r="D452" s="5"/>
      <c r="E452" s="10"/>
      <c r="F452" s="43"/>
      <c r="G452" s="5"/>
      <c r="H452" s="5"/>
      <c r="I452" s="5"/>
      <c r="J452" s="5"/>
      <c r="K452" s="10"/>
      <c r="L452" s="10"/>
      <c r="M452" s="10"/>
      <c r="N452" s="5"/>
      <c r="O452" s="5"/>
      <c r="P452" s="5"/>
      <c r="Q452" s="5"/>
      <c r="R452" s="5"/>
      <c r="S452" s="5"/>
      <c r="T452" s="5"/>
      <c r="U452" s="5"/>
      <c r="V452" s="5"/>
      <c r="W452" s="5"/>
      <c r="X452" s="5"/>
      <c r="Y452" s="5"/>
      <c r="Z452" s="5"/>
      <c r="AA452" s="5"/>
      <c r="AB452" s="5"/>
      <c r="AC452" s="5"/>
      <c r="AD452" s="5"/>
      <c r="AE452" s="5"/>
      <c r="AF452" s="5"/>
      <c r="AG452" s="5"/>
      <c r="AH452" s="27"/>
      <c r="AI452" s="27"/>
      <c r="AJ452" s="57"/>
      <c r="AK452" s="27"/>
      <c r="AL452" s="10"/>
      <c r="AM452" s="6"/>
      <c r="AN452" s="7"/>
      <c r="AO452" s="7"/>
      <c r="AP452" s="7"/>
      <c r="AQ452" s="7"/>
      <c r="AR452" s="7"/>
      <c r="AS452" s="7"/>
      <c r="AT452" s="7"/>
      <c r="AU452" s="7"/>
      <c r="AV452" s="7"/>
      <c r="AW452" s="7"/>
    </row>
    <row r="453" spans="1:49">
      <c r="A453" s="1">
        <v>277</v>
      </c>
      <c r="B453" s="5"/>
      <c r="C453" s="10" t="str">
        <f t="shared" si="77"/>
        <v/>
      </c>
      <c r="D453" s="5"/>
      <c r="E453" s="10"/>
      <c r="F453" s="43"/>
      <c r="G453" s="5"/>
      <c r="H453" s="5"/>
      <c r="I453" s="5"/>
      <c r="J453" s="5"/>
      <c r="K453" s="10"/>
      <c r="L453" s="10"/>
      <c r="M453" s="10"/>
      <c r="N453" s="5"/>
      <c r="O453" s="5"/>
      <c r="P453" s="5"/>
      <c r="Q453" s="5"/>
      <c r="R453" s="5"/>
      <c r="S453" s="5"/>
      <c r="T453" s="5"/>
      <c r="U453" s="5"/>
      <c r="V453" s="5"/>
      <c r="W453" s="5"/>
      <c r="X453" s="5"/>
      <c r="Y453" s="5"/>
      <c r="Z453" s="5"/>
      <c r="AA453" s="5"/>
      <c r="AB453" s="5"/>
      <c r="AC453" s="5"/>
      <c r="AD453" s="5"/>
      <c r="AE453" s="5"/>
      <c r="AF453" s="5"/>
      <c r="AG453" s="5"/>
      <c r="AH453" s="27"/>
      <c r="AI453" s="27"/>
      <c r="AJ453" s="57"/>
      <c r="AK453" s="27"/>
      <c r="AL453" s="10"/>
      <c r="AM453" s="6"/>
      <c r="AN453" s="7"/>
      <c r="AO453" s="7"/>
      <c r="AP453" s="7"/>
      <c r="AQ453" s="7"/>
      <c r="AR453" s="7"/>
      <c r="AS453" s="7"/>
      <c r="AT453" s="7"/>
      <c r="AU453" s="7"/>
      <c r="AV453" s="7"/>
      <c r="AW453" s="7"/>
    </row>
    <row r="454" spans="1:49">
      <c r="A454" s="1">
        <v>278</v>
      </c>
      <c r="B454" s="5"/>
      <c r="C454" s="10" t="str">
        <f t="shared" si="77"/>
        <v/>
      </c>
      <c r="D454" s="5"/>
      <c r="E454" s="10"/>
      <c r="F454" s="43"/>
      <c r="G454" s="5"/>
      <c r="H454" s="5"/>
      <c r="I454" s="5"/>
      <c r="J454" s="5"/>
      <c r="K454" s="10"/>
      <c r="L454" s="10"/>
      <c r="M454" s="10"/>
      <c r="N454" s="5"/>
      <c r="O454" s="5"/>
      <c r="P454" s="5"/>
      <c r="Q454" s="5"/>
      <c r="R454" s="5"/>
      <c r="S454" s="5"/>
      <c r="T454" s="5"/>
      <c r="U454" s="5"/>
      <c r="V454" s="5"/>
      <c r="W454" s="5"/>
      <c r="X454" s="5"/>
      <c r="Y454" s="5"/>
      <c r="Z454" s="5"/>
      <c r="AA454" s="5"/>
      <c r="AB454" s="5"/>
      <c r="AC454" s="5"/>
      <c r="AD454" s="5"/>
      <c r="AE454" s="5"/>
      <c r="AF454" s="5"/>
      <c r="AG454" s="5"/>
      <c r="AH454" s="27"/>
      <c r="AI454" s="27"/>
      <c r="AJ454" s="57"/>
      <c r="AK454" s="27"/>
      <c r="AL454" s="10"/>
      <c r="AM454" s="6"/>
      <c r="AN454" s="7"/>
      <c r="AO454" s="7"/>
      <c r="AP454" s="7"/>
      <c r="AQ454" s="7"/>
      <c r="AR454" s="7"/>
      <c r="AS454" s="7"/>
      <c r="AT454" s="7"/>
      <c r="AU454" s="7"/>
      <c r="AV454" s="7"/>
      <c r="AW454" s="7"/>
    </row>
    <row r="455" spans="1:49">
      <c r="A455" s="1">
        <v>279</v>
      </c>
      <c r="B455" s="5"/>
      <c r="C455" s="10" t="str">
        <f t="shared" si="77"/>
        <v/>
      </c>
      <c r="D455" s="5"/>
      <c r="E455" s="10"/>
      <c r="F455" s="43"/>
      <c r="G455" s="5"/>
      <c r="H455" s="5"/>
      <c r="I455" s="5"/>
      <c r="J455" s="5"/>
      <c r="K455" s="10"/>
      <c r="L455" s="10"/>
      <c r="M455" s="10"/>
      <c r="N455" s="5"/>
      <c r="O455" s="5"/>
      <c r="P455" s="5"/>
      <c r="Q455" s="5"/>
      <c r="R455" s="5"/>
      <c r="S455" s="5"/>
      <c r="T455" s="5"/>
      <c r="U455" s="5"/>
      <c r="V455" s="5"/>
      <c r="W455" s="5"/>
      <c r="X455" s="5"/>
      <c r="Y455" s="5"/>
      <c r="Z455" s="5"/>
      <c r="AA455" s="5"/>
      <c r="AB455" s="5"/>
      <c r="AC455" s="5"/>
      <c r="AD455" s="5"/>
      <c r="AE455" s="5"/>
      <c r="AF455" s="5"/>
      <c r="AG455" s="5"/>
      <c r="AH455" s="27"/>
      <c r="AI455" s="27"/>
      <c r="AJ455" s="57"/>
      <c r="AK455" s="27"/>
      <c r="AL455" s="10"/>
      <c r="AM455" s="6"/>
      <c r="AN455" s="7"/>
      <c r="AO455" s="7"/>
      <c r="AP455" s="7"/>
      <c r="AQ455" s="7"/>
      <c r="AR455" s="7"/>
      <c r="AS455" s="7"/>
      <c r="AT455" s="7"/>
      <c r="AU455" s="7"/>
      <c r="AV455" s="7"/>
      <c r="AW455" s="7"/>
    </row>
    <row r="456" spans="1:49">
      <c r="A456" s="1">
        <v>280</v>
      </c>
      <c r="B456" s="5"/>
      <c r="C456" s="10" t="str">
        <f t="shared" si="77"/>
        <v/>
      </c>
      <c r="D456" s="5"/>
      <c r="E456" s="10"/>
      <c r="F456" s="43"/>
      <c r="G456" s="5"/>
      <c r="H456" s="5"/>
      <c r="I456" s="5"/>
      <c r="J456" s="5"/>
      <c r="K456" s="10"/>
      <c r="L456" s="10"/>
      <c r="M456" s="10"/>
      <c r="N456" s="5"/>
      <c r="O456" s="5"/>
      <c r="P456" s="5"/>
      <c r="Q456" s="5"/>
      <c r="R456" s="5"/>
      <c r="S456" s="5"/>
      <c r="T456" s="5"/>
      <c r="U456" s="5"/>
      <c r="V456" s="5"/>
      <c r="W456" s="5"/>
      <c r="X456" s="5"/>
      <c r="Y456" s="5"/>
      <c r="Z456" s="5"/>
      <c r="AA456" s="5"/>
      <c r="AB456" s="5"/>
      <c r="AC456" s="5"/>
      <c r="AD456" s="5"/>
      <c r="AE456" s="5"/>
      <c r="AF456" s="5"/>
      <c r="AG456" s="5"/>
      <c r="AH456" s="27"/>
      <c r="AI456" s="27"/>
      <c r="AJ456" s="57"/>
      <c r="AK456" s="27"/>
      <c r="AL456" s="10"/>
      <c r="AM456" s="6"/>
      <c r="AN456" s="7"/>
      <c r="AO456" s="7"/>
      <c r="AP456" s="7"/>
      <c r="AQ456" s="7"/>
      <c r="AR456" s="7"/>
      <c r="AS456" s="7"/>
      <c r="AT456" s="7"/>
      <c r="AU456" s="7"/>
      <c r="AV456" s="7"/>
      <c r="AW456" s="7"/>
    </row>
    <row r="457" spans="1:49">
      <c r="A457" s="1">
        <v>281</v>
      </c>
      <c r="B457" s="5"/>
      <c r="C457" s="10" t="str">
        <f t="shared" si="77"/>
        <v/>
      </c>
      <c r="D457" s="5"/>
      <c r="E457" s="10"/>
      <c r="F457" s="43"/>
      <c r="G457" s="5"/>
      <c r="H457" s="5"/>
      <c r="I457" s="5"/>
      <c r="J457" s="5"/>
      <c r="K457" s="10"/>
      <c r="L457" s="10"/>
      <c r="M457" s="10"/>
      <c r="N457" s="5"/>
      <c r="O457" s="5"/>
      <c r="P457" s="5"/>
      <c r="Q457" s="5"/>
      <c r="R457" s="5"/>
      <c r="S457" s="5"/>
      <c r="T457" s="5"/>
      <c r="U457" s="5"/>
      <c r="V457" s="5"/>
      <c r="W457" s="5"/>
      <c r="X457" s="5"/>
      <c r="Y457" s="5"/>
      <c r="Z457" s="5"/>
      <c r="AA457" s="5"/>
      <c r="AB457" s="5"/>
      <c r="AC457" s="5"/>
      <c r="AD457" s="5"/>
      <c r="AE457" s="5"/>
      <c r="AF457" s="5"/>
      <c r="AG457" s="5"/>
      <c r="AH457" s="27"/>
      <c r="AI457" s="27"/>
      <c r="AJ457" s="57"/>
      <c r="AK457" s="27"/>
      <c r="AL457" s="10"/>
      <c r="AM457" s="6"/>
      <c r="AN457" s="7"/>
      <c r="AO457" s="7"/>
      <c r="AP457" s="7"/>
      <c r="AQ457" s="7"/>
      <c r="AR457" s="7"/>
      <c r="AS457" s="7"/>
      <c r="AT457" s="7"/>
      <c r="AU457" s="7"/>
      <c r="AV457" s="7"/>
      <c r="AW457" s="7"/>
    </row>
    <row r="458" spans="1:49">
      <c r="A458" s="1">
        <v>282</v>
      </c>
      <c r="B458" s="5"/>
      <c r="C458" s="10" t="str">
        <f t="shared" si="77"/>
        <v/>
      </c>
      <c r="D458" s="5"/>
      <c r="E458" s="10"/>
      <c r="F458" s="43"/>
      <c r="G458" s="5"/>
      <c r="H458" s="5"/>
      <c r="I458" s="5"/>
      <c r="J458" s="5"/>
      <c r="K458" s="10"/>
      <c r="L458" s="10"/>
      <c r="M458" s="10"/>
      <c r="N458" s="5"/>
      <c r="O458" s="5"/>
      <c r="P458" s="5"/>
      <c r="Q458" s="5"/>
      <c r="R458" s="5"/>
      <c r="S458" s="5"/>
      <c r="T458" s="5"/>
      <c r="U458" s="5"/>
      <c r="V458" s="5"/>
      <c r="W458" s="5"/>
      <c r="X458" s="5"/>
      <c r="Y458" s="5"/>
      <c r="Z458" s="5"/>
      <c r="AA458" s="5"/>
      <c r="AB458" s="5"/>
      <c r="AC458" s="5"/>
      <c r="AD458" s="5"/>
      <c r="AE458" s="5"/>
      <c r="AF458" s="5"/>
      <c r="AG458" s="5"/>
      <c r="AH458" s="27"/>
      <c r="AI458" s="27"/>
      <c r="AJ458" s="57"/>
      <c r="AK458" s="27"/>
      <c r="AL458" s="10"/>
      <c r="AM458" s="6"/>
      <c r="AN458" s="7"/>
      <c r="AO458" s="7"/>
      <c r="AP458" s="7"/>
      <c r="AQ458" s="7"/>
      <c r="AR458" s="7"/>
      <c r="AS458" s="7"/>
      <c r="AT458" s="7"/>
      <c r="AU458" s="7"/>
      <c r="AV458" s="7"/>
      <c r="AW458" s="7"/>
    </row>
    <row r="459" spans="1:49">
      <c r="A459" s="1">
        <v>283</v>
      </c>
      <c r="B459" s="5"/>
      <c r="C459" s="10" t="str">
        <f t="shared" si="77"/>
        <v/>
      </c>
      <c r="D459" s="5"/>
      <c r="E459" s="10"/>
      <c r="F459" s="43"/>
      <c r="G459" s="5"/>
      <c r="H459" s="5"/>
      <c r="I459" s="5"/>
      <c r="J459" s="5"/>
      <c r="K459" s="10"/>
      <c r="L459" s="10"/>
      <c r="M459" s="10"/>
      <c r="N459" s="5"/>
      <c r="O459" s="5"/>
      <c r="P459" s="5"/>
      <c r="Q459" s="5"/>
      <c r="R459" s="5"/>
      <c r="S459" s="5"/>
      <c r="T459" s="5"/>
      <c r="U459" s="5"/>
      <c r="V459" s="5"/>
      <c r="W459" s="5"/>
      <c r="X459" s="5"/>
      <c r="Y459" s="5"/>
      <c r="Z459" s="5"/>
      <c r="AA459" s="5"/>
      <c r="AB459" s="5"/>
      <c r="AC459" s="5"/>
      <c r="AD459" s="5"/>
      <c r="AE459" s="5"/>
      <c r="AF459" s="5"/>
      <c r="AG459" s="5"/>
      <c r="AH459" s="27"/>
      <c r="AI459" s="27"/>
      <c r="AJ459" s="57"/>
      <c r="AK459" s="27"/>
      <c r="AL459" s="10"/>
      <c r="AM459" s="6"/>
      <c r="AN459" s="7"/>
      <c r="AO459" s="7"/>
      <c r="AP459" s="7"/>
      <c r="AQ459" s="7"/>
      <c r="AR459" s="7"/>
      <c r="AS459" s="7"/>
      <c r="AT459" s="7"/>
      <c r="AU459" s="7"/>
      <c r="AV459" s="7"/>
      <c r="AW459" s="7"/>
    </row>
    <row r="460" spans="1:49">
      <c r="A460" s="1">
        <v>284</v>
      </c>
      <c r="B460" s="5"/>
      <c r="C460" s="10" t="str">
        <f t="shared" si="77"/>
        <v/>
      </c>
      <c r="D460" s="5"/>
      <c r="E460" s="10"/>
      <c r="F460" s="43"/>
      <c r="G460" s="5"/>
      <c r="H460" s="5"/>
      <c r="I460" s="5"/>
      <c r="J460" s="5"/>
      <c r="K460" s="10"/>
      <c r="L460" s="10"/>
      <c r="M460" s="10"/>
      <c r="N460" s="5"/>
      <c r="O460" s="5"/>
      <c r="P460" s="5"/>
      <c r="Q460" s="5"/>
      <c r="R460" s="5"/>
      <c r="S460" s="5"/>
      <c r="T460" s="5"/>
      <c r="U460" s="5"/>
      <c r="V460" s="5"/>
      <c r="W460" s="5"/>
      <c r="X460" s="5"/>
      <c r="Y460" s="5"/>
      <c r="Z460" s="5"/>
      <c r="AA460" s="5"/>
      <c r="AB460" s="5"/>
      <c r="AC460" s="5"/>
      <c r="AD460" s="5"/>
      <c r="AE460" s="5"/>
      <c r="AF460" s="5"/>
      <c r="AG460" s="5"/>
      <c r="AH460" s="27"/>
      <c r="AI460" s="27"/>
      <c r="AJ460" s="57"/>
      <c r="AK460" s="27"/>
      <c r="AL460" s="10"/>
      <c r="AM460" s="6"/>
      <c r="AN460" s="7"/>
      <c r="AO460" s="7"/>
      <c r="AP460" s="7"/>
      <c r="AQ460" s="7"/>
      <c r="AR460" s="7"/>
      <c r="AS460" s="7"/>
      <c r="AT460" s="7"/>
      <c r="AU460" s="7"/>
      <c r="AV460" s="7"/>
      <c r="AW460" s="7"/>
    </row>
    <row r="461" spans="1:49">
      <c r="A461" s="1">
        <v>285</v>
      </c>
      <c r="B461" s="5"/>
      <c r="C461" s="10" t="str">
        <f t="shared" si="77"/>
        <v/>
      </c>
      <c r="D461" s="5"/>
      <c r="E461" s="10"/>
      <c r="F461" s="43"/>
      <c r="G461" s="5"/>
      <c r="H461" s="5"/>
      <c r="I461" s="5"/>
      <c r="J461" s="5"/>
      <c r="K461" s="10"/>
      <c r="L461" s="10"/>
      <c r="M461" s="10"/>
      <c r="N461" s="5"/>
      <c r="O461" s="5"/>
      <c r="P461" s="5"/>
      <c r="Q461" s="5"/>
      <c r="R461" s="5"/>
      <c r="S461" s="5"/>
      <c r="T461" s="5"/>
      <c r="U461" s="5"/>
      <c r="V461" s="5"/>
      <c r="W461" s="5"/>
      <c r="X461" s="5"/>
      <c r="Y461" s="5"/>
      <c r="Z461" s="5"/>
      <c r="AA461" s="5"/>
      <c r="AB461" s="5"/>
      <c r="AC461" s="5"/>
      <c r="AD461" s="5"/>
      <c r="AE461" s="5"/>
      <c r="AF461" s="5"/>
      <c r="AG461" s="5"/>
      <c r="AH461" s="27"/>
      <c r="AI461" s="27"/>
      <c r="AJ461" s="57"/>
      <c r="AK461" s="27"/>
      <c r="AL461" s="10"/>
      <c r="AM461" s="6"/>
      <c r="AN461" s="7"/>
      <c r="AO461" s="7"/>
      <c r="AP461" s="7"/>
      <c r="AQ461" s="7"/>
      <c r="AR461" s="7"/>
      <c r="AS461" s="7"/>
      <c r="AT461" s="7"/>
      <c r="AU461" s="7"/>
      <c r="AV461" s="7"/>
      <c r="AW461" s="7"/>
    </row>
    <row r="462" spans="1:49">
      <c r="A462" s="1">
        <v>286</v>
      </c>
      <c r="B462" s="5"/>
      <c r="C462" s="10" t="str">
        <f t="shared" si="77"/>
        <v/>
      </c>
      <c r="D462" s="5"/>
      <c r="E462" s="10"/>
      <c r="F462" s="43"/>
      <c r="G462" s="5"/>
      <c r="H462" s="5"/>
      <c r="I462" s="5"/>
      <c r="J462" s="5"/>
      <c r="K462" s="10"/>
      <c r="L462" s="10"/>
      <c r="M462" s="10"/>
      <c r="N462" s="5"/>
      <c r="O462" s="5"/>
      <c r="P462" s="5"/>
      <c r="Q462" s="5"/>
      <c r="R462" s="5"/>
      <c r="S462" s="5"/>
      <c r="T462" s="5"/>
      <c r="U462" s="5"/>
      <c r="V462" s="5"/>
      <c r="W462" s="5"/>
      <c r="X462" s="5"/>
      <c r="Y462" s="5"/>
      <c r="Z462" s="5"/>
      <c r="AA462" s="5"/>
      <c r="AB462" s="5"/>
      <c r="AC462" s="5"/>
      <c r="AD462" s="5"/>
      <c r="AE462" s="5"/>
      <c r="AF462" s="5"/>
      <c r="AG462" s="5"/>
      <c r="AH462" s="27"/>
      <c r="AI462" s="27"/>
      <c r="AJ462" s="57"/>
      <c r="AK462" s="27"/>
      <c r="AL462" s="10"/>
      <c r="AM462" s="6"/>
      <c r="AN462" s="7"/>
      <c r="AO462" s="7"/>
      <c r="AP462" s="7"/>
      <c r="AQ462" s="7"/>
      <c r="AR462" s="7"/>
      <c r="AS462" s="7"/>
      <c r="AT462" s="7"/>
      <c r="AU462" s="7"/>
      <c r="AV462" s="7"/>
      <c r="AW462" s="7"/>
    </row>
    <row r="463" spans="1:49">
      <c r="A463" s="1">
        <v>287</v>
      </c>
      <c r="B463" s="5"/>
      <c r="C463" s="10" t="str">
        <f t="shared" si="77"/>
        <v/>
      </c>
      <c r="D463" s="5"/>
      <c r="E463" s="10"/>
      <c r="F463" s="43"/>
      <c r="G463" s="5"/>
      <c r="H463" s="5"/>
      <c r="I463" s="5"/>
      <c r="J463" s="5"/>
      <c r="K463" s="10"/>
      <c r="L463" s="10"/>
      <c r="M463" s="10"/>
      <c r="N463" s="5"/>
      <c r="O463" s="5"/>
      <c r="P463" s="5"/>
      <c r="Q463" s="5"/>
      <c r="R463" s="5"/>
      <c r="S463" s="5"/>
      <c r="T463" s="5"/>
      <c r="U463" s="5"/>
      <c r="V463" s="5"/>
      <c r="W463" s="5"/>
      <c r="X463" s="5"/>
      <c r="Y463" s="5"/>
      <c r="Z463" s="5"/>
      <c r="AA463" s="5"/>
      <c r="AB463" s="5"/>
      <c r="AC463" s="5"/>
      <c r="AD463" s="5"/>
      <c r="AE463" s="5"/>
      <c r="AF463" s="5"/>
      <c r="AG463" s="5"/>
      <c r="AH463" s="27"/>
      <c r="AI463" s="27"/>
      <c r="AJ463" s="57"/>
      <c r="AK463" s="27"/>
      <c r="AL463" s="10"/>
      <c r="AM463" s="6"/>
      <c r="AN463" s="7"/>
      <c r="AO463" s="7"/>
      <c r="AP463" s="7"/>
      <c r="AQ463" s="7"/>
      <c r="AR463" s="7"/>
      <c r="AS463" s="7"/>
      <c r="AT463" s="7"/>
      <c r="AU463" s="7"/>
      <c r="AV463" s="7"/>
      <c r="AW463" s="7"/>
    </row>
    <row r="464" spans="1:49">
      <c r="A464" s="1">
        <v>288</v>
      </c>
      <c r="B464" s="5"/>
      <c r="C464" s="10" t="str">
        <f t="shared" si="77"/>
        <v/>
      </c>
      <c r="D464" s="5"/>
      <c r="E464" s="10"/>
      <c r="F464" s="43"/>
      <c r="G464" s="5"/>
      <c r="H464" s="5"/>
      <c r="I464" s="5"/>
      <c r="J464" s="5"/>
      <c r="K464" s="10"/>
      <c r="L464" s="10"/>
      <c r="M464" s="10"/>
      <c r="N464" s="5"/>
      <c r="O464" s="5"/>
      <c r="P464" s="5"/>
      <c r="Q464" s="5"/>
      <c r="R464" s="5"/>
      <c r="S464" s="5"/>
      <c r="T464" s="5"/>
      <c r="U464" s="5"/>
      <c r="V464" s="5"/>
      <c r="W464" s="5"/>
      <c r="X464" s="5"/>
      <c r="Y464" s="5"/>
      <c r="Z464" s="5"/>
      <c r="AA464" s="5"/>
      <c r="AB464" s="5"/>
      <c r="AC464" s="5"/>
      <c r="AD464" s="5"/>
      <c r="AE464" s="5"/>
      <c r="AF464" s="5"/>
      <c r="AG464" s="5"/>
      <c r="AH464" s="27"/>
      <c r="AI464" s="27"/>
      <c r="AJ464" s="57"/>
      <c r="AK464" s="27"/>
      <c r="AL464" s="10"/>
      <c r="AM464" s="6"/>
      <c r="AN464" s="7"/>
      <c r="AO464" s="7"/>
      <c r="AP464" s="7"/>
      <c r="AQ464" s="7"/>
      <c r="AR464" s="7"/>
      <c r="AS464" s="7"/>
      <c r="AT464" s="7"/>
      <c r="AU464" s="7"/>
      <c r="AV464" s="7"/>
      <c r="AW464" s="7"/>
    </row>
    <row r="465" spans="1:49">
      <c r="A465" s="1">
        <v>289</v>
      </c>
      <c r="B465" s="5"/>
      <c r="C465" s="10"/>
      <c r="D465" s="5"/>
      <c r="E465" s="10"/>
      <c r="F465" s="43"/>
      <c r="G465" s="5"/>
      <c r="H465" s="5"/>
      <c r="I465" s="5"/>
      <c r="J465" s="5"/>
      <c r="K465" s="10"/>
      <c r="L465" s="10"/>
      <c r="M465" s="10"/>
      <c r="N465" s="5"/>
      <c r="O465" s="5"/>
      <c r="P465" s="5"/>
      <c r="Q465" s="5"/>
      <c r="R465" s="5"/>
      <c r="S465" s="5"/>
      <c r="T465" s="5"/>
      <c r="U465" s="5"/>
      <c r="V465" s="5"/>
      <c r="W465" s="5"/>
      <c r="X465" s="5"/>
      <c r="Y465" s="5"/>
      <c r="Z465" s="5"/>
      <c r="AA465" s="5"/>
      <c r="AB465" s="5"/>
      <c r="AC465" s="5"/>
      <c r="AD465" s="5"/>
      <c r="AE465" s="5"/>
      <c r="AF465" s="5"/>
      <c r="AG465" s="5"/>
      <c r="AH465" s="27"/>
      <c r="AI465" s="27"/>
      <c r="AJ465" s="57"/>
      <c r="AK465" s="27"/>
      <c r="AL465" s="10"/>
      <c r="AM465" s="6"/>
      <c r="AN465" s="7"/>
      <c r="AO465" s="7"/>
      <c r="AP465" s="7"/>
      <c r="AQ465" s="7"/>
      <c r="AR465" s="7"/>
      <c r="AS465" s="7"/>
      <c r="AT465" s="7"/>
      <c r="AU465" s="7"/>
      <c r="AV465" s="7"/>
      <c r="AW465" s="7"/>
    </row>
    <row r="466" spans="1:49">
      <c r="A466" s="1">
        <v>290</v>
      </c>
      <c r="B466" s="5"/>
      <c r="C466" s="10"/>
      <c r="D466" s="5"/>
      <c r="E466" s="10"/>
      <c r="F466" s="43"/>
      <c r="G466" s="5"/>
      <c r="H466" s="5"/>
      <c r="I466" s="5"/>
      <c r="J466" s="5"/>
      <c r="K466" s="10"/>
      <c r="L466" s="10"/>
      <c r="M466" s="10"/>
      <c r="N466" s="5"/>
      <c r="O466" s="5"/>
      <c r="P466" s="5"/>
      <c r="Q466" s="5"/>
      <c r="R466" s="5"/>
      <c r="S466" s="5"/>
      <c r="T466" s="5"/>
      <c r="U466" s="5"/>
      <c r="V466" s="5"/>
      <c r="W466" s="5"/>
      <c r="X466" s="5"/>
      <c r="Y466" s="5"/>
      <c r="Z466" s="5"/>
      <c r="AA466" s="5"/>
      <c r="AB466" s="5"/>
      <c r="AC466" s="5"/>
      <c r="AD466" s="5"/>
      <c r="AE466" s="5"/>
      <c r="AF466" s="5"/>
      <c r="AG466" s="5"/>
      <c r="AH466" s="27"/>
      <c r="AI466" s="27"/>
      <c r="AJ466" s="57"/>
      <c r="AK466" s="27"/>
      <c r="AL466" s="10"/>
      <c r="AM466" s="6"/>
      <c r="AN466" s="7"/>
      <c r="AO466" s="7"/>
      <c r="AP466" s="7"/>
      <c r="AQ466" s="7"/>
      <c r="AR466" s="7"/>
      <c r="AS466" s="7"/>
      <c r="AT466" s="7"/>
      <c r="AU466" s="7"/>
      <c r="AV466" s="7"/>
      <c r="AW466" s="7"/>
    </row>
    <row r="467" spans="1:49">
      <c r="A467" s="1">
        <v>291</v>
      </c>
      <c r="B467" s="5"/>
      <c r="C467" s="10"/>
      <c r="D467" s="5"/>
      <c r="E467" s="10"/>
      <c r="F467" s="43"/>
      <c r="G467" s="5"/>
      <c r="H467" s="5"/>
      <c r="I467" s="5"/>
      <c r="J467" s="5"/>
      <c r="K467" s="10"/>
      <c r="L467" s="10"/>
      <c r="M467" s="10"/>
      <c r="N467" s="5"/>
      <c r="O467" s="5"/>
      <c r="P467" s="5"/>
      <c r="Q467" s="5"/>
      <c r="R467" s="5"/>
      <c r="S467" s="5"/>
      <c r="T467" s="5"/>
      <c r="U467" s="5"/>
      <c r="V467" s="5"/>
      <c r="W467" s="5"/>
      <c r="X467" s="5"/>
      <c r="Y467" s="5"/>
      <c r="Z467" s="5"/>
      <c r="AA467" s="5"/>
      <c r="AB467" s="5"/>
      <c r="AC467" s="5"/>
      <c r="AD467" s="5"/>
      <c r="AE467" s="5"/>
      <c r="AF467" s="5"/>
      <c r="AG467" s="5"/>
      <c r="AH467" s="27"/>
      <c r="AI467" s="27"/>
      <c r="AJ467" s="57"/>
      <c r="AK467" s="27"/>
      <c r="AL467" s="10"/>
      <c r="AM467" s="6"/>
      <c r="AN467" s="7"/>
      <c r="AO467" s="7"/>
      <c r="AP467" s="7"/>
      <c r="AQ467" s="7"/>
      <c r="AR467" s="7"/>
      <c r="AS467" s="7"/>
      <c r="AT467" s="7"/>
      <c r="AU467" s="7"/>
      <c r="AV467" s="7"/>
      <c r="AW467" s="7"/>
    </row>
    <row r="468" spans="1:49">
      <c r="A468" s="1">
        <v>292</v>
      </c>
      <c r="B468" s="5"/>
      <c r="C468" s="10"/>
      <c r="D468" s="5"/>
      <c r="E468" s="10"/>
      <c r="F468" s="43"/>
      <c r="G468" s="5"/>
      <c r="H468" s="5"/>
      <c r="I468" s="5"/>
      <c r="J468" s="5"/>
      <c r="K468" s="10"/>
      <c r="L468" s="10"/>
      <c r="M468" s="10"/>
      <c r="N468" s="5"/>
      <c r="O468" s="5"/>
      <c r="P468" s="5"/>
      <c r="Q468" s="5"/>
      <c r="R468" s="5"/>
      <c r="S468" s="5"/>
      <c r="T468" s="5"/>
      <c r="U468" s="5"/>
      <c r="V468" s="5"/>
      <c r="W468" s="5"/>
      <c r="X468" s="5"/>
      <c r="Y468" s="5"/>
      <c r="Z468" s="5"/>
      <c r="AA468" s="5"/>
      <c r="AB468" s="5"/>
      <c r="AC468" s="5"/>
      <c r="AD468" s="5"/>
      <c r="AE468" s="5"/>
      <c r="AF468" s="5"/>
      <c r="AG468" s="5"/>
      <c r="AH468" s="27"/>
      <c r="AI468" s="27"/>
      <c r="AJ468" s="57"/>
      <c r="AK468" s="27"/>
      <c r="AL468" s="10"/>
      <c r="AM468" s="6"/>
      <c r="AN468" s="7"/>
      <c r="AO468" s="7"/>
      <c r="AP468" s="7"/>
      <c r="AQ468" s="7"/>
      <c r="AR468" s="7"/>
      <c r="AS468" s="7"/>
      <c r="AT468" s="7"/>
      <c r="AU468" s="7"/>
      <c r="AV468" s="7"/>
      <c r="AW468" s="7"/>
    </row>
    <row r="469" spans="1:49">
      <c r="A469" s="1">
        <v>293</v>
      </c>
      <c r="B469" s="5"/>
      <c r="C469" s="10"/>
      <c r="D469" s="5"/>
      <c r="E469" s="10"/>
      <c r="F469" s="43"/>
      <c r="G469" s="5"/>
      <c r="H469" s="5"/>
      <c r="I469" s="5"/>
      <c r="J469" s="5"/>
      <c r="K469" s="10"/>
      <c r="L469" s="10"/>
      <c r="M469" s="10"/>
      <c r="N469" s="5"/>
      <c r="O469" s="5"/>
      <c r="P469" s="5"/>
      <c r="Q469" s="5"/>
      <c r="R469" s="5"/>
      <c r="S469" s="5"/>
      <c r="T469" s="5"/>
      <c r="U469" s="5"/>
      <c r="V469" s="5"/>
      <c r="W469" s="5"/>
      <c r="X469" s="5"/>
      <c r="Y469" s="5"/>
      <c r="Z469" s="5"/>
      <c r="AA469" s="5"/>
      <c r="AB469" s="5"/>
      <c r="AC469" s="5"/>
      <c r="AD469" s="5"/>
      <c r="AE469" s="5"/>
      <c r="AF469" s="5"/>
      <c r="AG469" s="5"/>
      <c r="AH469" s="27"/>
      <c r="AI469" s="27"/>
      <c r="AJ469" s="57"/>
      <c r="AK469" s="27"/>
      <c r="AL469" s="10"/>
      <c r="AM469" s="6"/>
      <c r="AN469" s="7"/>
      <c r="AO469" s="7"/>
      <c r="AP469" s="7"/>
      <c r="AQ469" s="7"/>
      <c r="AR469" s="7"/>
      <c r="AS469" s="7"/>
      <c r="AT469" s="7"/>
      <c r="AU469" s="7"/>
      <c r="AV469" s="7"/>
      <c r="AW469" s="7"/>
    </row>
    <row r="470" spans="1:49">
      <c r="A470" s="1">
        <v>294</v>
      </c>
      <c r="B470" s="5"/>
      <c r="C470" s="10"/>
      <c r="D470" s="5"/>
      <c r="E470" s="10"/>
      <c r="F470" s="43"/>
      <c r="G470" s="5"/>
      <c r="H470" s="5"/>
      <c r="I470" s="5"/>
      <c r="J470" s="5"/>
      <c r="K470" s="10"/>
      <c r="L470" s="10"/>
      <c r="M470" s="10"/>
      <c r="N470" s="5"/>
      <c r="O470" s="5"/>
      <c r="P470" s="5"/>
      <c r="Q470" s="5"/>
      <c r="R470" s="5"/>
      <c r="S470" s="5"/>
      <c r="T470" s="5"/>
      <c r="U470" s="5"/>
      <c r="V470" s="5"/>
      <c r="W470" s="5"/>
      <c r="X470" s="5"/>
      <c r="Y470" s="5"/>
      <c r="Z470" s="5"/>
      <c r="AA470" s="5"/>
      <c r="AB470" s="5"/>
      <c r="AC470" s="5"/>
      <c r="AD470" s="5"/>
      <c r="AE470" s="5"/>
      <c r="AF470" s="5"/>
      <c r="AG470" s="5"/>
      <c r="AH470" s="27"/>
      <c r="AI470" s="27"/>
      <c r="AJ470" s="57"/>
      <c r="AK470" s="27"/>
      <c r="AL470" s="10"/>
      <c r="AM470" s="6"/>
      <c r="AN470" s="7"/>
      <c r="AO470" s="7"/>
      <c r="AP470" s="7"/>
      <c r="AQ470" s="7"/>
      <c r="AR470" s="7"/>
      <c r="AS470" s="7"/>
      <c r="AT470" s="7"/>
      <c r="AU470" s="7"/>
      <c r="AV470" s="7"/>
      <c r="AW470" s="7"/>
    </row>
    <row r="471" spans="1:49">
      <c r="A471" s="1">
        <v>295</v>
      </c>
      <c r="B471" s="5"/>
      <c r="C471" s="10"/>
      <c r="D471" s="5"/>
      <c r="E471" s="10"/>
      <c r="F471" s="43"/>
      <c r="G471" s="5"/>
      <c r="H471" s="5"/>
      <c r="I471" s="5"/>
      <c r="J471" s="5"/>
      <c r="K471" s="10"/>
      <c r="L471" s="10"/>
      <c r="M471" s="10"/>
      <c r="N471" s="5"/>
      <c r="O471" s="5"/>
      <c r="P471" s="5"/>
      <c r="Q471" s="5"/>
      <c r="R471" s="5"/>
      <c r="S471" s="5"/>
      <c r="T471" s="5"/>
      <c r="U471" s="5"/>
      <c r="V471" s="5"/>
      <c r="W471" s="5"/>
      <c r="X471" s="5"/>
      <c r="Y471" s="5"/>
      <c r="Z471" s="5"/>
      <c r="AA471" s="5"/>
      <c r="AB471" s="5"/>
      <c r="AC471" s="5"/>
      <c r="AD471" s="5"/>
      <c r="AE471" s="5"/>
      <c r="AF471" s="5"/>
      <c r="AG471" s="5"/>
      <c r="AH471" s="27"/>
      <c r="AI471" s="27"/>
      <c r="AJ471" s="57"/>
      <c r="AK471" s="27"/>
      <c r="AL471" s="10"/>
      <c r="AM471" s="6"/>
      <c r="AN471" s="7"/>
      <c r="AO471" s="7"/>
      <c r="AP471" s="7"/>
      <c r="AQ471" s="7"/>
      <c r="AR471" s="7"/>
      <c r="AS471" s="7"/>
      <c r="AT471" s="7"/>
      <c r="AU471" s="7"/>
      <c r="AV471" s="7"/>
      <c r="AW471" s="7"/>
    </row>
    <row r="472" spans="1:49">
      <c r="A472" s="1">
        <v>296</v>
      </c>
      <c r="B472" s="5"/>
      <c r="C472" s="10"/>
      <c r="D472" s="5"/>
      <c r="E472" s="10"/>
      <c r="F472" s="43"/>
      <c r="G472" s="5"/>
      <c r="H472" s="5"/>
      <c r="I472" s="5"/>
      <c r="J472" s="5"/>
      <c r="K472" s="10"/>
      <c r="L472" s="10"/>
      <c r="M472" s="10"/>
      <c r="N472" s="5"/>
      <c r="O472" s="5"/>
      <c r="P472" s="5"/>
      <c r="Q472" s="5"/>
      <c r="R472" s="5"/>
      <c r="S472" s="5"/>
      <c r="T472" s="5"/>
      <c r="U472" s="5"/>
      <c r="V472" s="5"/>
      <c r="W472" s="5"/>
      <c r="X472" s="5"/>
      <c r="Y472" s="5"/>
      <c r="Z472" s="5"/>
      <c r="AA472" s="5"/>
      <c r="AB472" s="5"/>
      <c r="AC472" s="5"/>
      <c r="AD472" s="5"/>
      <c r="AE472" s="5"/>
      <c r="AF472" s="5"/>
      <c r="AG472" s="5"/>
      <c r="AH472" s="27"/>
      <c r="AI472" s="27"/>
      <c r="AJ472" s="57"/>
      <c r="AK472" s="27"/>
      <c r="AL472" s="10"/>
      <c r="AM472" s="6"/>
      <c r="AN472" s="7"/>
      <c r="AO472" s="7"/>
      <c r="AP472" s="7"/>
      <c r="AQ472" s="7"/>
      <c r="AR472" s="7"/>
      <c r="AS472" s="7"/>
      <c r="AT472" s="7"/>
      <c r="AU472" s="7"/>
      <c r="AV472" s="7"/>
      <c r="AW472" s="7"/>
    </row>
    <row r="473" spans="1:49">
      <c r="A473" s="1">
        <v>297</v>
      </c>
      <c r="B473" s="5"/>
      <c r="C473" s="10"/>
      <c r="D473" s="5"/>
      <c r="E473" s="10"/>
      <c r="F473" s="43"/>
      <c r="G473" s="5"/>
      <c r="H473" s="5"/>
      <c r="I473" s="5"/>
      <c r="J473" s="5"/>
      <c r="K473" s="10"/>
      <c r="L473" s="10"/>
      <c r="M473" s="10"/>
      <c r="N473" s="5"/>
      <c r="O473" s="5"/>
      <c r="P473" s="5"/>
      <c r="Q473" s="5"/>
      <c r="R473" s="5"/>
      <c r="S473" s="5"/>
      <c r="T473" s="5"/>
      <c r="U473" s="5"/>
      <c r="V473" s="5"/>
      <c r="W473" s="5"/>
      <c r="X473" s="5"/>
      <c r="Y473" s="5"/>
      <c r="Z473" s="5"/>
      <c r="AA473" s="5"/>
      <c r="AB473" s="5"/>
      <c r="AC473" s="5"/>
      <c r="AD473" s="5"/>
      <c r="AE473" s="5"/>
      <c r="AF473" s="5"/>
      <c r="AG473" s="5"/>
      <c r="AH473" s="27"/>
      <c r="AI473" s="27"/>
      <c r="AJ473" s="57"/>
      <c r="AK473" s="27"/>
      <c r="AL473" s="10"/>
      <c r="AM473" s="6"/>
      <c r="AN473" s="7"/>
      <c r="AO473" s="7"/>
      <c r="AP473" s="7"/>
      <c r="AQ473" s="7"/>
      <c r="AR473" s="7"/>
      <c r="AS473" s="7"/>
      <c r="AT473" s="7"/>
      <c r="AU473" s="7"/>
      <c r="AV473" s="7"/>
      <c r="AW473" s="7"/>
    </row>
    <row r="474" spans="1:49">
      <c r="A474" s="1">
        <v>298</v>
      </c>
      <c r="B474" s="5"/>
      <c r="C474" s="10"/>
      <c r="D474" s="5"/>
      <c r="E474" s="10"/>
      <c r="F474" s="43"/>
      <c r="G474" s="5"/>
      <c r="H474" s="5"/>
      <c r="I474" s="5"/>
      <c r="J474" s="5"/>
      <c r="K474" s="10"/>
      <c r="L474" s="10"/>
      <c r="M474" s="10"/>
      <c r="N474" s="5"/>
      <c r="O474" s="5"/>
      <c r="P474" s="5"/>
      <c r="Q474" s="5"/>
      <c r="R474" s="5"/>
      <c r="S474" s="5"/>
      <c r="T474" s="5"/>
      <c r="U474" s="5"/>
      <c r="V474" s="5"/>
      <c r="W474" s="5"/>
      <c r="X474" s="5"/>
      <c r="Y474" s="5"/>
      <c r="Z474" s="5"/>
      <c r="AA474" s="5"/>
      <c r="AB474" s="5"/>
      <c r="AC474" s="5"/>
      <c r="AD474" s="5"/>
      <c r="AE474" s="5"/>
      <c r="AF474" s="5"/>
      <c r="AG474" s="5"/>
      <c r="AH474" s="27"/>
      <c r="AI474" s="27"/>
      <c r="AJ474" s="57"/>
      <c r="AK474" s="27"/>
      <c r="AL474" s="10"/>
      <c r="AM474" s="6"/>
      <c r="AN474" s="7"/>
      <c r="AO474" s="7"/>
      <c r="AP474" s="7"/>
      <c r="AQ474" s="7"/>
      <c r="AR474" s="7"/>
      <c r="AS474" s="7"/>
      <c r="AT474" s="7"/>
      <c r="AU474" s="7"/>
      <c r="AV474" s="7"/>
      <c r="AW474" s="7"/>
    </row>
    <row r="475" spans="1:49">
      <c r="A475" s="1">
        <v>299</v>
      </c>
      <c r="B475" s="5"/>
      <c r="C475" s="10"/>
      <c r="D475" s="5"/>
      <c r="E475" s="10"/>
      <c r="F475" s="43"/>
      <c r="G475" s="5"/>
      <c r="H475" s="5"/>
      <c r="I475" s="5"/>
      <c r="J475" s="5"/>
      <c r="K475" s="10"/>
      <c r="L475" s="10"/>
      <c r="M475" s="10"/>
      <c r="N475" s="5"/>
      <c r="O475" s="5"/>
      <c r="P475" s="5"/>
      <c r="Q475" s="5"/>
      <c r="R475" s="5"/>
      <c r="S475" s="5"/>
      <c r="T475" s="5"/>
      <c r="U475" s="5"/>
      <c r="V475" s="5"/>
      <c r="W475" s="5"/>
      <c r="X475" s="5"/>
      <c r="Y475" s="5"/>
      <c r="Z475" s="5"/>
      <c r="AA475" s="5"/>
      <c r="AB475" s="5"/>
      <c r="AC475" s="5"/>
      <c r="AD475" s="5"/>
      <c r="AE475" s="5"/>
      <c r="AF475" s="5"/>
      <c r="AG475" s="5"/>
      <c r="AH475" s="27"/>
      <c r="AI475" s="27"/>
      <c r="AJ475" s="57"/>
      <c r="AK475" s="27"/>
      <c r="AL475" s="10"/>
      <c r="AM475" s="6"/>
      <c r="AN475" s="7"/>
      <c r="AO475" s="7"/>
      <c r="AP475" s="7"/>
      <c r="AQ475" s="7"/>
      <c r="AR475" s="7"/>
      <c r="AS475" s="7"/>
      <c r="AT475" s="7"/>
      <c r="AU475" s="7"/>
      <c r="AV475" s="7"/>
      <c r="AW475" s="7"/>
    </row>
    <row r="476" spans="1:49">
      <c r="A476" s="1">
        <v>300</v>
      </c>
      <c r="B476" s="5"/>
      <c r="C476" s="10"/>
      <c r="D476" s="5"/>
      <c r="E476" s="10"/>
      <c r="F476" s="43"/>
      <c r="G476" s="5"/>
      <c r="H476" s="5"/>
      <c r="I476" s="5"/>
      <c r="J476" s="5"/>
      <c r="K476" s="10"/>
      <c r="L476" s="10"/>
      <c r="M476" s="10"/>
      <c r="N476" s="5"/>
      <c r="O476" s="5"/>
      <c r="P476" s="5"/>
      <c r="Q476" s="5"/>
      <c r="R476" s="5"/>
      <c r="S476" s="5"/>
      <c r="T476" s="5"/>
      <c r="U476" s="5"/>
      <c r="V476" s="5"/>
      <c r="W476" s="5"/>
      <c r="X476" s="5"/>
      <c r="Y476" s="5"/>
      <c r="Z476" s="5"/>
      <c r="AA476" s="5"/>
      <c r="AB476" s="5"/>
      <c r="AC476" s="5"/>
      <c r="AD476" s="5"/>
      <c r="AE476" s="5"/>
      <c r="AF476" s="5"/>
      <c r="AG476" s="5"/>
      <c r="AH476" s="27"/>
      <c r="AI476" s="27"/>
      <c r="AJ476" s="57"/>
      <c r="AK476" s="27"/>
      <c r="AL476" s="10"/>
      <c r="AM476" s="6"/>
      <c r="AN476" s="7"/>
      <c r="AO476" s="7"/>
      <c r="AP476" s="7"/>
      <c r="AQ476" s="7"/>
      <c r="AR476" s="7"/>
      <c r="AS476" s="7"/>
      <c r="AT476" s="7"/>
      <c r="AU476" s="7"/>
      <c r="AV476" s="7"/>
      <c r="AW476" s="7"/>
    </row>
    <row r="477" spans="1:49">
      <c r="A477" s="1">
        <v>301</v>
      </c>
      <c r="B477" s="5"/>
      <c r="C477" s="10"/>
      <c r="D477" s="5"/>
      <c r="E477" s="10"/>
      <c r="F477" s="43"/>
      <c r="G477" s="5"/>
      <c r="H477" s="5"/>
      <c r="I477" s="5"/>
      <c r="J477" s="5"/>
      <c r="K477" s="10"/>
      <c r="L477" s="10"/>
      <c r="M477" s="10"/>
      <c r="N477" s="5"/>
      <c r="O477" s="5"/>
      <c r="P477" s="5"/>
      <c r="Q477" s="5"/>
      <c r="R477" s="5"/>
      <c r="S477" s="5"/>
      <c r="T477" s="5"/>
      <c r="U477" s="5"/>
      <c r="V477" s="5"/>
      <c r="W477" s="5"/>
      <c r="X477" s="5"/>
      <c r="Y477" s="5"/>
      <c r="Z477" s="5"/>
      <c r="AA477" s="5"/>
      <c r="AB477" s="5"/>
      <c r="AC477" s="5"/>
      <c r="AD477" s="5"/>
      <c r="AE477" s="5"/>
      <c r="AF477" s="5"/>
      <c r="AG477" s="5"/>
      <c r="AH477" s="27"/>
      <c r="AI477" s="27"/>
      <c r="AJ477" s="57"/>
      <c r="AK477" s="27"/>
      <c r="AL477" s="10"/>
      <c r="AM477" s="6"/>
      <c r="AN477" s="7"/>
      <c r="AO477" s="7"/>
      <c r="AP477" s="7"/>
      <c r="AQ477" s="7"/>
      <c r="AR477" s="7"/>
      <c r="AS477" s="7"/>
      <c r="AT477" s="7"/>
      <c r="AU477" s="7"/>
      <c r="AV477" s="7"/>
      <c r="AW477" s="7"/>
    </row>
    <row r="478" spans="1:49">
      <c r="A478" s="1">
        <v>302</v>
      </c>
      <c r="B478" s="5"/>
      <c r="C478" s="10"/>
      <c r="D478" s="5"/>
      <c r="E478" s="10"/>
      <c r="F478" s="43"/>
      <c r="G478" s="5"/>
      <c r="H478" s="5"/>
      <c r="I478" s="5"/>
      <c r="J478" s="5"/>
      <c r="K478" s="10"/>
      <c r="L478" s="10"/>
      <c r="M478" s="10"/>
      <c r="N478" s="5"/>
      <c r="O478" s="5"/>
      <c r="P478" s="5"/>
      <c r="Q478" s="5"/>
      <c r="R478" s="5"/>
      <c r="S478" s="5"/>
      <c r="T478" s="5"/>
      <c r="U478" s="5"/>
      <c r="V478" s="5"/>
      <c r="W478" s="5"/>
      <c r="X478" s="5"/>
      <c r="Y478" s="5"/>
      <c r="Z478" s="5"/>
      <c r="AA478" s="5"/>
      <c r="AB478" s="5"/>
      <c r="AC478" s="5"/>
      <c r="AD478" s="5"/>
      <c r="AE478" s="5"/>
      <c r="AF478" s="5"/>
      <c r="AG478" s="5"/>
      <c r="AH478" s="27"/>
      <c r="AI478" s="27"/>
      <c r="AJ478" s="57"/>
      <c r="AK478" s="27"/>
      <c r="AL478" s="10"/>
      <c r="AM478" s="6"/>
      <c r="AN478" s="7"/>
      <c r="AO478" s="7"/>
      <c r="AP478" s="7"/>
      <c r="AQ478" s="7"/>
      <c r="AR478" s="7"/>
      <c r="AS478" s="7"/>
      <c r="AT478" s="7"/>
      <c r="AU478" s="7"/>
      <c r="AV478" s="7"/>
      <c r="AW478" s="7"/>
    </row>
    <row r="479" spans="1:49">
      <c r="A479" s="1">
        <v>303</v>
      </c>
      <c r="B479" s="5"/>
      <c r="C479" s="10"/>
      <c r="D479" s="5"/>
      <c r="E479" s="10"/>
      <c r="F479" s="43"/>
      <c r="G479" s="5"/>
      <c r="H479" s="5"/>
      <c r="I479" s="5"/>
      <c r="J479" s="5"/>
      <c r="K479" s="10"/>
      <c r="L479" s="10"/>
      <c r="M479" s="10"/>
      <c r="N479" s="5"/>
      <c r="O479" s="5"/>
      <c r="P479" s="5"/>
      <c r="Q479" s="5"/>
      <c r="R479" s="5"/>
      <c r="S479" s="5"/>
      <c r="T479" s="5"/>
      <c r="U479" s="5"/>
      <c r="V479" s="5"/>
      <c r="W479" s="5"/>
      <c r="X479" s="5"/>
      <c r="Y479" s="5"/>
      <c r="Z479" s="5"/>
      <c r="AA479" s="5"/>
      <c r="AB479" s="5"/>
      <c r="AC479" s="5"/>
      <c r="AD479" s="5"/>
      <c r="AE479" s="5"/>
      <c r="AF479" s="5"/>
      <c r="AG479" s="5"/>
      <c r="AH479" s="27"/>
      <c r="AI479" s="27"/>
      <c r="AJ479" s="57"/>
      <c r="AK479" s="27"/>
      <c r="AL479" s="10"/>
      <c r="AM479" s="6"/>
      <c r="AN479" s="7"/>
      <c r="AO479" s="7"/>
      <c r="AP479" s="7"/>
      <c r="AQ479" s="7"/>
      <c r="AR479" s="7"/>
      <c r="AS479" s="7"/>
      <c r="AT479" s="7"/>
      <c r="AU479" s="7"/>
      <c r="AV479" s="7"/>
      <c r="AW479" s="7"/>
    </row>
    <row r="480" spans="1:49">
      <c r="A480" s="1">
        <v>304</v>
      </c>
      <c r="B480" s="5"/>
      <c r="C480" s="10"/>
      <c r="D480" s="5"/>
      <c r="E480" s="10"/>
      <c r="F480" s="43"/>
      <c r="G480" s="5"/>
      <c r="H480" s="5"/>
      <c r="I480" s="5"/>
      <c r="J480" s="5"/>
      <c r="K480" s="10"/>
      <c r="L480" s="10"/>
      <c r="M480" s="10"/>
      <c r="N480" s="5"/>
      <c r="O480" s="5"/>
      <c r="P480" s="5"/>
      <c r="Q480" s="5"/>
      <c r="R480" s="5"/>
      <c r="S480" s="5"/>
      <c r="T480" s="5"/>
      <c r="U480" s="5"/>
      <c r="V480" s="5"/>
      <c r="W480" s="5"/>
      <c r="X480" s="5"/>
      <c r="Y480" s="5"/>
      <c r="Z480" s="5"/>
      <c r="AA480" s="5"/>
      <c r="AB480" s="5"/>
      <c r="AC480" s="5"/>
      <c r="AD480" s="5"/>
      <c r="AE480" s="5"/>
      <c r="AF480" s="5"/>
      <c r="AG480" s="5"/>
      <c r="AH480" s="27"/>
      <c r="AI480" s="27"/>
      <c r="AJ480" s="57"/>
      <c r="AK480" s="27"/>
      <c r="AL480" s="10"/>
      <c r="AM480" s="6"/>
      <c r="AN480" s="7"/>
      <c r="AO480" s="7"/>
      <c r="AP480" s="7"/>
      <c r="AQ480" s="7"/>
      <c r="AR480" s="7"/>
      <c r="AS480" s="7"/>
      <c r="AT480" s="7"/>
      <c r="AU480" s="7"/>
      <c r="AV480" s="7"/>
      <c r="AW480" s="7"/>
    </row>
    <row r="481" spans="1:49">
      <c r="A481" s="1">
        <v>305</v>
      </c>
      <c r="B481" s="5"/>
      <c r="C481" s="10"/>
      <c r="D481" s="5"/>
      <c r="E481" s="10"/>
      <c r="F481" s="43"/>
      <c r="G481" s="5"/>
      <c r="H481" s="5"/>
      <c r="I481" s="5"/>
      <c r="J481" s="5"/>
      <c r="K481" s="10"/>
      <c r="L481" s="10"/>
      <c r="M481" s="10"/>
      <c r="N481" s="5"/>
      <c r="O481" s="5"/>
      <c r="P481" s="5"/>
      <c r="Q481" s="5"/>
      <c r="R481" s="5"/>
      <c r="S481" s="5"/>
      <c r="T481" s="5"/>
      <c r="U481" s="5"/>
      <c r="V481" s="5"/>
      <c r="W481" s="5"/>
      <c r="X481" s="5"/>
      <c r="Y481" s="5"/>
      <c r="Z481" s="5"/>
      <c r="AA481" s="5"/>
      <c r="AB481" s="5"/>
      <c r="AC481" s="5"/>
      <c r="AD481" s="5"/>
      <c r="AE481" s="5"/>
      <c r="AF481" s="5"/>
      <c r="AG481" s="5"/>
      <c r="AH481" s="27"/>
      <c r="AI481" s="27"/>
      <c r="AJ481" s="57"/>
      <c r="AK481" s="27"/>
      <c r="AL481" s="10"/>
      <c r="AM481" s="6"/>
      <c r="AN481" s="7"/>
      <c r="AO481" s="7"/>
      <c r="AP481" s="7"/>
      <c r="AQ481" s="7"/>
      <c r="AR481" s="7"/>
      <c r="AS481" s="7"/>
      <c r="AT481" s="7"/>
      <c r="AU481" s="7"/>
      <c r="AV481" s="7"/>
      <c r="AW481" s="7"/>
    </row>
    <row r="482" spans="1:49">
      <c r="A482" s="1">
        <v>306</v>
      </c>
      <c r="B482" s="5"/>
      <c r="C482" s="10"/>
      <c r="D482" s="5"/>
      <c r="E482" s="10"/>
      <c r="F482" s="43"/>
      <c r="G482" s="5"/>
      <c r="H482" s="5"/>
      <c r="I482" s="5"/>
      <c r="J482" s="5"/>
      <c r="K482" s="10"/>
      <c r="L482" s="10"/>
      <c r="M482" s="10"/>
      <c r="N482" s="5"/>
      <c r="O482" s="5"/>
      <c r="P482" s="5"/>
      <c r="Q482" s="5"/>
      <c r="R482" s="5"/>
      <c r="S482" s="5"/>
      <c r="T482" s="5"/>
      <c r="U482" s="5"/>
      <c r="V482" s="5"/>
      <c r="W482" s="5"/>
      <c r="X482" s="5"/>
      <c r="Y482" s="5"/>
      <c r="Z482" s="5"/>
      <c r="AA482" s="5"/>
      <c r="AB482" s="5"/>
      <c r="AC482" s="5"/>
      <c r="AD482" s="5"/>
      <c r="AE482" s="5"/>
      <c r="AF482" s="5"/>
      <c r="AG482" s="5"/>
      <c r="AH482" s="27"/>
      <c r="AI482" s="27"/>
      <c r="AJ482" s="57"/>
      <c r="AK482" s="27"/>
      <c r="AL482" s="10"/>
      <c r="AM482" s="6"/>
      <c r="AN482" s="7"/>
      <c r="AO482" s="7"/>
      <c r="AP482" s="7"/>
      <c r="AQ482" s="7"/>
      <c r="AR482" s="7"/>
      <c r="AS482" s="7"/>
      <c r="AT482" s="7"/>
      <c r="AU482" s="7"/>
      <c r="AV482" s="7"/>
      <c r="AW482" s="7"/>
    </row>
    <row r="483" spans="1:49">
      <c r="A483" s="1">
        <v>307</v>
      </c>
      <c r="B483" s="5"/>
      <c r="C483" s="10"/>
      <c r="D483" s="5"/>
      <c r="E483" s="10"/>
      <c r="F483" s="43"/>
      <c r="G483" s="5"/>
      <c r="H483" s="5"/>
      <c r="I483" s="5"/>
      <c r="J483" s="5"/>
      <c r="K483" s="10"/>
      <c r="L483" s="10"/>
      <c r="M483" s="10"/>
      <c r="N483" s="5"/>
      <c r="O483" s="5"/>
      <c r="P483" s="5"/>
      <c r="Q483" s="5"/>
      <c r="R483" s="5"/>
      <c r="S483" s="5"/>
      <c r="T483" s="5"/>
      <c r="U483" s="5"/>
      <c r="V483" s="5"/>
      <c r="W483" s="5"/>
      <c r="X483" s="5"/>
      <c r="Y483" s="5"/>
      <c r="Z483" s="5"/>
      <c r="AA483" s="5"/>
      <c r="AB483" s="5"/>
      <c r="AC483" s="5"/>
      <c r="AD483" s="5"/>
      <c r="AE483" s="5"/>
      <c r="AF483" s="5"/>
      <c r="AG483" s="5"/>
      <c r="AH483" s="27"/>
      <c r="AI483" s="27"/>
      <c r="AJ483" s="57"/>
      <c r="AK483" s="27"/>
      <c r="AL483" s="10"/>
      <c r="AM483" s="6"/>
      <c r="AN483" s="7"/>
      <c r="AO483" s="7"/>
      <c r="AP483" s="7"/>
      <c r="AQ483" s="7"/>
      <c r="AR483" s="7"/>
      <c r="AS483" s="7"/>
      <c r="AT483" s="7"/>
      <c r="AU483" s="7"/>
      <c r="AV483" s="7"/>
      <c r="AW483" s="7"/>
    </row>
    <row r="484" spans="1:49">
      <c r="A484" s="1">
        <v>308</v>
      </c>
      <c r="B484" s="5"/>
      <c r="C484" s="10"/>
      <c r="D484" s="5"/>
      <c r="E484" s="10"/>
      <c r="F484" s="43"/>
      <c r="G484" s="5"/>
      <c r="H484" s="5"/>
      <c r="I484" s="5"/>
      <c r="J484" s="5"/>
      <c r="K484" s="10"/>
      <c r="L484" s="10"/>
      <c r="M484" s="10"/>
      <c r="N484" s="5"/>
      <c r="O484" s="5"/>
      <c r="P484" s="5"/>
      <c r="Q484" s="5"/>
      <c r="R484" s="5"/>
      <c r="S484" s="5"/>
      <c r="T484" s="5"/>
      <c r="U484" s="5"/>
      <c r="V484" s="5"/>
      <c r="W484" s="5"/>
      <c r="X484" s="5"/>
      <c r="Y484" s="5"/>
      <c r="Z484" s="5"/>
      <c r="AA484" s="5"/>
      <c r="AB484" s="5"/>
      <c r="AC484" s="5"/>
      <c r="AD484" s="5"/>
      <c r="AE484" s="5"/>
      <c r="AF484" s="5"/>
      <c r="AG484" s="5"/>
      <c r="AH484" s="27"/>
      <c r="AI484" s="27"/>
      <c r="AJ484" s="57"/>
      <c r="AK484" s="27"/>
      <c r="AL484" s="10"/>
      <c r="AM484" s="6"/>
      <c r="AN484" s="7"/>
      <c r="AO484" s="7"/>
      <c r="AP484" s="7"/>
      <c r="AQ484" s="7"/>
      <c r="AR484" s="7"/>
      <c r="AS484" s="7"/>
      <c r="AT484" s="7"/>
      <c r="AU484" s="7"/>
      <c r="AV484" s="7"/>
      <c r="AW484" s="7"/>
    </row>
    <row r="485" spans="1:49">
      <c r="A485" s="1">
        <v>309</v>
      </c>
      <c r="B485" s="5"/>
      <c r="C485" s="10"/>
      <c r="D485" s="5"/>
      <c r="E485" s="10"/>
      <c r="F485" s="43"/>
      <c r="G485" s="5"/>
      <c r="H485" s="5"/>
      <c r="I485" s="5"/>
      <c r="J485" s="5"/>
      <c r="K485" s="10"/>
      <c r="L485" s="10"/>
      <c r="M485" s="10"/>
      <c r="N485" s="5"/>
      <c r="O485" s="5"/>
      <c r="P485" s="5"/>
      <c r="Q485" s="5"/>
      <c r="R485" s="5"/>
      <c r="S485" s="5"/>
      <c r="T485" s="5"/>
      <c r="U485" s="5"/>
      <c r="V485" s="5"/>
      <c r="W485" s="5"/>
      <c r="X485" s="5"/>
      <c r="Y485" s="5"/>
      <c r="Z485" s="5"/>
      <c r="AA485" s="5"/>
      <c r="AB485" s="5"/>
      <c r="AC485" s="5"/>
      <c r="AD485" s="5"/>
      <c r="AE485" s="5"/>
      <c r="AF485" s="5"/>
      <c r="AG485" s="5"/>
      <c r="AH485" s="27"/>
      <c r="AI485" s="27"/>
      <c r="AJ485" s="57"/>
      <c r="AK485" s="27"/>
      <c r="AL485" s="10"/>
      <c r="AM485" s="6"/>
      <c r="AN485" s="7"/>
      <c r="AO485" s="7"/>
      <c r="AP485" s="7"/>
      <c r="AQ485" s="7"/>
      <c r="AR485" s="7"/>
      <c r="AS485" s="7"/>
      <c r="AT485" s="7"/>
      <c r="AU485" s="7"/>
      <c r="AV485" s="7"/>
      <c r="AW485" s="7"/>
    </row>
    <row r="486" spans="1:49">
      <c r="A486" s="1">
        <v>310</v>
      </c>
      <c r="B486" s="5"/>
      <c r="C486" s="10"/>
      <c r="D486" s="5"/>
      <c r="E486" s="10"/>
      <c r="F486" s="43"/>
      <c r="G486" s="5"/>
      <c r="H486" s="5"/>
      <c r="I486" s="5"/>
      <c r="J486" s="5"/>
      <c r="K486" s="10"/>
      <c r="L486" s="10"/>
      <c r="M486" s="10"/>
      <c r="N486" s="5"/>
      <c r="O486" s="5"/>
      <c r="P486" s="5"/>
      <c r="Q486" s="5"/>
      <c r="R486" s="5"/>
      <c r="S486" s="5"/>
      <c r="T486" s="5"/>
      <c r="U486" s="5"/>
      <c r="V486" s="5"/>
      <c r="W486" s="5"/>
      <c r="X486" s="5"/>
      <c r="Y486" s="5"/>
      <c r="Z486" s="5"/>
      <c r="AA486" s="5"/>
      <c r="AB486" s="5"/>
      <c r="AC486" s="5"/>
      <c r="AD486" s="5"/>
      <c r="AE486" s="5"/>
      <c r="AF486" s="5"/>
      <c r="AG486" s="5"/>
      <c r="AH486" s="27"/>
      <c r="AI486" s="27"/>
      <c r="AJ486" s="57"/>
      <c r="AK486" s="27"/>
      <c r="AL486" s="10"/>
      <c r="AM486" s="6"/>
      <c r="AN486" s="7"/>
      <c r="AO486" s="7"/>
      <c r="AP486" s="7"/>
      <c r="AQ486" s="7"/>
      <c r="AR486" s="7"/>
      <c r="AS486" s="7"/>
      <c r="AT486" s="7"/>
      <c r="AU486" s="7"/>
      <c r="AV486" s="7"/>
      <c r="AW486" s="7"/>
    </row>
    <row r="487" spans="1:49">
      <c r="A487" s="1">
        <v>311</v>
      </c>
      <c r="B487" s="5"/>
      <c r="C487" s="10"/>
      <c r="D487" s="5"/>
      <c r="E487" s="10"/>
      <c r="F487" s="43"/>
      <c r="G487" s="5"/>
      <c r="H487" s="5"/>
      <c r="I487" s="5"/>
      <c r="J487" s="5"/>
      <c r="K487" s="10"/>
      <c r="L487" s="10"/>
      <c r="M487" s="10"/>
      <c r="N487" s="5"/>
      <c r="O487" s="5"/>
      <c r="P487" s="5"/>
      <c r="Q487" s="5"/>
      <c r="R487" s="5"/>
      <c r="S487" s="5"/>
      <c r="T487" s="5"/>
      <c r="U487" s="5"/>
      <c r="V487" s="5"/>
      <c r="W487" s="5"/>
      <c r="X487" s="5"/>
      <c r="Y487" s="5"/>
      <c r="Z487" s="5"/>
      <c r="AA487" s="5"/>
      <c r="AB487" s="5"/>
      <c r="AC487" s="5"/>
      <c r="AD487" s="5"/>
      <c r="AE487" s="5"/>
      <c r="AF487" s="5"/>
      <c r="AG487" s="5"/>
      <c r="AH487" s="27"/>
      <c r="AI487" s="27"/>
      <c r="AJ487" s="57"/>
      <c r="AK487" s="27"/>
      <c r="AL487" s="10"/>
      <c r="AM487" s="6"/>
      <c r="AN487" s="7"/>
      <c r="AO487" s="7"/>
      <c r="AP487" s="7"/>
      <c r="AQ487" s="7"/>
      <c r="AR487" s="7"/>
      <c r="AS487" s="7"/>
      <c r="AT487" s="7"/>
      <c r="AU487" s="7"/>
      <c r="AV487" s="7"/>
      <c r="AW487" s="7"/>
    </row>
    <row r="488" spans="1:49">
      <c r="A488" s="1">
        <v>312</v>
      </c>
      <c r="B488" s="5"/>
      <c r="C488" s="10"/>
      <c r="D488" s="5"/>
      <c r="E488" s="10"/>
      <c r="F488" s="43"/>
      <c r="G488" s="5"/>
      <c r="H488" s="5"/>
      <c r="I488" s="5"/>
      <c r="J488" s="5"/>
      <c r="K488" s="10"/>
      <c r="L488" s="10"/>
      <c r="M488" s="10"/>
      <c r="N488" s="5"/>
      <c r="O488" s="5"/>
      <c r="P488" s="5"/>
      <c r="Q488" s="5"/>
      <c r="R488" s="5"/>
      <c r="S488" s="5"/>
      <c r="T488" s="5"/>
      <c r="U488" s="5"/>
      <c r="V488" s="5"/>
      <c r="W488" s="5"/>
      <c r="X488" s="5"/>
      <c r="Y488" s="5"/>
      <c r="Z488" s="5"/>
      <c r="AA488" s="5"/>
      <c r="AB488" s="5"/>
      <c r="AC488" s="5"/>
      <c r="AD488" s="5"/>
      <c r="AE488" s="5"/>
      <c r="AF488" s="5"/>
      <c r="AG488" s="5"/>
      <c r="AH488" s="27"/>
      <c r="AI488" s="27"/>
      <c r="AJ488" s="57"/>
      <c r="AK488" s="27"/>
      <c r="AL488" s="10"/>
      <c r="AM488" s="6"/>
      <c r="AN488" s="7"/>
      <c r="AO488" s="7"/>
      <c r="AP488" s="7"/>
      <c r="AQ488" s="7"/>
      <c r="AR488" s="7"/>
      <c r="AS488" s="7"/>
      <c r="AT488" s="7"/>
      <c r="AU488" s="7"/>
      <c r="AV488" s="7"/>
      <c r="AW488" s="7"/>
    </row>
    <row r="489" spans="1:49">
      <c r="A489" s="1">
        <v>313</v>
      </c>
      <c r="B489" s="5"/>
      <c r="C489" s="10"/>
      <c r="D489" s="5"/>
      <c r="E489" s="10"/>
      <c r="F489" s="43"/>
      <c r="G489" s="5"/>
      <c r="H489" s="5"/>
      <c r="I489" s="5"/>
      <c r="J489" s="5"/>
      <c r="K489" s="10"/>
      <c r="L489" s="10"/>
      <c r="M489" s="10"/>
      <c r="N489" s="5"/>
      <c r="O489" s="5"/>
      <c r="P489" s="5"/>
      <c r="Q489" s="5"/>
      <c r="R489" s="5"/>
      <c r="S489" s="5"/>
      <c r="T489" s="5"/>
      <c r="U489" s="5"/>
      <c r="V489" s="5"/>
      <c r="W489" s="5"/>
      <c r="X489" s="5"/>
      <c r="Y489" s="5"/>
      <c r="Z489" s="5"/>
      <c r="AA489" s="5"/>
      <c r="AB489" s="5"/>
      <c r="AC489" s="5"/>
      <c r="AD489" s="5"/>
      <c r="AE489" s="5"/>
      <c r="AF489" s="5"/>
      <c r="AG489" s="5"/>
      <c r="AH489" s="27"/>
      <c r="AI489" s="27"/>
      <c r="AJ489" s="57"/>
      <c r="AK489" s="27"/>
      <c r="AL489" s="10"/>
      <c r="AM489" s="6"/>
      <c r="AN489" s="7"/>
      <c r="AO489" s="7"/>
      <c r="AP489" s="7"/>
      <c r="AQ489" s="7"/>
      <c r="AR489" s="7"/>
      <c r="AS489" s="7"/>
      <c r="AT489" s="7"/>
      <c r="AU489" s="7"/>
      <c r="AV489" s="7"/>
      <c r="AW489" s="7"/>
    </row>
    <row r="490" spans="1:49">
      <c r="A490" s="1">
        <v>314</v>
      </c>
      <c r="B490" s="5"/>
      <c r="C490" s="10"/>
      <c r="D490" s="5"/>
      <c r="E490" s="10"/>
      <c r="F490" s="43"/>
      <c r="G490" s="5"/>
      <c r="H490" s="5"/>
      <c r="I490" s="5"/>
      <c r="J490" s="5"/>
      <c r="K490" s="10"/>
      <c r="L490" s="10"/>
      <c r="M490" s="10"/>
      <c r="N490" s="5"/>
      <c r="O490" s="5"/>
      <c r="P490" s="5"/>
      <c r="Q490" s="5"/>
      <c r="R490" s="5"/>
      <c r="S490" s="5"/>
      <c r="T490" s="5"/>
      <c r="U490" s="5"/>
      <c r="V490" s="5"/>
      <c r="W490" s="5"/>
      <c r="X490" s="5"/>
      <c r="Y490" s="5"/>
      <c r="Z490" s="5"/>
      <c r="AA490" s="5"/>
      <c r="AB490" s="5"/>
      <c r="AC490" s="5"/>
      <c r="AD490" s="5"/>
      <c r="AE490" s="5"/>
      <c r="AF490" s="5"/>
      <c r="AG490" s="5"/>
      <c r="AH490" s="27"/>
      <c r="AI490" s="27"/>
      <c r="AJ490" s="57"/>
      <c r="AK490" s="27"/>
      <c r="AL490" s="10"/>
      <c r="AM490" s="6"/>
      <c r="AN490" s="7"/>
      <c r="AO490" s="7"/>
      <c r="AP490" s="7"/>
      <c r="AQ490" s="7"/>
      <c r="AR490" s="7"/>
      <c r="AS490" s="7"/>
      <c r="AT490" s="7"/>
      <c r="AU490" s="7"/>
      <c r="AV490" s="7"/>
      <c r="AW490" s="7"/>
    </row>
    <row r="491" spans="1:49">
      <c r="A491" s="1">
        <v>315</v>
      </c>
      <c r="B491" s="5"/>
      <c r="C491" s="10"/>
      <c r="D491" s="5"/>
      <c r="E491" s="10"/>
      <c r="F491" s="43"/>
      <c r="G491" s="5"/>
      <c r="H491" s="5"/>
      <c r="I491" s="5"/>
      <c r="J491" s="5"/>
      <c r="K491" s="10"/>
      <c r="L491" s="10"/>
      <c r="M491" s="10"/>
      <c r="N491" s="5"/>
      <c r="O491" s="5"/>
      <c r="P491" s="5"/>
      <c r="Q491" s="5"/>
      <c r="R491" s="5"/>
      <c r="S491" s="5"/>
      <c r="T491" s="5"/>
      <c r="U491" s="5"/>
      <c r="V491" s="5"/>
      <c r="W491" s="5"/>
      <c r="X491" s="5"/>
      <c r="Y491" s="5"/>
      <c r="Z491" s="5"/>
      <c r="AA491" s="5"/>
      <c r="AB491" s="5"/>
      <c r="AC491" s="5"/>
      <c r="AD491" s="5"/>
      <c r="AE491" s="5"/>
      <c r="AF491" s="5"/>
      <c r="AG491" s="5"/>
      <c r="AH491" s="27"/>
      <c r="AI491" s="27"/>
      <c r="AJ491" s="57"/>
      <c r="AK491" s="27"/>
      <c r="AL491" s="10"/>
      <c r="AM491" s="6"/>
      <c r="AN491" s="7"/>
      <c r="AO491" s="7"/>
      <c r="AP491" s="7"/>
      <c r="AQ491" s="7"/>
      <c r="AR491" s="7"/>
      <c r="AS491" s="7"/>
      <c r="AT491" s="7"/>
      <c r="AU491" s="7"/>
      <c r="AV491" s="7"/>
      <c r="AW491" s="7"/>
    </row>
    <row r="492" spans="1:49">
      <c r="A492" s="1">
        <v>316</v>
      </c>
      <c r="B492" s="5"/>
      <c r="C492" s="10"/>
      <c r="D492" s="5"/>
      <c r="E492" s="10"/>
      <c r="F492" s="43"/>
      <c r="G492" s="5"/>
      <c r="H492" s="5"/>
      <c r="I492" s="5"/>
      <c r="J492" s="5"/>
      <c r="K492" s="10"/>
      <c r="L492" s="10"/>
      <c r="M492" s="10"/>
      <c r="N492" s="5"/>
      <c r="O492" s="5"/>
      <c r="P492" s="5"/>
      <c r="Q492" s="5"/>
      <c r="R492" s="5"/>
      <c r="S492" s="5"/>
      <c r="T492" s="5"/>
      <c r="U492" s="5"/>
      <c r="V492" s="5"/>
      <c r="W492" s="5"/>
      <c r="X492" s="5"/>
      <c r="Y492" s="5"/>
      <c r="Z492" s="5"/>
      <c r="AA492" s="5"/>
      <c r="AB492" s="5"/>
      <c r="AC492" s="5"/>
      <c r="AD492" s="5"/>
      <c r="AE492" s="5"/>
      <c r="AF492" s="5"/>
      <c r="AG492" s="5"/>
      <c r="AH492" s="27"/>
      <c r="AI492" s="27"/>
      <c r="AJ492" s="57"/>
      <c r="AK492" s="27"/>
      <c r="AL492" s="10"/>
      <c r="AM492" s="6"/>
      <c r="AN492" s="7"/>
      <c r="AO492" s="7"/>
      <c r="AP492" s="7"/>
      <c r="AQ492" s="7"/>
      <c r="AR492" s="7"/>
      <c r="AS492" s="7"/>
      <c r="AT492" s="7"/>
      <c r="AU492" s="7"/>
      <c r="AV492" s="7"/>
      <c r="AW492" s="7"/>
    </row>
    <row r="493" spans="1:49">
      <c r="A493" s="1">
        <v>317</v>
      </c>
      <c r="B493" s="5"/>
      <c r="C493" s="10"/>
      <c r="D493" s="5"/>
      <c r="E493" s="10"/>
      <c r="F493" s="43"/>
      <c r="G493" s="5"/>
      <c r="H493" s="5"/>
      <c r="I493" s="5"/>
      <c r="J493" s="5"/>
      <c r="K493" s="10"/>
      <c r="L493" s="10"/>
      <c r="M493" s="10"/>
      <c r="N493" s="5"/>
      <c r="O493" s="5"/>
      <c r="P493" s="5"/>
      <c r="Q493" s="5"/>
      <c r="R493" s="5"/>
      <c r="S493" s="5"/>
      <c r="T493" s="5"/>
      <c r="U493" s="5"/>
      <c r="V493" s="5"/>
      <c r="W493" s="5"/>
      <c r="X493" s="5"/>
      <c r="Y493" s="5"/>
      <c r="Z493" s="5"/>
      <c r="AA493" s="5"/>
      <c r="AB493" s="5"/>
      <c r="AC493" s="5"/>
      <c r="AD493" s="5"/>
      <c r="AE493" s="5"/>
      <c r="AF493" s="5"/>
      <c r="AG493" s="5"/>
      <c r="AH493" s="27"/>
      <c r="AI493" s="27"/>
      <c r="AJ493" s="57"/>
      <c r="AK493" s="27"/>
      <c r="AL493" s="10"/>
      <c r="AM493" s="6"/>
      <c r="AN493" s="7"/>
      <c r="AO493" s="7"/>
      <c r="AP493" s="7"/>
      <c r="AQ493" s="7"/>
      <c r="AR493" s="7"/>
      <c r="AS493" s="7"/>
      <c r="AT493" s="7"/>
      <c r="AU493" s="7"/>
      <c r="AV493" s="7"/>
      <c r="AW493" s="7"/>
    </row>
    <row r="494" spans="1:49">
      <c r="A494" s="1">
        <v>318</v>
      </c>
      <c r="B494" s="5"/>
      <c r="C494" s="10"/>
      <c r="D494" s="5"/>
      <c r="E494" s="10"/>
      <c r="F494" s="43"/>
      <c r="G494" s="5"/>
      <c r="H494" s="5"/>
      <c r="I494" s="5"/>
      <c r="J494" s="5"/>
      <c r="K494" s="10"/>
      <c r="L494" s="10"/>
      <c r="M494" s="10"/>
      <c r="N494" s="5"/>
      <c r="O494" s="5"/>
      <c r="P494" s="5"/>
      <c r="Q494" s="5"/>
      <c r="R494" s="5"/>
      <c r="S494" s="5"/>
      <c r="T494" s="5"/>
      <c r="U494" s="5"/>
      <c r="V494" s="5"/>
      <c r="W494" s="5"/>
      <c r="X494" s="5"/>
      <c r="Y494" s="5"/>
      <c r="Z494" s="5"/>
      <c r="AA494" s="5"/>
      <c r="AB494" s="5"/>
      <c r="AC494" s="5"/>
      <c r="AD494" s="5"/>
      <c r="AE494" s="5"/>
      <c r="AF494" s="5"/>
      <c r="AG494" s="5"/>
      <c r="AH494" s="27"/>
      <c r="AI494" s="27"/>
      <c r="AJ494" s="57"/>
      <c r="AK494" s="27"/>
      <c r="AL494" s="10"/>
      <c r="AM494" s="6"/>
      <c r="AN494" s="7"/>
      <c r="AO494" s="7"/>
      <c r="AP494" s="7"/>
      <c r="AQ494" s="7"/>
      <c r="AR494" s="7"/>
      <c r="AS494" s="7"/>
      <c r="AT494" s="7"/>
      <c r="AU494" s="7"/>
      <c r="AV494" s="7"/>
      <c r="AW494" s="7"/>
    </row>
    <row r="495" spans="1:49">
      <c r="A495" s="1">
        <v>319</v>
      </c>
      <c r="B495" s="5"/>
      <c r="C495" s="10"/>
      <c r="D495" s="5"/>
      <c r="E495" s="10"/>
      <c r="F495" s="43"/>
      <c r="G495" s="5"/>
      <c r="H495" s="5"/>
      <c r="I495" s="5"/>
      <c r="J495" s="5"/>
      <c r="K495" s="10"/>
      <c r="L495" s="10"/>
      <c r="M495" s="10"/>
      <c r="N495" s="5"/>
      <c r="O495" s="5"/>
      <c r="P495" s="5"/>
      <c r="Q495" s="5"/>
      <c r="R495" s="5"/>
      <c r="S495" s="5"/>
      <c r="T495" s="5"/>
      <c r="U495" s="5"/>
      <c r="V495" s="5"/>
      <c r="W495" s="5"/>
      <c r="X495" s="5"/>
      <c r="Y495" s="5"/>
      <c r="Z495" s="5"/>
      <c r="AA495" s="5"/>
      <c r="AB495" s="5"/>
      <c r="AC495" s="5"/>
      <c r="AD495" s="5"/>
      <c r="AE495" s="5"/>
      <c r="AF495" s="5"/>
      <c r="AG495" s="5"/>
      <c r="AH495" s="27"/>
      <c r="AI495" s="27"/>
      <c r="AJ495" s="57"/>
      <c r="AK495" s="27"/>
      <c r="AL495" s="10"/>
      <c r="AM495" s="6"/>
      <c r="AN495" s="7"/>
      <c r="AO495" s="7"/>
      <c r="AP495" s="7"/>
      <c r="AQ495" s="7"/>
      <c r="AR495" s="7"/>
      <c r="AS495" s="7"/>
      <c r="AT495" s="7"/>
      <c r="AU495" s="7"/>
      <c r="AV495" s="7"/>
      <c r="AW495" s="7"/>
    </row>
    <row r="496" spans="1:49">
      <c r="A496" s="1">
        <v>320</v>
      </c>
      <c r="B496" s="5"/>
      <c r="C496" s="10"/>
      <c r="D496" s="5"/>
      <c r="E496" s="10"/>
      <c r="F496" s="43"/>
      <c r="G496" s="5"/>
      <c r="H496" s="5"/>
      <c r="I496" s="5"/>
      <c r="J496" s="5"/>
      <c r="K496" s="10"/>
      <c r="L496" s="10"/>
      <c r="M496" s="10"/>
      <c r="N496" s="5"/>
      <c r="O496" s="5"/>
      <c r="P496" s="5"/>
      <c r="Q496" s="5"/>
      <c r="R496" s="5"/>
      <c r="S496" s="5"/>
      <c r="T496" s="5"/>
      <c r="U496" s="5"/>
      <c r="V496" s="5"/>
      <c r="W496" s="5"/>
      <c r="X496" s="5"/>
      <c r="Y496" s="5"/>
      <c r="Z496" s="5"/>
      <c r="AA496" s="5"/>
      <c r="AB496" s="5"/>
      <c r="AC496" s="5"/>
      <c r="AD496" s="5"/>
      <c r="AE496" s="5"/>
      <c r="AF496" s="5"/>
      <c r="AG496" s="5"/>
      <c r="AH496" s="27"/>
      <c r="AI496" s="27"/>
      <c r="AJ496" s="57"/>
      <c r="AK496" s="27"/>
      <c r="AL496" s="10"/>
      <c r="AM496" s="6"/>
      <c r="AN496" s="7"/>
      <c r="AO496" s="7"/>
      <c r="AP496" s="7"/>
      <c r="AQ496" s="7"/>
      <c r="AR496" s="7"/>
      <c r="AS496" s="7"/>
      <c r="AT496" s="7"/>
      <c r="AU496" s="7"/>
      <c r="AV496" s="7"/>
      <c r="AW496" s="7"/>
    </row>
    <row r="497" spans="1:49">
      <c r="A497" s="1">
        <v>321</v>
      </c>
      <c r="B497" s="5"/>
      <c r="C497" s="10"/>
      <c r="D497" s="5"/>
      <c r="E497" s="10"/>
      <c r="F497" s="43"/>
      <c r="G497" s="5"/>
      <c r="H497" s="5"/>
      <c r="I497" s="5"/>
      <c r="J497" s="5"/>
      <c r="K497" s="10"/>
      <c r="L497" s="10"/>
      <c r="M497" s="10"/>
      <c r="N497" s="5"/>
      <c r="O497" s="5"/>
      <c r="P497" s="5"/>
      <c r="Q497" s="5"/>
      <c r="R497" s="5"/>
      <c r="S497" s="5"/>
      <c r="T497" s="5"/>
      <c r="U497" s="5"/>
      <c r="V497" s="5"/>
      <c r="W497" s="5"/>
      <c r="X497" s="5"/>
      <c r="Y497" s="5"/>
      <c r="Z497" s="5"/>
      <c r="AA497" s="5"/>
      <c r="AB497" s="5"/>
      <c r="AC497" s="5"/>
      <c r="AD497" s="5"/>
      <c r="AE497" s="5"/>
      <c r="AF497" s="5"/>
      <c r="AG497" s="5"/>
      <c r="AH497" s="27"/>
      <c r="AI497" s="27"/>
      <c r="AJ497" s="57"/>
      <c r="AK497" s="27"/>
      <c r="AL497" s="10"/>
      <c r="AM497" s="6"/>
      <c r="AN497" s="7"/>
      <c r="AO497" s="7"/>
      <c r="AP497" s="7"/>
      <c r="AQ497" s="7"/>
      <c r="AR497" s="7"/>
      <c r="AS497" s="7"/>
      <c r="AT497" s="7"/>
      <c r="AU497" s="7"/>
      <c r="AV497" s="7"/>
      <c r="AW497" s="7"/>
    </row>
    <row r="498" spans="1:49">
      <c r="A498" s="1">
        <v>322</v>
      </c>
      <c r="B498" s="5"/>
      <c r="C498" s="10"/>
      <c r="D498" s="5"/>
      <c r="E498" s="10"/>
      <c r="F498" s="43"/>
      <c r="G498" s="5"/>
      <c r="H498" s="5"/>
      <c r="I498" s="5"/>
      <c r="J498" s="5"/>
      <c r="K498" s="10"/>
      <c r="L498" s="10"/>
      <c r="M498" s="10"/>
      <c r="N498" s="5"/>
      <c r="O498" s="5"/>
      <c r="P498" s="5"/>
      <c r="Q498" s="5"/>
      <c r="R498" s="5"/>
      <c r="S498" s="5"/>
      <c r="T498" s="5"/>
      <c r="U498" s="5"/>
      <c r="V498" s="5"/>
      <c r="W498" s="5"/>
      <c r="X498" s="5"/>
      <c r="Y498" s="5"/>
      <c r="Z498" s="5"/>
      <c r="AA498" s="5"/>
      <c r="AB498" s="5"/>
      <c r="AC498" s="5"/>
      <c r="AD498" s="5"/>
      <c r="AE498" s="5"/>
      <c r="AF498" s="5"/>
      <c r="AG498" s="5"/>
      <c r="AH498" s="27"/>
      <c r="AI498" s="27"/>
      <c r="AJ498" s="57"/>
      <c r="AK498" s="27"/>
      <c r="AL498" s="10"/>
      <c r="AM498" s="6"/>
      <c r="AN498" s="7"/>
      <c r="AO498" s="7"/>
      <c r="AP498" s="7"/>
      <c r="AQ498" s="7"/>
      <c r="AR498" s="7"/>
      <c r="AS498" s="7"/>
      <c r="AT498" s="7"/>
      <c r="AU498" s="7"/>
      <c r="AV498" s="7"/>
      <c r="AW498" s="7"/>
    </row>
    <row r="499" spans="1:49">
      <c r="A499" s="1">
        <v>323</v>
      </c>
      <c r="B499" s="5"/>
      <c r="C499" s="10"/>
      <c r="D499" s="5"/>
      <c r="E499" s="10"/>
      <c r="F499" s="43"/>
      <c r="G499" s="5"/>
      <c r="H499" s="5"/>
      <c r="I499" s="5"/>
      <c r="J499" s="5"/>
      <c r="K499" s="10"/>
      <c r="L499" s="10"/>
      <c r="M499" s="10"/>
      <c r="N499" s="5"/>
      <c r="O499" s="5"/>
      <c r="P499" s="5"/>
      <c r="Q499" s="5"/>
      <c r="R499" s="5"/>
      <c r="S499" s="5"/>
      <c r="T499" s="5"/>
      <c r="U499" s="5"/>
      <c r="V499" s="5"/>
      <c r="W499" s="5"/>
      <c r="X499" s="5"/>
      <c r="Y499" s="5"/>
      <c r="Z499" s="5"/>
      <c r="AA499" s="5"/>
      <c r="AB499" s="5"/>
      <c r="AC499" s="5"/>
      <c r="AD499" s="5"/>
      <c r="AE499" s="5"/>
      <c r="AF499" s="5"/>
      <c r="AG499" s="5"/>
      <c r="AH499" s="27"/>
      <c r="AI499" s="27"/>
      <c r="AJ499" s="57"/>
      <c r="AK499" s="27"/>
      <c r="AL499" s="10"/>
      <c r="AM499" s="6"/>
      <c r="AN499" s="7"/>
      <c r="AO499" s="7"/>
      <c r="AP499" s="7"/>
      <c r="AQ499" s="7"/>
      <c r="AR499" s="7"/>
      <c r="AS499" s="7"/>
      <c r="AT499" s="7"/>
      <c r="AU499" s="7"/>
      <c r="AV499" s="7"/>
      <c r="AW499" s="7"/>
    </row>
    <row r="500" spans="1:49">
      <c r="A500" s="1">
        <v>324</v>
      </c>
      <c r="B500" s="5"/>
      <c r="C500" s="10"/>
      <c r="D500" s="5"/>
      <c r="E500" s="10"/>
      <c r="F500" s="43"/>
      <c r="G500" s="5"/>
      <c r="H500" s="5"/>
      <c r="I500" s="5"/>
      <c r="J500" s="5"/>
      <c r="K500" s="10"/>
      <c r="L500" s="10"/>
      <c r="M500" s="10"/>
      <c r="N500" s="5"/>
      <c r="O500" s="5"/>
      <c r="P500" s="5"/>
      <c r="Q500" s="5"/>
      <c r="R500" s="5"/>
      <c r="S500" s="5"/>
      <c r="T500" s="5"/>
      <c r="U500" s="5"/>
      <c r="V500" s="5"/>
      <c r="W500" s="5"/>
      <c r="X500" s="5"/>
      <c r="Y500" s="5"/>
      <c r="Z500" s="5"/>
      <c r="AA500" s="5"/>
      <c r="AB500" s="5"/>
      <c r="AC500" s="5"/>
      <c r="AD500" s="5"/>
      <c r="AE500" s="5"/>
      <c r="AF500" s="5"/>
      <c r="AG500" s="5"/>
      <c r="AH500" s="27"/>
      <c r="AI500" s="27"/>
      <c r="AJ500" s="57"/>
      <c r="AK500" s="27"/>
      <c r="AL500" s="10"/>
      <c r="AM500" s="6"/>
      <c r="AN500" s="7"/>
      <c r="AO500" s="7"/>
      <c r="AP500" s="7"/>
      <c r="AQ500" s="7"/>
      <c r="AR500" s="7"/>
      <c r="AS500" s="7"/>
      <c r="AT500" s="7"/>
      <c r="AU500" s="7"/>
      <c r="AV500" s="7"/>
      <c r="AW500" s="7"/>
    </row>
    <row r="501" spans="1:49">
      <c r="A501" s="1">
        <v>325</v>
      </c>
      <c r="B501" s="5"/>
      <c r="C501" s="10"/>
      <c r="D501" s="5"/>
      <c r="E501" s="10"/>
      <c r="F501" s="43"/>
      <c r="G501" s="5"/>
      <c r="H501" s="5"/>
      <c r="I501" s="5"/>
      <c r="J501" s="5"/>
      <c r="K501" s="10"/>
      <c r="L501" s="10"/>
      <c r="M501" s="10"/>
      <c r="N501" s="5"/>
      <c r="O501" s="5"/>
      <c r="P501" s="5"/>
      <c r="Q501" s="5"/>
      <c r="R501" s="5"/>
      <c r="S501" s="5"/>
      <c r="T501" s="5"/>
      <c r="U501" s="5"/>
      <c r="V501" s="5"/>
      <c r="W501" s="5"/>
      <c r="X501" s="5"/>
      <c r="Y501" s="5"/>
      <c r="Z501" s="5"/>
      <c r="AA501" s="5"/>
      <c r="AB501" s="5"/>
      <c r="AC501" s="5"/>
      <c r="AD501" s="5"/>
      <c r="AE501" s="5"/>
      <c r="AF501" s="5"/>
      <c r="AG501" s="5"/>
      <c r="AH501" s="27"/>
      <c r="AI501" s="27"/>
      <c r="AJ501" s="57"/>
      <c r="AK501" s="27"/>
      <c r="AL501" s="10"/>
      <c r="AM501" s="6"/>
      <c r="AN501" s="7"/>
      <c r="AO501" s="7"/>
      <c r="AP501" s="7"/>
      <c r="AQ501" s="7"/>
      <c r="AR501" s="7"/>
      <c r="AS501" s="7"/>
      <c r="AT501" s="7"/>
      <c r="AU501" s="7"/>
      <c r="AV501" s="7"/>
      <c r="AW501" s="7"/>
    </row>
    <row r="502" spans="1:49">
      <c r="A502" s="1">
        <v>326</v>
      </c>
      <c r="B502" s="5"/>
      <c r="C502" s="10"/>
      <c r="D502" s="5"/>
      <c r="E502" s="10"/>
      <c r="F502" s="43"/>
      <c r="G502" s="5"/>
      <c r="H502" s="5"/>
      <c r="I502" s="5"/>
      <c r="J502" s="5"/>
      <c r="K502" s="10"/>
      <c r="L502" s="10"/>
      <c r="M502" s="10"/>
      <c r="N502" s="5"/>
      <c r="O502" s="5"/>
      <c r="P502" s="5"/>
      <c r="Q502" s="5"/>
      <c r="R502" s="5"/>
      <c r="S502" s="5"/>
      <c r="T502" s="5"/>
      <c r="U502" s="5"/>
      <c r="V502" s="5"/>
      <c r="W502" s="5"/>
      <c r="X502" s="5"/>
      <c r="Y502" s="5"/>
      <c r="Z502" s="5"/>
      <c r="AA502" s="5"/>
      <c r="AB502" s="5"/>
      <c r="AC502" s="5"/>
      <c r="AD502" s="5"/>
      <c r="AE502" s="5"/>
      <c r="AF502" s="5"/>
      <c r="AG502" s="5"/>
      <c r="AH502" s="27"/>
      <c r="AI502" s="27"/>
      <c r="AJ502" s="57"/>
      <c r="AK502" s="27"/>
      <c r="AL502" s="10"/>
      <c r="AM502" s="6"/>
      <c r="AN502" s="7"/>
      <c r="AO502" s="7"/>
      <c r="AP502" s="7"/>
      <c r="AQ502" s="7"/>
      <c r="AR502" s="7"/>
      <c r="AS502" s="7"/>
      <c r="AT502" s="7"/>
      <c r="AU502" s="7"/>
      <c r="AV502" s="7"/>
      <c r="AW502" s="7"/>
    </row>
    <row r="503" spans="1:49">
      <c r="A503" s="1">
        <v>327</v>
      </c>
      <c r="B503" s="5"/>
      <c r="C503" s="10"/>
      <c r="D503" s="5"/>
      <c r="E503" s="10"/>
      <c r="F503" s="43"/>
      <c r="G503" s="5"/>
      <c r="H503" s="5"/>
      <c r="I503" s="5"/>
      <c r="J503" s="5"/>
      <c r="K503" s="10"/>
      <c r="L503" s="10"/>
      <c r="M503" s="10"/>
      <c r="N503" s="5"/>
      <c r="O503" s="5"/>
      <c r="P503" s="5"/>
      <c r="Q503" s="5"/>
      <c r="R503" s="5"/>
      <c r="S503" s="5"/>
      <c r="T503" s="5"/>
      <c r="U503" s="5"/>
      <c r="V503" s="5"/>
      <c r="W503" s="5"/>
      <c r="X503" s="5"/>
      <c r="Y503" s="5"/>
      <c r="Z503" s="5"/>
      <c r="AA503" s="5"/>
      <c r="AB503" s="5"/>
      <c r="AC503" s="5"/>
      <c r="AD503" s="5"/>
      <c r="AE503" s="5"/>
      <c r="AF503" s="5"/>
      <c r="AG503" s="5"/>
      <c r="AH503" s="27"/>
      <c r="AI503" s="27"/>
      <c r="AJ503" s="57"/>
      <c r="AK503" s="27"/>
      <c r="AL503" s="10"/>
      <c r="AM503" s="6"/>
      <c r="AN503" s="7"/>
      <c r="AO503" s="7"/>
      <c r="AP503" s="7"/>
      <c r="AQ503" s="7"/>
      <c r="AR503" s="7"/>
      <c r="AS503" s="7"/>
      <c r="AT503" s="7"/>
      <c r="AU503" s="7"/>
      <c r="AV503" s="7"/>
      <c r="AW503" s="7"/>
    </row>
    <row r="504" spans="1:49">
      <c r="A504" s="1">
        <v>328</v>
      </c>
      <c r="B504" s="5"/>
      <c r="C504" s="10"/>
      <c r="D504" s="5"/>
      <c r="E504" s="10"/>
      <c r="F504" s="43"/>
      <c r="G504" s="5"/>
      <c r="H504" s="5"/>
      <c r="I504" s="5"/>
      <c r="J504" s="5"/>
      <c r="K504" s="10"/>
      <c r="L504" s="10"/>
      <c r="M504" s="10"/>
      <c r="N504" s="5"/>
      <c r="O504" s="5"/>
      <c r="P504" s="5"/>
      <c r="Q504" s="5"/>
      <c r="R504" s="5"/>
      <c r="S504" s="5"/>
      <c r="T504" s="5"/>
      <c r="U504" s="5"/>
      <c r="V504" s="5"/>
      <c r="W504" s="5"/>
      <c r="X504" s="5"/>
      <c r="Y504" s="5"/>
      <c r="Z504" s="5"/>
      <c r="AA504" s="5"/>
      <c r="AB504" s="5"/>
      <c r="AC504" s="5"/>
      <c r="AD504" s="5"/>
      <c r="AE504" s="5"/>
      <c r="AF504" s="5"/>
      <c r="AG504" s="5"/>
      <c r="AH504" s="27"/>
      <c r="AI504" s="27"/>
      <c r="AJ504" s="57"/>
      <c r="AK504" s="27"/>
      <c r="AL504" s="10"/>
      <c r="AM504" s="6"/>
      <c r="AN504" s="7"/>
      <c r="AO504" s="7"/>
      <c r="AP504" s="7"/>
      <c r="AQ504" s="7"/>
      <c r="AR504" s="7"/>
      <c r="AS504" s="7"/>
      <c r="AT504" s="7"/>
      <c r="AU504" s="7"/>
      <c r="AV504" s="7"/>
      <c r="AW504" s="7"/>
    </row>
    <row r="505" spans="1:49">
      <c r="A505" s="1">
        <v>329</v>
      </c>
      <c r="B505" s="5"/>
      <c r="C505" s="10"/>
      <c r="D505" s="5"/>
      <c r="E505" s="10"/>
      <c r="F505" s="43"/>
      <c r="G505" s="5"/>
      <c r="H505" s="5"/>
      <c r="I505" s="5"/>
      <c r="J505" s="5"/>
      <c r="K505" s="10"/>
      <c r="L505" s="10"/>
      <c r="M505" s="10"/>
      <c r="N505" s="5"/>
      <c r="O505" s="5"/>
      <c r="P505" s="5"/>
      <c r="Q505" s="5"/>
      <c r="R505" s="5"/>
      <c r="S505" s="5"/>
      <c r="T505" s="5"/>
      <c r="U505" s="5"/>
      <c r="V505" s="5"/>
      <c r="W505" s="5"/>
      <c r="X505" s="5"/>
      <c r="Y505" s="5"/>
      <c r="Z505" s="5"/>
      <c r="AA505" s="5"/>
      <c r="AB505" s="5"/>
      <c r="AC505" s="5"/>
      <c r="AD505" s="5"/>
      <c r="AE505" s="5"/>
      <c r="AF505" s="5"/>
      <c r="AG505" s="5"/>
      <c r="AH505" s="27"/>
      <c r="AI505" s="27"/>
      <c r="AJ505" s="57"/>
      <c r="AK505" s="27"/>
      <c r="AL505" s="10"/>
      <c r="AM505" s="6"/>
      <c r="AN505" s="7"/>
      <c r="AO505" s="7"/>
      <c r="AP505" s="7"/>
      <c r="AQ505" s="7"/>
      <c r="AR505" s="7"/>
      <c r="AS505" s="7"/>
      <c r="AT505" s="7"/>
      <c r="AU505" s="7"/>
      <c r="AV505" s="7"/>
      <c r="AW505" s="7"/>
    </row>
    <row r="506" spans="1:49">
      <c r="A506" s="1">
        <v>330</v>
      </c>
      <c r="B506" s="5"/>
      <c r="C506" s="10"/>
      <c r="D506" s="5"/>
      <c r="E506" s="10"/>
      <c r="F506" s="43"/>
      <c r="G506" s="5"/>
      <c r="H506" s="5"/>
      <c r="I506" s="5"/>
      <c r="J506" s="5"/>
      <c r="K506" s="10"/>
      <c r="L506" s="10"/>
      <c r="M506" s="10"/>
      <c r="N506" s="5"/>
      <c r="O506" s="5"/>
      <c r="P506" s="5"/>
      <c r="Q506" s="5"/>
      <c r="R506" s="5"/>
      <c r="S506" s="5"/>
      <c r="T506" s="5"/>
      <c r="U506" s="5"/>
      <c r="V506" s="5"/>
      <c r="W506" s="5"/>
      <c r="X506" s="5"/>
      <c r="Y506" s="5"/>
      <c r="Z506" s="5"/>
      <c r="AA506" s="5"/>
      <c r="AB506" s="5"/>
      <c r="AC506" s="5"/>
      <c r="AD506" s="5"/>
      <c r="AE506" s="5"/>
      <c r="AF506" s="5"/>
      <c r="AG506" s="5"/>
      <c r="AH506" s="27"/>
      <c r="AI506" s="27"/>
      <c r="AJ506" s="57"/>
      <c r="AK506" s="27"/>
      <c r="AL506" s="10"/>
      <c r="AM506" s="6"/>
      <c r="AN506" s="7"/>
      <c r="AO506" s="7"/>
      <c r="AP506" s="7"/>
      <c r="AQ506" s="7"/>
      <c r="AR506" s="7"/>
      <c r="AS506" s="7"/>
      <c r="AT506" s="7"/>
      <c r="AU506" s="7"/>
      <c r="AV506" s="7"/>
      <c r="AW506" s="7"/>
    </row>
    <row r="507" spans="1:49">
      <c r="A507" s="1">
        <v>331</v>
      </c>
      <c r="B507" s="5"/>
      <c r="C507" s="10"/>
      <c r="D507" s="5"/>
      <c r="E507" s="10"/>
      <c r="F507" s="43"/>
      <c r="G507" s="5"/>
      <c r="H507" s="5"/>
      <c r="I507" s="5"/>
      <c r="J507" s="5"/>
      <c r="K507" s="10"/>
      <c r="L507" s="10"/>
      <c r="M507" s="10"/>
      <c r="N507" s="5"/>
      <c r="O507" s="5"/>
      <c r="P507" s="5"/>
      <c r="Q507" s="5"/>
      <c r="R507" s="5"/>
      <c r="S507" s="5"/>
      <c r="T507" s="5"/>
      <c r="U507" s="5"/>
      <c r="V507" s="5"/>
      <c r="W507" s="5"/>
      <c r="X507" s="5"/>
      <c r="Y507" s="5"/>
      <c r="Z507" s="5"/>
      <c r="AA507" s="5"/>
      <c r="AB507" s="5"/>
      <c r="AC507" s="5"/>
      <c r="AD507" s="5"/>
      <c r="AE507" s="5"/>
      <c r="AF507" s="5"/>
      <c r="AG507" s="5"/>
      <c r="AH507" s="27"/>
      <c r="AI507" s="27"/>
      <c r="AJ507" s="57"/>
      <c r="AK507" s="27"/>
      <c r="AL507" s="10"/>
      <c r="AM507" s="6"/>
      <c r="AN507" s="7"/>
      <c r="AO507" s="7"/>
      <c r="AP507" s="7"/>
      <c r="AQ507" s="7"/>
      <c r="AR507" s="7"/>
      <c r="AS507" s="7"/>
      <c r="AT507" s="7"/>
      <c r="AU507" s="7"/>
      <c r="AV507" s="7"/>
      <c r="AW507" s="7"/>
    </row>
    <row r="508" spans="1:49">
      <c r="A508" s="1">
        <v>332</v>
      </c>
      <c r="B508" s="5"/>
      <c r="C508" s="10"/>
      <c r="D508" s="5"/>
      <c r="E508" s="10"/>
      <c r="F508" s="43"/>
      <c r="G508" s="5"/>
      <c r="H508" s="5"/>
      <c r="I508" s="5"/>
      <c r="J508" s="5"/>
      <c r="K508" s="10"/>
      <c r="L508" s="10"/>
      <c r="M508" s="10"/>
      <c r="N508" s="5"/>
      <c r="O508" s="5"/>
      <c r="P508" s="5"/>
      <c r="Q508" s="5"/>
      <c r="R508" s="5"/>
      <c r="S508" s="5"/>
      <c r="T508" s="5"/>
      <c r="U508" s="5"/>
      <c r="V508" s="5"/>
      <c r="W508" s="5"/>
      <c r="X508" s="5"/>
      <c r="Y508" s="5"/>
      <c r="Z508" s="5"/>
      <c r="AA508" s="5"/>
      <c r="AB508" s="5"/>
      <c r="AC508" s="5"/>
      <c r="AD508" s="5"/>
      <c r="AE508" s="5"/>
      <c r="AF508" s="5"/>
      <c r="AG508" s="5"/>
      <c r="AH508" s="27"/>
      <c r="AI508" s="27"/>
      <c r="AJ508" s="57"/>
      <c r="AK508" s="27"/>
      <c r="AL508" s="10"/>
      <c r="AM508" s="6"/>
      <c r="AN508" s="7"/>
      <c r="AO508" s="7"/>
      <c r="AP508" s="7"/>
      <c r="AQ508" s="7"/>
      <c r="AR508" s="7"/>
      <c r="AS508" s="7"/>
      <c r="AT508" s="7"/>
      <c r="AU508" s="7"/>
      <c r="AV508" s="7"/>
      <c r="AW508" s="7"/>
    </row>
    <row r="509" spans="1:49">
      <c r="A509" s="1">
        <v>333</v>
      </c>
      <c r="B509" s="5"/>
      <c r="C509" s="10"/>
      <c r="D509" s="5"/>
      <c r="E509" s="10"/>
      <c r="F509" s="43"/>
      <c r="G509" s="5"/>
      <c r="H509" s="5"/>
      <c r="I509" s="5"/>
      <c r="J509" s="5"/>
      <c r="K509" s="10"/>
      <c r="L509" s="10"/>
      <c r="M509" s="10"/>
      <c r="N509" s="5"/>
      <c r="O509" s="5"/>
      <c r="P509" s="5"/>
      <c r="Q509" s="5"/>
      <c r="R509" s="5"/>
      <c r="S509" s="5"/>
      <c r="T509" s="5"/>
      <c r="U509" s="5"/>
      <c r="V509" s="5"/>
      <c r="W509" s="5"/>
      <c r="X509" s="5"/>
      <c r="Y509" s="5"/>
      <c r="Z509" s="5"/>
      <c r="AA509" s="5"/>
      <c r="AB509" s="5"/>
      <c r="AC509" s="5"/>
      <c r="AD509" s="5"/>
      <c r="AE509" s="5"/>
      <c r="AF509" s="5"/>
      <c r="AG509" s="5"/>
      <c r="AH509" s="27"/>
      <c r="AI509" s="27"/>
      <c r="AJ509" s="57"/>
      <c r="AK509" s="27"/>
      <c r="AL509" s="10"/>
      <c r="AM509" s="6"/>
      <c r="AN509" s="7"/>
      <c r="AO509" s="7"/>
      <c r="AP509" s="7"/>
      <c r="AQ509" s="7"/>
      <c r="AR509" s="7"/>
      <c r="AS509" s="7"/>
      <c r="AT509" s="7"/>
      <c r="AU509" s="7"/>
      <c r="AV509" s="7"/>
      <c r="AW509" s="7"/>
    </row>
    <row r="510" spans="1:49">
      <c r="A510" s="1">
        <v>334</v>
      </c>
      <c r="B510" s="5"/>
      <c r="C510" s="10"/>
      <c r="D510" s="5"/>
      <c r="E510" s="10"/>
      <c r="F510" s="43"/>
      <c r="G510" s="5"/>
      <c r="H510" s="5"/>
      <c r="I510" s="5"/>
      <c r="J510" s="5"/>
      <c r="K510" s="10"/>
      <c r="L510" s="10"/>
      <c r="M510" s="10"/>
      <c r="N510" s="5"/>
      <c r="O510" s="5"/>
      <c r="P510" s="5"/>
      <c r="Q510" s="5"/>
      <c r="R510" s="5"/>
      <c r="S510" s="5"/>
      <c r="T510" s="5"/>
      <c r="U510" s="5"/>
      <c r="V510" s="5"/>
      <c r="W510" s="5"/>
      <c r="X510" s="5"/>
      <c r="Y510" s="5"/>
      <c r="Z510" s="5"/>
      <c r="AA510" s="5"/>
      <c r="AB510" s="5"/>
      <c r="AC510" s="5"/>
      <c r="AD510" s="5"/>
      <c r="AE510" s="5"/>
      <c r="AF510" s="5"/>
      <c r="AG510" s="5"/>
      <c r="AH510" s="27"/>
      <c r="AI510" s="27"/>
      <c r="AJ510" s="57"/>
      <c r="AK510" s="27"/>
      <c r="AL510" s="10"/>
      <c r="AM510" s="6"/>
      <c r="AN510" s="7"/>
      <c r="AO510" s="7"/>
      <c r="AP510" s="7"/>
      <c r="AQ510" s="7"/>
      <c r="AR510" s="7"/>
      <c r="AS510" s="7"/>
      <c r="AT510" s="7"/>
      <c r="AU510" s="7"/>
      <c r="AV510" s="7"/>
      <c r="AW510" s="7"/>
    </row>
    <row r="511" spans="1:49">
      <c r="A511" s="1">
        <v>335</v>
      </c>
      <c r="B511" s="5"/>
      <c r="C511" s="10"/>
      <c r="D511" s="5"/>
      <c r="E511" s="10"/>
      <c r="F511" s="43"/>
      <c r="G511" s="5"/>
      <c r="H511" s="5"/>
      <c r="I511" s="5"/>
      <c r="J511" s="5"/>
      <c r="K511" s="10"/>
      <c r="L511" s="10"/>
      <c r="M511" s="10"/>
      <c r="N511" s="5"/>
      <c r="O511" s="5"/>
      <c r="P511" s="5"/>
      <c r="Q511" s="5"/>
      <c r="R511" s="5"/>
      <c r="S511" s="5"/>
      <c r="T511" s="5"/>
      <c r="U511" s="5"/>
      <c r="V511" s="5"/>
      <c r="W511" s="5"/>
      <c r="X511" s="5"/>
      <c r="Y511" s="5"/>
      <c r="Z511" s="5"/>
      <c r="AA511" s="5"/>
      <c r="AB511" s="5"/>
      <c r="AC511" s="5"/>
      <c r="AD511" s="5"/>
      <c r="AE511" s="5"/>
      <c r="AF511" s="5"/>
      <c r="AG511" s="5"/>
      <c r="AH511" s="27"/>
      <c r="AI511" s="27"/>
      <c r="AJ511" s="57"/>
      <c r="AK511" s="27"/>
      <c r="AL511" s="10"/>
      <c r="AM511" s="6"/>
      <c r="AN511" s="7"/>
      <c r="AO511" s="7"/>
      <c r="AP511" s="7"/>
      <c r="AQ511" s="7"/>
      <c r="AR511" s="7"/>
      <c r="AS511" s="7"/>
      <c r="AT511" s="7"/>
      <c r="AU511" s="7"/>
      <c r="AV511" s="7"/>
      <c r="AW511" s="7"/>
    </row>
    <row r="512" spans="1:49">
      <c r="A512" s="1">
        <v>336</v>
      </c>
      <c r="B512" s="5"/>
      <c r="C512" s="10"/>
      <c r="D512" s="5"/>
      <c r="E512" s="10"/>
      <c r="F512" s="43"/>
      <c r="G512" s="5"/>
      <c r="H512" s="5"/>
      <c r="I512" s="5"/>
      <c r="J512" s="5"/>
      <c r="K512" s="10"/>
      <c r="L512" s="10"/>
      <c r="M512" s="10"/>
      <c r="N512" s="5"/>
      <c r="O512" s="5"/>
      <c r="P512" s="5"/>
      <c r="Q512" s="5"/>
      <c r="R512" s="5"/>
      <c r="S512" s="5"/>
      <c r="T512" s="5"/>
      <c r="U512" s="5"/>
      <c r="V512" s="5"/>
      <c r="W512" s="5"/>
      <c r="X512" s="5"/>
      <c r="Y512" s="5"/>
      <c r="Z512" s="5"/>
      <c r="AA512" s="5"/>
      <c r="AB512" s="5"/>
      <c r="AC512" s="5"/>
      <c r="AD512" s="5"/>
      <c r="AE512" s="5"/>
      <c r="AF512" s="5"/>
      <c r="AG512" s="5"/>
      <c r="AH512" s="27"/>
      <c r="AI512" s="27"/>
      <c r="AJ512" s="57"/>
      <c r="AK512" s="27"/>
      <c r="AL512" s="10"/>
      <c r="AM512" s="6"/>
      <c r="AN512" s="7"/>
      <c r="AO512" s="7"/>
      <c r="AP512" s="7"/>
      <c r="AQ512" s="7"/>
      <c r="AR512" s="7"/>
      <c r="AS512" s="7"/>
      <c r="AT512" s="7"/>
      <c r="AU512" s="7"/>
      <c r="AV512" s="7"/>
      <c r="AW512" s="7"/>
    </row>
    <row r="513" spans="1:49">
      <c r="A513" s="1">
        <v>337</v>
      </c>
      <c r="B513" s="5"/>
      <c r="C513" s="10"/>
      <c r="D513" s="5"/>
      <c r="E513" s="10"/>
      <c r="F513" s="43"/>
      <c r="G513" s="5"/>
      <c r="H513" s="5"/>
      <c r="I513" s="5"/>
      <c r="J513" s="5"/>
      <c r="K513" s="10"/>
      <c r="L513" s="10"/>
      <c r="M513" s="10"/>
      <c r="N513" s="5"/>
      <c r="O513" s="5"/>
      <c r="P513" s="5"/>
      <c r="Q513" s="5"/>
      <c r="R513" s="5"/>
      <c r="S513" s="5"/>
      <c r="T513" s="5"/>
      <c r="U513" s="5"/>
      <c r="V513" s="5"/>
      <c r="W513" s="5"/>
      <c r="X513" s="5"/>
      <c r="Y513" s="5"/>
      <c r="Z513" s="5"/>
      <c r="AA513" s="5"/>
      <c r="AB513" s="5"/>
      <c r="AC513" s="5"/>
      <c r="AD513" s="5"/>
      <c r="AE513" s="5"/>
      <c r="AF513" s="5"/>
      <c r="AG513" s="5"/>
      <c r="AH513" s="27"/>
      <c r="AI513" s="27"/>
      <c r="AJ513" s="57"/>
      <c r="AK513" s="27"/>
      <c r="AL513" s="10"/>
      <c r="AM513" s="6"/>
      <c r="AN513" s="7"/>
      <c r="AO513" s="7"/>
      <c r="AP513" s="7"/>
      <c r="AQ513" s="7"/>
      <c r="AR513" s="7"/>
      <c r="AS513" s="7"/>
      <c r="AT513" s="7"/>
      <c r="AU513" s="7"/>
      <c r="AV513" s="7"/>
      <c r="AW513" s="7"/>
    </row>
    <row r="514" spans="1:49">
      <c r="A514" s="1">
        <v>338</v>
      </c>
      <c r="B514" s="5"/>
      <c r="C514" s="10"/>
      <c r="D514" s="5"/>
      <c r="E514" s="10"/>
      <c r="F514" s="43"/>
      <c r="G514" s="5"/>
      <c r="H514" s="5"/>
      <c r="I514" s="5"/>
      <c r="J514" s="5"/>
      <c r="K514" s="10"/>
      <c r="L514" s="10"/>
      <c r="M514" s="10"/>
      <c r="N514" s="5"/>
      <c r="O514" s="5"/>
      <c r="P514" s="5"/>
      <c r="Q514" s="5"/>
      <c r="R514" s="5"/>
      <c r="S514" s="5"/>
      <c r="T514" s="5"/>
      <c r="U514" s="5"/>
      <c r="V514" s="5"/>
      <c r="W514" s="5"/>
      <c r="X514" s="5"/>
      <c r="Y514" s="5"/>
      <c r="Z514" s="5"/>
      <c r="AA514" s="5"/>
      <c r="AB514" s="5"/>
      <c r="AC514" s="5"/>
      <c r="AD514" s="5"/>
      <c r="AE514" s="5"/>
      <c r="AF514" s="5"/>
      <c r="AG514" s="5"/>
      <c r="AH514" s="27"/>
      <c r="AI514" s="27"/>
      <c r="AJ514" s="57"/>
      <c r="AK514" s="27"/>
      <c r="AL514" s="10"/>
      <c r="AM514" s="6"/>
      <c r="AN514" s="7"/>
      <c r="AO514" s="7"/>
      <c r="AP514" s="7"/>
      <c r="AQ514" s="7"/>
      <c r="AR514" s="7"/>
      <c r="AS514" s="7"/>
      <c r="AT514" s="7"/>
      <c r="AU514" s="7"/>
      <c r="AV514" s="7"/>
      <c r="AW514" s="7"/>
    </row>
    <row r="515" spans="1:49">
      <c r="A515" s="1">
        <v>339</v>
      </c>
      <c r="B515" s="5"/>
      <c r="C515" s="10"/>
      <c r="D515" s="5"/>
      <c r="E515" s="10"/>
      <c r="F515" s="43"/>
      <c r="G515" s="5"/>
      <c r="H515" s="5"/>
      <c r="I515" s="5"/>
      <c r="J515" s="5"/>
      <c r="K515" s="10"/>
      <c r="L515" s="10"/>
      <c r="M515" s="10"/>
      <c r="N515" s="5"/>
      <c r="O515" s="5"/>
      <c r="P515" s="5"/>
      <c r="Q515" s="5"/>
      <c r="R515" s="5"/>
      <c r="S515" s="5"/>
      <c r="T515" s="5"/>
      <c r="U515" s="5"/>
      <c r="V515" s="5"/>
      <c r="W515" s="5"/>
      <c r="X515" s="5"/>
      <c r="Y515" s="5"/>
      <c r="Z515" s="5"/>
      <c r="AA515" s="5"/>
      <c r="AB515" s="5"/>
      <c r="AC515" s="5"/>
      <c r="AD515" s="5"/>
      <c r="AE515" s="5"/>
      <c r="AF515" s="5"/>
      <c r="AG515" s="5"/>
      <c r="AH515" s="27"/>
      <c r="AI515" s="27"/>
      <c r="AJ515" s="57"/>
      <c r="AK515" s="27"/>
      <c r="AL515" s="10"/>
      <c r="AM515" s="6"/>
      <c r="AN515" s="7"/>
      <c r="AO515" s="7"/>
      <c r="AP515" s="7"/>
      <c r="AQ515" s="7"/>
      <c r="AR515" s="7"/>
      <c r="AS515" s="7"/>
      <c r="AT515" s="7"/>
      <c r="AU515" s="7"/>
      <c r="AV515" s="7"/>
      <c r="AW515" s="7"/>
    </row>
    <row r="516" spans="1:49">
      <c r="A516" s="1">
        <v>340</v>
      </c>
      <c r="B516" s="5"/>
      <c r="C516" s="10"/>
      <c r="D516" s="5"/>
      <c r="E516" s="10"/>
      <c r="F516" s="43"/>
      <c r="G516" s="5"/>
      <c r="H516" s="5"/>
      <c r="I516" s="5"/>
      <c r="J516" s="5"/>
      <c r="K516" s="10"/>
      <c r="L516" s="10"/>
      <c r="M516" s="10"/>
      <c r="N516" s="5"/>
      <c r="O516" s="5"/>
      <c r="P516" s="5"/>
      <c r="Q516" s="5"/>
      <c r="R516" s="5"/>
      <c r="S516" s="5"/>
      <c r="T516" s="5"/>
      <c r="U516" s="5"/>
      <c r="V516" s="5"/>
      <c r="W516" s="5"/>
      <c r="X516" s="5"/>
      <c r="Y516" s="5"/>
      <c r="Z516" s="5"/>
      <c r="AA516" s="5"/>
      <c r="AB516" s="5"/>
      <c r="AC516" s="5"/>
      <c r="AD516" s="5"/>
      <c r="AE516" s="5"/>
      <c r="AF516" s="5"/>
      <c r="AG516" s="5"/>
      <c r="AH516" s="27"/>
      <c r="AI516" s="27"/>
      <c r="AJ516" s="57"/>
      <c r="AK516" s="27"/>
      <c r="AL516" s="10"/>
      <c r="AM516" s="6"/>
      <c r="AN516" s="7"/>
      <c r="AO516" s="7"/>
      <c r="AP516" s="7"/>
      <c r="AQ516" s="7"/>
      <c r="AR516" s="7"/>
      <c r="AS516" s="7"/>
      <c r="AT516" s="7"/>
      <c r="AU516" s="7"/>
      <c r="AV516" s="7"/>
      <c r="AW516" s="7"/>
    </row>
    <row r="517" spans="1:49">
      <c r="A517" s="1">
        <v>341</v>
      </c>
      <c r="B517" s="5"/>
      <c r="C517" s="10"/>
      <c r="D517" s="5"/>
      <c r="E517" s="10"/>
      <c r="F517" s="43"/>
      <c r="G517" s="5"/>
      <c r="H517" s="5"/>
      <c r="I517" s="5"/>
      <c r="J517" s="5"/>
      <c r="K517" s="10"/>
      <c r="L517" s="10"/>
      <c r="M517" s="10"/>
      <c r="N517" s="5"/>
      <c r="O517" s="5"/>
      <c r="P517" s="5"/>
      <c r="Q517" s="5"/>
      <c r="R517" s="5"/>
      <c r="S517" s="5"/>
      <c r="T517" s="5"/>
      <c r="U517" s="5"/>
      <c r="V517" s="5"/>
      <c r="W517" s="5"/>
      <c r="X517" s="5"/>
      <c r="Y517" s="5"/>
      <c r="Z517" s="5"/>
      <c r="AA517" s="5"/>
      <c r="AB517" s="5"/>
      <c r="AC517" s="5"/>
      <c r="AD517" s="5"/>
      <c r="AE517" s="5"/>
      <c r="AF517" s="5"/>
      <c r="AG517" s="5"/>
      <c r="AH517" s="27"/>
      <c r="AI517" s="27"/>
      <c r="AJ517" s="57"/>
      <c r="AK517" s="27"/>
      <c r="AL517" s="10"/>
      <c r="AM517" s="6"/>
      <c r="AN517" s="7"/>
      <c r="AO517" s="7"/>
      <c r="AP517" s="7"/>
      <c r="AQ517" s="7"/>
      <c r="AR517" s="7"/>
      <c r="AS517" s="7"/>
      <c r="AT517" s="7"/>
      <c r="AU517" s="7"/>
      <c r="AV517" s="7"/>
      <c r="AW517" s="7"/>
    </row>
    <row r="518" spans="1:49">
      <c r="A518" s="1">
        <v>342</v>
      </c>
      <c r="B518" s="5"/>
      <c r="C518" s="10"/>
      <c r="D518" s="5"/>
      <c r="E518" s="10"/>
      <c r="F518" s="43"/>
      <c r="G518" s="5"/>
      <c r="H518" s="5"/>
      <c r="I518" s="5"/>
      <c r="J518" s="5"/>
      <c r="K518" s="10"/>
      <c r="L518" s="10"/>
      <c r="M518" s="10"/>
      <c r="N518" s="5"/>
      <c r="O518" s="5"/>
      <c r="P518" s="5"/>
      <c r="Q518" s="5"/>
      <c r="R518" s="5"/>
      <c r="S518" s="5"/>
      <c r="T518" s="5"/>
      <c r="U518" s="5"/>
      <c r="V518" s="5"/>
      <c r="W518" s="5"/>
      <c r="X518" s="5"/>
      <c r="Y518" s="5"/>
      <c r="Z518" s="5"/>
      <c r="AA518" s="5"/>
      <c r="AB518" s="5"/>
      <c r="AC518" s="5"/>
      <c r="AD518" s="5"/>
      <c r="AE518" s="5"/>
      <c r="AF518" s="5"/>
      <c r="AG518" s="5"/>
      <c r="AH518" s="27"/>
      <c r="AI518" s="27"/>
      <c r="AJ518" s="57"/>
      <c r="AK518" s="27"/>
      <c r="AL518" s="10"/>
      <c r="AM518" s="6"/>
      <c r="AN518" s="7"/>
      <c r="AO518" s="7"/>
      <c r="AP518" s="7"/>
      <c r="AQ518" s="7"/>
      <c r="AR518" s="7"/>
      <c r="AS518" s="7"/>
      <c r="AT518" s="7"/>
      <c r="AU518" s="7"/>
      <c r="AV518" s="7"/>
      <c r="AW518" s="7"/>
    </row>
    <row r="519" spans="1:49">
      <c r="A519" s="1">
        <v>343</v>
      </c>
      <c r="B519" s="5"/>
      <c r="C519" s="10"/>
      <c r="D519" s="5"/>
      <c r="E519" s="10"/>
      <c r="F519" s="43"/>
      <c r="G519" s="5"/>
      <c r="H519" s="5"/>
      <c r="I519" s="5"/>
      <c r="J519" s="5"/>
      <c r="K519" s="10"/>
      <c r="L519" s="10"/>
      <c r="M519" s="10"/>
      <c r="N519" s="5"/>
      <c r="O519" s="5"/>
      <c r="P519" s="5"/>
      <c r="Q519" s="5"/>
      <c r="R519" s="5"/>
      <c r="S519" s="5"/>
      <c r="T519" s="5"/>
      <c r="U519" s="5"/>
      <c r="V519" s="5"/>
      <c r="W519" s="5"/>
      <c r="X519" s="5"/>
      <c r="Y519" s="5"/>
      <c r="Z519" s="5"/>
      <c r="AA519" s="5"/>
      <c r="AB519" s="5"/>
      <c r="AC519" s="5"/>
      <c r="AD519" s="5"/>
      <c r="AE519" s="5"/>
      <c r="AF519" s="5"/>
      <c r="AG519" s="5"/>
      <c r="AH519" s="27"/>
      <c r="AI519" s="27"/>
      <c r="AJ519" s="57"/>
      <c r="AK519" s="27"/>
      <c r="AL519" s="10"/>
      <c r="AM519" s="6"/>
      <c r="AN519" s="7"/>
      <c r="AO519" s="7"/>
      <c r="AP519" s="7"/>
      <c r="AQ519" s="7"/>
      <c r="AR519" s="7"/>
      <c r="AS519" s="7"/>
      <c r="AT519" s="7"/>
      <c r="AU519" s="7"/>
      <c r="AV519" s="7"/>
      <c r="AW519" s="7"/>
    </row>
    <row r="520" spans="1:49">
      <c r="A520" s="1">
        <v>344</v>
      </c>
      <c r="B520" s="5"/>
      <c r="C520" s="10"/>
      <c r="D520" s="5"/>
      <c r="E520" s="10"/>
      <c r="F520" s="43"/>
      <c r="G520" s="5"/>
      <c r="H520" s="5"/>
      <c r="I520" s="5"/>
      <c r="J520" s="5"/>
      <c r="K520" s="10"/>
      <c r="L520" s="10"/>
      <c r="M520" s="10"/>
      <c r="N520" s="5"/>
      <c r="O520" s="5"/>
      <c r="P520" s="5"/>
      <c r="Q520" s="5"/>
      <c r="R520" s="5"/>
      <c r="S520" s="5"/>
      <c r="T520" s="5"/>
      <c r="U520" s="5"/>
      <c r="V520" s="5"/>
      <c r="W520" s="5"/>
      <c r="X520" s="5"/>
      <c r="Y520" s="5"/>
      <c r="Z520" s="5"/>
      <c r="AA520" s="5"/>
      <c r="AB520" s="5"/>
      <c r="AC520" s="5"/>
      <c r="AD520" s="5"/>
      <c r="AE520" s="5"/>
      <c r="AF520" s="5"/>
      <c r="AG520" s="5"/>
      <c r="AH520" s="27"/>
      <c r="AI520" s="27"/>
      <c r="AJ520" s="57"/>
      <c r="AK520" s="27"/>
      <c r="AL520" s="10"/>
      <c r="AM520" s="6"/>
      <c r="AN520" s="7"/>
      <c r="AO520" s="7"/>
      <c r="AP520" s="7"/>
      <c r="AQ520" s="7"/>
      <c r="AR520" s="7"/>
      <c r="AS520" s="7"/>
      <c r="AT520" s="7"/>
      <c r="AU520" s="7"/>
      <c r="AV520" s="7"/>
      <c r="AW520" s="7"/>
    </row>
    <row r="521" spans="1:49">
      <c r="A521" s="1">
        <v>345</v>
      </c>
      <c r="B521" s="5"/>
      <c r="C521" s="10"/>
      <c r="D521" s="5"/>
      <c r="E521" s="10"/>
      <c r="F521" s="43"/>
      <c r="G521" s="5"/>
      <c r="H521" s="5"/>
      <c r="I521" s="5"/>
      <c r="J521" s="5"/>
      <c r="K521" s="10"/>
      <c r="L521" s="10"/>
      <c r="M521" s="10"/>
      <c r="N521" s="5"/>
      <c r="O521" s="5"/>
      <c r="P521" s="5"/>
      <c r="Q521" s="5"/>
      <c r="R521" s="5"/>
      <c r="S521" s="5"/>
      <c r="T521" s="5"/>
      <c r="U521" s="5"/>
      <c r="V521" s="5"/>
      <c r="W521" s="5"/>
      <c r="X521" s="5"/>
      <c r="Y521" s="5"/>
      <c r="Z521" s="5"/>
      <c r="AA521" s="5"/>
      <c r="AB521" s="5"/>
      <c r="AC521" s="5"/>
      <c r="AD521" s="5"/>
      <c r="AE521" s="5"/>
      <c r="AF521" s="5"/>
      <c r="AG521" s="5"/>
      <c r="AH521" s="27"/>
      <c r="AI521" s="27"/>
      <c r="AJ521" s="57"/>
      <c r="AK521" s="27"/>
      <c r="AL521" s="10"/>
      <c r="AM521" s="6"/>
      <c r="AN521" s="7"/>
      <c r="AO521" s="7"/>
      <c r="AP521" s="7"/>
      <c r="AQ521" s="7"/>
      <c r="AR521" s="7"/>
      <c r="AS521" s="7"/>
      <c r="AT521" s="7"/>
      <c r="AU521" s="7"/>
      <c r="AV521" s="7"/>
      <c r="AW521" s="7"/>
    </row>
    <row r="522" spans="1:49">
      <c r="A522" s="1">
        <v>346</v>
      </c>
      <c r="B522" s="5"/>
      <c r="C522" s="10"/>
      <c r="D522" s="5"/>
      <c r="E522" s="10"/>
      <c r="F522" s="43"/>
      <c r="G522" s="5"/>
      <c r="H522" s="5"/>
      <c r="I522" s="5"/>
      <c r="J522" s="5"/>
      <c r="K522" s="10"/>
      <c r="L522" s="10"/>
      <c r="M522" s="10"/>
      <c r="N522" s="5"/>
      <c r="O522" s="5"/>
      <c r="P522" s="5"/>
      <c r="Q522" s="5"/>
      <c r="R522" s="5"/>
      <c r="S522" s="5"/>
      <c r="T522" s="5"/>
      <c r="U522" s="5"/>
      <c r="V522" s="5"/>
      <c r="W522" s="5"/>
      <c r="X522" s="5"/>
      <c r="Y522" s="5"/>
      <c r="Z522" s="5"/>
      <c r="AA522" s="5"/>
      <c r="AB522" s="5"/>
      <c r="AC522" s="5"/>
      <c r="AD522" s="5"/>
      <c r="AE522" s="5"/>
      <c r="AF522" s="5"/>
      <c r="AG522" s="5"/>
      <c r="AH522" s="27"/>
      <c r="AI522" s="27"/>
      <c r="AJ522" s="57"/>
      <c r="AK522" s="27"/>
      <c r="AL522" s="10"/>
      <c r="AM522" s="6"/>
      <c r="AN522" s="7"/>
      <c r="AO522" s="7"/>
      <c r="AP522" s="7"/>
      <c r="AQ522" s="7"/>
      <c r="AR522" s="7"/>
      <c r="AS522" s="7"/>
      <c r="AT522" s="7"/>
      <c r="AU522" s="7"/>
      <c r="AV522" s="7"/>
      <c r="AW522" s="7"/>
    </row>
    <row r="523" spans="1:49">
      <c r="A523" s="1">
        <v>347</v>
      </c>
      <c r="B523" s="5"/>
      <c r="C523" s="10"/>
      <c r="D523" s="5"/>
      <c r="E523" s="10"/>
      <c r="F523" s="43"/>
      <c r="G523" s="5"/>
      <c r="H523" s="5"/>
      <c r="I523" s="5"/>
      <c r="J523" s="5"/>
      <c r="K523" s="10"/>
      <c r="L523" s="10"/>
      <c r="M523" s="10"/>
      <c r="N523" s="5"/>
      <c r="O523" s="5"/>
      <c r="P523" s="5"/>
      <c r="Q523" s="5"/>
      <c r="R523" s="5"/>
      <c r="S523" s="5"/>
      <c r="T523" s="5"/>
      <c r="U523" s="5"/>
      <c r="V523" s="5"/>
      <c r="W523" s="5"/>
      <c r="X523" s="5"/>
      <c r="Y523" s="5"/>
      <c r="Z523" s="5"/>
      <c r="AA523" s="5"/>
      <c r="AB523" s="5"/>
      <c r="AC523" s="5"/>
      <c r="AD523" s="5"/>
      <c r="AE523" s="5"/>
      <c r="AF523" s="5"/>
      <c r="AG523" s="5"/>
      <c r="AH523" s="27"/>
      <c r="AI523" s="27"/>
      <c r="AJ523" s="57"/>
      <c r="AK523" s="27"/>
      <c r="AL523" s="10"/>
      <c r="AM523" s="6"/>
      <c r="AN523" s="7"/>
      <c r="AO523" s="7"/>
      <c r="AP523" s="7"/>
      <c r="AQ523" s="7"/>
      <c r="AR523" s="7"/>
      <c r="AS523" s="7"/>
      <c r="AT523" s="7"/>
      <c r="AU523" s="7"/>
      <c r="AV523" s="7"/>
      <c r="AW523" s="7"/>
    </row>
    <row r="524" spans="1:49">
      <c r="A524" s="1">
        <v>348</v>
      </c>
      <c r="B524" s="5"/>
      <c r="C524" s="10"/>
      <c r="D524" s="5"/>
      <c r="E524" s="10"/>
      <c r="F524" s="43"/>
      <c r="G524" s="5"/>
      <c r="H524" s="5"/>
      <c r="I524" s="5"/>
      <c r="J524" s="5"/>
      <c r="K524" s="10"/>
      <c r="L524" s="10"/>
      <c r="M524" s="10"/>
      <c r="N524" s="5"/>
      <c r="O524" s="5"/>
      <c r="P524" s="5"/>
      <c r="Q524" s="5"/>
      <c r="R524" s="5"/>
      <c r="S524" s="5"/>
      <c r="T524" s="5"/>
      <c r="U524" s="5"/>
      <c r="V524" s="5"/>
      <c r="W524" s="5"/>
      <c r="X524" s="5"/>
      <c r="Y524" s="5"/>
      <c r="Z524" s="5"/>
      <c r="AA524" s="5"/>
      <c r="AB524" s="5"/>
      <c r="AC524" s="5"/>
      <c r="AD524" s="5"/>
      <c r="AE524" s="5"/>
      <c r="AF524" s="5"/>
      <c r="AG524" s="5"/>
      <c r="AH524" s="27"/>
      <c r="AI524" s="27"/>
      <c r="AJ524" s="57"/>
      <c r="AK524" s="27"/>
      <c r="AL524" s="10"/>
      <c r="AM524" s="6"/>
      <c r="AN524" s="7"/>
      <c r="AO524" s="7"/>
      <c r="AP524" s="7"/>
      <c r="AQ524" s="7"/>
      <c r="AR524" s="7"/>
      <c r="AS524" s="7"/>
      <c r="AT524" s="7"/>
      <c r="AU524" s="7"/>
      <c r="AV524" s="7"/>
      <c r="AW524" s="7"/>
    </row>
    <row r="525" spans="1:49">
      <c r="A525" s="1">
        <v>349</v>
      </c>
      <c r="B525" s="5"/>
      <c r="C525" s="10"/>
      <c r="D525" s="5"/>
      <c r="E525" s="10"/>
      <c r="F525" s="43"/>
      <c r="G525" s="5"/>
      <c r="H525" s="5"/>
      <c r="I525" s="5"/>
      <c r="J525" s="5"/>
      <c r="K525" s="10"/>
      <c r="L525" s="10"/>
      <c r="M525" s="10"/>
      <c r="N525" s="5"/>
      <c r="O525" s="5"/>
      <c r="P525" s="5"/>
      <c r="Q525" s="5"/>
      <c r="R525" s="5"/>
      <c r="S525" s="5"/>
      <c r="T525" s="5"/>
      <c r="U525" s="5"/>
      <c r="V525" s="5"/>
      <c r="W525" s="5"/>
      <c r="X525" s="5"/>
      <c r="Y525" s="5"/>
      <c r="Z525" s="5"/>
      <c r="AA525" s="5"/>
      <c r="AB525" s="5"/>
      <c r="AC525" s="5"/>
      <c r="AD525" s="5"/>
      <c r="AE525" s="5"/>
      <c r="AF525" s="5"/>
      <c r="AG525" s="5"/>
      <c r="AH525" s="27"/>
      <c r="AI525" s="27"/>
      <c r="AJ525" s="57"/>
      <c r="AK525" s="27"/>
      <c r="AL525" s="10"/>
      <c r="AM525" s="6"/>
      <c r="AN525" s="7"/>
      <c r="AO525" s="7"/>
      <c r="AP525" s="7"/>
      <c r="AQ525" s="7"/>
      <c r="AR525" s="7"/>
      <c r="AS525" s="7"/>
      <c r="AT525" s="7"/>
      <c r="AU525" s="7"/>
      <c r="AV525" s="7"/>
      <c r="AW525" s="7"/>
    </row>
    <row r="526" spans="1:49">
      <c r="A526" s="1">
        <v>350</v>
      </c>
      <c r="B526" s="5"/>
      <c r="C526" s="10"/>
      <c r="D526" s="5"/>
      <c r="E526" s="10"/>
      <c r="F526" s="43"/>
      <c r="G526" s="5"/>
      <c r="H526" s="5"/>
      <c r="I526" s="5"/>
      <c r="J526" s="5"/>
      <c r="K526" s="10"/>
      <c r="L526" s="10"/>
      <c r="M526" s="10"/>
      <c r="N526" s="5"/>
      <c r="O526" s="5"/>
      <c r="P526" s="5"/>
      <c r="Q526" s="5"/>
      <c r="R526" s="5"/>
      <c r="S526" s="5"/>
      <c r="T526" s="5"/>
      <c r="U526" s="5"/>
      <c r="V526" s="5"/>
      <c r="W526" s="5"/>
      <c r="X526" s="5"/>
      <c r="Y526" s="5"/>
      <c r="Z526" s="5"/>
      <c r="AA526" s="5"/>
      <c r="AB526" s="5"/>
      <c r="AC526" s="5"/>
      <c r="AD526" s="5"/>
      <c r="AE526" s="5"/>
      <c r="AF526" s="5"/>
      <c r="AG526" s="5"/>
      <c r="AH526" s="27"/>
      <c r="AI526" s="27"/>
      <c r="AJ526" s="57"/>
      <c r="AK526" s="27"/>
      <c r="AL526" s="10"/>
      <c r="AM526" s="6"/>
      <c r="AN526" s="7"/>
      <c r="AO526" s="7"/>
      <c r="AP526" s="7"/>
      <c r="AQ526" s="7"/>
      <c r="AR526" s="7"/>
      <c r="AS526" s="7"/>
      <c r="AT526" s="7"/>
      <c r="AU526" s="7"/>
      <c r="AV526" s="7"/>
      <c r="AW526" s="7"/>
    </row>
    <row r="527" spans="1:49">
      <c r="A527" s="1">
        <v>351</v>
      </c>
      <c r="B527" s="5"/>
      <c r="C527" s="10"/>
      <c r="D527" s="5"/>
      <c r="E527" s="10"/>
      <c r="F527" s="43"/>
      <c r="G527" s="5"/>
      <c r="H527" s="5"/>
      <c r="I527" s="5"/>
      <c r="J527" s="5"/>
      <c r="K527" s="10"/>
      <c r="L527" s="10"/>
      <c r="M527" s="10"/>
      <c r="N527" s="5"/>
      <c r="O527" s="5"/>
      <c r="P527" s="5"/>
      <c r="Q527" s="5"/>
      <c r="R527" s="5"/>
      <c r="S527" s="5"/>
      <c r="T527" s="5"/>
      <c r="U527" s="5"/>
      <c r="V527" s="5"/>
      <c r="W527" s="5"/>
      <c r="X527" s="5"/>
      <c r="Y527" s="5"/>
      <c r="Z527" s="5"/>
      <c r="AA527" s="5"/>
      <c r="AB527" s="5"/>
      <c r="AC527" s="5"/>
      <c r="AD527" s="5"/>
      <c r="AE527" s="5"/>
      <c r="AF527" s="5"/>
      <c r="AG527" s="5"/>
      <c r="AH527" s="27"/>
      <c r="AI527" s="27"/>
      <c r="AJ527" s="57"/>
      <c r="AK527" s="27"/>
      <c r="AL527" s="10"/>
      <c r="AM527" s="6"/>
      <c r="AN527" s="7"/>
      <c r="AO527" s="7"/>
      <c r="AP527" s="7"/>
      <c r="AQ527" s="7"/>
      <c r="AR527" s="7"/>
      <c r="AS527" s="7"/>
      <c r="AT527" s="7"/>
      <c r="AU527" s="7"/>
      <c r="AV527" s="7"/>
      <c r="AW527" s="7"/>
    </row>
    <row r="528" spans="1:49">
      <c r="A528" s="1">
        <v>352</v>
      </c>
      <c r="B528" s="5"/>
      <c r="C528" s="10"/>
      <c r="D528" s="5"/>
      <c r="E528" s="10"/>
      <c r="F528" s="43"/>
      <c r="G528" s="5"/>
      <c r="H528" s="5"/>
      <c r="I528" s="5"/>
      <c r="J528" s="5"/>
      <c r="K528" s="10"/>
      <c r="L528" s="10"/>
      <c r="M528" s="10"/>
      <c r="N528" s="5"/>
      <c r="O528" s="5"/>
      <c r="P528" s="5"/>
      <c r="Q528" s="5"/>
      <c r="R528" s="5"/>
      <c r="S528" s="5"/>
      <c r="T528" s="5"/>
      <c r="U528" s="5"/>
      <c r="V528" s="5"/>
      <c r="W528" s="5"/>
      <c r="X528" s="5"/>
      <c r="Y528" s="5"/>
      <c r="Z528" s="5"/>
      <c r="AA528" s="5"/>
      <c r="AB528" s="5"/>
      <c r="AC528" s="5"/>
      <c r="AD528" s="5"/>
      <c r="AE528" s="5"/>
      <c r="AF528" s="5"/>
      <c r="AG528" s="5"/>
      <c r="AH528" s="27"/>
      <c r="AI528" s="27"/>
      <c r="AJ528" s="57"/>
      <c r="AK528" s="27"/>
      <c r="AL528" s="10"/>
      <c r="AM528" s="6"/>
      <c r="AN528" s="7"/>
      <c r="AO528" s="7"/>
      <c r="AP528" s="7"/>
      <c r="AQ528" s="7"/>
      <c r="AR528" s="7"/>
      <c r="AS528" s="7"/>
      <c r="AT528" s="7"/>
      <c r="AU528" s="7"/>
      <c r="AV528" s="7"/>
      <c r="AW528" s="7"/>
    </row>
    <row r="529" spans="1:49">
      <c r="A529" s="1">
        <v>353</v>
      </c>
      <c r="B529" s="5"/>
      <c r="C529" s="10"/>
      <c r="D529" s="5"/>
      <c r="E529" s="10"/>
      <c r="F529" s="43"/>
      <c r="G529" s="5"/>
      <c r="H529" s="5"/>
      <c r="I529" s="5"/>
      <c r="J529" s="5"/>
      <c r="K529" s="10"/>
      <c r="L529" s="10"/>
      <c r="M529" s="10"/>
      <c r="N529" s="5"/>
      <c r="O529" s="5"/>
      <c r="P529" s="5"/>
      <c r="Q529" s="5"/>
      <c r="R529" s="5"/>
      <c r="S529" s="5"/>
      <c r="T529" s="5"/>
      <c r="U529" s="5"/>
      <c r="V529" s="5"/>
      <c r="W529" s="5"/>
      <c r="X529" s="5"/>
      <c r="Y529" s="5"/>
      <c r="Z529" s="5"/>
      <c r="AA529" s="5"/>
      <c r="AB529" s="5"/>
      <c r="AC529" s="5"/>
      <c r="AD529" s="5"/>
      <c r="AE529" s="5"/>
      <c r="AF529" s="5"/>
      <c r="AG529" s="5"/>
      <c r="AH529" s="27"/>
      <c r="AI529" s="27"/>
      <c r="AJ529" s="57"/>
      <c r="AK529" s="27"/>
      <c r="AL529" s="10"/>
      <c r="AM529" s="6"/>
      <c r="AN529" s="7"/>
      <c r="AO529" s="7"/>
      <c r="AP529" s="7"/>
      <c r="AQ529" s="7"/>
      <c r="AR529" s="7"/>
      <c r="AS529" s="7"/>
      <c r="AT529" s="7"/>
      <c r="AU529" s="7"/>
      <c r="AV529" s="7"/>
      <c r="AW529" s="7"/>
    </row>
    <row r="530" spans="1:49">
      <c r="A530" s="1">
        <v>354</v>
      </c>
      <c r="B530" s="5"/>
      <c r="C530" s="10"/>
      <c r="D530" s="5"/>
      <c r="E530" s="10"/>
      <c r="F530" s="43"/>
      <c r="G530" s="5"/>
      <c r="H530" s="5"/>
      <c r="I530" s="5"/>
      <c r="J530" s="5"/>
      <c r="K530" s="10"/>
      <c r="L530" s="10"/>
      <c r="M530" s="10"/>
      <c r="N530" s="5"/>
      <c r="O530" s="5"/>
      <c r="P530" s="5"/>
      <c r="Q530" s="5"/>
      <c r="R530" s="5"/>
      <c r="S530" s="5"/>
      <c r="T530" s="5"/>
      <c r="U530" s="5"/>
      <c r="V530" s="5"/>
      <c r="W530" s="5"/>
      <c r="X530" s="5"/>
      <c r="Y530" s="5"/>
      <c r="Z530" s="5"/>
      <c r="AA530" s="5"/>
      <c r="AB530" s="5"/>
      <c r="AC530" s="5"/>
      <c r="AD530" s="5"/>
      <c r="AE530" s="5"/>
      <c r="AF530" s="5"/>
      <c r="AG530" s="5"/>
      <c r="AH530" s="27"/>
      <c r="AI530" s="27"/>
      <c r="AJ530" s="57"/>
      <c r="AK530" s="27"/>
      <c r="AL530" s="10"/>
      <c r="AM530" s="6"/>
      <c r="AN530" s="7"/>
      <c r="AO530" s="7"/>
      <c r="AP530" s="7"/>
      <c r="AQ530" s="7"/>
      <c r="AR530" s="7"/>
      <c r="AS530" s="7"/>
      <c r="AT530" s="7"/>
      <c r="AU530" s="7"/>
      <c r="AV530" s="7"/>
      <c r="AW530" s="7"/>
    </row>
    <row r="531" spans="1:49">
      <c r="A531" s="1">
        <v>355</v>
      </c>
      <c r="B531" s="5"/>
      <c r="C531" s="10"/>
      <c r="D531" s="5"/>
      <c r="E531" s="10"/>
      <c r="F531" s="43"/>
      <c r="G531" s="5"/>
      <c r="H531" s="5"/>
      <c r="I531" s="5"/>
      <c r="J531" s="5"/>
      <c r="K531" s="10"/>
      <c r="L531" s="10"/>
      <c r="M531" s="10"/>
      <c r="N531" s="5"/>
      <c r="O531" s="5"/>
      <c r="P531" s="5"/>
      <c r="Q531" s="5"/>
      <c r="R531" s="5"/>
      <c r="S531" s="5"/>
      <c r="T531" s="5"/>
      <c r="U531" s="5"/>
      <c r="V531" s="5"/>
      <c r="W531" s="5"/>
      <c r="X531" s="5"/>
      <c r="Y531" s="5"/>
      <c r="Z531" s="5"/>
      <c r="AA531" s="5"/>
      <c r="AB531" s="5"/>
      <c r="AC531" s="5"/>
      <c r="AD531" s="5"/>
      <c r="AE531" s="5"/>
      <c r="AF531" s="5"/>
      <c r="AG531" s="5"/>
      <c r="AH531" s="27"/>
      <c r="AI531" s="27"/>
      <c r="AJ531" s="57"/>
      <c r="AK531" s="27"/>
      <c r="AL531" s="10"/>
      <c r="AM531" s="6"/>
      <c r="AN531" s="7"/>
      <c r="AO531" s="7"/>
      <c r="AP531" s="7"/>
      <c r="AQ531" s="7"/>
      <c r="AR531" s="7"/>
      <c r="AS531" s="7"/>
      <c r="AT531" s="7"/>
      <c r="AU531" s="7"/>
      <c r="AV531" s="7"/>
      <c r="AW531" s="7"/>
    </row>
    <row r="532" spans="1:49">
      <c r="A532" s="1">
        <v>356</v>
      </c>
      <c r="B532" s="5"/>
      <c r="C532" s="10"/>
      <c r="D532" s="5"/>
      <c r="E532" s="10"/>
      <c r="F532" s="43"/>
      <c r="G532" s="5"/>
      <c r="H532" s="5"/>
      <c r="I532" s="5"/>
      <c r="J532" s="5"/>
      <c r="K532" s="10"/>
      <c r="L532" s="10"/>
      <c r="M532" s="10"/>
      <c r="N532" s="5"/>
      <c r="O532" s="5"/>
      <c r="P532" s="5"/>
      <c r="Q532" s="5"/>
      <c r="R532" s="5"/>
      <c r="S532" s="5"/>
      <c r="T532" s="5"/>
      <c r="U532" s="5"/>
      <c r="V532" s="5"/>
      <c r="W532" s="5"/>
      <c r="X532" s="5"/>
      <c r="Y532" s="5"/>
      <c r="Z532" s="5"/>
      <c r="AA532" s="5"/>
      <c r="AB532" s="5"/>
      <c r="AC532" s="5"/>
      <c r="AD532" s="5"/>
      <c r="AE532" s="5"/>
      <c r="AF532" s="5"/>
      <c r="AG532" s="5"/>
      <c r="AH532" s="27"/>
      <c r="AI532" s="27"/>
      <c r="AJ532" s="57"/>
      <c r="AK532" s="27"/>
      <c r="AL532" s="10"/>
      <c r="AM532" s="6"/>
      <c r="AN532" s="7"/>
      <c r="AO532" s="7"/>
      <c r="AP532" s="7"/>
      <c r="AQ532" s="7"/>
      <c r="AR532" s="7"/>
      <c r="AS532" s="7"/>
      <c r="AT532" s="7"/>
      <c r="AU532" s="7"/>
      <c r="AV532" s="7"/>
      <c r="AW532" s="7"/>
    </row>
    <row r="533" spans="1:49">
      <c r="A533" s="1">
        <v>357</v>
      </c>
      <c r="B533" s="5"/>
      <c r="C533" s="10"/>
      <c r="D533" s="5"/>
      <c r="E533" s="10"/>
      <c r="F533" s="43"/>
      <c r="G533" s="5"/>
      <c r="H533" s="5"/>
      <c r="I533" s="5"/>
      <c r="J533" s="5"/>
      <c r="K533" s="10"/>
      <c r="L533" s="10"/>
      <c r="M533" s="10"/>
      <c r="N533" s="5"/>
      <c r="O533" s="5"/>
      <c r="P533" s="5"/>
      <c r="Q533" s="5"/>
      <c r="R533" s="5"/>
      <c r="S533" s="5"/>
      <c r="T533" s="5"/>
      <c r="U533" s="5"/>
      <c r="V533" s="5"/>
      <c r="W533" s="5"/>
      <c r="X533" s="5"/>
      <c r="Y533" s="5"/>
      <c r="Z533" s="5"/>
      <c r="AA533" s="5"/>
      <c r="AB533" s="5"/>
      <c r="AC533" s="5"/>
      <c r="AD533" s="5"/>
      <c r="AE533" s="5"/>
      <c r="AF533" s="5"/>
      <c r="AG533" s="5"/>
      <c r="AH533" s="27"/>
      <c r="AI533" s="27"/>
      <c r="AJ533" s="57"/>
      <c r="AK533" s="27"/>
      <c r="AL533" s="10"/>
      <c r="AM533" s="6"/>
      <c r="AN533" s="7"/>
      <c r="AO533" s="7"/>
      <c r="AP533" s="7"/>
      <c r="AQ533" s="7"/>
      <c r="AR533" s="7"/>
      <c r="AS533" s="7"/>
      <c r="AT533" s="7"/>
      <c r="AU533" s="7"/>
      <c r="AV533" s="7"/>
      <c r="AW533" s="7"/>
    </row>
    <row r="534" spans="1:49">
      <c r="A534" s="1">
        <v>358</v>
      </c>
      <c r="B534" s="5"/>
      <c r="C534" s="10"/>
      <c r="D534" s="5"/>
      <c r="E534" s="10"/>
      <c r="F534" s="43"/>
      <c r="G534" s="5"/>
      <c r="H534" s="5"/>
      <c r="I534" s="5"/>
      <c r="J534" s="5"/>
      <c r="K534" s="10"/>
      <c r="L534" s="10"/>
      <c r="M534" s="10"/>
      <c r="N534" s="5"/>
      <c r="O534" s="5"/>
      <c r="P534" s="5"/>
      <c r="Q534" s="5"/>
      <c r="R534" s="5"/>
      <c r="S534" s="5"/>
      <c r="T534" s="5"/>
      <c r="U534" s="5"/>
      <c r="V534" s="5"/>
      <c r="W534" s="5"/>
      <c r="X534" s="5"/>
      <c r="Y534" s="5"/>
      <c r="Z534" s="5"/>
      <c r="AA534" s="5"/>
      <c r="AB534" s="5"/>
      <c r="AC534" s="5"/>
      <c r="AD534" s="5"/>
      <c r="AE534" s="5"/>
      <c r="AF534" s="5"/>
      <c r="AG534" s="5"/>
      <c r="AH534" s="27"/>
      <c r="AI534" s="27"/>
      <c r="AJ534" s="57"/>
      <c r="AK534" s="27"/>
      <c r="AL534" s="10"/>
      <c r="AM534" s="6"/>
      <c r="AN534" s="7"/>
      <c r="AO534" s="7"/>
      <c r="AP534" s="7"/>
      <c r="AQ534" s="7"/>
      <c r="AR534" s="7"/>
      <c r="AS534" s="7"/>
      <c r="AT534" s="7"/>
      <c r="AU534" s="7"/>
      <c r="AV534" s="7"/>
      <c r="AW534" s="7"/>
    </row>
    <row r="535" spans="1:49">
      <c r="A535" s="1">
        <v>359</v>
      </c>
      <c r="B535" s="5"/>
      <c r="C535" s="10"/>
      <c r="D535" s="5"/>
      <c r="E535" s="10"/>
      <c r="F535" s="43"/>
      <c r="G535" s="5"/>
      <c r="H535" s="5"/>
      <c r="I535" s="5"/>
      <c r="J535" s="5"/>
      <c r="K535" s="10"/>
      <c r="L535" s="10"/>
      <c r="M535" s="10"/>
      <c r="N535" s="5"/>
      <c r="O535" s="5"/>
      <c r="P535" s="5"/>
      <c r="Q535" s="5"/>
      <c r="R535" s="5"/>
      <c r="S535" s="5"/>
      <c r="T535" s="5"/>
      <c r="U535" s="5"/>
      <c r="V535" s="5"/>
      <c r="W535" s="5"/>
      <c r="X535" s="5"/>
      <c r="Y535" s="5"/>
      <c r="Z535" s="5"/>
      <c r="AA535" s="5"/>
      <c r="AB535" s="5"/>
      <c r="AC535" s="5"/>
      <c r="AD535" s="5"/>
      <c r="AE535" s="5"/>
      <c r="AF535" s="5"/>
      <c r="AG535" s="5"/>
      <c r="AH535" s="27"/>
      <c r="AI535" s="27"/>
      <c r="AJ535" s="57"/>
      <c r="AK535" s="27"/>
      <c r="AL535" s="10"/>
      <c r="AM535" s="6"/>
      <c r="AN535" s="7"/>
      <c r="AO535" s="7"/>
      <c r="AP535" s="7"/>
      <c r="AQ535" s="7"/>
      <c r="AR535" s="7"/>
      <c r="AS535" s="7"/>
      <c r="AT535" s="7"/>
      <c r="AU535" s="7"/>
      <c r="AV535" s="7"/>
      <c r="AW535" s="7"/>
    </row>
    <row r="536" spans="1:49">
      <c r="A536" s="1">
        <v>360</v>
      </c>
      <c r="B536" s="5"/>
      <c r="C536" s="10"/>
      <c r="D536" s="5"/>
      <c r="E536" s="10"/>
      <c r="F536" s="43"/>
      <c r="G536" s="5"/>
      <c r="H536" s="5"/>
      <c r="I536" s="5"/>
      <c r="J536" s="5"/>
      <c r="K536" s="10"/>
      <c r="L536" s="10"/>
      <c r="M536" s="10"/>
      <c r="N536" s="5"/>
      <c r="O536" s="5"/>
      <c r="P536" s="5"/>
      <c r="Q536" s="5"/>
      <c r="R536" s="5"/>
      <c r="S536" s="5"/>
      <c r="T536" s="5"/>
      <c r="U536" s="5"/>
      <c r="V536" s="5"/>
      <c r="W536" s="5"/>
      <c r="X536" s="5"/>
      <c r="Y536" s="5"/>
      <c r="Z536" s="5"/>
      <c r="AA536" s="5"/>
      <c r="AB536" s="5"/>
      <c r="AC536" s="5"/>
      <c r="AD536" s="5"/>
      <c r="AE536" s="5"/>
      <c r="AF536" s="5"/>
      <c r="AG536" s="5"/>
      <c r="AH536" s="27"/>
      <c r="AI536" s="27"/>
      <c r="AJ536" s="57"/>
      <c r="AK536" s="27"/>
      <c r="AL536" s="10"/>
      <c r="AM536" s="6"/>
      <c r="AN536" s="7"/>
      <c r="AO536" s="7"/>
      <c r="AP536" s="7"/>
      <c r="AQ536" s="7"/>
      <c r="AR536" s="7"/>
      <c r="AS536" s="7"/>
      <c r="AT536" s="7"/>
      <c r="AU536" s="7"/>
      <c r="AV536" s="7"/>
      <c r="AW536" s="7"/>
    </row>
    <row r="537" spans="1:49">
      <c r="A537" s="1">
        <v>361</v>
      </c>
      <c r="B537" s="5"/>
      <c r="C537" s="10"/>
      <c r="D537" s="5"/>
      <c r="E537" s="10"/>
      <c r="F537" s="43"/>
      <c r="G537" s="5"/>
      <c r="H537" s="5"/>
      <c r="I537" s="5"/>
      <c r="J537" s="5"/>
      <c r="K537" s="10"/>
      <c r="L537" s="10"/>
      <c r="M537" s="10"/>
      <c r="N537" s="5"/>
      <c r="O537" s="5"/>
      <c r="P537" s="5"/>
      <c r="Q537" s="5"/>
      <c r="R537" s="5"/>
      <c r="S537" s="5"/>
      <c r="T537" s="5"/>
      <c r="U537" s="5"/>
      <c r="V537" s="5"/>
      <c r="W537" s="5"/>
      <c r="X537" s="5"/>
      <c r="Y537" s="5"/>
      <c r="Z537" s="5"/>
      <c r="AA537" s="5"/>
      <c r="AB537" s="5"/>
      <c r="AC537" s="5"/>
      <c r="AD537" s="5"/>
      <c r="AE537" s="5"/>
      <c r="AF537" s="5"/>
      <c r="AG537" s="5"/>
      <c r="AH537" s="27"/>
      <c r="AI537" s="27"/>
      <c r="AJ537" s="57"/>
      <c r="AK537" s="27"/>
      <c r="AL537" s="10"/>
      <c r="AM537" s="6"/>
      <c r="AN537" s="7"/>
      <c r="AO537" s="7"/>
      <c r="AP537" s="7"/>
      <c r="AQ537" s="7"/>
      <c r="AR537" s="7"/>
      <c r="AS537" s="7"/>
      <c r="AT537" s="7"/>
      <c r="AU537" s="7"/>
      <c r="AV537" s="7"/>
      <c r="AW537" s="7"/>
    </row>
    <row r="538" spans="1:49">
      <c r="A538" s="1">
        <v>362</v>
      </c>
      <c r="B538" s="5"/>
      <c r="C538" s="10"/>
      <c r="D538" s="5"/>
      <c r="E538" s="10"/>
      <c r="F538" s="43"/>
      <c r="G538" s="5"/>
      <c r="H538" s="5"/>
      <c r="I538" s="5"/>
      <c r="J538" s="5"/>
      <c r="K538" s="10"/>
      <c r="L538" s="10"/>
      <c r="M538" s="10"/>
      <c r="N538" s="5"/>
      <c r="O538" s="5"/>
      <c r="P538" s="5"/>
      <c r="Q538" s="5"/>
      <c r="R538" s="5"/>
      <c r="S538" s="5"/>
      <c r="T538" s="5"/>
      <c r="U538" s="5"/>
      <c r="V538" s="5"/>
      <c r="W538" s="5"/>
      <c r="X538" s="5"/>
      <c r="Y538" s="5"/>
      <c r="Z538" s="5"/>
      <c r="AA538" s="5"/>
      <c r="AB538" s="5"/>
      <c r="AC538" s="5"/>
      <c r="AD538" s="5"/>
      <c r="AE538" s="5"/>
      <c r="AF538" s="5"/>
      <c r="AG538" s="5"/>
      <c r="AH538" s="27"/>
      <c r="AI538" s="27"/>
      <c r="AJ538" s="57"/>
      <c r="AK538" s="27"/>
      <c r="AL538" s="10"/>
      <c r="AM538" s="6"/>
      <c r="AN538" s="7"/>
      <c r="AO538" s="7"/>
      <c r="AP538" s="7"/>
      <c r="AQ538" s="7"/>
      <c r="AR538" s="7"/>
      <c r="AS538" s="7"/>
      <c r="AT538" s="7"/>
      <c r="AU538" s="7"/>
      <c r="AV538" s="7"/>
      <c r="AW538" s="7"/>
    </row>
    <row r="539" spans="1:49">
      <c r="A539" s="1">
        <v>363</v>
      </c>
      <c r="B539" s="5"/>
      <c r="C539" s="10"/>
      <c r="D539" s="5"/>
      <c r="E539" s="10"/>
      <c r="F539" s="43"/>
      <c r="G539" s="5"/>
      <c r="H539" s="5"/>
      <c r="I539" s="5"/>
      <c r="J539" s="5"/>
      <c r="K539" s="10"/>
      <c r="L539" s="10"/>
      <c r="M539" s="10"/>
      <c r="N539" s="5"/>
      <c r="O539" s="5"/>
      <c r="P539" s="5"/>
      <c r="Q539" s="5"/>
      <c r="R539" s="5"/>
      <c r="S539" s="5"/>
      <c r="T539" s="5"/>
      <c r="U539" s="5"/>
      <c r="V539" s="5"/>
      <c r="W539" s="5"/>
      <c r="X539" s="5"/>
      <c r="Y539" s="5"/>
      <c r="Z539" s="5"/>
      <c r="AA539" s="5"/>
      <c r="AB539" s="5"/>
      <c r="AC539" s="5"/>
      <c r="AD539" s="5"/>
      <c r="AE539" s="5"/>
      <c r="AF539" s="5"/>
      <c r="AG539" s="5"/>
      <c r="AH539" s="27"/>
      <c r="AI539" s="27"/>
      <c r="AJ539" s="57"/>
      <c r="AK539" s="27"/>
      <c r="AL539" s="10"/>
      <c r="AM539" s="6"/>
      <c r="AN539" s="7"/>
      <c r="AO539" s="7"/>
      <c r="AP539" s="7"/>
      <c r="AQ539" s="7"/>
      <c r="AR539" s="7"/>
      <c r="AS539" s="7"/>
      <c r="AT539" s="7"/>
      <c r="AU539" s="7"/>
      <c r="AV539" s="7"/>
      <c r="AW539" s="7"/>
    </row>
    <row r="540" spans="1:49">
      <c r="A540" s="1">
        <v>364</v>
      </c>
      <c r="B540" s="5"/>
      <c r="C540" s="10"/>
      <c r="D540" s="5"/>
      <c r="E540" s="10"/>
      <c r="F540" s="43"/>
      <c r="G540" s="5"/>
      <c r="H540" s="5"/>
      <c r="I540" s="5"/>
      <c r="J540" s="5"/>
      <c r="K540" s="10"/>
      <c r="L540" s="10"/>
      <c r="M540" s="10"/>
      <c r="N540" s="5"/>
      <c r="O540" s="5"/>
      <c r="P540" s="5"/>
      <c r="Q540" s="5"/>
      <c r="R540" s="5"/>
      <c r="S540" s="5"/>
      <c r="T540" s="5"/>
      <c r="U540" s="5"/>
      <c r="V540" s="5"/>
      <c r="W540" s="5"/>
      <c r="X540" s="5"/>
      <c r="Y540" s="5"/>
      <c r="Z540" s="5"/>
      <c r="AA540" s="5"/>
      <c r="AB540" s="5"/>
      <c r="AC540" s="5"/>
      <c r="AD540" s="5"/>
      <c r="AE540" s="5"/>
      <c r="AF540" s="5"/>
      <c r="AG540" s="5"/>
      <c r="AH540" s="27"/>
      <c r="AI540" s="27"/>
      <c r="AJ540" s="57"/>
      <c r="AK540" s="27"/>
      <c r="AL540" s="10"/>
      <c r="AM540" s="6"/>
      <c r="AN540" s="7"/>
      <c r="AO540" s="7"/>
      <c r="AP540" s="7"/>
      <c r="AQ540" s="7"/>
      <c r="AR540" s="7"/>
      <c r="AS540" s="7"/>
      <c r="AT540" s="7"/>
      <c r="AU540" s="7"/>
      <c r="AV540" s="7"/>
      <c r="AW540" s="7"/>
    </row>
    <row r="541" spans="1:49">
      <c r="A541" s="1">
        <v>365</v>
      </c>
      <c r="B541" s="5"/>
      <c r="C541" s="10"/>
      <c r="D541" s="5"/>
      <c r="E541" s="10"/>
      <c r="F541" s="43"/>
      <c r="G541" s="5"/>
      <c r="H541" s="5"/>
      <c r="I541" s="5"/>
      <c r="J541" s="5"/>
      <c r="K541" s="10"/>
      <c r="L541" s="10"/>
      <c r="M541" s="10"/>
      <c r="N541" s="5"/>
      <c r="O541" s="5"/>
      <c r="P541" s="5"/>
      <c r="Q541" s="5"/>
      <c r="R541" s="5"/>
      <c r="S541" s="5"/>
      <c r="T541" s="5"/>
      <c r="U541" s="5"/>
      <c r="V541" s="5"/>
      <c r="W541" s="5"/>
      <c r="X541" s="5"/>
      <c r="Y541" s="5"/>
      <c r="Z541" s="5"/>
      <c r="AA541" s="5"/>
      <c r="AB541" s="5"/>
      <c r="AC541" s="5"/>
      <c r="AD541" s="5"/>
      <c r="AE541" s="5"/>
      <c r="AF541" s="5"/>
      <c r="AG541" s="5"/>
      <c r="AH541" s="27"/>
      <c r="AI541" s="27"/>
      <c r="AJ541" s="57"/>
      <c r="AK541" s="27"/>
      <c r="AL541" s="10"/>
      <c r="AM541" s="6"/>
      <c r="AN541" s="7"/>
      <c r="AO541" s="7"/>
      <c r="AP541" s="7"/>
      <c r="AQ541" s="7"/>
      <c r="AR541" s="7"/>
      <c r="AS541" s="7"/>
      <c r="AT541" s="7"/>
      <c r="AU541" s="7"/>
      <c r="AV541" s="7"/>
      <c r="AW541" s="7"/>
    </row>
    <row r="542" spans="1:49">
      <c r="A542" s="1">
        <v>366</v>
      </c>
      <c r="B542" s="5"/>
      <c r="C542" s="10"/>
      <c r="D542" s="5"/>
      <c r="E542" s="10"/>
      <c r="F542" s="43"/>
      <c r="G542" s="5"/>
      <c r="H542" s="5"/>
      <c r="I542" s="5"/>
      <c r="J542" s="5"/>
      <c r="K542" s="10"/>
      <c r="L542" s="10"/>
      <c r="M542" s="10"/>
      <c r="N542" s="5"/>
      <c r="O542" s="5"/>
      <c r="P542" s="5"/>
      <c r="Q542" s="5"/>
      <c r="R542" s="5"/>
      <c r="S542" s="5"/>
      <c r="T542" s="5"/>
      <c r="U542" s="5"/>
      <c r="V542" s="5"/>
      <c r="W542" s="5"/>
      <c r="X542" s="5"/>
      <c r="Y542" s="5"/>
      <c r="Z542" s="5"/>
      <c r="AA542" s="5"/>
      <c r="AB542" s="5"/>
      <c r="AC542" s="5"/>
      <c r="AD542" s="5"/>
      <c r="AE542" s="5"/>
      <c r="AF542" s="5"/>
      <c r="AG542" s="5"/>
      <c r="AH542" s="27"/>
      <c r="AI542" s="27"/>
      <c r="AJ542" s="57"/>
      <c r="AK542" s="27"/>
      <c r="AL542" s="10"/>
      <c r="AM542" s="6"/>
      <c r="AN542" s="7"/>
      <c r="AO542" s="7"/>
      <c r="AP542" s="7"/>
      <c r="AQ542" s="7"/>
      <c r="AR542" s="7"/>
      <c r="AS542" s="7"/>
      <c r="AT542" s="7"/>
      <c r="AU542" s="7"/>
      <c r="AV542" s="7"/>
      <c r="AW542" s="7"/>
    </row>
    <row r="543" spans="1:49">
      <c r="A543" s="1">
        <v>367</v>
      </c>
      <c r="B543" s="5"/>
      <c r="C543" s="10"/>
      <c r="D543" s="5"/>
      <c r="E543" s="10"/>
      <c r="F543" s="43"/>
      <c r="G543" s="5"/>
      <c r="H543" s="5"/>
      <c r="I543" s="5"/>
      <c r="J543" s="5"/>
      <c r="K543" s="10"/>
      <c r="L543" s="10"/>
      <c r="M543" s="10"/>
      <c r="N543" s="5"/>
      <c r="O543" s="5"/>
      <c r="P543" s="5"/>
      <c r="Q543" s="5"/>
      <c r="R543" s="5"/>
      <c r="S543" s="5"/>
      <c r="T543" s="5"/>
      <c r="U543" s="5"/>
      <c r="V543" s="5"/>
      <c r="W543" s="5"/>
      <c r="X543" s="5"/>
      <c r="Y543" s="5"/>
      <c r="Z543" s="5"/>
      <c r="AA543" s="5"/>
      <c r="AB543" s="5"/>
      <c r="AC543" s="5"/>
      <c r="AD543" s="5"/>
      <c r="AE543" s="5"/>
      <c r="AF543" s="5"/>
      <c r="AG543" s="5"/>
      <c r="AH543" s="27"/>
      <c r="AI543" s="27"/>
      <c r="AJ543" s="57"/>
      <c r="AK543" s="27"/>
      <c r="AL543" s="10"/>
      <c r="AM543" s="6"/>
      <c r="AN543" s="7"/>
      <c r="AO543" s="7"/>
      <c r="AP543" s="7"/>
      <c r="AQ543" s="7"/>
      <c r="AR543" s="7"/>
      <c r="AS543" s="7"/>
      <c r="AT543" s="7"/>
      <c r="AU543" s="7"/>
      <c r="AV543" s="7"/>
      <c r="AW543" s="7"/>
    </row>
    <row r="544" spans="1:49">
      <c r="A544" s="1">
        <v>368</v>
      </c>
      <c r="B544" s="5"/>
      <c r="C544" s="10"/>
      <c r="D544" s="5"/>
      <c r="E544" s="10"/>
      <c r="F544" s="43"/>
      <c r="G544" s="5"/>
      <c r="H544" s="5"/>
      <c r="I544" s="5"/>
      <c r="J544" s="5"/>
      <c r="K544" s="10"/>
      <c r="L544" s="10"/>
      <c r="M544" s="10"/>
      <c r="N544" s="5"/>
      <c r="O544" s="5"/>
      <c r="P544" s="5"/>
      <c r="Q544" s="5"/>
      <c r="R544" s="5"/>
      <c r="S544" s="5"/>
      <c r="T544" s="5"/>
      <c r="U544" s="5"/>
      <c r="V544" s="5"/>
      <c r="W544" s="5"/>
      <c r="X544" s="5"/>
      <c r="Y544" s="5"/>
      <c r="Z544" s="5"/>
      <c r="AA544" s="5"/>
      <c r="AB544" s="5"/>
      <c r="AC544" s="5"/>
      <c r="AD544" s="5"/>
      <c r="AE544" s="5"/>
      <c r="AF544" s="5"/>
      <c r="AG544" s="5"/>
      <c r="AH544" s="27"/>
      <c r="AI544" s="27"/>
      <c r="AJ544" s="57"/>
      <c r="AK544" s="27"/>
      <c r="AL544" s="10"/>
      <c r="AM544" s="6"/>
      <c r="AN544" s="7"/>
      <c r="AO544" s="7"/>
      <c r="AP544" s="7"/>
      <c r="AQ544" s="7"/>
      <c r="AR544" s="7"/>
      <c r="AS544" s="7"/>
      <c r="AT544" s="7"/>
      <c r="AU544" s="7"/>
      <c r="AV544" s="7"/>
      <c r="AW544" s="7"/>
    </row>
    <row r="545" spans="1:49">
      <c r="A545" s="1">
        <v>369</v>
      </c>
      <c r="B545" s="5"/>
      <c r="C545" s="10"/>
      <c r="D545" s="5"/>
      <c r="E545" s="10"/>
      <c r="F545" s="43"/>
      <c r="G545" s="5"/>
      <c r="H545" s="5"/>
      <c r="I545" s="5"/>
      <c r="J545" s="5"/>
      <c r="K545" s="10"/>
      <c r="L545" s="10"/>
      <c r="M545" s="10"/>
      <c r="N545" s="5"/>
      <c r="O545" s="5"/>
      <c r="P545" s="5"/>
      <c r="Q545" s="5"/>
      <c r="R545" s="5"/>
      <c r="S545" s="5"/>
      <c r="T545" s="5"/>
      <c r="U545" s="5"/>
      <c r="V545" s="5"/>
      <c r="W545" s="5"/>
      <c r="X545" s="5"/>
      <c r="Y545" s="5"/>
      <c r="Z545" s="5"/>
      <c r="AA545" s="5"/>
      <c r="AB545" s="5"/>
      <c r="AC545" s="5"/>
      <c r="AD545" s="5"/>
      <c r="AE545" s="5"/>
      <c r="AF545" s="5"/>
      <c r="AG545" s="5"/>
      <c r="AH545" s="27"/>
      <c r="AI545" s="27"/>
      <c r="AJ545" s="57"/>
      <c r="AK545" s="27"/>
      <c r="AL545" s="10"/>
      <c r="AM545" s="6"/>
      <c r="AN545" s="7"/>
      <c r="AO545" s="7"/>
      <c r="AP545" s="7"/>
      <c r="AQ545" s="7"/>
      <c r="AR545" s="7"/>
      <c r="AS545" s="7"/>
      <c r="AT545" s="7"/>
      <c r="AU545" s="7"/>
      <c r="AV545" s="7"/>
      <c r="AW545" s="7"/>
    </row>
    <row r="546" spans="1:49">
      <c r="A546" s="1">
        <v>370</v>
      </c>
      <c r="B546" s="5"/>
      <c r="C546" s="10"/>
      <c r="D546" s="5"/>
      <c r="E546" s="10"/>
      <c r="F546" s="43"/>
      <c r="G546" s="5"/>
      <c r="H546" s="5"/>
      <c r="I546" s="5"/>
      <c r="J546" s="5"/>
      <c r="K546" s="10"/>
      <c r="L546" s="10"/>
      <c r="M546" s="10"/>
      <c r="N546" s="5"/>
      <c r="O546" s="5"/>
      <c r="P546" s="5"/>
      <c r="Q546" s="5"/>
      <c r="R546" s="5"/>
      <c r="S546" s="5"/>
      <c r="T546" s="5"/>
      <c r="U546" s="5"/>
      <c r="V546" s="5"/>
      <c r="W546" s="5"/>
      <c r="X546" s="5"/>
      <c r="Y546" s="5"/>
      <c r="Z546" s="5"/>
      <c r="AA546" s="5"/>
      <c r="AB546" s="5"/>
      <c r="AC546" s="5"/>
      <c r="AD546" s="5"/>
      <c r="AE546" s="5"/>
      <c r="AF546" s="5"/>
      <c r="AG546" s="5"/>
      <c r="AH546" s="27"/>
      <c r="AI546" s="27"/>
      <c r="AJ546" s="57"/>
      <c r="AK546" s="27"/>
      <c r="AL546" s="10"/>
      <c r="AM546" s="6"/>
      <c r="AN546" s="7"/>
      <c r="AO546" s="7"/>
      <c r="AP546" s="7"/>
      <c r="AQ546" s="7"/>
      <c r="AR546" s="7"/>
      <c r="AS546" s="7"/>
      <c r="AT546" s="7"/>
      <c r="AU546" s="7"/>
      <c r="AV546" s="7"/>
      <c r="AW546" s="7"/>
    </row>
    <row r="547" spans="1:49">
      <c r="A547" s="1">
        <v>371</v>
      </c>
      <c r="B547" s="5"/>
      <c r="C547" s="10"/>
      <c r="D547" s="5"/>
      <c r="E547" s="10"/>
      <c r="F547" s="43"/>
      <c r="G547" s="5"/>
      <c r="H547" s="5"/>
      <c r="I547" s="5"/>
      <c r="J547" s="5"/>
      <c r="K547" s="10"/>
      <c r="L547" s="10"/>
      <c r="M547" s="10"/>
      <c r="N547" s="5"/>
      <c r="O547" s="5"/>
      <c r="P547" s="5"/>
      <c r="Q547" s="5"/>
      <c r="R547" s="5"/>
      <c r="S547" s="5"/>
      <c r="T547" s="5"/>
      <c r="U547" s="5"/>
      <c r="V547" s="5"/>
      <c r="W547" s="5"/>
      <c r="X547" s="5"/>
      <c r="Y547" s="5"/>
      <c r="Z547" s="5"/>
      <c r="AA547" s="5"/>
      <c r="AB547" s="5"/>
      <c r="AC547" s="5"/>
      <c r="AD547" s="5"/>
      <c r="AE547" s="5"/>
      <c r="AF547" s="5"/>
      <c r="AG547" s="5"/>
      <c r="AH547" s="27"/>
      <c r="AI547" s="27"/>
      <c r="AJ547" s="57"/>
      <c r="AK547" s="27"/>
      <c r="AL547" s="10"/>
      <c r="AM547" s="6"/>
      <c r="AN547" s="7"/>
      <c r="AO547" s="7"/>
      <c r="AP547" s="7"/>
      <c r="AQ547" s="7"/>
      <c r="AR547" s="7"/>
      <c r="AS547" s="7"/>
      <c r="AT547" s="7"/>
      <c r="AU547" s="7"/>
      <c r="AV547" s="7"/>
      <c r="AW547" s="7"/>
    </row>
    <row r="548" spans="1:49">
      <c r="A548" s="1">
        <v>372</v>
      </c>
      <c r="B548" s="5"/>
      <c r="C548" s="10"/>
      <c r="D548" s="5"/>
      <c r="E548" s="10"/>
      <c r="F548" s="43"/>
      <c r="G548" s="5"/>
      <c r="H548" s="5"/>
      <c r="I548" s="5"/>
      <c r="J548" s="5"/>
      <c r="K548" s="10"/>
      <c r="L548" s="10"/>
      <c r="M548" s="10"/>
      <c r="N548" s="5"/>
      <c r="O548" s="5"/>
      <c r="P548" s="5"/>
      <c r="Q548" s="5"/>
      <c r="R548" s="5"/>
      <c r="S548" s="5"/>
      <c r="T548" s="5"/>
      <c r="U548" s="5"/>
      <c r="V548" s="5"/>
      <c r="W548" s="5"/>
      <c r="X548" s="5"/>
      <c r="Y548" s="5"/>
      <c r="Z548" s="5"/>
      <c r="AA548" s="5"/>
      <c r="AB548" s="5"/>
      <c r="AC548" s="5"/>
      <c r="AD548" s="5"/>
      <c r="AE548" s="5"/>
      <c r="AF548" s="5"/>
      <c r="AG548" s="5"/>
      <c r="AH548" s="27"/>
      <c r="AI548" s="27"/>
      <c r="AJ548" s="57"/>
      <c r="AK548" s="27"/>
      <c r="AL548" s="10"/>
      <c r="AM548" s="6"/>
      <c r="AN548" s="7"/>
      <c r="AO548" s="7"/>
      <c r="AP548" s="7"/>
      <c r="AQ548" s="7"/>
      <c r="AR548" s="7"/>
      <c r="AS548" s="7"/>
      <c r="AT548" s="7"/>
      <c r="AU548" s="7"/>
      <c r="AV548" s="7"/>
      <c r="AW548" s="7"/>
    </row>
    <row r="549" spans="1:49">
      <c r="A549" s="1">
        <v>373</v>
      </c>
      <c r="B549" s="5"/>
      <c r="C549" s="10"/>
      <c r="D549" s="5"/>
      <c r="E549" s="10"/>
      <c r="F549" s="43"/>
      <c r="G549" s="5"/>
      <c r="H549" s="5"/>
      <c r="I549" s="5"/>
      <c r="J549" s="5"/>
      <c r="K549" s="10"/>
      <c r="L549" s="10"/>
      <c r="M549" s="10"/>
      <c r="N549" s="5"/>
      <c r="O549" s="5"/>
      <c r="P549" s="5"/>
      <c r="Q549" s="5"/>
      <c r="R549" s="5"/>
      <c r="S549" s="5"/>
      <c r="T549" s="5"/>
      <c r="U549" s="5"/>
      <c r="V549" s="5"/>
      <c r="W549" s="5"/>
      <c r="X549" s="5"/>
      <c r="Y549" s="5"/>
      <c r="Z549" s="5"/>
      <c r="AA549" s="5"/>
      <c r="AB549" s="5"/>
      <c r="AC549" s="5"/>
      <c r="AD549" s="5"/>
      <c r="AE549" s="5"/>
      <c r="AF549" s="5"/>
      <c r="AG549" s="5"/>
      <c r="AH549" s="27"/>
      <c r="AI549" s="27"/>
      <c r="AJ549" s="57"/>
      <c r="AK549" s="27"/>
      <c r="AL549" s="10"/>
      <c r="AM549" s="6"/>
      <c r="AN549" s="7"/>
      <c r="AO549" s="7"/>
      <c r="AP549" s="7"/>
      <c r="AQ549" s="7"/>
      <c r="AR549" s="7"/>
      <c r="AS549" s="7"/>
      <c r="AT549" s="7"/>
      <c r="AU549" s="7"/>
      <c r="AV549" s="7"/>
      <c r="AW549" s="7"/>
    </row>
    <row r="550" spans="1:49">
      <c r="A550" s="1">
        <v>374</v>
      </c>
      <c r="B550" s="5"/>
      <c r="C550" s="10"/>
      <c r="D550" s="5"/>
      <c r="E550" s="10"/>
      <c r="F550" s="43"/>
      <c r="G550" s="5"/>
      <c r="H550" s="5"/>
      <c r="I550" s="5"/>
      <c r="J550" s="5"/>
      <c r="K550" s="10"/>
      <c r="L550" s="10"/>
      <c r="M550" s="10"/>
      <c r="N550" s="5"/>
      <c r="O550" s="5"/>
      <c r="P550" s="5"/>
      <c r="Q550" s="5"/>
      <c r="R550" s="5"/>
      <c r="S550" s="5"/>
      <c r="T550" s="5"/>
      <c r="U550" s="5"/>
      <c r="V550" s="5"/>
      <c r="W550" s="5"/>
      <c r="X550" s="5"/>
      <c r="Y550" s="5"/>
      <c r="Z550" s="5"/>
      <c r="AA550" s="5"/>
      <c r="AB550" s="5"/>
      <c r="AC550" s="5"/>
      <c r="AD550" s="5"/>
      <c r="AE550" s="5"/>
      <c r="AF550" s="5"/>
      <c r="AG550" s="5"/>
      <c r="AH550" s="27"/>
      <c r="AI550" s="27"/>
      <c r="AJ550" s="57"/>
      <c r="AK550" s="27"/>
      <c r="AL550" s="10"/>
      <c r="AM550" s="6"/>
      <c r="AN550" s="7"/>
      <c r="AO550" s="7"/>
      <c r="AP550" s="7"/>
      <c r="AQ550" s="7"/>
      <c r="AR550" s="7"/>
      <c r="AS550" s="7"/>
      <c r="AT550" s="7"/>
      <c r="AU550" s="7"/>
      <c r="AV550" s="7"/>
      <c r="AW550" s="7"/>
    </row>
    <row r="551" spans="1:49">
      <c r="A551" s="1">
        <v>375</v>
      </c>
      <c r="B551" s="5"/>
      <c r="C551" s="10"/>
      <c r="D551" s="5"/>
      <c r="E551" s="10"/>
      <c r="F551" s="43"/>
      <c r="G551" s="5"/>
      <c r="H551" s="5"/>
      <c r="I551" s="5"/>
      <c r="J551" s="5"/>
      <c r="K551" s="10"/>
      <c r="L551" s="10"/>
      <c r="M551" s="10"/>
      <c r="N551" s="5"/>
      <c r="O551" s="5"/>
      <c r="P551" s="5"/>
      <c r="Q551" s="5"/>
      <c r="R551" s="5"/>
      <c r="S551" s="5"/>
      <c r="T551" s="5"/>
      <c r="U551" s="5"/>
      <c r="V551" s="5"/>
      <c r="W551" s="5"/>
      <c r="X551" s="5"/>
      <c r="Y551" s="5"/>
      <c r="Z551" s="5"/>
      <c r="AA551" s="5"/>
      <c r="AB551" s="5"/>
      <c r="AC551" s="5"/>
      <c r="AD551" s="5"/>
      <c r="AE551" s="5"/>
      <c r="AF551" s="5"/>
      <c r="AG551" s="5"/>
      <c r="AH551" s="27"/>
      <c r="AI551" s="27"/>
      <c r="AJ551" s="57"/>
      <c r="AK551" s="27"/>
      <c r="AL551" s="10"/>
      <c r="AM551" s="6"/>
      <c r="AN551" s="7"/>
      <c r="AO551" s="7"/>
      <c r="AP551" s="7"/>
      <c r="AQ551" s="7"/>
      <c r="AR551" s="7"/>
      <c r="AS551" s="7"/>
      <c r="AT551" s="7"/>
      <c r="AU551" s="7"/>
      <c r="AV551" s="7"/>
      <c r="AW551" s="7"/>
    </row>
    <row r="552" spans="1:49">
      <c r="A552" s="1">
        <v>376</v>
      </c>
      <c r="B552" s="5"/>
      <c r="C552" s="10"/>
      <c r="D552" s="5"/>
      <c r="E552" s="10"/>
      <c r="F552" s="43"/>
      <c r="G552" s="5"/>
      <c r="H552" s="5"/>
      <c r="I552" s="5"/>
      <c r="J552" s="5"/>
      <c r="K552" s="10"/>
      <c r="L552" s="10"/>
      <c r="M552" s="10"/>
      <c r="N552" s="5"/>
      <c r="O552" s="5"/>
      <c r="P552" s="5"/>
      <c r="Q552" s="5"/>
      <c r="R552" s="5"/>
      <c r="S552" s="5"/>
      <c r="T552" s="5"/>
      <c r="U552" s="5"/>
      <c r="V552" s="5"/>
      <c r="W552" s="5"/>
      <c r="X552" s="5"/>
      <c r="Y552" s="5"/>
      <c r="Z552" s="5"/>
      <c r="AA552" s="5"/>
      <c r="AB552" s="5"/>
      <c r="AC552" s="5"/>
      <c r="AD552" s="5"/>
      <c r="AE552" s="5"/>
      <c r="AF552" s="5"/>
      <c r="AG552" s="5"/>
      <c r="AH552" s="27"/>
      <c r="AI552" s="27"/>
      <c r="AJ552" s="57"/>
      <c r="AK552" s="27"/>
      <c r="AL552" s="10"/>
      <c r="AM552" s="6"/>
      <c r="AN552" s="7"/>
      <c r="AO552" s="7"/>
      <c r="AP552" s="7"/>
      <c r="AQ552" s="7"/>
      <c r="AR552" s="7"/>
      <c r="AS552" s="7"/>
      <c r="AT552" s="7"/>
      <c r="AU552" s="7"/>
      <c r="AV552" s="7"/>
      <c r="AW552" s="7"/>
    </row>
    <row r="553" spans="1:49">
      <c r="A553" s="1">
        <v>377</v>
      </c>
      <c r="B553" s="5"/>
      <c r="C553" s="10"/>
      <c r="D553" s="5"/>
      <c r="E553" s="10"/>
      <c r="F553" s="43"/>
      <c r="G553" s="5"/>
      <c r="H553" s="5"/>
      <c r="I553" s="5"/>
      <c r="J553" s="5"/>
      <c r="K553" s="10"/>
      <c r="L553" s="10"/>
      <c r="M553" s="10"/>
      <c r="N553" s="5"/>
      <c r="O553" s="5"/>
      <c r="P553" s="5"/>
      <c r="Q553" s="5"/>
      <c r="R553" s="5"/>
      <c r="S553" s="5"/>
      <c r="T553" s="5"/>
      <c r="U553" s="5"/>
      <c r="V553" s="5"/>
      <c r="W553" s="5"/>
      <c r="X553" s="5"/>
      <c r="Y553" s="5"/>
      <c r="Z553" s="5"/>
      <c r="AA553" s="5"/>
      <c r="AB553" s="5"/>
      <c r="AC553" s="5"/>
      <c r="AD553" s="5"/>
      <c r="AE553" s="5"/>
      <c r="AF553" s="5"/>
      <c r="AG553" s="5"/>
      <c r="AH553" s="27"/>
      <c r="AI553" s="27"/>
      <c r="AJ553" s="57"/>
      <c r="AK553" s="27"/>
      <c r="AL553" s="10"/>
      <c r="AM553" s="6"/>
      <c r="AN553" s="7"/>
      <c r="AO553" s="7"/>
      <c r="AP553" s="7"/>
      <c r="AQ553" s="7"/>
      <c r="AR553" s="7"/>
      <c r="AS553" s="7"/>
      <c r="AT553" s="7"/>
      <c r="AU553" s="7"/>
      <c r="AV553" s="7"/>
      <c r="AW553" s="7"/>
    </row>
    <row r="554" spans="1:49">
      <c r="A554" s="1">
        <v>378</v>
      </c>
      <c r="B554" s="5"/>
      <c r="C554" s="10"/>
      <c r="D554" s="5"/>
      <c r="E554" s="10"/>
      <c r="F554" s="43"/>
      <c r="G554" s="5"/>
      <c r="H554" s="5"/>
      <c r="I554" s="5"/>
      <c r="J554" s="5"/>
      <c r="K554" s="10"/>
      <c r="L554" s="10"/>
      <c r="M554" s="10"/>
      <c r="N554" s="5"/>
      <c r="O554" s="5"/>
      <c r="P554" s="5"/>
      <c r="Q554" s="5"/>
      <c r="R554" s="5"/>
      <c r="S554" s="5"/>
      <c r="T554" s="5"/>
      <c r="U554" s="5"/>
      <c r="V554" s="5"/>
      <c r="W554" s="5"/>
      <c r="X554" s="5"/>
      <c r="Y554" s="5"/>
      <c r="Z554" s="5"/>
      <c r="AA554" s="5"/>
      <c r="AB554" s="5"/>
      <c r="AC554" s="5"/>
      <c r="AD554" s="5"/>
      <c r="AE554" s="5"/>
      <c r="AF554" s="5"/>
      <c r="AG554" s="5"/>
      <c r="AH554" s="27"/>
      <c r="AI554" s="27"/>
      <c r="AJ554" s="57"/>
      <c r="AK554" s="27"/>
      <c r="AL554" s="10"/>
      <c r="AM554" s="6"/>
      <c r="AN554" s="7"/>
      <c r="AO554" s="7"/>
      <c r="AP554" s="7"/>
      <c r="AQ554" s="7"/>
      <c r="AR554" s="7"/>
      <c r="AS554" s="7"/>
      <c r="AT554" s="7"/>
      <c r="AU554" s="7"/>
      <c r="AV554" s="7"/>
      <c r="AW554" s="7"/>
    </row>
    <row r="555" spans="1:49">
      <c r="A555" s="1">
        <v>379</v>
      </c>
      <c r="B555" s="5"/>
      <c r="C555" s="10"/>
      <c r="D555" s="5"/>
      <c r="E555" s="10"/>
      <c r="F555" s="43"/>
      <c r="G555" s="5"/>
      <c r="H555" s="5"/>
      <c r="I555" s="5"/>
      <c r="J555" s="5"/>
      <c r="K555" s="10"/>
      <c r="L555" s="10"/>
      <c r="M555" s="10"/>
      <c r="N555" s="5"/>
      <c r="O555" s="5"/>
      <c r="P555" s="5"/>
      <c r="Q555" s="5"/>
      <c r="R555" s="5"/>
      <c r="S555" s="5"/>
      <c r="T555" s="5"/>
      <c r="U555" s="5"/>
      <c r="V555" s="5"/>
      <c r="W555" s="5"/>
      <c r="X555" s="5"/>
      <c r="Y555" s="5"/>
      <c r="Z555" s="5"/>
      <c r="AA555" s="5"/>
      <c r="AB555" s="5"/>
      <c r="AC555" s="5"/>
      <c r="AD555" s="5"/>
      <c r="AE555" s="5"/>
      <c r="AF555" s="5"/>
      <c r="AG555" s="5"/>
      <c r="AH555" s="27"/>
      <c r="AI555" s="27"/>
      <c r="AJ555" s="57"/>
      <c r="AK555" s="27"/>
      <c r="AL555" s="10"/>
      <c r="AM555" s="6"/>
      <c r="AN555" s="7"/>
      <c r="AO555" s="7"/>
      <c r="AP555" s="7"/>
      <c r="AQ555" s="7"/>
      <c r="AR555" s="7"/>
      <c r="AS555" s="7"/>
      <c r="AT555" s="7"/>
      <c r="AU555" s="7"/>
      <c r="AV555" s="7"/>
      <c r="AW555" s="7"/>
    </row>
    <row r="556" spans="1:49">
      <c r="A556" s="1">
        <v>380</v>
      </c>
      <c r="B556" s="5"/>
      <c r="C556" s="10"/>
      <c r="D556" s="5"/>
      <c r="E556" s="10"/>
      <c r="F556" s="43"/>
      <c r="G556" s="5"/>
      <c r="H556" s="5"/>
      <c r="I556" s="5"/>
      <c r="J556" s="5"/>
      <c r="K556" s="10"/>
      <c r="L556" s="10"/>
      <c r="M556" s="10"/>
      <c r="N556" s="5"/>
      <c r="O556" s="5"/>
      <c r="P556" s="5"/>
      <c r="Q556" s="5"/>
      <c r="R556" s="5"/>
      <c r="S556" s="5"/>
      <c r="T556" s="5"/>
      <c r="U556" s="5"/>
      <c r="V556" s="5"/>
      <c r="W556" s="5"/>
      <c r="X556" s="5"/>
      <c r="Y556" s="5"/>
      <c r="Z556" s="5"/>
      <c r="AA556" s="5"/>
      <c r="AB556" s="5"/>
      <c r="AC556" s="5"/>
      <c r="AD556" s="5"/>
      <c r="AE556" s="5"/>
      <c r="AF556" s="5"/>
      <c r="AG556" s="5"/>
      <c r="AH556" s="27"/>
      <c r="AI556" s="27"/>
      <c r="AJ556" s="57"/>
      <c r="AK556" s="27"/>
      <c r="AL556" s="10"/>
      <c r="AM556" s="6"/>
      <c r="AN556" s="7"/>
      <c r="AO556" s="7"/>
      <c r="AP556" s="7"/>
      <c r="AQ556" s="7"/>
      <c r="AR556" s="7"/>
      <c r="AS556" s="7"/>
      <c r="AT556" s="7"/>
      <c r="AU556" s="7"/>
      <c r="AV556" s="7"/>
      <c r="AW556" s="7"/>
    </row>
    <row r="557" spans="1:49">
      <c r="A557" s="1">
        <v>381</v>
      </c>
      <c r="B557" s="5"/>
      <c r="C557" s="10"/>
      <c r="D557" s="5"/>
      <c r="E557" s="10"/>
      <c r="F557" s="43"/>
      <c r="G557" s="5"/>
      <c r="H557" s="5"/>
      <c r="I557" s="5"/>
      <c r="J557" s="5"/>
      <c r="K557" s="10"/>
      <c r="L557" s="10"/>
      <c r="M557" s="10"/>
      <c r="N557" s="5"/>
      <c r="O557" s="5"/>
      <c r="P557" s="5"/>
      <c r="Q557" s="5"/>
      <c r="R557" s="5"/>
      <c r="S557" s="5"/>
      <c r="T557" s="5"/>
      <c r="U557" s="5"/>
      <c r="V557" s="5"/>
      <c r="W557" s="5"/>
      <c r="X557" s="5"/>
      <c r="Y557" s="5"/>
      <c r="Z557" s="5"/>
      <c r="AA557" s="5"/>
      <c r="AB557" s="5"/>
      <c r="AC557" s="5"/>
      <c r="AD557" s="5"/>
      <c r="AE557" s="5"/>
      <c r="AF557" s="5"/>
      <c r="AG557" s="5"/>
      <c r="AH557" s="27"/>
      <c r="AI557" s="27"/>
      <c r="AJ557" s="57"/>
      <c r="AK557" s="27"/>
      <c r="AL557" s="10"/>
      <c r="AM557" s="6"/>
      <c r="AN557" s="7"/>
      <c r="AO557" s="7"/>
      <c r="AP557" s="7"/>
      <c r="AQ557" s="7"/>
      <c r="AR557" s="7"/>
      <c r="AS557" s="7"/>
      <c r="AT557" s="7"/>
      <c r="AU557" s="7"/>
      <c r="AV557" s="7"/>
      <c r="AW557" s="7"/>
    </row>
    <row r="558" spans="1:49">
      <c r="A558" s="1">
        <v>382</v>
      </c>
      <c r="B558" s="5"/>
      <c r="C558" s="10"/>
      <c r="D558" s="5"/>
      <c r="E558" s="10"/>
      <c r="F558" s="43"/>
      <c r="G558" s="5"/>
      <c r="H558" s="5"/>
      <c r="I558" s="5"/>
      <c r="J558" s="5"/>
      <c r="K558" s="10"/>
      <c r="L558" s="10"/>
      <c r="M558" s="10"/>
      <c r="N558" s="5"/>
      <c r="O558" s="5"/>
      <c r="P558" s="5"/>
      <c r="Q558" s="5"/>
      <c r="R558" s="5"/>
      <c r="S558" s="5"/>
      <c r="T558" s="5"/>
      <c r="U558" s="5"/>
      <c r="V558" s="5"/>
      <c r="W558" s="5"/>
      <c r="X558" s="5"/>
      <c r="Y558" s="5"/>
      <c r="Z558" s="5"/>
      <c r="AA558" s="5"/>
      <c r="AB558" s="5"/>
      <c r="AC558" s="5"/>
      <c r="AD558" s="5"/>
      <c r="AE558" s="5"/>
      <c r="AF558" s="5"/>
      <c r="AG558" s="5"/>
      <c r="AH558" s="27"/>
      <c r="AI558" s="27"/>
      <c r="AJ558" s="57"/>
      <c r="AK558" s="27"/>
      <c r="AL558" s="10"/>
      <c r="AM558" s="6"/>
      <c r="AN558" s="7"/>
      <c r="AO558" s="7"/>
      <c r="AP558" s="7"/>
      <c r="AQ558" s="7"/>
      <c r="AR558" s="7"/>
      <c r="AS558" s="7"/>
      <c r="AT558" s="7"/>
      <c r="AU558" s="7"/>
      <c r="AV558" s="7"/>
      <c r="AW558" s="7"/>
    </row>
    <row r="559" spans="1:49">
      <c r="A559" s="1">
        <v>383</v>
      </c>
      <c r="B559" s="5"/>
      <c r="C559" s="10"/>
      <c r="D559" s="5"/>
      <c r="E559" s="10"/>
      <c r="F559" s="43"/>
      <c r="G559" s="5"/>
      <c r="H559" s="5"/>
      <c r="I559" s="5"/>
      <c r="J559" s="5"/>
      <c r="K559" s="10"/>
      <c r="L559" s="10"/>
      <c r="M559" s="10"/>
      <c r="N559" s="5"/>
      <c r="O559" s="5"/>
      <c r="P559" s="5"/>
      <c r="Q559" s="5"/>
      <c r="R559" s="5"/>
      <c r="S559" s="5"/>
      <c r="T559" s="5"/>
      <c r="U559" s="5"/>
      <c r="V559" s="5"/>
      <c r="W559" s="5"/>
      <c r="X559" s="5"/>
      <c r="Y559" s="5"/>
      <c r="Z559" s="5"/>
      <c r="AA559" s="5"/>
      <c r="AB559" s="5"/>
      <c r="AC559" s="5"/>
      <c r="AD559" s="5"/>
      <c r="AE559" s="5"/>
      <c r="AF559" s="5"/>
      <c r="AG559" s="5"/>
      <c r="AH559" s="27"/>
      <c r="AI559" s="27"/>
      <c r="AJ559" s="57"/>
      <c r="AK559" s="27"/>
      <c r="AL559" s="10"/>
      <c r="AM559" s="6"/>
      <c r="AN559" s="7"/>
      <c r="AO559" s="7"/>
      <c r="AP559" s="7"/>
      <c r="AQ559" s="7"/>
      <c r="AR559" s="7"/>
      <c r="AS559" s="7"/>
      <c r="AT559" s="7"/>
      <c r="AU559" s="7"/>
      <c r="AV559" s="7"/>
      <c r="AW559" s="7"/>
    </row>
    <row r="560" spans="1:49">
      <c r="A560" s="1">
        <v>384</v>
      </c>
      <c r="B560" s="5"/>
      <c r="C560" s="10"/>
      <c r="D560" s="5"/>
      <c r="E560" s="10"/>
      <c r="F560" s="43"/>
      <c r="G560" s="5"/>
      <c r="H560" s="5"/>
      <c r="I560" s="5"/>
      <c r="J560" s="5"/>
      <c r="K560" s="10"/>
      <c r="L560" s="10"/>
      <c r="M560" s="10"/>
      <c r="N560" s="5"/>
      <c r="O560" s="5"/>
      <c r="P560" s="5"/>
      <c r="Q560" s="5"/>
      <c r="R560" s="5"/>
      <c r="S560" s="5"/>
      <c r="T560" s="5"/>
      <c r="U560" s="5"/>
      <c r="V560" s="5"/>
      <c r="W560" s="5"/>
      <c r="X560" s="5"/>
      <c r="Y560" s="5"/>
      <c r="Z560" s="5"/>
      <c r="AA560" s="5"/>
      <c r="AB560" s="5"/>
      <c r="AC560" s="5"/>
      <c r="AD560" s="5"/>
      <c r="AE560" s="5"/>
      <c r="AF560" s="5"/>
      <c r="AG560" s="5"/>
      <c r="AH560" s="27"/>
      <c r="AI560" s="27"/>
      <c r="AJ560" s="57"/>
      <c r="AK560" s="27"/>
      <c r="AL560" s="10"/>
      <c r="AM560" s="6"/>
      <c r="AN560" s="7"/>
      <c r="AO560" s="7"/>
      <c r="AP560" s="7"/>
      <c r="AQ560" s="7"/>
      <c r="AR560" s="7"/>
      <c r="AS560" s="7"/>
      <c r="AT560" s="7"/>
      <c r="AU560" s="7"/>
      <c r="AV560" s="7"/>
      <c r="AW560" s="7"/>
    </row>
    <row r="561" spans="1:49">
      <c r="A561" s="1">
        <v>385</v>
      </c>
      <c r="B561" s="5"/>
      <c r="C561" s="10"/>
      <c r="D561" s="5"/>
      <c r="E561" s="10"/>
      <c r="F561" s="43"/>
      <c r="G561" s="5"/>
      <c r="H561" s="5"/>
      <c r="I561" s="5"/>
      <c r="J561" s="5"/>
      <c r="K561" s="10"/>
      <c r="L561" s="10"/>
      <c r="M561" s="10"/>
      <c r="N561" s="5"/>
      <c r="O561" s="5"/>
      <c r="P561" s="5"/>
      <c r="Q561" s="5"/>
      <c r="R561" s="5"/>
      <c r="S561" s="5"/>
      <c r="T561" s="5"/>
      <c r="U561" s="5"/>
      <c r="V561" s="5"/>
      <c r="W561" s="5"/>
      <c r="X561" s="5"/>
      <c r="Y561" s="5"/>
      <c r="Z561" s="5"/>
      <c r="AA561" s="5"/>
      <c r="AB561" s="5"/>
      <c r="AC561" s="5"/>
      <c r="AD561" s="5"/>
      <c r="AE561" s="5"/>
      <c r="AF561" s="5"/>
      <c r="AG561" s="5"/>
      <c r="AH561" s="27"/>
      <c r="AI561" s="27"/>
      <c r="AJ561" s="57"/>
      <c r="AK561" s="27"/>
      <c r="AL561" s="10"/>
      <c r="AM561" s="6"/>
      <c r="AN561" s="7"/>
      <c r="AO561" s="7"/>
      <c r="AP561" s="7"/>
      <c r="AQ561" s="7"/>
      <c r="AR561" s="7"/>
      <c r="AS561" s="7"/>
      <c r="AT561" s="7"/>
      <c r="AU561" s="7"/>
      <c r="AV561" s="7"/>
      <c r="AW561" s="7"/>
    </row>
    <row r="562" spans="1:49">
      <c r="A562" s="1">
        <v>386</v>
      </c>
      <c r="B562" s="5"/>
      <c r="C562" s="10"/>
      <c r="D562" s="5"/>
      <c r="E562" s="10"/>
      <c r="F562" s="43"/>
      <c r="G562" s="5"/>
      <c r="H562" s="5"/>
      <c r="I562" s="5"/>
      <c r="J562" s="5"/>
      <c r="K562" s="10"/>
      <c r="L562" s="10"/>
      <c r="M562" s="10"/>
      <c r="N562" s="5"/>
      <c r="O562" s="5"/>
      <c r="P562" s="5"/>
      <c r="Q562" s="5"/>
      <c r="R562" s="5"/>
      <c r="S562" s="5"/>
      <c r="T562" s="5"/>
      <c r="U562" s="5"/>
      <c r="V562" s="5"/>
      <c r="W562" s="5"/>
      <c r="X562" s="5"/>
      <c r="Y562" s="5"/>
      <c r="Z562" s="5"/>
      <c r="AA562" s="5"/>
      <c r="AB562" s="5"/>
      <c r="AC562" s="5"/>
      <c r="AD562" s="5"/>
      <c r="AE562" s="5"/>
      <c r="AF562" s="5"/>
      <c r="AG562" s="5"/>
      <c r="AH562" s="27"/>
      <c r="AI562" s="27"/>
      <c r="AJ562" s="57"/>
      <c r="AK562" s="27"/>
      <c r="AL562" s="10"/>
      <c r="AM562" s="6"/>
      <c r="AN562" s="7"/>
      <c r="AO562" s="7"/>
      <c r="AP562" s="7"/>
      <c r="AQ562" s="7"/>
      <c r="AR562" s="7"/>
      <c r="AS562" s="7"/>
      <c r="AT562" s="7"/>
      <c r="AU562" s="7"/>
      <c r="AV562" s="7"/>
      <c r="AW562" s="7"/>
    </row>
    <row r="563" spans="1:49">
      <c r="A563" s="1">
        <v>387</v>
      </c>
      <c r="B563" s="5"/>
      <c r="C563" s="10"/>
      <c r="D563" s="5"/>
      <c r="E563" s="10"/>
      <c r="F563" s="43"/>
      <c r="G563" s="5"/>
      <c r="H563" s="5"/>
      <c r="I563" s="5"/>
      <c r="J563" s="5"/>
      <c r="K563" s="10"/>
      <c r="L563" s="10"/>
      <c r="M563" s="10"/>
      <c r="N563" s="5"/>
      <c r="O563" s="5"/>
      <c r="P563" s="5"/>
      <c r="Q563" s="5"/>
      <c r="R563" s="5"/>
      <c r="S563" s="5"/>
      <c r="T563" s="5"/>
      <c r="U563" s="5"/>
      <c r="V563" s="5"/>
      <c r="W563" s="5"/>
      <c r="X563" s="5"/>
      <c r="Y563" s="5"/>
      <c r="Z563" s="5"/>
      <c r="AA563" s="5"/>
      <c r="AB563" s="5"/>
      <c r="AC563" s="5"/>
      <c r="AD563" s="5"/>
      <c r="AE563" s="5"/>
      <c r="AF563" s="5"/>
      <c r="AG563" s="5"/>
      <c r="AH563" s="27"/>
      <c r="AI563" s="27"/>
      <c r="AJ563" s="57"/>
      <c r="AK563" s="27"/>
      <c r="AL563" s="10"/>
      <c r="AM563" s="6"/>
      <c r="AN563" s="7"/>
      <c r="AO563" s="7"/>
      <c r="AP563" s="7"/>
      <c r="AQ563" s="7"/>
      <c r="AR563" s="7"/>
      <c r="AS563" s="7"/>
      <c r="AT563" s="7"/>
      <c r="AU563" s="7"/>
      <c r="AV563" s="7"/>
      <c r="AW563" s="7"/>
    </row>
    <row r="564" spans="1:49">
      <c r="A564" s="1">
        <v>388</v>
      </c>
      <c r="B564" s="5"/>
      <c r="C564" s="10"/>
      <c r="D564" s="5"/>
      <c r="E564" s="10"/>
      <c r="F564" s="43"/>
      <c r="G564" s="5"/>
      <c r="H564" s="5"/>
      <c r="I564" s="5"/>
      <c r="J564" s="5"/>
      <c r="K564" s="10"/>
      <c r="L564" s="10"/>
      <c r="M564" s="10"/>
      <c r="N564" s="5"/>
      <c r="O564" s="5"/>
      <c r="P564" s="5"/>
      <c r="Q564" s="5"/>
      <c r="R564" s="5"/>
      <c r="S564" s="5"/>
      <c r="T564" s="5"/>
      <c r="U564" s="5"/>
      <c r="V564" s="5"/>
      <c r="W564" s="5"/>
      <c r="X564" s="5"/>
      <c r="Y564" s="5"/>
      <c r="Z564" s="5"/>
      <c r="AA564" s="5"/>
      <c r="AB564" s="5"/>
      <c r="AC564" s="5"/>
      <c r="AD564" s="5"/>
      <c r="AE564" s="5"/>
      <c r="AF564" s="5"/>
      <c r="AG564" s="5"/>
      <c r="AH564" s="27"/>
      <c r="AI564" s="27"/>
      <c r="AJ564" s="57"/>
      <c r="AK564" s="27"/>
      <c r="AL564" s="10"/>
      <c r="AM564" s="6"/>
      <c r="AN564" s="7"/>
      <c r="AO564" s="7"/>
      <c r="AP564" s="7"/>
      <c r="AQ564" s="7"/>
      <c r="AR564" s="7"/>
      <c r="AS564" s="7"/>
      <c r="AT564" s="7"/>
      <c r="AU564" s="7"/>
      <c r="AV564" s="7"/>
      <c r="AW564" s="7"/>
    </row>
    <row r="565" spans="1:49">
      <c r="A565" s="1">
        <v>389</v>
      </c>
      <c r="B565" s="5"/>
      <c r="C565" s="10"/>
      <c r="D565" s="5"/>
      <c r="E565" s="10"/>
      <c r="F565" s="43"/>
      <c r="G565" s="5"/>
      <c r="H565" s="5"/>
      <c r="I565" s="5"/>
      <c r="J565" s="5"/>
      <c r="K565" s="10"/>
      <c r="L565" s="10"/>
      <c r="M565" s="10"/>
      <c r="N565" s="5"/>
      <c r="O565" s="5"/>
      <c r="P565" s="5"/>
      <c r="Q565" s="5"/>
      <c r="R565" s="5"/>
      <c r="S565" s="5"/>
      <c r="T565" s="5"/>
      <c r="U565" s="5"/>
      <c r="V565" s="5"/>
      <c r="W565" s="5"/>
      <c r="X565" s="5"/>
      <c r="Y565" s="5"/>
      <c r="Z565" s="5"/>
      <c r="AA565" s="5"/>
      <c r="AB565" s="5"/>
      <c r="AC565" s="5"/>
      <c r="AD565" s="5"/>
      <c r="AE565" s="5"/>
      <c r="AF565" s="5"/>
      <c r="AG565" s="5"/>
      <c r="AH565" s="27"/>
      <c r="AI565" s="27"/>
      <c r="AJ565" s="57"/>
      <c r="AK565" s="27"/>
      <c r="AL565" s="10"/>
      <c r="AM565" s="6"/>
      <c r="AN565" s="7"/>
      <c r="AO565" s="7"/>
      <c r="AP565" s="7"/>
      <c r="AQ565" s="7"/>
      <c r="AR565" s="7"/>
      <c r="AS565" s="7"/>
      <c r="AT565" s="7"/>
      <c r="AU565" s="7"/>
      <c r="AV565" s="7"/>
      <c r="AW565" s="7"/>
    </row>
    <row r="566" spans="1:49">
      <c r="A566" s="1">
        <v>390</v>
      </c>
      <c r="B566" s="5"/>
      <c r="C566" s="10"/>
      <c r="D566" s="5"/>
      <c r="E566" s="10"/>
      <c r="F566" s="43"/>
      <c r="G566" s="5"/>
      <c r="H566" s="5"/>
      <c r="I566" s="5"/>
      <c r="J566" s="5"/>
      <c r="K566" s="10"/>
      <c r="L566" s="10"/>
      <c r="M566" s="10"/>
      <c r="N566" s="5"/>
      <c r="O566" s="5"/>
      <c r="P566" s="5"/>
      <c r="Q566" s="5"/>
      <c r="R566" s="5"/>
      <c r="S566" s="5"/>
      <c r="T566" s="5"/>
      <c r="U566" s="5"/>
      <c r="V566" s="5"/>
      <c r="W566" s="5"/>
      <c r="X566" s="5"/>
      <c r="Y566" s="5"/>
      <c r="Z566" s="5"/>
      <c r="AA566" s="5"/>
      <c r="AB566" s="5"/>
      <c r="AC566" s="5"/>
      <c r="AD566" s="5"/>
      <c r="AE566" s="5"/>
      <c r="AF566" s="5"/>
      <c r="AG566" s="5"/>
      <c r="AH566" s="27"/>
      <c r="AI566" s="27"/>
      <c r="AJ566" s="57"/>
      <c r="AK566" s="27"/>
      <c r="AL566" s="10"/>
      <c r="AM566" s="6"/>
      <c r="AN566" s="7"/>
      <c r="AO566" s="7"/>
      <c r="AP566" s="7"/>
      <c r="AQ566" s="7"/>
      <c r="AR566" s="7"/>
      <c r="AS566" s="7"/>
      <c r="AT566" s="7"/>
      <c r="AU566" s="7"/>
      <c r="AV566" s="7"/>
      <c r="AW566" s="7"/>
    </row>
    <row r="567" spans="1:49">
      <c r="A567" s="1">
        <v>391</v>
      </c>
      <c r="B567" s="5"/>
      <c r="C567" s="10"/>
      <c r="D567" s="5"/>
      <c r="E567" s="10"/>
      <c r="F567" s="43"/>
      <c r="G567" s="5"/>
      <c r="H567" s="5"/>
      <c r="I567" s="5"/>
      <c r="J567" s="5"/>
      <c r="K567" s="10"/>
      <c r="L567" s="10"/>
      <c r="M567" s="10"/>
      <c r="N567" s="5"/>
      <c r="O567" s="5"/>
      <c r="P567" s="5"/>
      <c r="Q567" s="5"/>
      <c r="R567" s="5"/>
      <c r="S567" s="5"/>
      <c r="T567" s="5"/>
      <c r="U567" s="5"/>
      <c r="V567" s="5"/>
      <c r="W567" s="5"/>
      <c r="X567" s="5"/>
      <c r="Y567" s="5"/>
      <c r="Z567" s="5"/>
      <c r="AA567" s="5"/>
      <c r="AB567" s="5"/>
      <c r="AC567" s="5"/>
      <c r="AD567" s="5"/>
      <c r="AE567" s="5"/>
      <c r="AF567" s="5"/>
      <c r="AG567" s="5"/>
      <c r="AH567" s="27"/>
      <c r="AI567" s="27"/>
      <c r="AJ567" s="57"/>
      <c r="AK567" s="27"/>
      <c r="AL567" s="10"/>
      <c r="AM567" s="6"/>
      <c r="AN567" s="7"/>
      <c r="AO567" s="7"/>
      <c r="AP567" s="7"/>
      <c r="AQ567" s="7"/>
      <c r="AR567" s="7"/>
      <c r="AS567" s="7"/>
      <c r="AT567" s="7"/>
      <c r="AU567" s="7"/>
      <c r="AV567" s="7"/>
      <c r="AW567" s="7"/>
    </row>
    <row r="568" spans="1:49">
      <c r="A568" s="1">
        <v>392</v>
      </c>
      <c r="B568" s="5"/>
      <c r="C568" s="10"/>
      <c r="D568" s="5"/>
      <c r="E568" s="10"/>
      <c r="F568" s="43"/>
      <c r="G568" s="5"/>
      <c r="H568" s="5"/>
      <c r="I568" s="5"/>
      <c r="J568" s="5"/>
      <c r="K568" s="10"/>
      <c r="L568" s="10"/>
      <c r="M568" s="10"/>
      <c r="N568" s="5"/>
      <c r="O568" s="5"/>
      <c r="P568" s="5"/>
      <c r="Q568" s="5"/>
      <c r="R568" s="5"/>
      <c r="S568" s="5"/>
      <c r="T568" s="5"/>
      <c r="U568" s="5"/>
      <c r="V568" s="5"/>
      <c r="W568" s="5"/>
      <c r="X568" s="5"/>
      <c r="Y568" s="5"/>
      <c r="Z568" s="5"/>
      <c r="AA568" s="5"/>
      <c r="AB568" s="5"/>
      <c r="AC568" s="5"/>
      <c r="AD568" s="5"/>
      <c r="AE568" s="5"/>
      <c r="AF568" s="5"/>
      <c r="AG568" s="5"/>
      <c r="AH568" s="27"/>
      <c r="AI568" s="27"/>
      <c r="AJ568" s="57"/>
      <c r="AK568" s="27"/>
      <c r="AL568" s="10"/>
      <c r="AM568" s="6"/>
      <c r="AN568" s="7"/>
      <c r="AO568" s="7"/>
      <c r="AP568" s="7"/>
      <c r="AQ568" s="7"/>
      <c r="AR568" s="7"/>
      <c r="AS568" s="7"/>
      <c r="AT568" s="7"/>
      <c r="AU568" s="7"/>
      <c r="AV568" s="7"/>
      <c r="AW568" s="7"/>
    </row>
    <row r="569" spans="1:49">
      <c r="A569" s="1">
        <v>393</v>
      </c>
      <c r="B569" s="5"/>
      <c r="C569" s="10"/>
      <c r="D569" s="5"/>
      <c r="E569" s="10"/>
      <c r="F569" s="43"/>
      <c r="G569" s="5"/>
      <c r="H569" s="5"/>
      <c r="I569" s="5"/>
      <c r="J569" s="5"/>
      <c r="K569" s="10"/>
      <c r="L569" s="10"/>
      <c r="M569" s="10"/>
      <c r="N569" s="5"/>
      <c r="O569" s="5"/>
      <c r="P569" s="5"/>
      <c r="Q569" s="5"/>
      <c r="R569" s="5"/>
      <c r="S569" s="5"/>
      <c r="T569" s="5"/>
      <c r="U569" s="5"/>
      <c r="V569" s="5"/>
      <c r="W569" s="5"/>
      <c r="X569" s="5"/>
      <c r="Y569" s="5"/>
      <c r="Z569" s="5"/>
      <c r="AA569" s="5"/>
      <c r="AB569" s="5"/>
      <c r="AC569" s="5"/>
      <c r="AD569" s="5"/>
      <c r="AE569" s="5"/>
      <c r="AF569" s="5"/>
      <c r="AG569" s="5"/>
      <c r="AH569" s="27"/>
      <c r="AI569" s="27"/>
      <c r="AJ569" s="57"/>
      <c r="AK569" s="27"/>
      <c r="AL569" s="10"/>
      <c r="AM569" s="6"/>
      <c r="AN569" s="7"/>
      <c r="AO569" s="7"/>
      <c r="AP569" s="7"/>
      <c r="AQ569" s="7"/>
      <c r="AR569" s="7"/>
      <c r="AS569" s="7"/>
      <c r="AT569" s="7"/>
      <c r="AU569" s="7"/>
      <c r="AV569" s="7"/>
      <c r="AW569" s="7"/>
    </row>
    <row r="570" spans="1:49">
      <c r="A570" s="1">
        <v>394</v>
      </c>
      <c r="B570" s="5"/>
      <c r="C570" s="10"/>
      <c r="D570" s="5"/>
      <c r="E570" s="10"/>
      <c r="F570" s="43"/>
      <c r="G570" s="5"/>
      <c r="H570" s="5"/>
      <c r="I570" s="5"/>
      <c r="J570" s="5"/>
      <c r="K570" s="10"/>
      <c r="L570" s="10"/>
      <c r="M570" s="10"/>
      <c r="N570" s="5"/>
      <c r="O570" s="5"/>
      <c r="P570" s="5"/>
      <c r="Q570" s="5"/>
      <c r="R570" s="5"/>
      <c r="S570" s="5"/>
      <c r="T570" s="5"/>
      <c r="U570" s="5"/>
      <c r="V570" s="5"/>
      <c r="W570" s="5"/>
      <c r="X570" s="5"/>
      <c r="Y570" s="5"/>
      <c r="Z570" s="5"/>
      <c r="AA570" s="5"/>
      <c r="AB570" s="5"/>
      <c r="AC570" s="5"/>
      <c r="AD570" s="5"/>
      <c r="AE570" s="5"/>
      <c r="AF570" s="5"/>
      <c r="AG570" s="5"/>
      <c r="AH570" s="27"/>
      <c r="AI570" s="27"/>
      <c r="AJ570" s="57"/>
      <c r="AK570" s="27"/>
      <c r="AL570" s="10"/>
      <c r="AM570" s="6"/>
      <c r="AN570" s="7"/>
      <c r="AO570" s="7"/>
      <c r="AP570" s="7"/>
      <c r="AQ570" s="7"/>
      <c r="AR570" s="7"/>
      <c r="AS570" s="7"/>
      <c r="AT570" s="7"/>
      <c r="AU570" s="7"/>
      <c r="AV570" s="7"/>
      <c r="AW570" s="7"/>
    </row>
    <row r="571" spans="1:49">
      <c r="A571" s="1">
        <v>395</v>
      </c>
      <c r="B571" s="5"/>
      <c r="C571" s="10"/>
      <c r="D571" s="5"/>
      <c r="E571" s="10"/>
      <c r="F571" s="43"/>
      <c r="G571" s="5"/>
      <c r="H571" s="5"/>
      <c r="I571" s="5"/>
      <c r="J571" s="5"/>
      <c r="K571" s="10"/>
      <c r="L571" s="10"/>
      <c r="M571" s="10"/>
      <c r="N571" s="5"/>
      <c r="O571" s="5"/>
      <c r="P571" s="5"/>
      <c r="Q571" s="5"/>
      <c r="R571" s="5"/>
      <c r="S571" s="5"/>
      <c r="T571" s="5"/>
      <c r="U571" s="5"/>
      <c r="V571" s="5"/>
      <c r="W571" s="5"/>
      <c r="X571" s="5"/>
      <c r="Y571" s="5"/>
      <c r="Z571" s="5"/>
      <c r="AA571" s="5"/>
      <c r="AB571" s="5"/>
      <c r="AC571" s="5"/>
      <c r="AD571" s="5"/>
      <c r="AE571" s="5"/>
      <c r="AF571" s="5"/>
      <c r="AG571" s="5"/>
      <c r="AH571" s="27"/>
      <c r="AI571" s="27"/>
      <c r="AJ571" s="57"/>
      <c r="AK571" s="27"/>
      <c r="AL571" s="10"/>
      <c r="AM571" s="6"/>
      <c r="AN571" s="7"/>
      <c r="AO571" s="7"/>
      <c r="AP571" s="7"/>
      <c r="AQ571" s="7"/>
      <c r="AR571" s="7"/>
      <c r="AS571" s="7"/>
      <c r="AT571" s="7"/>
      <c r="AU571" s="7"/>
      <c r="AV571" s="7"/>
      <c r="AW571" s="7"/>
    </row>
    <row r="572" spans="1:49">
      <c r="A572" s="1">
        <v>396</v>
      </c>
      <c r="B572" s="5"/>
      <c r="C572" s="10"/>
      <c r="D572" s="5"/>
      <c r="E572" s="10"/>
      <c r="F572" s="43"/>
      <c r="G572" s="5"/>
      <c r="H572" s="5"/>
      <c r="I572" s="5"/>
      <c r="J572" s="5"/>
      <c r="K572" s="10"/>
      <c r="L572" s="10"/>
      <c r="M572" s="10"/>
      <c r="N572" s="5"/>
      <c r="O572" s="5"/>
      <c r="P572" s="5"/>
      <c r="Q572" s="5"/>
      <c r="R572" s="5"/>
      <c r="S572" s="5"/>
      <c r="T572" s="5"/>
      <c r="U572" s="5"/>
      <c r="V572" s="5"/>
      <c r="W572" s="5"/>
      <c r="X572" s="5"/>
      <c r="Y572" s="5"/>
      <c r="Z572" s="5"/>
      <c r="AA572" s="5"/>
      <c r="AB572" s="5"/>
      <c r="AC572" s="5"/>
      <c r="AD572" s="5"/>
      <c r="AE572" s="5"/>
      <c r="AF572" s="5"/>
      <c r="AG572" s="5"/>
      <c r="AH572" s="27"/>
      <c r="AI572" s="27"/>
      <c r="AJ572" s="57"/>
      <c r="AK572" s="27"/>
      <c r="AL572" s="10"/>
      <c r="AM572" s="6"/>
      <c r="AN572" s="7"/>
      <c r="AO572" s="7"/>
      <c r="AP572" s="7"/>
      <c r="AQ572" s="7"/>
      <c r="AR572" s="7"/>
      <c r="AS572" s="7"/>
      <c r="AT572" s="7"/>
      <c r="AU572" s="7"/>
      <c r="AV572" s="7"/>
      <c r="AW572" s="7"/>
    </row>
    <row r="573" spans="1:49">
      <c r="A573" s="1">
        <v>397</v>
      </c>
      <c r="B573" s="5"/>
      <c r="C573" s="10"/>
      <c r="D573" s="5"/>
      <c r="E573" s="10"/>
      <c r="F573" s="43"/>
      <c r="G573" s="5"/>
      <c r="H573" s="5"/>
      <c r="I573" s="5"/>
      <c r="J573" s="5"/>
      <c r="K573" s="10"/>
      <c r="L573" s="10"/>
      <c r="M573" s="10"/>
      <c r="N573" s="5"/>
      <c r="O573" s="5"/>
      <c r="P573" s="5"/>
      <c r="Q573" s="5"/>
      <c r="R573" s="5"/>
      <c r="S573" s="5"/>
      <c r="T573" s="5"/>
      <c r="U573" s="5"/>
      <c r="V573" s="5"/>
      <c r="W573" s="5"/>
      <c r="X573" s="5"/>
      <c r="Y573" s="5"/>
      <c r="Z573" s="5"/>
      <c r="AA573" s="5"/>
      <c r="AB573" s="5"/>
      <c r="AC573" s="5"/>
      <c r="AD573" s="5"/>
      <c r="AE573" s="5"/>
      <c r="AF573" s="5"/>
      <c r="AG573" s="5"/>
      <c r="AH573" s="27"/>
      <c r="AI573" s="27"/>
      <c r="AJ573" s="57"/>
      <c r="AK573" s="27"/>
      <c r="AL573" s="10"/>
      <c r="AM573" s="6"/>
      <c r="AN573" s="7"/>
      <c r="AO573" s="7"/>
      <c r="AP573" s="7"/>
      <c r="AQ573" s="7"/>
      <c r="AR573" s="7"/>
      <c r="AS573" s="7"/>
      <c r="AT573" s="7"/>
      <c r="AU573" s="7"/>
      <c r="AV573" s="7"/>
      <c r="AW573" s="7"/>
    </row>
    <row r="574" spans="1:49">
      <c r="A574" s="1">
        <v>398</v>
      </c>
      <c r="B574" s="5"/>
      <c r="C574" s="10"/>
      <c r="D574" s="5"/>
      <c r="E574" s="10"/>
      <c r="F574" s="43"/>
      <c r="G574" s="5"/>
      <c r="H574" s="5"/>
      <c r="I574" s="5"/>
      <c r="J574" s="5"/>
      <c r="K574" s="10"/>
      <c r="L574" s="10"/>
      <c r="M574" s="10"/>
      <c r="N574" s="5"/>
      <c r="O574" s="5"/>
      <c r="P574" s="5"/>
      <c r="Q574" s="5"/>
      <c r="R574" s="5"/>
      <c r="S574" s="5"/>
      <c r="T574" s="5"/>
      <c r="U574" s="5"/>
      <c r="V574" s="5"/>
      <c r="W574" s="5"/>
      <c r="X574" s="5"/>
      <c r="Y574" s="5"/>
      <c r="Z574" s="5"/>
      <c r="AA574" s="5"/>
      <c r="AB574" s="5"/>
      <c r="AC574" s="5"/>
      <c r="AD574" s="5"/>
      <c r="AE574" s="5"/>
      <c r="AF574" s="5"/>
      <c r="AG574" s="5"/>
      <c r="AH574" s="27"/>
      <c r="AI574" s="27"/>
      <c r="AJ574" s="57"/>
      <c r="AK574" s="27"/>
      <c r="AL574" s="10"/>
      <c r="AM574" s="6"/>
      <c r="AN574" s="7"/>
      <c r="AO574" s="7"/>
      <c r="AP574" s="7"/>
      <c r="AQ574" s="7"/>
      <c r="AR574" s="7"/>
      <c r="AS574" s="7"/>
      <c r="AT574" s="7"/>
      <c r="AU574" s="7"/>
      <c r="AV574" s="7"/>
      <c r="AW574" s="7"/>
    </row>
    <row r="575" spans="1:49">
      <c r="A575" s="1">
        <v>399</v>
      </c>
      <c r="B575" s="5"/>
      <c r="C575" s="10"/>
      <c r="D575" s="5"/>
      <c r="E575" s="10"/>
      <c r="F575" s="43"/>
      <c r="G575" s="5"/>
      <c r="H575" s="5"/>
      <c r="I575" s="5"/>
      <c r="J575" s="5"/>
      <c r="K575" s="10"/>
      <c r="L575" s="10"/>
      <c r="M575" s="10"/>
      <c r="N575" s="5"/>
      <c r="O575" s="5"/>
      <c r="P575" s="5"/>
      <c r="Q575" s="5"/>
      <c r="R575" s="5"/>
      <c r="S575" s="5"/>
      <c r="T575" s="5"/>
      <c r="U575" s="5"/>
      <c r="V575" s="5"/>
      <c r="W575" s="5"/>
      <c r="X575" s="5"/>
      <c r="Y575" s="5"/>
      <c r="Z575" s="5"/>
      <c r="AA575" s="5"/>
      <c r="AB575" s="5"/>
      <c r="AC575" s="5"/>
      <c r="AD575" s="5"/>
      <c r="AE575" s="5"/>
      <c r="AF575" s="5"/>
      <c r="AG575" s="5"/>
      <c r="AH575" s="27"/>
      <c r="AI575" s="27"/>
      <c r="AJ575" s="57"/>
      <c r="AK575" s="27"/>
      <c r="AL575" s="10"/>
      <c r="AM575" s="6"/>
      <c r="AN575" s="7"/>
      <c r="AO575" s="7"/>
      <c r="AP575" s="7"/>
      <c r="AQ575" s="7"/>
      <c r="AR575" s="7"/>
      <c r="AS575" s="7"/>
      <c r="AT575" s="7"/>
      <c r="AU575" s="7"/>
      <c r="AV575" s="7"/>
      <c r="AW575" s="7"/>
    </row>
    <row r="576" spans="1:49">
      <c r="A576" s="1">
        <v>400</v>
      </c>
      <c r="B576" s="5"/>
      <c r="C576" s="10"/>
      <c r="D576" s="5"/>
      <c r="E576" s="10"/>
      <c r="F576" s="43"/>
      <c r="G576" s="5"/>
      <c r="H576" s="5"/>
      <c r="I576" s="5"/>
      <c r="J576" s="5"/>
      <c r="K576" s="10"/>
      <c r="L576" s="10"/>
      <c r="M576" s="10"/>
      <c r="N576" s="5"/>
      <c r="O576" s="5"/>
      <c r="P576" s="5"/>
      <c r="Q576" s="5"/>
      <c r="R576" s="5"/>
      <c r="S576" s="5"/>
      <c r="T576" s="5"/>
      <c r="U576" s="5"/>
      <c r="V576" s="5"/>
      <c r="W576" s="5"/>
      <c r="X576" s="5"/>
      <c r="Y576" s="5"/>
      <c r="Z576" s="5"/>
      <c r="AA576" s="5"/>
      <c r="AB576" s="5"/>
      <c r="AC576" s="5"/>
      <c r="AD576" s="5"/>
      <c r="AE576" s="5"/>
      <c r="AF576" s="5"/>
      <c r="AG576" s="5"/>
      <c r="AH576" s="27"/>
      <c r="AI576" s="27"/>
      <c r="AJ576" s="57"/>
      <c r="AK576" s="27"/>
      <c r="AL576" s="10"/>
      <c r="AM576" s="6"/>
      <c r="AN576" s="7"/>
      <c r="AO576" s="7"/>
      <c r="AP576" s="7"/>
      <c r="AQ576" s="7"/>
      <c r="AR576" s="7"/>
      <c r="AS576" s="7"/>
      <c r="AT576" s="7"/>
      <c r="AU576" s="7"/>
      <c r="AV576" s="7"/>
      <c r="AW576" s="7"/>
    </row>
    <row r="577" spans="1:49">
      <c r="A577" s="1">
        <v>401</v>
      </c>
      <c r="B577" s="5"/>
      <c r="C577" s="10"/>
      <c r="D577" s="5"/>
      <c r="E577" s="10"/>
      <c r="F577" s="43"/>
      <c r="G577" s="5"/>
      <c r="H577" s="5"/>
      <c r="I577" s="5"/>
      <c r="J577" s="5"/>
      <c r="K577" s="10"/>
      <c r="L577" s="10"/>
      <c r="M577" s="10"/>
      <c r="N577" s="5"/>
      <c r="O577" s="5"/>
      <c r="P577" s="5"/>
      <c r="Q577" s="5"/>
      <c r="R577" s="5"/>
      <c r="S577" s="5"/>
      <c r="T577" s="5"/>
      <c r="U577" s="5"/>
      <c r="V577" s="5"/>
      <c r="W577" s="5"/>
      <c r="X577" s="5"/>
      <c r="Y577" s="5"/>
      <c r="Z577" s="5"/>
      <c r="AA577" s="5"/>
      <c r="AB577" s="5"/>
      <c r="AC577" s="5"/>
      <c r="AD577" s="5"/>
      <c r="AE577" s="5"/>
      <c r="AF577" s="5"/>
      <c r="AG577" s="5"/>
      <c r="AH577" s="27"/>
      <c r="AI577" s="27"/>
      <c r="AJ577" s="57"/>
      <c r="AK577" s="27"/>
      <c r="AL577" s="10"/>
      <c r="AM577" s="6"/>
      <c r="AN577" s="7"/>
      <c r="AO577" s="7"/>
      <c r="AP577" s="7"/>
      <c r="AQ577" s="7"/>
      <c r="AR577" s="7"/>
      <c r="AS577" s="7"/>
      <c r="AT577" s="7"/>
      <c r="AU577" s="7"/>
      <c r="AV577" s="7"/>
      <c r="AW577" s="7"/>
    </row>
    <row r="578" spans="1:49">
      <c r="A578" s="1">
        <v>402</v>
      </c>
      <c r="B578" s="5"/>
      <c r="C578" s="10"/>
      <c r="D578" s="5"/>
      <c r="E578" s="10"/>
      <c r="F578" s="43"/>
      <c r="G578" s="5"/>
      <c r="H578" s="5"/>
      <c r="I578" s="5"/>
      <c r="J578" s="5"/>
      <c r="K578" s="10"/>
      <c r="L578" s="10"/>
      <c r="M578" s="10"/>
      <c r="N578" s="5"/>
      <c r="O578" s="5"/>
      <c r="P578" s="5"/>
      <c r="Q578" s="5"/>
      <c r="R578" s="5"/>
      <c r="S578" s="5"/>
      <c r="T578" s="5"/>
      <c r="U578" s="5"/>
      <c r="V578" s="5"/>
      <c r="W578" s="5"/>
      <c r="X578" s="5"/>
      <c r="Y578" s="5"/>
      <c r="Z578" s="5"/>
      <c r="AA578" s="5"/>
      <c r="AB578" s="5"/>
      <c r="AC578" s="5"/>
      <c r="AD578" s="5"/>
      <c r="AE578" s="5"/>
      <c r="AF578" s="5"/>
      <c r="AG578" s="5"/>
      <c r="AH578" s="27"/>
      <c r="AI578" s="27"/>
      <c r="AJ578" s="57"/>
      <c r="AK578" s="27"/>
      <c r="AL578" s="10"/>
      <c r="AM578" s="6"/>
      <c r="AN578" s="7"/>
      <c r="AO578" s="7"/>
      <c r="AP578" s="7"/>
      <c r="AQ578" s="7"/>
      <c r="AR578" s="7"/>
      <c r="AS578" s="7"/>
      <c r="AT578" s="7"/>
      <c r="AU578" s="7"/>
      <c r="AV578" s="7"/>
      <c r="AW578" s="7"/>
    </row>
    <row r="579" spans="1:49">
      <c r="A579" s="1">
        <v>403</v>
      </c>
      <c r="B579" s="5"/>
      <c r="C579" s="10"/>
      <c r="D579" s="5"/>
      <c r="E579" s="10"/>
      <c r="F579" s="43"/>
      <c r="G579" s="5"/>
      <c r="H579" s="5"/>
      <c r="I579" s="5"/>
      <c r="J579" s="5"/>
      <c r="K579" s="10"/>
      <c r="L579" s="10"/>
      <c r="M579" s="10"/>
      <c r="N579" s="5"/>
      <c r="O579" s="5"/>
      <c r="P579" s="5"/>
      <c r="Q579" s="5"/>
      <c r="R579" s="5"/>
      <c r="S579" s="5"/>
      <c r="T579" s="5"/>
      <c r="U579" s="5"/>
      <c r="V579" s="5"/>
      <c r="W579" s="5"/>
      <c r="X579" s="5"/>
      <c r="Y579" s="5"/>
      <c r="Z579" s="5"/>
      <c r="AA579" s="5"/>
      <c r="AB579" s="5"/>
      <c r="AC579" s="5"/>
      <c r="AD579" s="5"/>
      <c r="AE579" s="5"/>
      <c r="AF579" s="5"/>
      <c r="AG579" s="5"/>
      <c r="AH579" s="27"/>
      <c r="AI579" s="27"/>
      <c r="AJ579" s="57"/>
      <c r="AK579" s="27"/>
      <c r="AL579" s="10"/>
      <c r="AM579" s="6"/>
      <c r="AN579" s="7"/>
      <c r="AO579" s="7"/>
      <c r="AP579" s="7"/>
      <c r="AQ579" s="7"/>
      <c r="AR579" s="7"/>
      <c r="AS579" s="7"/>
      <c r="AT579" s="7"/>
      <c r="AU579" s="7"/>
      <c r="AV579" s="7"/>
      <c r="AW579" s="7"/>
    </row>
    <row r="580" spans="1:49">
      <c r="A580" s="1">
        <v>404</v>
      </c>
      <c r="B580" s="5"/>
      <c r="C580" s="10"/>
      <c r="D580" s="5"/>
      <c r="E580" s="10"/>
      <c r="F580" s="43"/>
      <c r="G580" s="5"/>
      <c r="H580" s="5"/>
      <c r="I580" s="5"/>
      <c r="J580" s="5"/>
      <c r="K580" s="10"/>
      <c r="L580" s="10"/>
      <c r="M580" s="10"/>
      <c r="N580" s="5"/>
      <c r="O580" s="5"/>
      <c r="P580" s="5"/>
      <c r="Q580" s="5"/>
      <c r="R580" s="5"/>
      <c r="S580" s="5"/>
      <c r="T580" s="5"/>
      <c r="U580" s="5"/>
      <c r="V580" s="5"/>
      <c r="W580" s="5"/>
      <c r="X580" s="5"/>
      <c r="Y580" s="5"/>
      <c r="Z580" s="5"/>
      <c r="AA580" s="5"/>
      <c r="AB580" s="5"/>
      <c r="AC580" s="5"/>
      <c r="AD580" s="5"/>
      <c r="AE580" s="5"/>
      <c r="AF580" s="5"/>
      <c r="AG580" s="5"/>
      <c r="AH580" s="27"/>
      <c r="AI580" s="27"/>
      <c r="AJ580" s="57"/>
      <c r="AK580" s="27"/>
      <c r="AL580" s="10"/>
      <c r="AM580" s="6"/>
      <c r="AN580" s="7"/>
      <c r="AO580" s="7"/>
      <c r="AP580" s="7"/>
      <c r="AQ580" s="7"/>
      <c r="AR580" s="7"/>
      <c r="AS580" s="7"/>
      <c r="AT580" s="7"/>
      <c r="AU580" s="7"/>
      <c r="AV580" s="7"/>
      <c r="AW580" s="7"/>
    </row>
    <row r="581" spans="1:49">
      <c r="A581" s="1">
        <v>405</v>
      </c>
      <c r="B581" s="5"/>
      <c r="C581" s="10"/>
      <c r="D581" s="5"/>
      <c r="E581" s="10"/>
      <c r="F581" s="43"/>
      <c r="G581" s="5"/>
      <c r="H581" s="5"/>
      <c r="I581" s="5"/>
      <c r="J581" s="5"/>
      <c r="K581" s="10"/>
      <c r="L581" s="10"/>
      <c r="M581" s="10"/>
      <c r="N581" s="5"/>
      <c r="O581" s="5"/>
      <c r="P581" s="5"/>
      <c r="Q581" s="5"/>
      <c r="R581" s="5"/>
      <c r="S581" s="5"/>
      <c r="T581" s="5"/>
      <c r="U581" s="5"/>
      <c r="V581" s="5"/>
      <c r="W581" s="5"/>
      <c r="X581" s="5"/>
      <c r="Y581" s="5"/>
      <c r="Z581" s="5"/>
      <c r="AA581" s="5"/>
      <c r="AB581" s="5"/>
      <c r="AC581" s="5"/>
      <c r="AD581" s="5"/>
      <c r="AE581" s="5"/>
      <c r="AF581" s="5"/>
      <c r="AG581" s="5"/>
      <c r="AH581" s="27"/>
      <c r="AI581" s="27"/>
      <c r="AJ581" s="57"/>
      <c r="AK581" s="27"/>
      <c r="AL581" s="10"/>
      <c r="AM581" s="6"/>
      <c r="AN581" s="7"/>
      <c r="AO581" s="7"/>
      <c r="AP581" s="7"/>
      <c r="AQ581" s="7"/>
      <c r="AR581" s="7"/>
      <c r="AS581" s="7"/>
      <c r="AT581" s="7"/>
      <c r="AU581" s="7"/>
      <c r="AV581" s="7"/>
      <c r="AW581" s="7"/>
    </row>
    <row r="582" spans="1:49">
      <c r="A582" s="1">
        <v>406</v>
      </c>
      <c r="B582" s="5"/>
      <c r="C582" s="10"/>
      <c r="D582" s="5"/>
      <c r="E582" s="10"/>
      <c r="F582" s="43"/>
      <c r="G582" s="5"/>
      <c r="H582" s="5"/>
      <c r="I582" s="5"/>
      <c r="J582" s="5"/>
      <c r="K582" s="10"/>
      <c r="L582" s="10"/>
      <c r="M582" s="10"/>
      <c r="N582" s="5"/>
      <c r="O582" s="5"/>
      <c r="P582" s="5"/>
      <c r="Q582" s="5"/>
      <c r="R582" s="5"/>
      <c r="S582" s="5"/>
      <c r="T582" s="5"/>
      <c r="U582" s="5"/>
      <c r="V582" s="5"/>
      <c r="W582" s="5"/>
      <c r="X582" s="5"/>
      <c r="Y582" s="5"/>
      <c r="Z582" s="5"/>
      <c r="AA582" s="5"/>
      <c r="AB582" s="5"/>
      <c r="AC582" s="5"/>
      <c r="AD582" s="5"/>
      <c r="AE582" s="5"/>
      <c r="AF582" s="5"/>
      <c r="AG582" s="5"/>
      <c r="AH582" s="27"/>
      <c r="AI582" s="27"/>
      <c r="AJ582" s="57"/>
      <c r="AK582" s="27"/>
      <c r="AL582" s="10"/>
      <c r="AM582" s="6"/>
      <c r="AN582" s="7"/>
      <c r="AO582" s="7"/>
      <c r="AP582" s="7"/>
      <c r="AQ582" s="7"/>
      <c r="AR582" s="7"/>
      <c r="AS582" s="7"/>
      <c r="AT582" s="7"/>
      <c r="AU582" s="7"/>
      <c r="AV582" s="7"/>
      <c r="AW582" s="7"/>
    </row>
    <row r="583" spans="1:49">
      <c r="A583" s="1">
        <v>407</v>
      </c>
      <c r="B583" s="5"/>
      <c r="C583" s="10"/>
      <c r="D583" s="5"/>
      <c r="E583" s="10"/>
      <c r="F583" s="43"/>
      <c r="G583" s="5"/>
      <c r="H583" s="5"/>
      <c r="I583" s="5"/>
      <c r="J583" s="5"/>
      <c r="K583" s="10"/>
      <c r="L583" s="10"/>
      <c r="M583" s="10"/>
      <c r="N583" s="5"/>
      <c r="O583" s="5"/>
      <c r="P583" s="5"/>
      <c r="Q583" s="5"/>
      <c r="R583" s="5"/>
      <c r="S583" s="5"/>
      <c r="T583" s="5"/>
      <c r="U583" s="5"/>
      <c r="V583" s="5"/>
      <c r="W583" s="5"/>
      <c r="X583" s="5"/>
      <c r="Y583" s="5"/>
      <c r="Z583" s="5"/>
      <c r="AA583" s="5"/>
      <c r="AB583" s="5"/>
      <c r="AC583" s="5"/>
      <c r="AD583" s="5"/>
      <c r="AE583" s="5"/>
      <c r="AF583" s="5"/>
      <c r="AG583" s="5"/>
      <c r="AH583" s="27"/>
      <c r="AI583" s="27"/>
      <c r="AJ583" s="57"/>
      <c r="AK583" s="27"/>
      <c r="AL583" s="10"/>
      <c r="AM583" s="6"/>
      <c r="AN583" s="7"/>
      <c r="AO583" s="7"/>
      <c r="AP583" s="7"/>
      <c r="AQ583" s="7"/>
      <c r="AR583" s="7"/>
      <c r="AS583" s="7"/>
      <c r="AT583" s="7"/>
      <c r="AU583" s="7"/>
      <c r="AV583" s="7"/>
      <c r="AW583" s="7"/>
    </row>
    <row r="584" spans="1:49">
      <c r="A584" s="1">
        <v>408</v>
      </c>
      <c r="B584" s="5"/>
      <c r="C584" s="10"/>
      <c r="D584" s="5"/>
      <c r="E584" s="10"/>
      <c r="F584" s="43"/>
      <c r="G584" s="5"/>
      <c r="H584" s="5"/>
      <c r="I584" s="5"/>
      <c r="J584" s="5"/>
      <c r="K584" s="10"/>
      <c r="L584" s="10"/>
      <c r="M584" s="10"/>
      <c r="N584" s="5"/>
      <c r="O584" s="5"/>
      <c r="P584" s="5"/>
      <c r="Q584" s="5"/>
      <c r="R584" s="5"/>
      <c r="S584" s="5"/>
      <c r="T584" s="5"/>
      <c r="U584" s="5"/>
      <c r="V584" s="5"/>
      <c r="W584" s="5"/>
      <c r="X584" s="5"/>
      <c r="Y584" s="5"/>
      <c r="Z584" s="5"/>
      <c r="AA584" s="5"/>
      <c r="AB584" s="5"/>
      <c r="AC584" s="5"/>
      <c r="AD584" s="5"/>
      <c r="AE584" s="5"/>
      <c r="AF584" s="5"/>
      <c r="AG584" s="5"/>
      <c r="AH584" s="27"/>
      <c r="AI584" s="27"/>
      <c r="AJ584" s="57"/>
      <c r="AK584" s="27"/>
      <c r="AL584" s="10"/>
      <c r="AM584" s="6"/>
      <c r="AN584" s="7"/>
      <c r="AO584" s="7"/>
      <c r="AP584" s="7"/>
      <c r="AQ584" s="7"/>
      <c r="AR584" s="7"/>
      <c r="AS584" s="7"/>
      <c r="AT584" s="7"/>
      <c r="AU584" s="7"/>
      <c r="AV584" s="7"/>
      <c r="AW584" s="7"/>
    </row>
    <row r="585" spans="1:49">
      <c r="A585" s="1">
        <v>409</v>
      </c>
      <c r="B585" s="5"/>
      <c r="C585" s="10"/>
      <c r="D585" s="5"/>
      <c r="E585" s="10"/>
      <c r="F585" s="43"/>
      <c r="G585" s="5"/>
      <c r="H585" s="5"/>
      <c r="I585" s="5"/>
      <c r="J585" s="5"/>
      <c r="K585" s="10"/>
      <c r="L585" s="10"/>
      <c r="M585" s="10"/>
      <c r="N585" s="5"/>
      <c r="O585" s="5"/>
      <c r="P585" s="5"/>
      <c r="Q585" s="5"/>
      <c r="R585" s="5"/>
      <c r="S585" s="5"/>
      <c r="T585" s="5"/>
      <c r="U585" s="5"/>
      <c r="V585" s="5"/>
      <c r="W585" s="5"/>
      <c r="X585" s="5"/>
      <c r="Y585" s="5"/>
      <c r="Z585" s="5"/>
      <c r="AA585" s="5"/>
      <c r="AB585" s="5"/>
      <c r="AC585" s="5"/>
      <c r="AD585" s="5"/>
      <c r="AE585" s="5"/>
      <c r="AF585" s="5"/>
      <c r="AG585" s="5"/>
      <c r="AH585" s="27"/>
      <c r="AI585" s="27"/>
      <c r="AJ585" s="57"/>
      <c r="AK585" s="27"/>
      <c r="AL585" s="10"/>
      <c r="AM585" s="6"/>
      <c r="AN585" s="7"/>
      <c r="AO585" s="7"/>
      <c r="AP585" s="7"/>
      <c r="AQ585" s="7"/>
      <c r="AR585" s="7"/>
      <c r="AS585" s="7"/>
      <c r="AT585" s="7"/>
      <c r="AU585" s="7"/>
      <c r="AV585" s="7"/>
      <c r="AW585" s="7"/>
    </row>
    <row r="586" spans="1:49">
      <c r="A586" s="1">
        <v>410</v>
      </c>
      <c r="B586" s="5"/>
      <c r="C586" s="10"/>
      <c r="D586" s="5"/>
      <c r="E586" s="10"/>
      <c r="F586" s="43"/>
      <c r="G586" s="5"/>
      <c r="H586" s="5"/>
      <c r="I586" s="5"/>
      <c r="J586" s="5"/>
      <c r="K586" s="10"/>
      <c r="L586" s="10"/>
      <c r="M586" s="10"/>
      <c r="N586" s="5"/>
      <c r="O586" s="5"/>
      <c r="P586" s="5"/>
      <c r="Q586" s="5"/>
      <c r="R586" s="5"/>
      <c r="S586" s="5"/>
      <c r="T586" s="5"/>
      <c r="U586" s="5"/>
      <c r="V586" s="5"/>
      <c r="W586" s="5"/>
      <c r="X586" s="5"/>
      <c r="Y586" s="5"/>
      <c r="Z586" s="5"/>
      <c r="AA586" s="5"/>
      <c r="AB586" s="5"/>
      <c r="AC586" s="5"/>
      <c r="AD586" s="5"/>
      <c r="AE586" s="5"/>
      <c r="AF586" s="5"/>
      <c r="AG586" s="5"/>
      <c r="AH586" s="27"/>
      <c r="AI586" s="27"/>
      <c r="AJ586" s="57"/>
      <c r="AK586" s="27"/>
      <c r="AL586" s="10"/>
      <c r="AM586" s="6"/>
      <c r="AN586" s="7"/>
      <c r="AO586" s="7"/>
      <c r="AP586" s="7"/>
      <c r="AQ586" s="7"/>
      <c r="AR586" s="7"/>
      <c r="AS586" s="7"/>
      <c r="AT586" s="7"/>
      <c r="AU586" s="7"/>
      <c r="AV586" s="7"/>
      <c r="AW586" s="7"/>
    </row>
    <row r="587" spans="1:49">
      <c r="A587" s="1">
        <v>411</v>
      </c>
      <c r="B587" s="5"/>
      <c r="C587" s="10"/>
      <c r="D587" s="5"/>
      <c r="E587" s="10"/>
      <c r="F587" s="43"/>
      <c r="G587" s="5"/>
      <c r="H587" s="5"/>
      <c r="I587" s="5"/>
      <c r="J587" s="5"/>
      <c r="K587" s="10"/>
      <c r="L587" s="10"/>
      <c r="M587" s="10"/>
      <c r="N587" s="5"/>
      <c r="O587" s="5"/>
      <c r="P587" s="5"/>
      <c r="Q587" s="5"/>
      <c r="R587" s="5"/>
      <c r="S587" s="5"/>
      <c r="T587" s="5"/>
      <c r="U587" s="5"/>
      <c r="V587" s="5"/>
      <c r="W587" s="5"/>
      <c r="X587" s="5"/>
      <c r="Y587" s="5"/>
      <c r="Z587" s="5"/>
      <c r="AA587" s="5"/>
      <c r="AB587" s="5"/>
      <c r="AC587" s="5"/>
      <c r="AD587" s="5"/>
      <c r="AE587" s="5"/>
      <c r="AF587" s="5"/>
      <c r="AG587" s="5"/>
      <c r="AH587" s="27"/>
      <c r="AI587" s="27"/>
      <c r="AJ587" s="57"/>
      <c r="AK587" s="27"/>
      <c r="AL587" s="10"/>
      <c r="AM587" s="6"/>
      <c r="AN587" s="7"/>
      <c r="AO587" s="7"/>
      <c r="AP587" s="7"/>
      <c r="AQ587" s="7"/>
      <c r="AR587" s="7"/>
      <c r="AS587" s="7"/>
      <c r="AT587" s="7"/>
      <c r="AU587" s="7"/>
      <c r="AV587" s="7"/>
      <c r="AW587" s="7"/>
    </row>
    <row r="588" spans="1:49">
      <c r="A588" s="1">
        <v>412</v>
      </c>
      <c r="B588" s="5"/>
      <c r="C588" s="10"/>
      <c r="D588" s="5"/>
      <c r="E588" s="10"/>
      <c r="F588" s="43"/>
      <c r="G588" s="5"/>
      <c r="H588" s="5"/>
      <c r="I588" s="5"/>
      <c r="J588" s="5"/>
      <c r="K588" s="10"/>
      <c r="L588" s="10"/>
      <c r="M588" s="10"/>
      <c r="N588" s="5"/>
      <c r="O588" s="5"/>
      <c r="P588" s="5"/>
      <c r="Q588" s="5"/>
      <c r="R588" s="5"/>
      <c r="S588" s="5"/>
      <c r="T588" s="5"/>
      <c r="U588" s="5"/>
      <c r="V588" s="5"/>
      <c r="W588" s="5"/>
      <c r="X588" s="5"/>
      <c r="Y588" s="5"/>
      <c r="Z588" s="5"/>
      <c r="AA588" s="5"/>
      <c r="AB588" s="5"/>
      <c r="AC588" s="5"/>
      <c r="AD588" s="5"/>
      <c r="AE588" s="5"/>
      <c r="AF588" s="5"/>
      <c r="AG588" s="5"/>
      <c r="AH588" s="27"/>
      <c r="AI588" s="27"/>
      <c r="AJ588" s="57"/>
      <c r="AK588" s="27"/>
      <c r="AL588" s="10"/>
      <c r="AM588" s="6"/>
      <c r="AN588" s="7"/>
      <c r="AO588" s="7"/>
      <c r="AP588" s="7"/>
      <c r="AQ588" s="7"/>
      <c r="AR588" s="7"/>
      <c r="AS588" s="7"/>
      <c r="AT588" s="7"/>
      <c r="AU588" s="7"/>
      <c r="AV588" s="7"/>
      <c r="AW588" s="7"/>
    </row>
    <row r="589" spans="1:49">
      <c r="A589" s="1">
        <v>413</v>
      </c>
      <c r="B589" s="5"/>
      <c r="C589" s="10"/>
      <c r="D589" s="5"/>
      <c r="E589" s="10"/>
      <c r="F589" s="43"/>
      <c r="G589" s="5"/>
      <c r="H589" s="5"/>
      <c r="I589" s="5"/>
      <c r="J589" s="5"/>
      <c r="K589" s="10"/>
      <c r="L589" s="10"/>
      <c r="M589" s="10"/>
      <c r="N589" s="5"/>
      <c r="O589" s="5"/>
      <c r="P589" s="5"/>
      <c r="Q589" s="5"/>
      <c r="R589" s="5"/>
      <c r="S589" s="5"/>
      <c r="T589" s="5"/>
      <c r="U589" s="5"/>
      <c r="V589" s="5"/>
      <c r="W589" s="5"/>
      <c r="X589" s="5"/>
      <c r="Y589" s="5"/>
      <c r="Z589" s="5"/>
      <c r="AA589" s="5"/>
      <c r="AB589" s="5"/>
      <c r="AC589" s="5"/>
      <c r="AD589" s="5"/>
      <c r="AE589" s="5"/>
      <c r="AF589" s="5"/>
      <c r="AG589" s="5"/>
      <c r="AH589" s="27"/>
      <c r="AI589" s="27"/>
      <c r="AJ589" s="57"/>
      <c r="AK589" s="27"/>
      <c r="AL589" s="10"/>
      <c r="AM589" s="6"/>
      <c r="AN589" s="7"/>
      <c r="AO589" s="7"/>
      <c r="AP589" s="7"/>
      <c r="AQ589" s="7"/>
      <c r="AR589" s="7"/>
      <c r="AS589" s="7"/>
      <c r="AT589" s="7"/>
      <c r="AU589" s="7"/>
      <c r="AV589" s="7"/>
      <c r="AW589" s="7"/>
    </row>
    <row r="590" spans="1:49">
      <c r="A590" s="1">
        <v>414</v>
      </c>
      <c r="B590" s="5"/>
      <c r="C590" s="10"/>
      <c r="D590" s="5"/>
      <c r="E590" s="10"/>
      <c r="F590" s="43"/>
      <c r="G590" s="5"/>
      <c r="H590" s="5"/>
      <c r="I590" s="5"/>
      <c r="J590" s="5"/>
      <c r="K590" s="10"/>
      <c r="L590" s="10"/>
      <c r="M590" s="10"/>
      <c r="N590" s="5"/>
      <c r="O590" s="5"/>
      <c r="P590" s="5"/>
      <c r="Q590" s="5"/>
      <c r="R590" s="5"/>
      <c r="S590" s="5"/>
      <c r="T590" s="5"/>
      <c r="U590" s="5"/>
      <c r="V590" s="5"/>
      <c r="W590" s="5"/>
      <c r="X590" s="5"/>
      <c r="Y590" s="5"/>
      <c r="Z590" s="5"/>
      <c r="AA590" s="5"/>
      <c r="AB590" s="5"/>
      <c r="AC590" s="5"/>
      <c r="AD590" s="5"/>
      <c r="AE590" s="5"/>
      <c r="AF590" s="5"/>
      <c r="AG590" s="5"/>
      <c r="AH590" s="27"/>
      <c r="AI590" s="27"/>
      <c r="AJ590" s="57"/>
      <c r="AK590" s="27"/>
      <c r="AL590" s="10"/>
      <c r="AM590" s="6"/>
      <c r="AN590" s="7"/>
      <c r="AO590" s="7"/>
      <c r="AP590" s="7"/>
      <c r="AQ590" s="7"/>
      <c r="AR590" s="7"/>
      <c r="AS590" s="7"/>
      <c r="AT590" s="7"/>
      <c r="AU590" s="7"/>
      <c r="AV590" s="7"/>
      <c r="AW590" s="7"/>
    </row>
    <row r="591" spans="1:49">
      <c r="A591" s="1">
        <v>415</v>
      </c>
      <c r="B591" s="5"/>
      <c r="C591" s="10"/>
      <c r="D591" s="5"/>
      <c r="E591" s="10"/>
      <c r="F591" s="43"/>
      <c r="G591" s="5"/>
      <c r="H591" s="5"/>
      <c r="I591" s="5"/>
      <c r="J591" s="5"/>
      <c r="K591" s="10"/>
      <c r="L591" s="10"/>
      <c r="M591" s="10"/>
      <c r="N591" s="5"/>
      <c r="O591" s="5"/>
      <c r="P591" s="5"/>
      <c r="Q591" s="5"/>
      <c r="R591" s="5"/>
      <c r="S591" s="5"/>
      <c r="T591" s="5"/>
      <c r="U591" s="5"/>
      <c r="V591" s="5"/>
      <c r="W591" s="5"/>
      <c r="X591" s="5"/>
      <c r="Y591" s="5"/>
      <c r="Z591" s="5"/>
      <c r="AA591" s="5"/>
      <c r="AB591" s="5"/>
      <c r="AC591" s="5"/>
      <c r="AD591" s="5"/>
      <c r="AE591" s="5"/>
      <c r="AF591" s="5"/>
      <c r="AG591" s="5"/>
      <c r="AH591" s="27"/>
      <c r="AI591" s="27"/>
      <c r="AJ591" s="57"/>
      <c r="AK591" s="27"/>
      <c r="AL591" s="10"/>
      <c r="AM591" s="6"/>
      <c r="AN591" s="7"/>
      <c r="AO591" s="7"/>
      <c r="AP591" s="7"/>
      <c r="AQ591" s="7"/>
      <c r="AR591" s="7"/>
      <c r="AS591" s="7"/>
      <c r="AT591" s="7"/>
      <c r="AU591" s="7"/>
      <c r="AV591" s="7"/>
      <c r="AW591" s="7"/>
    </row>
    <row r="592" spans="1:49">
      <c r="A592" s="1">
        <v>416</v>
      </c>
      <c r="B592" s="5"/>
      <c r="C592" s="10"/>
      <c r="D592" s="5"/>
      <c r="E592" s="10"/>
      <c r="F592" s="43"/>
      <c r="G592" s="5"/>
      <c r="H592" s="5"/>
      <c r="I592" s="5"/>
      <c r="J592" s="5"/>
      <c r="K592" s="10"/>
      <c r="L592" s="10"/>
      <c r="M592" s="10"/>
      <c r="N592" s="5"/>
      <c r="O592" s="5"/>
      <c r="P592" s="5"/>
      <c r="Q592" s="5"/>
      <c r="R592" s="5"/>
      <c r="S592" s="5"/>
      <c r="T592" s="5"/>
      <c r="U592" s="5"/>
      <c r="V592" s="5"/>
      <c r="W592" s="5"/>
      <c r="X592" s="5"/>
      <c r="Y592" s="5"/>
      <c r="Z592" s="5"/>
      <c r="AA592" s="5"/>
      <c r="AB592" s="5"/>
      <c r="AC592" s="5"/>
      <c r="AD592" s="5"/>
      <c r="AE592" s="5"/>
      <c r="AF592" s="5"/>
      <c r="AG592" s="5"/>
      <c r="AH592" s="27"/>
      <c r="AI592" s="27"/>
      <c r="AJ592" s="57"/>
      <c r="AK592" s="27"/>
      <c r="AL592" s="10"/>
      <c r="AM592" s="6"/>
      <c r="AN592" s="7"/>
      <c r="AO592" s="7"/>
      <c r="AP592" s="7"/>
      <c r="AQ592" s="7"/>
      <c r="AR592" s="7"/>
      <c r="AS592" s="7"/>
      <c r="AT592" s="7"/>
      <c r="AU592" s="7"/>
      <c r="AV592" s="7"/>
      <c r="AW592" s="7"/>
    </row>
    <row r="593" spans="1:49">
      <c r="A593" s="1">
        <v>417</v>
      </c>
      <c r="B593" s="5"/>
      <c r="C593" s="10"/>
      <c r="D593" s="5"/>
      <c r="E593" s="10"/>
      <c r="F593" s="43"/>
      <c r="G593" s="5"/>
      <c r="H593" s="5"/>
      <c r="I593" s="5"/>
      <c r="J593" s="5"/>
      <c r="K593" s="10"/>
      <c r="L593" s="10"/>
      <c r="M593" s="10"/>
      <c r="N593" s="5"/>
      <c r="O593" s="5"/>
      <c r="P593" s="5"/>
      <c r="Q593" s="5"/>
      <c r="R593" s="5"/>
      <c r="S593" s="5"/>
      <c r="T593" s="5"/>
      <c r="U593" s="5"/>
      <c r="V593" s="5"/>
      <c r="W593" s="5"/>
      <c r="X593" s="5"/>
      <c r="Y593" s="5"/>
      <c r="Z593" s="5"/>
      <c r="AA593" s="5"/>
      <c r="AB593" s="5"/>
      <c r="AC593" s="5"/>
      <c r="AD593" s="5"/>
      <c r="AE593" s="5"/>
      <c r="AF593" s="5"/>
      <c r="AG593" s="5"/>
      <c r="AH593" s="27"/>
      <c r="AI593" s="27"/>
      <c r="AJ593" s="57"/>
      <c r="AK593" s="27"/>
      <c r="AL593" s="10"/>
      <c r="AM593" s="6"/>
      <c r="AN593" s="7"/>
      <c r="AO593" s="7"/>
      <c r="AP593" s="7"/>
      <c r="AQ593" s="7"/>
      <c r="AR593" s="7"/>
      <c r="AS593" s="7"/>
      <c r="AT593" s="7"/>
      <c r="AU593" s="7"/>
      <c r="AV593" s="7"/>
      <c r="AW593" s="7"/>
    </row>
    <row r="594" spans="1:49">
      <c r="A594" s="1">
        <v>418</v>
      </c>
      <c r="B594" s="5"/>
      <c r="C594" s="10"/>
      <c r="D594" s="5"/>
      <c r="E594" s="10"/>
      <c r="F594" s="43"/>
      <c r="G594" s="5"/>
      <c r="H594" s="5"/>
      <c r="I594" s="5"/>
      <c r="J594" s="5"/>
      <c r="K594" s="10"/>
      <c r="L594" s="10"/>
      <c r="M594" s="10"/>
      <c r="N594" s="5"/>
      <c r="O594" s="5"/>
      <c r="P594" s="5"/>
      <c r="Q594" s="5"/>
      <c r="R594" s="5"/>
      <c r="S594" s="5"/>
      <c r="T594" s="5"/>
      <c r="U594" s="5"/>
      <c r="V594" s="5"/>
      <c r="W594" s="5"/>
      <c r="X594" s="5"/>
      <c r="Y594" s="5"/>
      <c r="Z594" s="5"/>
      <c r="AA594" s="5"/>
      <c r="AB594" s="5"/>
      <c r="AC594" s="5"/>
      <c r="AD594" s="5"/>
      <c r="AE594" s="5"/>
      <c r="AF594" s="5"/>
      <c r="AG594" s="5"/>
      <c r="AH594" s="27"/>
      <c r="AI594" s="27"/>
      <c r="AJ594" s="57"/>
      <c r="AK594" s="27"/>
      <c r="AL594" s="10"/>
      <c r="AM594" s="6"/>
      <c r="AN594" s="7"/>
      <c r="AO594" s="7"/>
      <c r="AP594" s="7"/>
      <c r="AQ594" s="7"/>
      <c r="AR594" s="7"/>
      <c r="AS594" s="7"/>
      <c r="AT594" s="7"/>
      <c r="AU594" s="7"/>
      <c r="AV594" s="7"/>
      <c r="AW594" s="7"/>
    </row>
    <row r="595" spans="1:49">
      <c r="A595" s="1">
        <v>419</v>
      </c>
      <c r="B595" s="5"/>
      <c r="C595" s="10"/>
      <c r="D595" s="5"/>
      <c r="E595" s="10"/>
      <c r="F595" s="43"/>
      <c r="G595" s="5"/>
      <c r="H595" s="5"/>
      <c r="I595" s="5"/>
      <c r="J595" s="5"/>
      <c r="K595" s="10"/>
      <c r="L595" s="10"/>
      <c r="M595" s="10"/>
      <c r="N595" s="5"/>
      <c r="O595" s="5"/>
      <c r="P595" s="5"/>
      <c r="Q595" s="5"/>
      <c r="R595" s="5"/>
      <c r="S595" s="5"/>
      <c r="T595" s="5"/>
      <c r="U595" s="5"/>
      <c r="V595" s="5"/>
      <c r="W595" s="5"/>
      <c r="X595" s="5"/>
      <c r="Y595" s="5"/>
      <c r="Z595" s="5"/>
      <c r="AA595" s="5"/>
      <c r="AB595" s="5"/>
      <c r="AC595" s="5"/>
      <c r="AD595" s="5"/>
      <c r="AE595" s="5"/>
      <c r="AF595" s="5"/>
      <c r="AG595" s="5"/>
      <c r="AH595" s="27"/>
      <c r="AI595" s="27"/>
      <c r="AJ595" s="57"/>
      <c r="AK595" s="27"/>
      <c r="AL595" s="10"/>
      <c r="AM595" s="6"/>
      <c r="AN595" s="7"/>
      <c r="AO595" s="7"/>
      <c r="AP595" s="7"/>
      <c r="AQ595" s="7"/>
      <c r="AR595" s="7"/>
      <c r="AS595" s="7"/>
      <c r="AT595" s="7"/>
      <c r="AU595" s="7"/>
      <c r="AV595" s="7"/>
      <c r="AW595" s="7"/>
    </row>
    <row r="596" spans="1:49">
      <c r="A596" s="1">
        <v>420</v>
      </c>
      <c r="B596" s="5"/>
      <c r="C596" s="10"/>
      <c r="D596" s="5"/>
      <c r="E596" s="10"/>
      <c r="F596" s="43"/>
      <c r="G596" s="5"/>
      <c r="H596" s="5"/>
      <c r="I596" s="5"/>
      <c r="J596" s="5"/>
      <c r="K596" s="10"/>
      <c r="L596" s="10"/>
      <c r="M596" s="10"/>
      <c r="N596" s="5"/>
      <c r="O596" s="5"/>
      <c r="P596" s="5"/>
      <c r="Q596" s="5"/>
      <c r="R596" s="5"/>
      <c r="S596" s="5"/>
      <c r="T596" s="5"/>
      <c r="U596" s="5"/>
      <c r="V596" s="5"/>
      <c r="W596" s="5"/>
      <c r="X596" s="5"/>
      <c r="Y596" s="5"/>
      <c r="Z596" s="5"/>
      <c r="AA596" s="5"/>
      <c r="AB596" s="5"/>
      <c r="AC596" s="5"/>
      <c r="AD596" s="5"/>
      <c r="AE596" s="5"/>
      <c r="AF596" s="5"/>
      <c r="AG596" s="5"/>
      <c r="AH596" s="27"/>
      <c r="AI596" s="27"/>
      <c r="AJ596" s="57"/>
      <c r="AK596" s="27"/>
      <c r="AL596" s="10"/>
      <c r="AM596" s="6"/>
      <c r="AN596" s="7"/>
      <c r="AO596" s="7"/>
      <c r="AP596" s="7"/>
      <c r="AQ596" s="7"/>
      <c r="AR596" s="7"/>
      <c r="AS596" s="7"/>
      <c r="AT596" s="7"/>
      <c r="AU596" s="7"/>
      <c r="AV596" s="7"/>
      <c r="AW596" s="7"/>
    </row>
    <row r="597" spans="1:49">
      <c r="A597" s="1">
        <v>421</v>
      </c>
      <c r="B597" s="5"/>
      <c r="C597" s="10"/>
      <c r="D597" s="5"/>
      <c r="E597" s="10"/>
      <c r="F597" s="43"/>
      <c r="G597" s="5"/>
      <c r="H597" s="5"/>
      <c r="I597" s="5"/>
      <c r="J597" s="5"/>
      <c r="K597" s="10"/>
      <c r="L597" s="10"/>
      <c r="M597" s="10"/>
      <c r="N597" s="5"/>
      <c r="O597" s="5"/>
      <c r="P597" s="5"/>
      <c r="Q597" s="5"/>
      <c r="R597" s="5"/>
      <c r="S597" s="5"/>
      <c r="T597" s="5"/>
      <c r="U597" s="5"/>
      <c r="V597" s="5"/>
      <c r="W597" s="5"/>
      <c r="X597" s="5"/>
      <c r="Y597" s="5"/>
      <c r="Z597" s="5"/>
      <c r="AA597" s="5"/>
      <c r="AB597" s="5"/>
      <c r="AC597" s="5"/>
      <c r="AD597" s="5"/>
      <c r="AE597" s="5"/>
      <c r="AF597" s="5"/>
      <c r="AG597" s="5"/>
      <c r="AH597" s="27"/>
      <c r="AI597" s="27"/>
      <c r="AJ597" s="57"/>
      <c r="AK597" s="27"/>
      <c r="AL597" s="10"/>
      <c r="AM597" s="6"/>
      <c r="AN597" s="7"/>
      <c r="AO597" s="7"/>
      <c r="AP597" s="7"/>
      <c r="AQ597" s="7"/>
      <c r="AR597" s="7"/>
      <c r="AS597" s="7"/>
      <c r="AT597" s="7"/>
      <c r="AU597" s="7"/>
      <c r="AV597" s="7"/>
      <c r="AW597" s="7"/>
    </row>
    <row r="598" spans="1:49">
      <c r="A598" s="1">
        <v>422</v>
      </c>
      <c r="B598" s="5"/>
      <c r="C598" s="10"/>
      <c r="D598" s="5"/>
      <c r="E598" s="10"/>
      <c r="F598" s="43"/>
      <c r="G598" s="5"/>
      <c r="H598" s="5"/>
      <c r="I598" s="5"/>
      <c r="J598" s="5"/>
      <c r="K598" s="10"/>
      <c r="L598" s="10"/>
      <c r="M598" s="10"/>
      <c r="N598" s="5"/>
      <c r="O598" s="5"/>
      <c r="P598" s="5"/>
      <c r="Q598" s="5"/>
      <c r="R598" s="5"/>
      <c r="S598" s="5"/>
      <c r="T598" s="5"/>
      <c r="U598" s="5"/>
      <c r="V598" s="5"/>
      <c r="W598" s="5"/>
      <c r="X598" s="5"/>
      <c r="Y598" s="5"/>
      <c r="Z598" s="5"/>
      <c r="AA598" s="5"/>
      <c r="AB598" s="5"/>
      <c r="AC598" s="5"/>
      <c r="AD598" s="5"/>
      <c r="AE598" s="5"/>
      <c r="AF598" s="5"/>
      <c r="AG598" s="5"/>
      <c r="AH598" s="27"/>
      <c r="AI598" s="27"/>
      <c r="AJ598" s="57"/>
      <c r="AK598" s="27"/>
      <c r="AL598" s="10"/>
      <c r="AM598" s="6"/>
      <c r="AN598" s="7"/>
      <c r="AO598" s="7"/>
      <c r="AP598" s="7"/>
      <c r="AQ598" s="7"/>
      <c r="AR598" s="7"/>
      <c r="AS598" s="7"/>
      <c r="AT598" s="7"/>
      <c r="AU598" s="7"/>
      <c r="AV598" s="7"/>
      <c r="AW598" s="7"/>
    </row>
    <row r="599" spans="1:49">
      <c r="A599" s="1">
        <v>423</v>
      </c>
      <c r="B599" s="5"/>
      <c r="C599" s="10"/>
      <c r="D599" s="5"/>
      <c r="E599" s="10"/>
      <c r="F599" s="43"/>
      <c r="G599" s="5"/>
      <c r="H599" s="5"/>
      <c r="I599" s="5"/>
      <c r="J599" s="5"/>
      <c r="K599" s="10"/>
      <c r="L599" s="10"/>
      <c r="M599" s="10"/>
      <c r="N599" s="5"/>
      <c r="O599" s="5"/>
      <c r="P599" s="5"/>
      <c r="Q599" s="5"/>
      <c r="R599" s="5"/>
      <c r="S599" s="5"/>
      <c r="T599" s="5"/>
      <c r="U599" s="5"/>
      <c r="V599" s="5"/>
      <c r="W599" s="5"/>
      <c r="X599" s="5"/>
      <c r="Y599" s="5"/>
      <c r="Z599" s="5"/>
      <c r="AA599" s="5"/>
      <c r="AB599" s="5"/>
      <c r="AC599" s="5"/>
      <c r="AD599" s="5"/>
      <c r="AE599" s="5"/>
      <c r="AF599" s="5"/>
      <c r="AG599" s="5"/>
      <c r="AH599" s="27"/>
      <c r="AI599" s="27"/>
      <c r="AJ599" s="57"/>
      <c r="AK599" s="27"/>
      <c r="AL599" s="10"/>
      <c r="AM599" s="6"/>
      <c r="AN599" s="7"/>
      <c r="AO599" s="7"/>
      <c r="AP599" s="7"/>
      <c r="AQ599" s="7"/>
      <c r="AR599" s="7"/>
      <c r="AS599" s="7"/>
      <c r="AT599" s="7"/>
      <c r="AU599" s="7"/>
      <c r="AV599" s="7"/>
      <c r="AW599" s="7"/>
    </row>
    <row r="600" spans="1:49">
      <c r="A600" s="1">
        <v>424</v>
      </c>
      <c r="B600" s="5"/>
      <c r="C600" s="10"/>
      <c r="D600" s="5"/>
      <c r="E600" s="10"/>
      <c r="F600" s="43"/>
      <c r="G600" s="5"/>
      <c r="H600" s="5"/>
      <c r="I600" s="5"/>
      <c r="J600" s="5"/>
      <c r="K600" s="10"/>
      <c r="L600" s="10"/>
      <c r="M600" s="10"/>
      <c r="N600" s="5"/>
      <c r="O600" s="5"/>
      <c r="P600" s="5"/>
      <c r="Q600" s="5"/>
      <c r="R600" s="5"/>
      <c r="S600" s="5"/>
      <c r="T600" s="5"/>
      <c r="U600" s="5"/>
      <c r="V600" s="5"/>
      <c r="W600" s="5"/>
      <c r="X600" s="5"/>
      <c r="Y600" s="5"/>
      <c r="Z600" s="5"/>
      <c r="AA600" s="5"/>
      <c r="AB600" s="5"/>
      <c r="AC600" s="5"/>
      <c r="AD600" s="5"/>
      <c r="AE600" s="5"/>
      <c r="AF600" s="5"/>
      <c r="AG600" s="5"/>
      <c r="AH600" s="27"/>
      <c r="AI600" s="27"/>
      <c r="AJ600" s="57"/>
      <c r="AK600" s="27"/>
      <c r="AL600" s="10"/>
      <c r="AM600" s="6"/>
      <c r="AN600" s="7"/>
      <c r="AO600" s="7"/>
      <c r="AP600" s="7"/>
      <c r="AQ600" s="7"/>
      <c r="AR600" s="7"/>
      <c r="AS600" s="7"/>
      <c r="AT600" s="7"/>
      <c r="AU600" s="7"/>
      <c r="AV600" s="7"/>
      <c r="AW600" s="7"/>
    </row>
    <row r="601" spans="1:49">
      <c r="A601" s="1">
        <v>425</v>
      </c>
      <c r="B601" s="5"/>
      <c r="C601" s="10"/>
      <c r="D601" s="5"/>
      <c r="E601" s="10"/>
      <c r="F601" s="43"/>
      <c r="G601" s="5"/>
      <c r="H601" s="5"/>
      <c r="I601" s="5"/>
      <c r="J601" s="5"/>
      <c r="K601" s="10"/>
      <c r="L601" s="10"/>
      <c r="M601" s="10"/>
      <c r="N601" s="5"/>
      <c r="O601" s="5"/>
      <c r="P601" s="5"/>
      <c r="Q601" s="5"/>
      <c r="R601" s="5"/>
      <c r="S601" s="5"/>
      <c r="T601" s="5"/>
      <c r="U601" s="5"/>
      <c r="V601" s="5"/>
      <c r="W601" s="5"/>
      <c r="X601" s="5"/>
      <c r="Y601" s="5"/>
      <c r="Z601" s="5"/>
      <c r="AA601" s="5"/>
      <c r="AB601" s="5"/>
      <c r="AC601" s="5"/>
      <c r="AD601" s="5"/>
      <c r="AE601" s="5"/>
      <c r="AF601" s="5"/>
      <c r="AG601" s="5"/>
      <c r="AH601" s="27"/>
      <c r="AI601" s="27"/>
      <c r="AJ601" s="57"/>
      <c r="AK601" s="27"/>
      <c r="AL601" s="10"/>
      <c r="AM601" s="6"/>
      <c r="AN601" s="7"/>
      <c r="AO601" s="7"/>
      <c r="AP601" s="7"/>
      <c r="AQ601" s="7"/>
      <c r="AR601" s="7"/>
      <c r="AS601" s="7"/>
      <c r="AT601" s="7"/>
      <c r="AU601" s="7"/>
      <c r="AV601" s="7"/>
      <c r="AW601" s="7"/>
    </row>
    <row r="602" spans="1:49">
      <c r="A602" s="1">
        <v>426</v>
      </c>
      <c r="B602" s="5"/>
      <c r="C602" s="10"/>
      <c r="D602" s="5"/>
      <c r="E602" s="10"/>
      <c r="F602" s="43"/>
      <c r="G602" s="5"/>
      <c r="H602" s="5"/>
      <c r="I602" s="5"/>
      <c r="J602" s="5"/>
      <c r="K602" s="10"/>
      <c r="L602" s="10"/>
      <c r="M602" s="10"/>
      <c r="N602" s="5"/>
      <c r="O602" s="5"/>
      <c r="P602" s="5"/>
      <c r="Q602" s="5"/>
      <c r="R602" s="5"/>
      <c r="S602" s="5"/>
      <c r="T602" s="5"/>
      <c r="U602" s="5"/>
      <c r="V602" s="5"/>
      <c r="W602" s="5"/>
      <c r="X602" s="5"/>
      <c r="Y602" s="5"/>
      <c r="Z602" s="5"/>
      <c r="AA602" s="5"/>
      <c r="AB602" s="5"/>
      <c r="AC602" s="5"/>
      <c r="AD602" s="5"/>
      <c r="AE602" s="5"/>
      <c r="AF602" s="5"/>
      <c r="AG602" s="5"/>
      <c r="AH602" s="27"/>
      <c r="AI602" s="27"/>
      <c r="AJ602" s="57"/>
      <c r="AK602" s="27"/>
      <c r="AL602" s="10"/>
      <c r="AM602" s="6"/>
      <c r="AN602" s="7"/>
      <c r="AO602" s="7"/>
      <c r="AP602" s="7"/>
      <c r="AQ602" s="7"/>
      <c r="AR602" s="7"/>
      <c r="AS602" s="7"/>
      <c r="AT602" s="7"/>
      <c r="AU602" s="7"/>
      <c r="AV602" s="7"/>
      <c r="AW602" s="7"/>
    </row>
    <row r="603" spans="1:49">
      <c r="A603" s="1">
        <v>427</v>
      </c>
      <c r="B603" s="5"/>
      <c r="C603" s="10"/>
      <c r="D603" s="5"/>
      <c r="E603" s="10"/>
      <c r="F603" s="43"/>
      <c r="G603" s="5"/>
      <c r="H603" s="5"/>
      <c r="I603" s="5"/>
      <c r="J603" s="5"/>
      <c r="K603" s="10"/>
      <c r="L603" s="10"/>
      <c r="M603" s="10"/>
      <c r="N603" s="5"/>
      <c r="O603" s="5"/>
      <c r="P603" s="5"/>
      <c r="Q603" s="5"/>
      <c r="R603" s="5"/>
      <c r="S603" s="5"/>
      <c r="T603" s="5"/>
      <c r="U603" s="5"/>
      <c r="V603" s="5"/>
      <c r="W603" s="5"/>
      <c r="X603" s="5"/>
      <c r="Y603" s="5"/>
      <c r="Z603" s="5"/>
      <c r="AA603" s="5"/>
      <c r="AB603" s="5"/>
      <c r="AC603" s="5"/>
      <c r="AD603" s="5"/>
      <c r="AE603" s="5"/>
      <c r="AF603" s="5"/>
      <c r="AG603" s="5"/>
      <c r="AH603" s="27"/>
      <c r="AI603" s="27"/>
      <c r="AJ603" s="57"/>
      <c r="AK603" s="27"/>
      <c r="AL603" s="10"/>
      <c r="AM603" s="6"/>
      <c r="AN603" s="7"/>
      <c r="AO603" s="7"/>
      <c r="AP603" s="7"/>
      <c r="AQ603" s="7"/>
      <c r="AR603" s="7"/>
      <c r="AS603" s="7"/>
      <c r="AT603" s="7"/>
      <c r="AU603" s="7"/>
      <c r="AV603" s="7"/>
      <c r="AW603" s="7"/>
    </row>
    <row r="604" spans="1:49">
      <c r="A604" s="1">
        <v>428</v>
      </c>
      <c r="B604" s="5"/>
      <c r="C604" s="10"/>
      <c r="D604" s="5"/>
      <c r="E604" s="10"/>
      <c r="F604" s="43"/>
      <c r="G604" s="5"/>
      <c r="H604" s="5"/>
      <c r="I604" s="5"/>
      <c r="J604" s="5"/>
      <c r="K604" s="10"/>
      <c r="L604" s="10"/>
      <c r="M604" s="10"/>
      <c r="N604" s="5"/>
      <c r="O604" s="5"/>
      <c r="P604" s="5"/>
      <c r="Q604" s="5"/>
      <c r="R604" s="5"/>
      <c r="S604" s="5"/>
      <c r="T604" s="5"/>
      <c r="U604" s="5"/>
      <c r="V604" s="5"/>
      <c r="W604" s="5"/>
      <c r="X604" s="5"/>
      <c r="Y604" s="5"/>
      <c r="Z604" s="5"/>
      <c r="AA604" s="5"/>
      <c r="AB604" s="5"/>
      <c r="AC604" s="5"/>
      <c r="AD604" s="5"/>
      <c r="AE604" s="5"/>
      <c r="AF604" s="5"/>
      <c r="AG604" s="5"/>
      <c r="AH604" s="27"/>
      <c r="AI604" s="27"/>
      <c r="AJ604" s="57"/>
      <c r="AK604" s="27"/>
      <c r="AL604" s="10"/>
      <c r="AM604" s="6"/>
      <c r="AN604" s="7"/>
      <c r="AO604" s="7"/>
      <c r="AP604" s="7"/>
      <c r="AQ604" s="7"/>
      <c r="AR604" s="7"/>
      <c r="AS604" s="7"/>
      <c r="AT604" s="7"/>
      <c r="AU604" s="7"/>
      <c r="AV604" s="7"/>
      <c r="AW604" s="7"/>
    </row>
    <row r="605" spans="1:49">
      <c r="A605" s="1">
        <v>429</v>
      </c>
      <c r="B605" s="5"/>
      <c r="C605" s="10"/>
      <c r="D605" s="5"/>
      <c r="E605" s="10"/>
      <c r="F605" s="43"/>
      <c r="G605" s="5"/>
      <c r="H605" s="5"/>
      <c r="I605" s="5"/>
      <c r="J605" s="5"/>
      <c r="K605" s="10"/>
      <c r="L605" s="10"/>
      <c r="M605" s="10"/>
      <c r="N605" s="5"/>
      <c r="O605" s="5"/>
      <c r="P605" s="5"/>
      <c r="Q605" s="5"/>
      <c r="R605" s="5"/>
      <c r="S605" s="5"/>
      <c r="T605" s="5"/>
      <c r="U605" s="5"/>
      <c r="V605" s="5"/>
      <c r="W605" s="5"/>
      <c r="X605" s="5"/>
      <c r="Y605" s="5"/>
      <c r="Z605" s="5"/>
      <c r="AA605" s="5"/>
      <c r="AB605" s="5"/>
      <c r="AC605" s="5"/>
      <c r="AD605" s="5"/>
      <c r="AE605" s="5"/>
      <c r="AF605" s="5"/>
      <c r="AG605" s="5"/>
      <c r="AH605" s="27"/>
      <c r="AI605" s="27"/>
      <c r="AJ605" s="57"/>
      <c r="AK605" s="27"/>
      <c r="AL605" s="10"/>
      <c r="AM605" s="6"/>
      <c r="AN605" s="7"/>
      <c r="AO605" s="7"/>
      <c r="AP605" s="7"/>
      <c r="AQ605" s="7"/>
      <c r="AR605" s="7"/>
      <c r="AS605" s="7"/>
      <c r="AT605" s="7"/>
      <c r="AU605" s="7"/>
      <c r="AV605" s="7"/>
      <c r="AW605" s="7"/>
    </row>
    <row r="606" spans="1:49">
      <c r="A606" s="1">
        <v>430</v>
      </c>
      <c r="B606" s="5"/>
      <c r="C606" s="10"/>
      <c r="D606" s="5"/>
      <c r="E606" s="10"/>
      <c r="F606" s="43"/>
      <c r="G606" s="5"/>
      <c r="H606" s="5"/>
      <c r="I606" s="5"/>
      <c r="J606" s="5"/>
      <c r="K606" s="10"/>
      <c r="L606" s="10"/>
      <c r="M606" s="10"/>
      <c r="N606" s="5"/>
      <c r="O606" s="5"/>
      <c r="P606" s="5"/>
      <c r="Q606" s="5"/>
      <c r="R606" s="5"/>
      <c r="S606" s="5"/>
      <c r="T606" s="5"/>
      <c r="U606" s="5"/>
      <c r="V606" s="5"/>
      <c r="W606" s="5"/>
      <c r="X606" s="5"/>
      <c r="Y606" s="5"/>
      <c r="Z606" s="5"/>
      <c r="AA606" s="5"/>
      <c r="AB606" s="5"/>
      <c r="AC606" s="5"/>
      <c r="AD606" s="5"/>
      <c r="AE606" s="5"/>
      <c r="AF606" s="5"/>
      <c r="AG606" s="5"/>
      <c r="AH606" s="27"/>
      <c r="AI606" s="27"/>
      <c r="AJ606" s="57"/>
      <c r="AK606" s="27"/>
      <c r="AL606" s="10"/>
      <c r="AM606" s="6"/>
      <c r="AN606" s="7"/>
      <c r="AO606" s="7"/>
      <c r="AP606" s="7"/>
      <c r="AQ606" s="7"/>
      <c r="AR606" s="7"/>
      <c r="AS606" s="7"/>
      <c r="AT606" s="7"/>
      <c r="AU606" s="7"/>
      <c r="AV606" s="7"/>
      <c r="AW606" s="7"/>
    </row>
    <row r="607" spans="1:49">
      <c r="A607" s="1">
        <v>431</v>
      </c>
      <c r="B607" s="5"/>
      <c r="C607" s="10"/>
      <c r="D607" s="5"/>
      <c r="E607" s="10"/>
      <c r="F607" s="43"/>
      <c r="G607" s="5"/>
      <c r="H607" s="5"/>
      <c r="I607" s="5"/>
      <c r="J607" s="5"/>
      <c r="K607" s="10"/>
      <c r="L607" s="10"/>
      <c r="M607" s="10"/>
      <c r="N607" s="5"/>
      <c r="O607" s="5"/>
      <c r="P607" s="5"/>
      <c r="Q607" s="5"/>
      <c r="R607" s="5"/>
      <c r="S607" s="5"/>
      <c r="T607" s="5"/>
      <c r="U607" s="5"/>
      <c r="V607" s="5"/>
      <c r="W607" s="5"/>
      <c r="X607" s="5"/>
      <c r="Y607" s="5"/>
      <c r="Z607" s="5"/>
      <c r="AA607" s="5"/>
      <c r="AB607" s="5"/>
      <c r="AC607" s="5"/>
      <c r="AD607" s="5"/>
      <c r="AE607" s="5"/>
      <c r="AF607" s="5"/>
      <c r="AG607" s="5"/>
      <c r="AH607" s="27"/>
      <c r="AI607" s="27"/>
      <c r="AJ607" s="57"/>
      <c r="AK607" s="27"/>
      <c r="AL607" s="10"/>
      <c r="AM607" s="6"/>
      <c r="AN607" s="7"/>
      <c r="AO607" s="7"/>
      <c r="AP607" s="7"/>
      <c r="AQ607" s="7"/>
      <c r="AR607" s="7"/>
      <c r="AS607" s="7"/>
      <c r="AT607" s="7"/>
      <c r="AU607" s="7"/>
      <c r="AV607" s="7"/>
      <c r="AW607" s="7"/>
    </row>
    <row r="608" spans="1:49">
      <c r="A608" s="1">
        <v>432</v>
      </c>
      <c r="B608" s="5"/>
      <c r="C608" s="10"/>
      <c r="D608" s="5"/>
      <c r="E608" s="10"/>
      <c r="F608" s="43"/>
      <c r="G608" s="5"/>
      <c r="H608" s="5"/>
      <c r="I608" s="5"/>
      <c r="J608" s="5"/>
      <c r="K608" s="10"/>
      <c r="L608" s="10"/>
      <c r="M608" s="10"/>
      <c r="N608" s="5"/>
      <c r="O608" s="5"/>
      <c r="P608" s="5"/>
      <c r="Q608" s="5"/>
      <c r="R608" s="5"/>
      <c r="S608" s="5"/>
      <c r="T608" s="5"/>
      <c r="U608" s="5"/>
      <c r="V608" s="5"/>
      <c r="W608" s="5"/>
      <c r="X608" s="5"/>
      <c r="Y608" s="5"/>
      <c r="Z608" s="5"/>
      <c r="AA608" s="5"/>
      <c r="AB608" s="5"/>
      <c r="AC608" s="5"/>
      <c r="AD608" s="5"/>
      <c r="AE608" s="5"/>
      <c r="AF608" s="5"/>
      <c r="AG608" s="5"/>
      <c r="AH608" s="27"/>
      <c r="AI608" s="27"/>
      <c r="AJ608" s="57"/>
      <c r="AK608" s="27"/>
      <c r="AL608" s="10"/>
      <c r="AM608" s="6"/>
      <c r="AN608" s="7"/>
      <c r="AO608" s="7"/>
      <c r="AP608" s="7"/>
      <c r="AQ608" s="7"/>
      <c r="AR608" s="7"/>
      <c r="AS608" s="7"/>
      <c r="AT608" s="7"/>
      <c r="AU608" s="7"/>
      <c r="AV608" s="7"/>
      <c r="AW608" s="7"/>
    </row>
    <row r="609" spans="1:49">
      <c r="A609" s="1">
        <v>433</v>
      </c>
      <c r="B609" s="5"/>
      <c r="C609" s="10"/>
      <c r="D609" s="5"/>
      <c r="E609" s="10"/>
      <c r="F609" s="43"/>
      <c r="G609" s="5"/>
      <c r="H609" s="5"/>
      <c r="I609" s="5"/>
      <c r="J609" s="5"/>
      <c r="K609" s="10"/>
      <c r="L609" s="10"/>
      <c r="M609" s="10"/>
      <c r="N609" s="5"/>
      <c r="O609" s="5"/>
      <c r="P609" s="5"/>
      <c r="Q609" s="5"/>
      <c r="R609" s="5"/>
      <c r="S609" s="5"/>
      <c r="T609" s="5"/>
      <c r="U609" s="5"/>
      <c r="V609" s="5"/>
      <c r="W609" s="5"/>
      <c r="X609" s="5"/>
      <c r="Y609" s="5"/>
      <c r="Z609" s="5"/>
      <c r="AA609" s="5"/>
      <c r="AB609" s="5"/>
      <c r="AC609" s="5"/>
      <c r="AD609" s="5"/>
      <c r="AE609" s="5"/>
      <c r="AF609" s="5"/>
      <c r="AG609" s="5"/>
      <c r="AH609" s="27"/>
      <c r="AI609" s="27"/>
      <c r="AJ609" s="57"/>
      <c r="AK609" s="27"/>
      <c r="AL609" s="10"/>
      <c r="AM609" s="6"/>
      <c r="AN609" s="7"/>
      <c r="AO609" s="7"/>
      <c r="AP609" s="7"/>
      <c r="AQ609" s="7"/>
      <c r="AR609" s="7"/>
      <c r="AS609" s="7"/>
      <c r="AT609" s="7"/>
      <c r="AU609" s="7"/>
      <c r="AV609" s="7"/>
      <c r="AW609" s="7"/>
    </row>
    <row r="610" spans="1:49">
      <c r="A610" s="1">
        <v>434</v>
      </c>
      <c r="B610" s="5"/>
      <c r="C610" s="10"/>
      <c r="D610" s="5"/>
      <c r="E610" s="10"/>
      <c r="F610" s="43"/>
      <c r="G610" s="5"/>
      <c r="H610" s="5"/>
      <c r="I610" s="5"/>
      <c r="J610" s="5"/>
      <c r="K610" s="10"/>
      <c r="L610" s="10"/>
      <c r="M610" s="10"/>
      <c r="N610" s="5"/>
      <c r="O610" s="5"/>
      <c r="P610" s="5"/>
      <c r="Q610" s="5"/>
      <c r="R610" s="5"/>
      <c r="S610" s="5"/>
      <c r="T610" s="5"/>
      <c r="U610" s="5"/>
      <c r="V610" s="5"/>
      <c r="W610" s="5"/>
      <c r="X610" s="5"/>
      <c r="Y610" s="5"/>
      <c r="Z610" s="5"/>
      <c r="AA610" s="5"/>
      <c r="AB610" s="5"/>
      <c r="AC610" s="5"/>
      <c r="AD610" s="5"/>
      <c r="AE610" s="5"/>
      <c r="AF610" s="5"/>
      <c r="AG610" s="5"/>
      <c r="AH610" s="27"/>
      <c r="AI610" s="27"/>
      <c r="AJ610" s="57"/>
      <c r="AK610" s="27"/>
      <c r="AL610" s="10"/>
      <c r="AM610" s="6"/>
      <c r="AN610" s="7"/>
      <c r="AO610" s="7"/>
      <c r="AP610" s="7"/>
      <c r="AQ610" s="7"/>
      <c r="AR610" s="7"/>
      <c r="AS610" s="7"/>
      <c r="AT610" s="7"/>
      <c r="AU610" s="7"/>
      <c r="AV610" s="7"/>
      <c r="AW610" s="7"/>
    </row>
    <row r="611" spans="1:49">
      <c r="A611" s="1">
        <v>435</v>
      </c>
      <c r="B611" s="5"/>
      <c r="C611" s="10"/>
      <c r="D611" s="5"/>
      <c r="E611" s="10"/>
      <c r="F611" s="43"/>
      <c r="G611" s="5"/>
      <c r="H611" s="5"/>
      <c r="I611" s="5"/>
      <c r="J611" s="5"/>
      <c r="K611" s="10"/>
      <c r="L611" s="10"/>
      <c r="M611" s="10"/>
      <c r="N611" s="5"/>
      <c r="O611" s="5"/>
      <c r="P611" s="5"/>
      <c r="Q611" s="5"/>
      <c r="R611" s="5"/>
      <c r="S611" s="5"/>
      <c r="T611" s="5"/>
      <c r="U611" s="5"/>
      <c r="V611" s="5"/>
      <c r="W611" s="5"/>
      <c r="X611" s="5"/>
      <c r="Y611" s="5"/>
      <c r="Z611" s="5"/>
      <c r="AA611" s="5"/>
      <c r="AB611" s="5"/>
      <c r="AC611" s="5"/>
      <c r="AD611" s="5"/>
      <c r="AE611" s="5"/>
      <c r="AF611" s="5"/>
      <c r="AG611" s="5"/>
      <c r="AH611" s="27"/>
      <c r="AI611" s="27"/>
      <c r="AJ611" s="57"/>
      <c r="AK611" s="27"/>
      <c r="AL611" s="10"/>
      <c r="AM611" s="6"/>
      <c r="AN611" s="7"/>
      <c r="AO611" s="7"/>
      <c r="AP611" s="7"/>
      <c r="AQ611" s="7"/>
      <c r="AR611" s="7"/>
      <c r="AS611" s="7"/>
      <c r="AT611" s="7"/>
      <c r="AU611" s="7"/>
      <c r="AV611" s="7"/>
      <c r="AW611" s="7"/>
    </row>
    <row r="612" spans="1:49">
      <c r="A612" s="1">
        <v>436</v>
      </c>
      <c r="B612" s="5"/>
      <c r="C612" s="10"/>
      <c r="D612" s="5"/>
      <c r="E612" s="10"/>
      <c r="F612" s="43"/>
      <c r="G612" s="5"/>
      <c r="H612" s="5"/>
      <c r="I612" s="5"/>
      <c r="J612" s="5"/>
      <c r="K612" s="10"/>
      <c r="L612" s="10"/>
      <c r="M612" s="10"/>
      <c r="N612" s="5"/>
      <c r="O612" s="5"/>
      <c r="P612" s="5"/>
      <c r="Q612" s="5"/>
      <c r="R612" s="5"/>
      <c r="S612" s="5"/>
      <c r="T612" s="5"/>
      <c r="U612" s="5"/>
      <c r="V612" s="5"/>
      <c r="W612" s="5"/>
      <c r="X612" s="5"/>
      <c r="Y612" s="5"/>
      <c r="Z612" s="5"/>
      <c r="AA612" s="5"/>
      <c r="AB612" s="5"/>
      <c r="AC612" s="5"/>
      <c r="AD612" s="5"/>
      <c r="AE612" s="5"/>
      <c r="AF612" s="5"/>
      <c r="AG612" s="5"/>
      <c r="AH612" s="27"/>
      <c r="AI612" s="27"/>
      <c r="AJ612" s="57"/>
      <c r="AK612" s="27"/>
      <c r="AL612" s="10"/>
      <c r="AM612" s="6"/>
      <c r="AN612" s="7"/>
      <c r="AO612" s="7"/>
      <c r="AP612" s="7"/>
      <c r="AQ612" s="7"/>
      <c r="AR612" s="7"/>
      <c r="AS612" s="7"/>
      <c r="AT612" s="7"/>
      <c r="AU612" s="7"/>
      <c r="AV612" s="7"/>
      <c r="AW612" s="7"/>
    </row>
    <row r="613" spans="1:49">
      <c r="A613" s="1">
        <v>437</v>
      </c>
      <c r="B613" s="5"/>
      <c r="C613" s="10"/>
      <c r="D613" s="5"/>
      <c r="E613" s="10"/>
      <c r="F613" s="43"/>
      <c r="G613" s="5"/>
      <c r="H613" s="5"/>
      <c r="I613" s="5"/>
      <c r="J613" s="5"/>
      <c r="K613" s="10"/>
      <c r="L613" s="10"/>
      <c r="M613" s="10"/>
      <c r="N613" s="5"/>
      <c r="O613" s="5"/>
      <c r="P613" s="5"/>
      <c r="Q613" s="5"/>
      <c r="R613" s="5"/>
      <c r="S613" s="5"/>
      <c r="T613" s="5"/>
      <c r="U613" s="5"/>
      <c r="V613" s="5"/>
      <c r="W613" s="5"/>
      <c r="X613" s="5"/>
      <c r="Y613" s="5"/>
      <c r="Z613" s="5"/>
      <c r="AA613" s="5"/>
      <c r="AB613" s="5"/>
      <c r="AC613" s="5"/>
      <c r="AD613" s="5"/>
      <c r="AE613" s="5"/>
      <c r="AF613" s="5"/>
      <c r="AG613" s="5"/>
      <c r="AH613" s="27"/>
      <c r="AI613" s="27"/>
      <c r="AJ613" s="57"/>
      <c r="AK613" s="27"/>
      <c r="AL613" s="10"/>
      <c r="AM613" s="6"/>
      <c r="AN613" s="7"/>
      <c r="AO613" s="7"/>
      <c r="AP613" s="7"/>
      <c r="AQ613" s="7"/>
      <c r="AR613" s="7"/>
      <c r="AS613" s="7"/>
      <c r="AT613" s="7"/>
      <c r="AU613" s="7"/>
      <c r="AV613" s="7"/>
      <c r="AW613" s="7"/>
    </row>
    <row r="614" spans="1:49">
      <c r="A614" s="1">
        <v>438</v>
      </c>
      <c r="B614" s="5"/>
      <c r="C614" s="10"/>
      <c r="D614" s="5"/>
      <c r="E614" s="10"/>
      <c r="F614" s="43"/>
      <c r="G614" s="5"/>
      <c r="H614" s="5"/>
      <c r="I614" s="5"/>
      <c r="J614" s="5"/>
      <c r="K614" s="10"/>
      <c r="L614" s="10"/>
      <c r="M614" s="10"/>
      <c r="N614" s="5"/>
      <c r="O614" s="5"/>
      <c r="P614" s="5"/>
      <c r="Q614" s="5"/>
      <c r="R614" s="5"/>
      <c r="S614" s="5"/>
      <c r="T614" s="5"/>
      <c r="U614" s="5"/>
      <c r="V614" s="5"/>
      <c r="W614" s="5"/>
      <c r="X614" s="5"/>
      <c r="Y614" s="5"/>
      <c r="Z614" s="5"/>
      <c r="AA614" s="5"/>
      <c r="AB614" s="5"/>
      <c r="AC614" s="5"/>
      <c r="AD614" s="5"/>
      <c r="AE614" s="5"/>
      <c r="AF614" s="5"/>
      <c r="AG614" s="5"/>
      <c r="AH614" s="27"/>
      <c r="AI614" s="27"/>
      <c r="AJ614" s="57"/>
      <c r="AK614" s="27"/>
      <c r="AL614" s="10"/>
      <c r="AM614" s="6"/>
      <c r="AN614" s="7"/>
      <c r="AO614" s="7"/>
      <c r="AP614" s="7"/>
      <c r="AQ614" s="7"/>
      <c r="AR614" s="7"/>
      <c r="AS614" s="7"/>
      <c r="AT614" s="7"/>
      <c r="AU614" s="7"/>
      <c r="AV614" s="7"/>
      <c r="AW614" s="7"/>
    </row>
    <row r="615" spans="1:49">
      <c r="A615" s="1">
        <v>439</v>
      </c>
      <c r="B615" s="5"/>
      <c r="C615" s="10"/>
      <c r="D615" s="5"/>
      <c r="E615" s="10"/>
      <c r="F615" s="43"/>
      <c r="G615" s="5"/>
      <c r="H615" s="5"/>
      <c r="I615" s="5"/>
      <c r="J615" s="5"/>
      <c r="K615" s="10"/>
      <c r="L615" s="10"/>
      <c r="M615" s="10"/>
      <c r="N615" s="5"/>
      <c r="O615" s="5"/>
      <c r="P615" s="5"/>
      <c r="Q615" s="5"/>
      <c r="R615" s="5"/>
      <c r="S615" s="5"/>
      <c r="T615" s="5"/>
      <c r="U615" s="5"/>
      <c r="V615" s="5"/>
      <c r="W615" s="5"/>
      <c r="X615" s="5"/>
      <c r="Y615" s="5"/>
      <c r="Z615" s="5"/>
      <c r="AA615" s="5"/>
      <c r="AB615" s="5"/>
      <c r="AC615" s="5"/>
      <c r="AD615" s="5"/>
      <c r="AE615" s="5"/>
      <c r="AF615" s="5"/>
      <c r="AG615" s="5"/>
      <c r="AH615" s="27"/>
      <c r="AI615" s="27"/>
      <c r="AJ615" s="57"/>
      <c r="AK615" s="27"/>
      <c r="AL615" s="10"/>
      <c r="AM615" s="6"/>
      <c r="AN615" s="7"/>
      <c r="AO615" s="7"/>
      <c r="AP615" s="7"/>
      <c r="AQ615" s="7"/>
      <c r="AR615" s="7"/>
      <c r="AS615" s="7"/>
      <c r="AT615" s="7"/>
      <c r="AU615" s="7"/>
      <c r="AV615" s="7"/>
      <c r="AW615" s="7"/>
    </row>
    <row r="616" spans="1:49">
      <c r="A616" s="1">
        <v>440</v>
      </c>
      <c r="B616" s="5"/>
      <c r="C616" s="10"/>
      <c r="D616" s="5"/>
      <c r="E616" s="10"/>
      <c r="F616" s="43"/>
      <c r="G616" s="5"/>
      <c r="H616" s="5"/>
      <c r="I616" s="5"/>
      <c r="J616" s="5"/>
      <c r="K616" s="10"/>
      <c r="L616" s="10"/>
      <c r="M616" s="10"/>
      <c r="N616" s="5"/>
      <c r="O616" s="5"/>
      <c r="P616" s="5"/>
      <c r="Q616" s="5"/>
      <c r="R616" s="5"/>
      <c r="S616" s="5"/>
      <c r="T616" s="5"/>
      <c r="U616" s="5"/>
      <c r="V616" s="5"/>
      <c r="W616" s="5"/>
      <c r="X616" s="5"/>
      <c r="Y616" s="5"/>
      <c r="Z616" s="5"/>
      <c r="AA616" s="5"/>
      <c r="AB616" s="5"/>
      <c r="AC616" s="5"/>
      <c r="AD616" s="5"/>
      <c r="AE616" s="5"/>
      <c r="AF616" s="5"/>
      <c r="AG616" s="5"/>
      <c r="AH616" s="27"/>
      <c r="AI616" s="27"/>
      <c r="AJ616" s="57"/>
      <c r="AK616" s="27"/>
      <c r="AL616" s="10"/>
      <c r="AM616" s="6"/>
      <c r="AN616" s="7"/>
      <c r="AO616" s="7"/>
      <c r="AP616" s="7"/>
      <c r="AQ616" s="7"/>
      <c r="AR616" s="7"/>
      <c r="AS616" s="7"/>
      <c r="AT616" s="7"/>
      <c r="AU616" s="7"/>
      <c r="AV616" s="7"/>
      <c r="AW616" s="7"/>
    </row>
    <row r="617" spans="1:49">
      <c r="A617" s="1">
        <v>441</v>
      </c>
      <c r="B617" s="5"/>
      <c r="C617" s="10"/>
      <c r="D617" s="5"/>
      <c r="E617" s="10"/>
      <c r="F617" s="43"/>
      <c r="G617" s="5"/>
      <c r="H617" s="5"/>
      <c r="I617" s="5"/>
      <c r="J617" s="5"/>
      <c r="K617" s="10"/>
      <c r="L617" s="10"/>
      <c r="M617" s="10"/>
      <c r="N617" s="5"/>
      <c r="O617" s="5"/>
      <c r="P617" s="5"/>
      <c r="Q617" s="5"/>
      <c r="R617" s="5"/>
      <c r="S617" s="5"/>
      <c r="T617" s="5"/>
      <c r="U617" s="5"/>
      <c r="V617" s="5"/>
      <c r="W617" s="5"/>
      <c r="X617" s="5"/>
      <c r="Y617" s="5"/>
      <c r="Z617" s="5"/>
      <c r="AA617" s="5"/>
      <c r="AB617" s="5"/>
      <c r="AC617" s="5"/>
      <c r="AD617" s="5"/>
      <c r="AE617" s="5"/>
      <c r="AF617" s="5"/>
      <c r="AG617" s="5"/>
      <c r="AH617" s="27"/>
      <c r="AI617" s="27"/>
      <c r="AJ617" s="57"/>
      <c r="AK617" s="27"/>
      <c r="AL617" s="10"/>
      <c r="AM617" s="6"/>
      <c r="AN617" s="7"/>
      <c r="AO617" s="7"/>
      <c r="AP617" s="7"/>
      <c r="AQ617" s="7"/>
      <c r="AR617" s="7"/>
      <c r="AS617" s="7"/>
      <c r="AT617" s="7"/>
      <c r="AU617" s="7"/>
      <c r="AV617" s="7"/>
      <c r="AW617" s="7"/>
    </row>
    <row r="618" spans="1:49">
      <c r="A618" s="1">
        <v>442</v>
      </c>
      <c r="B618" s="5"/>
      <c r="C618" s="10"/>
      <c r="D618" s="5"/>
      <c r="E618" s="10"/>
      <c r="F618" s="43"/>
      <c r="G618" s="5"/>
      <c r="H618" s="5"/>
      <c r="I618" s="5"/>
      <c r="J618" s="5"/>
      <c r="K618" s="10"/>
      <c r="L618" s="10"/>
      <c r="M618" s="10"/>
      <c r="N618" s="5"/>
      <c r="O618" s="5"/>
      <c r="P618" s="5"/>
      <c r="Q618" s="5"/>
      <c r="R618" s="5"/>
      <c r="S618" s="5"/>
      <c r="T618" s="5"/>
      <c r="U618" s="5"/>
      <c r="V618" s="5"/>
      <c r="W618" s="5"/>
      <c r="X618" s="5"/>
      <c r="Y618" s="5"/>
      <c r="Z618" s="5"/>
      <c r="AA618" s="5"/>
      <c r="AB618" s="5"/>
      <c r="AC618" s="5"/>
      <c r="AD618" s="5"/>
      <c r="AE618" s="5"/>
      <c r="AF618" s="5"/>
      <c r="AG618" s="5"/>
      <c r="AH618" s="27"/>
      <c r="AI618" s="27"/>
      <c r="AJ618" s="57"/>
      <c r="AK618" s="27"/>
      <c r="AL618" s="10"/>
      <c r="AM618" s="6"/>
      <c r="AN618" s="7"/>
      <c r="AO618" s="7"/>
      <c r="AP618" s="7"/>
      <c r="AQ618" s="7"/>
      <c r="AR618" s="7"/>
      <c r="AS618" s="7"/>
      <c r="AT618" s="7"/>
      <c r="AU618" s="7"/>
      <c r="AV618" s="7"/>
      <c r="AW618" s="7"/>
    </row>
    <row r="619" spans="1:49">
      <c r="A619" s="1">
        <v>443</v>
      </c>
      <c r="B619" s="5"/>
      <c r="C619" s="10"/>
      <c r="D619" s="5"/>
      <c r="E619" s="10"/>
      <c r="F619" s="43"/>
      <c r="G619" s="5"/>
      <c r="H619" s="5"/>
      <c r="I619" s="5"/>
      <c r="J619" s="5"/>
      <c r="K619" s="10"/>
      <c r="L619" s="10"/>
      <c r="M619" s="10"/>
      <c r="N619" s="5"/>
      <c r="O619" s="5"/>
      <c r="P619" s="5"/>
      <c r="Q619" s="5"/>
      <c r="R619" s="5"/>
      <c r="S619" s="5"/>
      <c r="T619" s="5"/>
      <c r="U619" s="5"/>
      <c r="V619" s="5"/>
      <c r="W619" s="5"/>
      <c r="X619" s="5"/>
      <c r="Y619" s="5"/>
      <c r="Z619" s="5"/>
      <c r="AA619" s="5"/>
      <c r="AB619" s="5"/>
      <c r="AC619" s="5"/>
      <c r="AD619" s="5"/>
      <c r="AE619" s="5"/>
      <c r="AF619" s="5"/>
      <c r="AG619" s="5"/>
      <c r="AH619" s="27"/>
      <c r="AI619" s="27"/>
      <c r="AJ619" s="57"/>
      <c r="AK619" s="27"/>
      <c r="AL619" s="10"/>
      <c r="AM619" s="6"/>
      <c r="AN619" s="7"/>
      <c r="AO619" s="7"/>
      <c r="AP619" s="7"/>
      <c r="AQ619" s="7"/>
      <c r="AR619" s="7"/>
      <c r="AS619" s="7"/>
      <c r="AT619" s="7"/>
      <c r="AU619" s="7"/>
      <c r="AV619" s="7"/>
      <c r="AW619" s="7"/>
    </row>
    <row r="620" spans="1:49">
      <c r="A620" s="1">
        <v>444</v>
      </c>
      <c r="B620" s="5"/>
      <c r="C620" s="10"/>
      <c r="D620" s="5"/>
      <c r="E620" s="10"/>
      <c r="F620" s="43"/>
      <c r="G620" s="5"/>
      <c r="H620" s="5"/>
      <c r="I620" s="5"/>
      <c r="J620" s="5"/>
      <c r="K620" s="10"/>
      <c r="L620" s="10"/>
      <c r="M620" s="10"/>
      <c r="N620" s="5"/>
      <c r="O620" s="5"/>
      <c r="P620" s="5"/>
      <c r="Q620" s="5"/>
      <c r="R620" s="5"/>
      <c r="S620" s="5"/>
      <c r="T620" s="5"/>
      <c r="U620" s="5"/>
      <c r="V620" s="5"/>
      <c r="W620" s="5"/>
      <c r="X620" s="5"/>
      <c r="Y620" s="5"/>
      <c r="Z620" s="5"/>
      <c r="AA620" s="5"/>
      <c r="AB620" s="5"/>
      <c r="AC620" s="5"/>
      <c r="AD620" s="5"/>
      <c r="AE620" s="5"/>
      <c r="AF620" s="5"/>
      <c r="AG620" s="5"/>
      <c r="AH620" s="27"/>
      <c r="AI620" s="27"/>
      <c r="AJ620" s="57"/>
      <c r="AK620" s="27"/>
      <c r="AL620" s="10"/>
      <c r="AM620" s="6"/>
      <c r="AN620" s="7"/>
      <c r="AO620" s="7"/>
      <c r="AP620" s="7"/>
      <c r="AQ620" s="7"/>
      <c r="AR620" s="7"/>
      <c r="AS620" s="7"/>
      <c r="AT620" s="7"/>
      <c r="AU620" s="7"/>
      <c r="AV620" s="7"/>
      <c r="AW620" s="7"/>
    </row>
    <row r="621" spans="1:49">
      <c r="A621" s="1">
        <v>445</v>
      </c>
      <c r="B621" s="5"/>
      <c r="C621" s="10"/>
      <c r="D621" s="5"/>
      <c r="E621" s="10"/>
      <c r="F621" s="43"/>
      <c r="G621" s="5"/>
      <c r="H621" s="5"/>
      <c r="I621" s="5"/>
      <c r="J621" s="5"/>
      <c r="K621" s="10"/>
      <c r="L621" s="10"/>
      <c r="M621" s="10"/>
      <c r="N621" s="5"/>
      <c r="O621" s="5"/>
      <c r="P621" s="5"/>
      <c r="Q621" s="5"/>
      <c r="R621" s="5"/>
      <c r="S621" s="5"/>
      <c r="T621" s="5"/>
      <c r="U621" s="5"/>
      <c r="V621" s="5"/>
      <c r="W621" s="5"/>
      <c r="X621" s="5"/>
      <c r="Y621" s="5"/>
      <c r="Z621" s="5"/>
      <c r="AA621" s="5"/>
      <c r="AB621" s="5"/>
      <c r="AC621" s="5"/>
      <c r="AD621" s="5"/>
      <c r="AE621" s="5"/>
      <c r="AF621" s="5"/>
      <c r="AG621" s="5"/>
      <c r="AH621" s="27"/>
      <c r="AI621" s="27"/>
      <c r="AJ621" s="57"/>
      <c r="AK621" s="27"/>
      <c r="AL621" s="10"/>
      <c r="AM621" s="6"/>
      <c r="AN621" s="7"/>
      <c r="AO621" s="7"/>
      <c r="AP621" s="7"/>
      <c r="AQ621" s="7"/>
      <c r="AR621" s="7"/>
      <c r="AS621" s="7"/>
      <c r="AT621" s="7"/>
      <c r="AU621" s="7"/>
      <c r="AV621" s="7"/>
      <c r="AW621" s="7"/>
    </row>
    <row r="622" spans="1:49">
      <c r="A622" s="1">
        <v>446</v>
      </c>
      <c r="B622" s="5"/>
      <c r="C622" s="10"/>
      <c r="D622" s="5"/>
      <c r="E622" s="10"/>
      <c r="F622" s="43"/>
      <c r="G622" s="5"/>
      <c r="H622" s="5"/>
      <c r="I622" s="5"/>
      <c r="J622" s="5"/>
      <c r="K622" s="10"/>
      <c r="L622" s="10"/>
      <c r="M622" s="10"/>
      <c r="N622" s="5"/>
      <c r="O622" s="5"/>
      <c r="P622" s="5"/>
      <c r="Q622" s="5"/>
      <c r="R622" s="5"/>
      <c r="S622" s="5"/>
      <c r="T622" s="5"/>
      <c r="U622" s="5"/>
      <c r="V622" s="5"/>
      <c r="W622" s="5"/>
      <c r="X622" s="5"/>
      <c r="Y622" s="5"/>
      <c r="Z622" s="5"/>
      <c r="AA622" s="5"/>
      <c r="AB622" s="5"/>
      <c r="AC622" s="5"/>
      <c r="AD622" s="5"/>
      <c r="AE622" s="5"/>
      <c r="AF622" s="5"/>
      <c r="AG622" s="5"/>
      <c r="AH622" s="27"/>
      <c r="AI622" s="27"/>
      <c r="AJ622" s="57"/>
      <c r="AK622" s="27"/>
      <c r="AL622" s="10"/>
      <c r="AM622" s="6"/>
      <c r="AN622" s="7"/>
      <c r="AO622" s="7"/>
      <c r="AP622" s="7"/>
      <c r="AQ622" s="7"/>
      <c r="AR622" s="7"/>
      <c r="AS622" s="7"/>
      <c r="AT622" s="7"/>
      <c r="AU622" s="7"/>
      <c r="AV622" s="7"/>
      <c r="AW622" s="7"/>
    </row>
    <row r="623" spans="1:49">
      <c r="A623" s="1">
        <v>447</v>
      </c>
      <c r="B623" s="5"/>
      <c r="C623" s="10"/>
      <c r="D623" s="5"/>
      <c r="E623" s="10"/>
      <c r="F623" s="43"/>
      <c r="G623" s="5"/>
      <c r="H623" s="5"/>
      <c r="I623" s="5"/>
      <c r="J623" s="5"/>
      <c r="K623" s="10"/>
      <c r="L623" s="10"/>
      <c r="M623" s="10"/>
      <c r="N623" s="5"/>
      <c r="O623" s="5"/>
      <c r="P623" s="5"/>
      <c r="Q623" s="5"/>
      <c r="R623" s="5"/>
      <c r="S623" s="5"/>
      <c r="T623" s="5"/>
      <c r="U623" s="5"/>
      <c r="V623" s="5"/>
      <c r="W623" s="5"/>
      <c r="X623" s="5"/>
      <c r="Y623" s="5"/>
      <c r="Z623" s="5"/>
      <c r="AA623" s="5"/>
      <c r="AB623" s="5"/>
      <c r="AC623" s="5"/>
      <c r="AD623" s="5"/>
      <c r="AE623" s="5"/>
      <c r="AF623" s="5"/>
      <c r="AG623" s="5"/>
      <c r="AH623" s="27"/>
      <c r="AI623" s="27"/>
      <c r="AJ623" s="57"/>
      <c r="AK623" s="27"/>
      <c r="AL623" s="10"/>
      <c r="AM623" s="6"/>
      <c r="AN623" s="7"/>
      <c r="AO623" s="7"/>
      <c r="AP623" s="7"/>
      <c r="AQ623" s="7"/>
      <c r="AR623" s="7"/>
      <c r="AS623" s="7"/>
      <c r="AT623" s="7"/>
      <c r="AU623" s="7"/>
      <c r="AV623" s="7"/>
      <c r="AW623" s="7"/>
    </row>
    <row r="624" spans="1:49">
      <c r="A624" s="1">
        <v>448</v>
      </c>
      <c r="B624" s="5"/>
      <c r="C624" s="10"/>
      <c r="D624" s="5"/>
      <c r="E624" s="10"/>
      <c r="F624" s="43"/>
      <c r="G624" s="5"/>
      <c r="H624" s="5"/>
      <c r="I624" s="5"/>
      <c r="J624" s="5"/>
      <c r="K624" s="10"/>
      <c r="L624" s="10"/>
      <c r="M624" s="10"/>
      <c r="N624" s="5"/>
      <c r="O624" s="5"/>
      <c r="P624" s="5"/>
      <c r="Q624" s="5"/>
      <c r="R624" s="5"/>
      <c r="S624" s="5"/>
      <c r="T624" s="5"/>
      <c r="U624" s="5"/>
      <c r="V624" s="5"/>
      <c r="W624" s="5"/>
      <c r="X624" s="5"/>
      <c r="Y624" s="5"/>
      <c r="Z624" s="5"/>
      <c r="AA624" s="5"/>
      <c r="AB624" s="5"/>
      <c r="AC624" s="5"/>
      <c r="AD624" s="5"/>
      <c r="AE624" s="5"/>
      <c r="AF624" s="5"/>
      <c r="AG624" s="5"/>
      <c r="AH624" s="27"/>
      <c r="AI624" s="27"/>
      <c r="AJ624" s="57"/>
      <c r="AK624" s="27"/>
      <c r="AL624" s="10"/>
      <c r="AM624" s="6"/>
      <c r="AN624" s="7"/>
      <c r="AO624" s="7"/>
      <c r="AP624" s="7"/>
      <c r="AQ624" s="7"/>
      <c r="AR624" s="7"/>
      <c r="AS624" s="7"/>
      <c r="AT624" s="7"/>
      <c r="AU624" s="7"/>
      <c r="AV624" s="7"/>
      <c r="AW624" s="7"/>
    </row>
    <row r="625" spans="1:49">
      <c r="A625" s="1">
        <v>449</v>
      </c>
      <c r="B625" s="5"/>
      <c r="C625" s="10"/>
      <c r="D625" s="5"/>
      <c r="E625" s="10"/>
      <c r="F625" s="43"/>
      <c r="G625" s="5"/>
      <c r="H625" s="5"/>
      <c r="I625" s="5"/>
      <c r="J625" s="5"/>
      <c r="K625" s="10"/>
      <c r="L625" s="10"/>
      <c r="M625" s="10"/>
      <c r="N625" s="5"/>
      <c r="O625" s="5"/>
      <c r="P625" s="5"/>
      <c r="Q625" s="5"/>
      <c r="R625" s="5"/>
      <c r="S625" s="5"/>
      <c r="T625" s="5"/>
      <c r="U625" s="5"/>
      <c r="V625" s="5"/>
      <c r="W625" s="5"/>
      <c r="X625" s="5"/>
      <c r="Y625" s="5"/>
      <c r="Z625" s="5"/>
      <c r="AA625" s="5"/>
      <c r="AB625" s="5"/>
      <c r="AC625" s="5"/>
      <c r="AD625" s="5"/>
      <c r="AE625" s="5"/>
      <c r="AF625" s="5"/>
      <c r="AG625" s="5"/>
      <c r="AH625" s="27"/>
      <c r="AI625" s="27"/>
      <c r="AJ625" s="57"/>
      <c r="AK625" s="27"/>
      <c r="AL625" s="10"/>
      <c r="AM625" s="6"/>
      <c r="AN625" s="7"/>
      <c r="AO625" s="7"/>
      <c r="AP625" s="7"/>
      <c r="AQ625" s="7"/>
      <c r="AR625" s="7"/>
      <c r="AS625" s="7"/>
      <c r="AT625" s="7"/>
      <c r="AU625" s="7"/>
      <c r="AV625" s="7"/>
      <c r="AW625" s="7"/>
    </row>
    <row r="626" spans="1:49">
      <c r="A626" s="1">
        <v>450</v>
      </c>
      <c r="B626" s="5"/>
      <c r="C626" s="10"/>
      <c r="D626" s="5"/>
      <c r="E626" s="10"/>
      <c r="F626" s="43"/>
      <c r="G626" s="5"/>
      <c r="H626" s="5"/>
      <c r="I626" s="5"/>
      <c r="J626" s="5"/>
      <c r="K626" s="10"/>
      <c r="L626" s="10"/>
      <c r="M626" s="10"/>
      <c r="N626" s="5"/>
      <c r="O626" s="5"/>
      <c r="P626" s="5"/>
      <c r="Q626" s="5"/>
      <c r="R626" s="5"/>
      <c r="S626" s="5"/>
      <c r="T626" s="5"/>
      <c r="U626" s="5"/>
      <c r="V626" s="5"/>
      <c r="W626" s="5"/>
      <c r="X626" s="5"/>
      <c r="Y626" s="5"/>
      <c r="Z626" s="5"/>
      <c r="AA626" s="5"/>
      <c r="AB626" s="5"/>
      <c r="AC626" s="5"/>
      <c r="AD626" s="5"/>
      <c r="AE626" s="5"/>
      <c r="AF626" s="5"/>
      <c r="AG626" s="5"/>
      <c r="AH626" s="27"/>
      <c r="AI626" s="27"/>
      <c r="AJ626" s="57"/>
      <c r="AK626" s="27"/>
      <c r="AL626" s="10"/>
      <c r="AM626" s="6"/>
      <c r="AN626" s="7"/>
      <c r="AO626" s="7"/>
      <c r="AP626" s="7"/>
      <c r="AQ626" s="7"/>
      <c r="AR626" s="7"/>
      <c r="AS626" s="7"/>
      <c r="AT626" s="7"/>
      <c r="AU626" s="7"/>
      <c r="AV626" s="7"/>
      <c r="AW626" s="7"/>
    </row>
    <row r="627" spans="1:49">
      <c r="A627" s="1">
        <v>451</v>
      </c>
      <c r="B627" s="5"/>
      <c r="C627" s="10"/>
      <c r="D627" s="5"/>
      <c r="E627" s="10"/>
      <c r="F627" s="43"/>
      <c r="G627" s="5"/>
      <c r="H627" s="5"/>
      <c r="I627" s="5"/>
      <c r="J627" s="5"/>
      <c r="K627" s="10"/>
      <c r="L627" s="10"/>
      <c r="M627" s="10"/>
      <c r="N627" s="5"/>
      <c r="O627" s="5"/>
      <c r="P627" s="5"/>
      <c r="Q627" s="5"/>
      <c r="R627" s="5"/>
      <c r="S627" s="5"/>
      <c r="T627" s="5"/>
      <c r="U627" s="5"/>
      <c r="V627" s="5"/>
      <c r="W627" s="5"/>
      <c r="X627" s="5"/>
      <c r="Y627" s="5"/>
      <c r="Z627" s="5"/>
      <c r="AA627" s="5"/>
      <c r="AB627" s="5"/>
      <c r="AC627" s="5"/>
      <c r="AD627" s="5"/>
      <c r="AE627" s="5"/>
      <c r="AF627" s="5"/>
      <c r="AG627" s="5"/>
      <c r="AH627" s="27"/>
      <c r="AI627" s="27"/>
      <c r="AJ627" s="57"/>
      <c r="AK627" s="27"/>
      <c r="AL627" s="10"/>
      <c r="AM627" s="6"/>
      <c r="AN627" s="7"/>
      <c r="AO627" s="7"/>
      <c r="AP627" s="7"/>
      <c r="AQ627" s="7"/>
      <c r="AR627" s="7"/>
      <c r="AS627" s="7"/>
      <c r="AT627" s="7"/>
      <c r="AU627" s="7"/>
      <c r="AV627" s="7"/>
      <c r="AW627" s="7"/>
    </row>
    <row r="628" spans="1:49">
      <c r="A628" s="1">
        <v>452</v>
      </c>
      <c r="B628" s="5"/>
      <c r="C628" s="10"/>
      <c r="D628" s="5"/>
      <c r="E628" s="10"/>
      <c r="F628" s="43"/>
      <c r="G628" s="5"/>
      <c r="H628" s="5"/>
      <c r="I628" s="5"/>
      <c r="J628" s="5"/>
      <c r="K628" s="10"/>
      <c r="L628" s="10"/>
      <c r="M628" s="10"/>
      <c r="N628" s="5"/>
      <c r="O628" s="5"/>
      <c r="P628" s="5"/>
      <c r="Q628" s="5"/>
      <c r="R628" s="5"/>
      <c r="S628" s="5"/>
      <c r="T628" s="5"/>
      <c r="U628" s="5"/>
      <c r="V628" s="5"/>
      <c r="W628" s="5"/>
      <c r="X628" s="5"/>
      <c r="Y628" s="5"/>
      <c r="Z628" s="5"/>
      <c r="AA628" s="5"/>
      <c r="AB628" s="5"/>
      <c r="AC628" s="5"/>
      <c r="AD628" s="5"/>
      <c r="AE628" s="5"/>
      <c r="AF628" s="5"/>
      <c r="AG628" s="5"/>
      <c r="AH628" s="27"/>
      <c r="AI628" s="27"/>
      <c r="AJ628" s="57"/>
      <c r="AK628" s="27"/>
      <c r="AL628" s="10"/>
      <c r="AM628" s="6"/>
      <c r="AN628" s="7"/>
      <c r="AO628" s="7"/>
      <c r="AP628" s="7"/>
      <c r="AQ628" s="7"/>
      <c r="AR628" s="7"/>
      <c r="AS628" s="7"/>
      <c r="AT628" s="7"/>
      <c r="AU628" s="7"/>
      <c r="AV628" s="7"/>
      <c r="AW628" s="7"/>
    </row>
    <row r="629" spans="1:49">
      <c r="A629" s="1">
        <v>453</v>
      </c>
      <c r="B629" s="5"/>
      <c r="C629" s="10"/>
      <c r="D629" s="5"/>
      <c r="E629" s="10"/>
      <c r="F629" s="43"/>
      <c r="G629" s="5"/>
      <c r="H629" s="5"/>
      <c r="I629" s="5"/>
      <c r="J629" s="5"/>
      <c r="K629" s="10"/>
      <c r="L629" s="10"/>
      <c r="M629" s="10"/>
      <c r="N629" s="5"/>
      <c r="O629" s="5"/>
      <c r="P629" s="5"/>
      <c r="Q629" s="5"/>
      <c r="R629" s="5"/>
      <c r="S629" s="5"/>
      <c r="T629" s="5"/>
      <c r="U629" s="5"/>
      <c r="V629" s="5"/>
      <c r="W629" s="5"/>
      <c r="X629" s="5"/>
      <c r="Y629" s="5"/>
      <c r="Z629" s="5"/>
      <c r="AA629" s="5"/>
      <c r="AB629" s="5"/>
      <c r="AC629" s="5"/>
      <c r="AD629" s="5"/>
      <c r="AE629" s="5"/>
      <c r="AF629" s="5"/>
      <c r="AG629" s="5"/>
      <c r="AH629" s="27"/>
      <c r="AI629" s="27"/>
      <c r="AJ629" s="57"/>
      <c r="AK629" s="27"/>
      <c r="AL629" s="10"/>
      <c r="AM629" s="6"/>
      <c r="AN629" s="7"/>
      <c r="AO629" s="7"/>
      <c r="AP629" s="7"/>
      <c r="AQ629" s="7"/>
      <c r="AR629" s="7"/>
      <c r="AS629" s="7"/>
      <c r="AT629" s="7"/>
      <c r="AU629" s="7"/>
      <c r="AV629" s="7"/>
      <c r="AW629" s="7"/>
    </row>
    <row r="630" spans="1:49">
      <c r="A630" s="1">
        <v>454</v>
      </c>
      <c r="B630" s="5"/>
      <c r="C630" s="10"/>
      <c r="D630" s="5"/>
      <c r="E630" s="10"/>
      <c r="F630" s="43"/>
      <c r="G630" s="5"/>
      <c r="H630" s="5"/>
      <c r="I630" s="5"/>
      <c r="J630" s="5"/>
      <c r="K630" s="10"/>
      <c r="L630" s="10"/>
      <c r="M630" s="10"/>
      <c r="N630" s="5"/>
      <c r="O630" s="5"/>
      <c r="P630" s="5"/>
      <c r="Q630" s="5"/>
      <c r="R630" s="5"/>
      <c r="S630" s="5"/>
      <c r="T630" s="5"/>
      <c r="U630" s="5"/>
      <c r="V630" s="5"/>
      <c r="W630" s="5"/>
      <c r="X630" s="5"/>
      <c r="Y630" s="5"/>
      <c r="Z630" s="5"/>
      <c r="AA630" s="5"/>
      <c r="AB630" s="5"/>
      <c r="AC630" s="5"/>
      <c r="AD630" s="5"/>
      <c r="AE630" s="5"/>
      <c r="AF630" s="5"/>
      <c r="AG630" s="5"/>
      <c r="AH630" s="27"/>
      <c r="AI630" s="27"/>
      <c r="AJ630" s="57"/>
      <c r="AK630" s="27"/>
      <c r="AL630" s="10"/>
      <c r="AM630" s="6"/>
      <c r="AN630" s="7"/>
      <c r="AO630" s="7"/>
      <c r="AP630" s="7"/>
      <c r="AQ630" s="7"/>
      <c r="AR630" s="7"/>
      <c r="AS630" s="7"/>
      <c r="AT630" s="7"/>
      <c r="AU630" s="7"/>
      <c r="AV630" s="7"/>
      <c r="AW630" s="7"/>
    </row>
    <row r="631" spans="1:49">
      <c r="A631" s="1">
        <v>455</v>
      </c>
      <c r="B631" s="5"/>
      <c r="C631" s="10"/>
      <c r="D631" s="5"/>
      <c r="E631" s="10"/>
      <c r="F631" s="43"/>
      <c r="G631" s="5"/>
      <c r="H631" s="5"/>
      <c r="I631" s="5"/>
      <c r="J631" s="5"/>
      <c r="K631" s="10"/>
      <c r="L631" s="10"/>
      <c r="M631" s="10"/>
      <c r="N631" s="5"/>
      <c r="O631" s="5"/>
      <c r="P631" s="5"/>
      <c r="Q631" s="5"/>
      <c r="R631" s="5"/>
      <c r="S631" s="5"/>
      <c r="T631" s="5"/>
      <c r="U631" s="5"/>
      <c r="V631" s="5"/>
      <c r="W631" s="5"/>
      <c r="X631" s="5"/>
      <c r="Y631" s="5"/>
      <c r="Z631" s="5"/>
      <c r="AA631" s="5"/>
      <c r="AB631" s="5"/>
      <c r="AC631" s="5"/>
      <c r="AD631" s="5"/>
      <c r="AE631" s="5"/>
      <c r="AF631" s="5"/>
      <c r="AG631" s="5"/>
      <c r="AH631" s="27"/>
      <c r="AI631" s="27"/>
      <c r="AJ631" s="57"/>
      <c r="AK631" s="27"/>
      <c r="AL631" s="10"/>
      <c r="AM631" s="6"/>
      <c r="AN631" s="7"/>
      <c r="AO631" s="7"/>
      <c r="AP631" s="7"/>
      <c r="AQ631" s="7"/>
      <c r="AR631" s="7"/>
      <c r="AS631" s="7"/>
      <c r="AT631" s="7"/>
      <c r="AU631" s="7"/>
      <c r="AV631" s="7"/>
      <c r="AW631" s="7"/>
    </row>
    <row r="632" spans="1:49">
      <c r="A632" s="1">
        <v>456</v>
      </c>
      <c r="B632" s="5"/>
      <c r="C632" s="10"/>
      <c r="D632" s="5"/>
      <c r="E632" s="10"/>
      <c r="F632" s="43"/>
      <c r="G632" s="5"/>
      <c r="H632" s="5"/>
      <c r="I632" s="5"/>
      <c r="J632" s="5"/>
      <c r="K632" s="10"/>
      <c r="L632" s="10"/>
      <c r="M632" s="10"/>
      <c r="N632" s="5"/>
      <c r="O632" s="5"/>
      <c r="P632" s="5"/>
      <c r="Q632" s="5"/>
      <c r="R632" s="5"/>
      <c r="S632" s="5"/>
      <c r="T632" s="5"/>
      <c r="U632" s="5"/>
      <c r="V632" s="5"/>
      <c r="W632" s="5"/>
      <c r="X632" s="5"/>
      <c r="Y632" s="5"/>
      <c r="Z632" s="5"/>
      <c r="AA632" s="5"/>
      <c r="AB632" s="5"/>
      <c r="AC632" s="5"/>
      <c r="AD632" s="5"/>
      <c r="AE632" s="5"/>
      <c r="AF632" s="5"/>
      <c r="AG632" s="5"/>
      <c r="AH632" s="27"/>
      <c r="AI632" s="27"/>
      <c r="AJ632" s="57"/>
      <c r="AK632" s="27"/>
      <c r="AL632" s="10"/>
      <c r="AM632" s="6"/>
      <c r="AN632" s="7"/>
      <c r="AO632" s="7"/>
      <c r="AP632" s="7"/>
      <c r="AQ632" s="7"/>
      <c r="AR632" s="7"/>
      <c r="AS632" s="7"/>
      <c r="AT632" s="7"/>
      <c r="AU632" s="7"/>
      <c r="AV632" s="7"/>
      <c r="AW632" s="7"/>
    </row>
    <row r="633" spans="1:49">
      <c r="A633" s="1">
        <v>457</v>
      </c>
      <c r="B633" s="5"/>
      <c r="C633" s="10"/>
      <c r="D633" s="5"/>
      <c r="E633" s="10"/>
      <c r="F633" s="43"/>
      <c r="G633" s="5"/>
      <c r="H633" s="5"/>
      <c r="I633" s="5"/>
      <c r="J633" s="5"/>
      <c r="K633" s="10"/>
      <c r="L633" s="10"/>
      <c r="M633" s="10"/>
      <c r="N633" s="5"/>
      <c r="O633" s="5"/>
      <c r="P633" s="5"/>
      <c r="Q633" s="5"/>
      <c r="R633" s="5"/>
      <c r="S633" s="5"/>
      <c r="T633" s="5"/>
      <c r="U633" s="5"/>
      <c r="V633" s="5"/>
      <c r="W633" s="5"/>
      <c r="X633" s="5"/>
      <c r="Y633" s="5"/>
      <c r="Z633" s="5"/>
      <c r="AA633" s="5"/>
      <c r="AB633" s="5"/>
      <c r="AC633" s="5"/>
      <c r="AD633" s="5"/>
      <c r="AE633" s="5"/>
      <c r="AF633" s="5"/>
      <c r="AG633" s="5"/>
      <c r="AH633" s="27"/>
      <c r="AI633" s="27"/>
      <c r="AJ633" s="57"/>
      <c r="AK633" s="27"/>
      <c r="AL633" s="10"/>
      <c r="AM633" s="6"/>
      <c r="AN633" s="7"/>
      <c r="AO633" s="7"/>
      <c r="AP633" s="7"/>
      <c r="AQ633" s="7"/>
      <c r="AR633" s="7"/>
      <c r="AS633" s="7"/>
      <c r="AT633" s="7"/>
      <c r="AU633" s="7"/>
      <c r="AV633" s="7"/>
      <c r="AW633" s="7"/>
    </row>
    <row r="634" spans="1:49">
      <c r="A634" s="1">
        <v>458</v>
      </c>
      <c r="B634" s="5"/>
      <c r="C634" s="10"/>
      <c r="D634" s="5"/>
      <c r="E634" s="10"/>
      <c r="F634" s="43"/>
      <c r="G634" s="5"/>
      <c r="H634" s="5"/>
      <c r="I634" s="5"/>
      <c r="J634" s="5"/>
      <c r="K634" s="10"/>
      <c r="L634" s="10"/>
      <c r="M634" s="10"/>
      <c r="N634" s="5"/>
      <c r="O634" s="5"/>
      <c r="P634" s="5"/>
      <c r="Q634" s="5"/>
      <c r="R634" s="5"/>
      <c r="S634" s="5"/>
      <c r="T634" s="5"/>
      <c r="U634" s="5"/>
      <c r="V634" s="5"/>
      <c r="W634" s="5"/>
      <c r="X634" s="5"/>
      <c r="Y634" s="5"/>
      <c r="Z634" s="5"/>
      <c r="AA634" s="5"/>
      <c r="AB634" s="5"/>
      <c r="AC634" s="5"/>
      <c r="AD634" s="5"/>
      <c r="AE634" s="5"/>
      <c r="AF634" s="5"/>
      <c r="AG634" s="5"/>
      <c r="AH634" s="27"/>
      <c r="AI634" s="27"/>
      <c r="AJ634" s="57"/>
      <c r="AK634" s="27"/>
      <c r="AL634" s="10"/>
      <c r="AM634" s="6"/>
      <c r="AN634" s="7"/>
      <c r="AO634" s="7"/>
      <c r="AP634" s="7"/>
      <c r="AQ634" s="7"/>
      <c r="AR634" s="7"/>
      <c r="AS634" s="7"/>
      <c r="AT634" s="7"/>
      <c r="AU634" s="7"/>
      <c r="AV634" s="7"/>
      <c r="AW634" s="7"/>
    </row>
    <row r="635" spans="1:49">
      <c r="A635" s="1">
        <v>459</v>
      </c>
      <c r="B635" s="5"/>
      <c r="C635" s="10"/>
      <c r="D635" s="5"/>
      <c r="E635" s="10"/>
      <c r="F635" s="43"/>
      <c r="G635" s="5"/>
      <c r="H635" s="5"/>
      <c r="I635" s="5"/>
      <c r="J635" s="5"/>
      <c r="K635" s="10"/>
      <c r="L635" s="10"/>
      <c r="M635" s="10"/>
      <c r="N635" s="5"/>
      <c r="O635" s="5"/>
      <c r="P635" s="5"/>
      <c r="Q635" s="5"/>
      <c r="R635" s="5"/>
      <c r="S635" s="5"/>
      <c r="T635" s="5"/>
      <c r="U635" s="5"/>
      <c r="V635" s="5"/>
      <c r="W635" s="5"/>
      <c r="X635" s="5"/>
      <c r="Y635" s="5"/>
      <c r="Z635" s="5"/>
      <c r="AA635" s="5"/>
      <c r="AB635" s="5"/>
      <c r="AC635" s="5"/>
      <c r="AD635" s="5"/>
      <c r="AE635" s="5"/>
      <c r="AF635" s="5"/>
      <c r="AG635" s="5"/>
      <c r="AH635" s="27"/>
      <c r="AI635" s="27"/>
      <c r="AJ635" s="57"/>
      <c r="AK635" s="27"/>
      <c r="AL635" s="10"/>
      <c r="AM635" s="6"/>
      <c r="AN635" s="7"/>
      <c r="AO635" s="7"/>
      <c r="AP635" s="7"/>
      <c r="AQ635" s="7"/>
      <c r="AR635" s="7"/>
      <c r="AS635" s="7"/>
      <c r="AT635" s="7"/>
      <c r="AU635" s="7"/>
      <c r="AV635" s="7"/>
      <c r="AW635" s="7"/>
    </row>
    <row r="636" spans="1:49">
      <c r="A636" s="1">
        <v>460</v>
      </c>
      <c r="B636" s="5"/>
      <c r="C636" s="10"/>
      <c r="D636" s="5"/>
      <c r="E636" s="10"/>
      <c r="F636" s="43"/>
      <c r="G636" s="5"/>
      <c r="H636" s="5"/>
      <c r="I636" s="5"/>
      <c r="J636" s="5"/>
      <c r="K636" s="10"/>
      <c r="L636" s="10"/>
      <c r="M636" s="10"/>
      <c r="N636" s="5"/>
      <c r="O636" s="5"/>
      <c r="P636" s="5"/>
      <c r="Q636" s="5"/>
      <c r="R636" s="5"/>
      <c r="S636" s="5"/>
      <c r="T636" s="5"/>
      <c r="U636" s="5"/>
      <c r="V636" s="5"/>
      <c r="W636" s="5"/>
      <c r="X636" s="5"/>
      <c r="Y636" s="5"/>
      <c r="Z636" s="5"/>
      <c r="AA636" s="5"/>
      <c r="AB636" s="5"/>
      <c r="AC636" s="5"/>
      <c r="AD636" s="5"/>
      <c r="AE636" s="5"/>
      <c r="AF636" s="5"/>
      <c r="AG636" s="5"/>
      <c r="AH636" s="27"/>
      <c r="AI636" s="27"/>
      <c r="AJ636" s="57"/>
      <c r="AK636" s="27"/>
      <c r="AL636" s="10"/>
      <c r="AM636" s="6"/>
      <c r="AN636" s="7"/>
      <c r="AO636" s="7"/>
      <c r="AP636" s="7"/>
      <c r="AQ636" s="7"/>
      <c r="AR636" s="7"/>
      <c r="AS636" s="7"/>
      <c r="AT636" s="7"/>
      <c r="AU636" s="7"/>
      <c r="AV636" s="7"/>
      <c r="AW636" s="7"/>
    </row>
    <row r="637" spans="1:49">
      <c r="A637" s="1">
        <v>461</v>
      </c>
      <c r="B637" s="5"/>
      <c r="C637" s="10"/>
      <c r="D637" s="5"/>
      <c r="E637" s="10"/>
      <c r="F637" s="43"/>
      <c r="G637" s="5"/>
      <c r="H637" s="5"/>
      <c r="I637" s="5"/>
      <c r="J637" s="5"/>
      <c r="K637" s="10"/>
      <c r="L637" s="10"/>
      <c r="M637" s="10"/>
      <c r="N637" s="5"/>
      <c r="O637" s="5"/>
      <c r="P637" s="5"/>
      <c r="Q637" s="5"/>
      <c r="R637" s="5"/>
      <c r="S637" s="5"/>
      <c r="T637" s="5"/>
      <c r="U637" s="5"/>
      <c r="V637" s="5"/>
      <c r="W637" s="5"/>
      <c r="X637" s="5"/>
      <c r="Y637" s="5"/>
      <c r="Z637" s="5"/>
      <c r="AA637" s="5"/>
      <c r="AB637" s="5"/>
      <c r="AC637" s="5"/>
      <c r="AD637" s="5"/>
      <c r="AE637" s="5"/>
      <c r="AF637" s="5"/>
      <c r="AG637" s="5"/>
      <c r="AH637" s="27"/>
      <c r="AI637" s="27"/>
      <c r="AJ637" s="57"/>
      <c r="AK637" s="27"/>
      <c r="AL637" s="10"/>
      <c r="AM637" s="6"/>
      <c r="AN637" s="7"/>
      <c r="AO637" s="7"/>
      <c r="AP637" s="7"/>
      <c r="AQ637" s="7"/>
      <c r="AR637" s="7"/>
      <c r="AS637" s="7"/>
      <c r="AT637" s="7"/>
      <c r="AU637" s="7"/>
      <c r="AV637" s="7"/>
      <c r="AW637" s="7"/>
    </row>
    <row r="638" spans="1:49">
      <c r="A638" s="1">
        <v>462</v>
      </c>
      <c r="B638" s="5"/>
      <c r="C638" s="10"/>
      <c r="D638" s="5"/>
      <c r="E638" s="10"/>
      <c r="F638" s="43"/>
      <c r="G638" s="5"/>
      <c r="H638" s="5"/>
      <c r="I638" s="5"/>
      <c r="J638" s="5"/>
      <c r="K638" s="10"/>
      <c r="L638" s="10"/>
      <c r="M638" s="10"/>
      <c r="N638" s="5"/>
      <c r="O638" s="5"/>
      <c r="P638" s="5"/>
      <c r="Q638" s="5"/>
      <c r="R638" s="5"/>
      <c r="S638" s="5"/>
      <c r="T638" s="5"/>
      <c r="U638" s="5"/>
      <c r="V638" s="5"/>
      <c r="W638" s="5"/>
      <c r="X638" s="5"/>
      <c r="Y638" s="5"/>
      <c r="Z638" s="5"/>
      <c r="AA638" s="5"/>
      <c r="AB638" s="5"/>
      <c r="AC638" s="5"/>
      <c r="AD638" s="5"/>
      <c r="AE638" s="5"/>
      <c r="AF638" s="5"/>
      <c r="AG638" s="5"/>
      <c r="AH638" s="27"/>
      <c r="AI638" s="27"/>
      <c r="AJ638" s="57"/>
      <c r="AK638" s="27"/>
      <c r="AL638" s="10"/>
      <c r="AM638" s="6"/>
      <c r="AN638" s="7"/>
      <c r="AO638" s="7"/>
      <c r="AP638" s="7"/>
      <c r="AQ638" s="7"/>
      <c r="AR638" s="7"/>
      <c r="AS638" s="7"/>
      <c r="AT638" s="7"/>
      <c r="AU638" s="7"/>
      <c r="AV638" s="7"/>
      <c r="AW638" s="7"/>
    </row>
    <row r="639" spans="1:49">
      <c r="A639" s="1">
        <v>463</v>
      </c>
      <c r="B639" s="5"/>
      <c r="C639" s="10"/>
      <c r="D639" s="5"/>
      <c r="E639" s="10"/>
      <c r="F639" s="43"/>
      <c r="G639" s="5"/>
      <c r="H639" s="5"/>
      <c r="I639" s="5"/>
      <c r="J639" s="5"/>
      <c r="K639" s="10"/>
      <c r="L639" s="10"/>
      <c r="M639" s="10"/>
      <c r="N639" s="5"/>
      <c r="O639" s="5"/>
      <c r="P639" s="5"/>
      <c r="Q639" s="5"/>
      <c r="R639" s="5"/>
      <c r="S639" s="5"/>
      <c r="T639" s="5"/>
      <c r="U639" s="5"/>
      <c r="V639" s="5"/>
      <c r="W639" s="5"/>
      <c r="X639" s="5"/>
      <c r="Y639" s="5"/>
      <c r="Z639" s="5"/>
      <c r="AA639" s="5"/>
      <c r="AB639" s="5"/>
      <c r="AC639" s="5"/>
      <c r="AD639" s="5"/>
      <c r="AE639" s="5"/>
      <c r="AF639" s="5"/>
      <c r="AG639" s="5"/>
      <c r="AH639" s="27"/>
      <c r="AI639" s="27"/>
      <c r="AJ639" s="57"/>
      <c r="AK639" s="27"/>
      <c r="AL639" s="10"/>
      <c r="AM639" s="6"/>
      <c r="AN639" s="7"/>
      <c r="AO639" s="7"/>
      <c r="AP639" s="7"/>
      <c r="AQ639" s="7"/>
      <c r="AR639" s="7"/>
      <c r="AS639" s="7"/>
      <c r="AT639" s="7"/>
      <c r="AU639" s="7"/>
      <c r="AV639" s="7"/>
      <c r="AW639" s="7"/>
    </row>
    <row r="640" spans="1:49">
      <c r="A640" s="1">
        <v>464</v>
      </c>
      <c r="B640" s="5"/>
      <c r="C640" s="10"/>
      <c r="D640" s="5"/>
      <c r="E640" s="10"/>
      <c r="F640" s="43"/>
      <c r="G640" s="5"/>
      <c r="H640" s="5"/>
      <c r="I640" s="5"/>
      <c r="J640" s="5"/>
      <c r="K640" s="10"/>
      <c r="L640" s="10"/>
      <c r="M640" s="10"/>
      <c r="N640" s="5"/>
      <c r="O640" s="5"/>
      <c r="P640" s="5"/>
      <c r="Q640" s="5"/>
      <c r="R640" s="5"/>
      <c r="S640" s="5"/>
      <c r="T640" s="5"/>
      <c r="U640" s="5"/>
      <c r="V640" s="5"/>
      <c r="W640" s="5"/>
      <c r="X640" s="5"/>
      <c r="Y640" s="5"/>
      <c r="Z640" s="5"/>
      <c r="AA640" s="5"/>
      <c r="AB640" s="5"/>
      <c r="AC640" s="5"/>
      <c r="AD640" s="5"/>
      <c r="AE640" s="5"/>
      <c r="AF640" s="5"/>
      <c r="AG640" s="5"/>
      <c r="AH640" s="27"/>
      <c r="AI640" s="27"/>
      <c r="AJ640" s="57"/>
      <c r="AK640" s="27"/>
      <c r="AL640" s="10"/>
      <c r="AM640" s="6"/>
      <c r="AN640" s="7"/>
      <c r="AO640" s="7"/>
      <c r="AP640" s="7"/>
      <c r="AQ640" s="7"/>
      <c r="AR640" s="7"/>
      <c r="AS640" s="7"/>
      <c r="AT640" s="7"/>
      <c r="AU640" s="7"/>
      <c r="AV640" s="7"/>
      <c r="AW640" s="7"/>
    </row>
    <row r="641" spans="1:49">
      <c r="A641" s="1">
        <v>465</v>
      </c>
      <c r="B641" s="5"/>
      <c r="C641" s="10"/>
      <c r="D641" s="5"/>
      <c r="E641" s="10"/>
      <c r="F641" s="43"/>
      <c r="G641" s="5"/>
      <c r="H641" s="5"/>
      <c r="I641" s="5"/>
      <c r="J641" s="5"/>
      <c r="K641" s="10"/>
      <c r="L641" s="10"/>
      <c r="M641" s="10"/>
      <c r="N641" s="5"/>
      <c r="O641" s="5"/>
      <c r="P641" s="5"/>
      <c r="Q641" s="5"/>
      <c r="R641" s="5"/>
      <c r="S641" s="5"/>
      <c r="T641" s="5"/>
      <c r="U641" s="5"/>
      <c r="V641" s="5"/>
      <c r="W641" s="5"/>
      <c r="X641" s="5"/>
      <c r="Y641" s="5"/>
      <c r="Z641" s="5"/>
      <c r="AA641" s="5"/>
      <c r="AB641" s="5"/>
      <c r="AC641" s="5"/>
      <c r="AD641" s="5"/>
      <c r="AE641" s="5"/>
      <c r="AF641" s="5"/>
      <c r="AG641" s="5"/>
      <c r="AH641" s="27"/>
      <c r="AI641" s="27"/>
      <c r="AJ641" s="57"/>
      <c r="AK641" s="27"/>
      <c r="AL641" s="10"/>
      <c r="AM641" s="6"/>
      <c r="AN641" s="7"/>
      <c r="AO641" s="7"/>
      <c r="AP641" s="7"/>
      <c r="AQ641" s="7"/>
      <c r="AR641" s="7"/>
      <c r="AS641" s="7"/>
      <c r="AT641" s="7"/>
      <c r="AU641" s="7"/>
      <c r="AV641" s="7"/>
      <c r="AW641" s="7"/>
    </row>
    <row r="642" spans="1:49">
      <c r="A642" s="1">
        <v>466</v>
      </c>
      <c r="B642" s="5"/>
      <c r="C642" s="10"/>
      <c r="D642" s="5"/>
      <c r="E642" s="10"/>
      <c r="F642" s="43"/>
      <c r="G642" s="5"/>
      <c r="H642" s="5"/>
      <c r="I642" s="5"/>
      <c r="J642" s="5"/>
      <c r="K642" s="10"/>
      <c r="L642" s="10"/>
      <c r="M642" s="10"/>
      <c r="N642" s="5"/>
      <c r="O642" s="5"/>
      <c r="P642" s="5"/>
      <c r="Q642" s="5"/>
      <c r="R642" s="5"/>
      <c r="S642" s="5"/>
      <c r="T642" s="5"/>
      <c r="U642" s="5"/>
      <c r="V642" s="5"/>
      <c r="W642" s="5"/>
      <c r="X642" s="5"/>
      <c r="Y642" s="5"/>
      <c r="Z642" s="5"/>
      <c r="AA642" s="5"/>
      <c r="AB642" s="5"/>
      <c r="AC642" s="5"/>
      <c r="AD642" s="5"/>
      <c r="AE642" s="5"/>
      <c r="AF642" s="5"/>
      <c r="AG642" s="5"/>
      <c r="AH642" s="27"/>
      <c r="AI642" s="27"/>
      <c r="AJ642" s="57"/>
      <c r="AK642" s="27"/>
      <c r="AL642" s="10"/>
      <c r="AM642" s="6"/>
      <c r="AN642" s="7"/>
      <c r="AO642" s="7"/>
      <c r="AP642" s="7"/>
      <c r="AQ642" s="7"/>
      <c r="AR642" s="7"/>
      <c r="AS642" s="7"/>
      <c r="AT642" s="7"/>
      <c r="AU642" s="7"/>
      <c r="AV642" s="7"/>
      <c r="AW642" s="7"/>
    </row>
    <row r="643" spans="1:49">
      <c r="A643" s="1">
        <v>467</v>
      </c>
      <c r="B643" s="5"/>
      <c r="C643" s="10"/>
      <c r="D643" s="5"/>
      <c r="E643" s="10"/>
      <c r="F643" s="43"/>
      <c r="G643" s="5"/>
      <c r="H643" s="5"/>
      <c r="I643" s="5"/>
      <c r="J643" s="5"/>
      <c r="K643" s="10"/>
      <c r="L643" s="10"/>
      <c r="M643" s="10"/>
      <c r="N643" s="5"/>
      <c r="O643" s="5"/>
      <c r="P643" s="5"/>
      <c r="Q643" s="5"/>
      <c r="R643" s="5"/>
      <c r="S643" s="5"/>
      <c r="T643" s="5"/>
      <c r="U643" s="5"/>
      <c r="V643" s="5"/>
      <c r="W643" s="5"/>
      <c r="X643" s="5"/>
      <c r="Y643" s="5"/>
      <c r="Z643" s="5"/>
      <c r="AA643" s="5"/>
      <c r="AB643" s="5"/>
      <c r="AC643" s="5"/>
      <c r="AD643" s="5"/>
      <c r="AE643" s="5"/>
      <c r="AF643" s="5"/>
      <c r="AG643" s="5"/>
      <c r="AH643" s="27"/>
      <c r="AI643" s="27"/>
      <c r="AJ643" s="57"/>
      <c r="AK643" s="27"/>
      <c r="AL643" s="10"/>
      <c r="AM643" s="6"/>
      <c r="AN643" s="7"/>
      <c r="AO643" s="7"/>
      <c r="AP643" s="7"/>
      <c r="AQ643" s="7"/>
      <c r="AR643" s="7"/>
      <c r="AS643" s="7"/>
      <c r="AT643" s="7"/>
      <c r="AU643" s="7"/>
      <c r="AV643" s="7"/>
      <c r="AW643" s="7"/>
    </row>
    <row r="644" spans="1:49">
      <c r="A644" s="1">
        <v>468</v>
      </c>
      <c r="B644" s="5"/>
      <c r="C644" s="10"/>
      <c r="D644" s="5"/>
      <c r="E644" s="10"/>
      <c r="F644" s="43"/>
      <c r="G644" s="5"/>
      <c r="H644" s="5"/>
      <c r="I644" s="5"/>
      <c r="J644" s="5"/>
      <c r="K644" s="10"/>
      <c r="L644" s="10"/>
      <c r="M644" s="10"/>
      <c r="N644" s="5"/>
      <c r="O644" s="5"/>
      <c r="P644" s="5"/>
      <c r="Q644" s="5"/>
      <c r="R644" s="5"/>
      <c r="S644" s="5"/>
      <c r="T644" s="5"/>
      <c r="U644" s="5"/>
      <c r="V644" s="5"/>
      <c r="W644" s="5"/>
      <c r="X644" s="5"/>
      <c r="Y644" s="5"/>
      <c r="Z644" s="5"/>
      <c r="AA644" s="5"/>
      <c r="AB644" s="5"/>
      <c r="AC644" s="5"/>
      <c r="AD644" s="5"/>
      <c r="AE644" s="5"/>
      <c r="AF644" s="5"/>
      <c r="AG644" s="5"/>
      <c r="AH644" s="27"/>
      <c r="AI644" s="27"/>
      <c r="AJ644" s="57"/>
      <c r="AK644" s="27"/>
      <c r="AL644" s="10"/>
      <c r="AM644" s="6"/>
      <c r="AN644" s="7"/>
      <c r="AO644" s="7"/>
      <c r="AP644" s="7"/>
      <c r="AQ644" s="7"/>
      <c r="AR644" s="7"/>
      <c r="AS644" s="7"/>
      <c r="AT644" s="7"/>
      <c r="AU644" s="7"/>
      <c r="AV644" s="7"/>
      <c r="AW644" s="7"/>
    </row>
    <row r="645" spans="1:49">
      <c r="A645" s="1">
        <v>469</v>
      </c>
      <c r="B645" s="5"/>
      <c r="C645" s="10"/>
      <c r="D645" s="5"/>
      <c r="E645" s="10"/>
      <c r="F645" s="43"/>
      <c r="G645" s="5"/>
      <c r="H645" s="5"/>
      <c r="I645" s="5"/>
      <c r="J645" s="5"/>
      <c r="K645" s="10"/>
      <c r="L645" s="10"/>
      <c r="M645" s="10"/>
      <c r="N645" s="5"/>
      <c r="O645" s="5"/>
      <c r="P645" s="5"/>
      <c r="Q645" s="5"/>
      <c r="R645" s="5"/>
      <c r="S645" s="5"/>
      <c r="T645" s="5"/>
      <c r="U645" s="5"/>
      <c r="V645" s="5"/>
      <c r="W645" s="5"/>
      <c r="X645" s="5"/>
      <c r="Y645" s="5"/>
      <c r="Z645" s="5"/>
      <c r="AA645" s="5"/>
      <c r="AB645" s="5"/>
      <c r="AC645" s="5"/>
      <c r="AD645" s="5"/>
      <c r="AE645" s="5"/>
      <c r="AF645" s="5"/>
      <c r="AG645" s="5"/>
      <c r="AH645" s="27"/>
      <c r="AI645" s="27"/>
      <c r="AJ645" s="57"/>
      <c r="AK645" s="27"/>
      <c r="AL645" s="10"/>
      <c r="AM645" s="6"/>
      <c r="AN645" s="7"/>
      <c r="AO645" s="7"/>
      <c r="AP645" s="7"/>
      <c r="AQ645" s="7"/>
      <c r="AR645" s="7"/>
      <c r="AS645" s="7"/>
      <c r="AT645" s="7"/>
      <c r="AU645" s="7"/>
      <c r="AV645" s="7"/>
      <c r="AW645" s="7"/>
    </row>
    <row r="646" spans="1:49">
      <c r="A646" s="1">
        <v>470</v>
      </c>
      <c r="B646" s="5"/>
      <c r="C646" s="10"/>
      <c r="D646" s="5"/>
      <c r="E646" s="10"/>
      <c r="F646" s="43"/>
      <c r="G646" s="5"/>
      <c r="H646" s="5"/>
      <c r="I646" s="5"/>
      <c r="J646" s="5"/>
      <c r="K646" s="10"/>
      <c r="L646" s="10"/>
      <c r="M646" s="10"/>
      <c r="N646" s="5"/>
      <c r="O646" s="5"/>
      <c r="P646" s="5"/>
      <c r="Q646" s="5"/>
      <c r="R646" s="5"/>
      <c r="S646" s="5"/>
      <c r="T646" s="5"/>
      <c r="U646" s="5"/>
      <c r="V646" s="5"/>
      <c r="W646" s="5"/>
      <c r="X646" s="5"/>
      <c r="Y646" s="5"/>
      <c r="Z646" s="5"/>
      <c r="AA646" s="5"/>
      <c r="AB646" s="5"/>
      <c r="AC646" s="5"/>
      <c r="AD646" s="5"/>
      <c r="AE646" s="5"/>
      <c r="AF646" s="5"/>
      <c r="AG646" s="5"/>
      <c r="AH646" s="27"/>
      <c r="AI646" s="27"/>
      <c r="AJ646" s="57"/>
      <c r="AK646" s="27"/>
      <c r="AL646" s="10"/>
      <c r="AM646" s="6"/>
      <c r="AN646" s="7"/>
      <c r="AO646" s="7"/>
      <c r="AP646" s="7"/>
      <c r="AQ646" s="7"/>
      <c r="AR646" s="7"/>
      <c r="AS646" s="7"/>
      <c r="AT646" s="7"/>
      <c r="AU646" s="7"/>
      <c r="AV646" s="7"/>
      <c r="AW646" s="7"/>
    </row>
    <row r="647" spans="1:49">
      <c r="A647" s="1">
        <v>471</v>
      </c>
      <c r="B647" s="5"/>
      <c r="C647" s="10"/>
      <c r="D647" s="5"/>
      <c r="E647" s="10"/>
      <c r="F647" s="43"/>
      <c r="G647" s="5"/>
      <c r="H647" s="5"/>
      <c r="I647" s="5"/>
      <c r="J647" s="5"/>
      <c r="K647" s="10"/>
      <c r="L647" s="10"/>
      <c r="M647" s="10"/>
      <c r="N647" s="5"/>
      <c r="O647" s="5"/>
      <c r="P647" s="5"/>
      <c r="Q647" s="5"/>
      <c r="R647" s="5"/>
      <c r="S647" s="5"/>
      <c r="T647" s="5"/>
      <c r="U647" s="5"/>
      <c r="V647" s="5"/>
      <c r="W647" s="5"/>
      <c r="X647" s="5"/>
      <c r="Y647" s="5"/>
      <c r="Z647" s="5"/>
      <c r="AA647" s="5"/>
      <c r="AB647" s="5"/>
      <c r="AC647" s="5"/>
      <c r="AD647" s="5"/>
      <c r="AE647" s="5"/>
      <c r="AF647" s="5"/>
      <c r="AG647" s="5"/>
      <c r="AH647" s="27"/>
      <c r="AI647" s="27"/>
      <c r="AJ647" s="57"/>
      <c r="AK647" s="27"/>
      <c r="AL647" s="10"/>
      <c r="AM647" s="6"/>
      <c r="AN647" s="7"/>
      <c r="AO647" s="7"/>
      <c r="AP647" s="7"/>
      <c r="AQ647" s="7"/>
      <c r="AR647" s="7"/>
      <c r="AS647" s="7"/>
      <c r="AT647" s="7"/>
      <c r="AU647" s="7"/>
      <c r="AV647" s="7"/>
      <c r="AW647" s="7"/>
    </row>
    <row r="648" spans="1:49">
      <c r="A648" s="1">
        <v>472</v>
      </c>
      <c r="B648" s="5"/>
      <c r="C648" s="10"/>
      <c r="D648" s="5"/>
      <c r="E648" s="10"/>
      <c r="F648" s="43"/>
      <c r="G648" s="5"/>
      <c r="H648" s="5"/>
      <c r="I648" s="5"/>
      <c r="J648" s="5"/>
      <c r="K648" s="10"/>
      <c r="L648" s="10"/>
      <c r="M648" s="10"/>
      <c r="N648" s="5"/>
      <c r="O648" s="5"/>
      <c r="P648" s="5"/>
      <c r="Q648" s="5"/>
      <c r="R648" s="5"/>
      <c r="S648" s="5"/>
      <c r="T648" s="5"/>
      <c r="U648" s="5"/>
      <c r="V648" s="5"/>
      <c r="W648" s="5"/>
      <c r="X648" s="5"/>
      <c r="Y648" s="5"/>
      <c r="Z648" s="5"/>
      <c r="AA648" s="5"/>
      <c r="AB648" s="5"/>
      <c r="AC648" s="5"/>
      <c r="AD648" s="5"/>
      <c r="AE648" s="5"/>
      <c r="AF648" s="5"/>
      <c r="AG648" s="5"/>
      <c r="AH648" s="27"/>
      <c r="AI648" s="27"/>
      <c r="AJ648" s="57"/>
      <c r="AK648" s="27"/>
      <c r="AL648" s="10"/>
      <c r="AM648" s="6"/>
      <c r="AN648" s="7"/>
      <c r="AO648" s="7"/>
      <c r="AP648" s="7"/>
      <c r="AQ648" s="7"/>
      <c r="AR648" s="7"/>
      <c r="AS648" s="7"/>
      <c r="AT648" s="7"/>
      <c r="AU648" s="7"/>
      <c r="AV648" s="7"/>
      <c r="AW648" s="7"/>
    </row>
    <row r="649" spans="1:49">
      <c r="A649" s="1">
        <v>473</v>
      </c>
      <c r="B649" s="5"/>
      <c r="C649" s="10"/>
      <c r="D649" s="5"/>
      <c r="E649" s="10"/>
      <c r="F649" s="43"/>
      <c r="G649" s="5"/>
      <c r="H649" s="5"/>
      <c r="I649" s="5"/>
      <c r="J649" s="5"/>
      <c r="K649" s="10"/>
      <c r="L649" s="10"/>
      <c r="M649" s="10"/>
      <c r="N649" s="5"/>
      <c r="O649" s="5"/>
      <c r="P649" s="5"/>
      <c r="Q649" s="5"/>
      <c r="R649" s="5"/>
      <c r="S649" s="5"/>
      <c r="T649" s="5"/>
      <c r="U649" s="5"/>
      <c r="V649" s="5"/>
      <c r="W649" s="5"/>
      <c r="X649" s="5"/>
      <c r="Y649" s="5"/>
      <c r="Z649" s="5"/>
      <c r="AA649" s="5"/>
      <c r="AB649" s="5"/>
      <c r="AC649" s="5"/>
      <c r="AD649" s="5"/>
      <c r="AE649" s="5"/>
      <c r="AF649" s="5"/>
      <c r="AG649" s="5"/>
      <c r="AH649" s="27"/>
      <c r="AI649" s="27"/>
      <c r="AJ649" s="57"/>
      <c r="AK649" s="27"/>
      <c r="AL649" s="10"/>
      <c r="AM649" s="6"/>
      <c r="AN649" s="7"/>
      <c r="AO649" s="7"/>
      <c r="AP649" s="7"/>
      <c r="AQ649" s="7"/>
      <c r="AR649" s="7"/>
      <c r="AS649" s="7"/>
      <c r="AT649" s="7"/>
      <c r="AU649" s="7"/>
      <c r="AV649" s="7"/>
      <c r="AW649" s="7"/>
    </row>
    <row r="650" spans="1:49">
      <c r="A650" s="1">
        <v>474</v>
      </c>
      <c r="B650" s="5"/>
      <c r="C650" s="10"/>
      <c r="D650" s="5"/>
      <c r="E650" s="10"/>
      <c r="F650" s="43"/>
      <c r="G650" s="5"/>
      <c r="H650" s="5"/>
      <c r="I650" s="5"/>
      <c r="J650" s="5"/>
      <c r="K650" s="10"/>
      <c r="L650" s="10"/>
      <c r="M650" s="10"/>
      <c r="N650" s="5"/>
      <c r="O650" s="5"/>
      <c r="P650" s="5"/>
      <c r="Q650" s="5"/>
      <c r="R650" s="5"/>
      <c r="S650" s="5"/>
      <c r="T650" s="5"/>
      <c r="U650" s="5"/>
      <c r="V650" s="5"/>
      <c r="W650" s="5"/>
      <c r="X650" s="5"/>
      <c r="Y650" s="5"/>
      <c r="Z650" s="5"/>
      <c r="AA650" s="5"/>
      <c r="AB650" s="5"/>
      <c r="AC650" s="5"/>
      <c r="AD650" s="5"/>
      <c r="AE650" s="5"/>
      <c r="AF650" s="5"/>
      <c r="AG650" s="5"/>
      <c r="AH650" s="27"/>
      <c r="AI650" s="27"/>
      <c r="AJ650" s="57"/>
      <c r="AK650" s="27"/>
      <c r="AL650" s="10"/>
      <c r="AM650" s="6"/>
      <c r="AN650" s="7"/>
      <c r="AO650" s="7"/>
      <c r="AP650" s="7"/>
      <c r="AQ650" s="7"/>
      <c r="AR650" s="7"/>
      <c r="AS650" s="7"/>
      <c r="AT650" s="7"/>
      <c r="AU650" s="7"/>
      <c r="AV650" s="7"/>
      <c r="AW650" s="7"/>
    </row>
    <row r="651" spans="1:49">
      <c r="A651" s="1">
        <v>475</v>
      </c>
      <c r="B651" s="5"/>
      <c r="C651" s="10"/>
      <c r="D651" s="5"/>
      <c r="E651" s="10"/>
      <c r="F651" s="43"/>
      <c r="G651" s="5"/>
      <c r="H651" s="5"/>
      <c r="I651" s="5"/>
      <c r="J651" s="5"/>
      <c r="K651" s="10"/>
      <c r="L651" s="10"/>
      <c r="M651" s="10"/>
      <c r="N651" s="5"/>
      <c r="O651" s="5"/>
      <c r="P651" s="5"/>
      <c r="Q651" s="5"/>
      <c r="R651" s="5"/>
      <c r="S651" s="5"/>
      <c r="T651" s="5"/>
      <c r="U651" s="5"/>
      <c r="V651" s="5"/>
      <c r="W651" s="5"/>
      <c r="X651" s="5"/>
      <c r="Y651" s="5"/>
      <c r="Z651" s="5"/>
      <c r="AA651" s="5"/>
      <c r="AB651" s="5"/>
      <c r="AC651" s="5"/>
      <c r="AD651" s="5"/>
      <c r="AE651" s="5"/>
      <c r="AF651" s="5"/>
      <c r="AG651" s="5"/>
      <c r="AH651" s="27"/>
      <c r="AI651" s="27"/>
      <c r="AJ651" s="57"/>
      <c r="AK651" s="27"/>
      <c r="AL651" s="10"/>
      <c r="AM651" s="6"/>
      <c r="AN651" s="7"/>
      <c r="AO651" s="7"/>
      <c r="AP651" s="7"/>
      <c r="AQ651" s="7"/>
      <c r="AR651" s="7"/>
      <c r="AS651" s="7"/>
      <c r="AT651" s="7"/>
      <c r="AU651" s="7"/>
      <c r="AV651" s="7"/>
      <c r="AW651" s="7"/>
    </row>
    <row r="652" spans="1:49">
      <c r="A652" s="1">
        <v>476</v>
      </c>
      <c r="B652" s="5"/>
      <c r="C652" s="10"/>
      <c r="D652" s="5"/>
      <c r="E652" s="10"/>
      <c r="F652" s="43"/>
      <c r="G652" s="5"/>
      <c r="H652" s="5"/>
      <c r="I652" s="5"/>
      <c r="J652" s="5"/>
      <c r="K652" s="10"/>
      <c r="L652" s="10"/>
      <c r="M652" s="10"/>
      <c r="N652" s="5"/>
      <c r="O652" s="5"/>
      <c r="P652" s="5"/>
      <c r="Q652" s="5"/>
      <c r="R652" s="5"/>
      <c r="S652" s="5"/>
      <c r="T652" s="5"/>
      <c r="U652" s="5"/>
      <c r="V652" s="5"/>
      <c r="W652" s="5"/>
      <c r="X652" s="5"/>
      <c r="Y652" s="5"/>
      <c r="Z652" s="5"/>
      <c r="AA652" s="5"/>
      <c r="AB652" s="5"/>
      <c r="AC652" s="5"/>
      <c r="AD652" s="5"/>
      <c r="AE652" s="5"/>
      <c r="AF652" s="5"/>
      <c r="AG652" s="5"/>
      <c r="AH652" s="27"/>
      <c r="AI652" s="27"/>
      <c r="AJ652" s="57"/>
      <c r="AK652" s="27"/>
      <c r="AL652" s="10"/>
      <c r="AM652" s="6"/>
      <c r="AN652" s="7"/>
      <c r="AO652" s="7"/>
      <c r="AP652" s="7"/>
      <c r="AQ652" s="7"/>
      <c r="AR652" s="7"/>
      <c r="AS652" s="7"/>
      <c r="AT652" s="7"/>
      <c r="AU652" s="7"/>
      <c r="AV652" s="7"/>
      <c r="AW652" s="7"/>
    </row>
    <row r="653" spans="1:49">
      <c r="A653" s="1">
        <v>477</v>
      </c>
      <c r="B653" s="5"/>
      <c r="C653" s="10"/>
      <c r="D653" s="5"/>
      <c r="E653" s="10"/>
      <c r="F653" s="43"/>
      <c r="G653" s="5"/>
      <c r="H653" s="5"/>
      <c r="I653" s="5"/>
      <c r="J653" s="5"/>
      <c r="K653" s="10"/>
      <c r="L653" s="10"/>
      <c r="M653" s="10"/>
      <c r="N653" s="5"/>
      <c r="O653" s="5"/>
      <c r="P653" s="5"/>
      <c r="Q653" s="5"/>
      <c r="R653" s="5"/>
      <c r="S653" s="5"/>
      <c r="T653" s="5"/>
      <c r="U653" s="5"/>
      <c r="V653" s="5"/>
      <c r="W653" s="5"/>
      <c r="X653" s="5"/>
      <c r="Y653" s="5"/>
      <c r="Z653" s="5"/>
      <c r="AA653" s="5"/>
      <c r="AB653" s="5"/>
      <c r="AC653" s="5"/>
      <c r="AD653" s="5"/>
      <c r="AE653" s="5"/>
      <c r="AF653" s="5"/>
      <c r="AG653" s="5"/>
      <c r="AH653" s="27"/>
      <c r="AI653" s="27"/>
      <c r="AJ653" s="57"/>
      <c r="AK653" s="27"/>
      <c r="AL653" s="10"/>
      <c r="AM653" s="6"/>
      <c r="AN653" s="7"/>
      <c r="AO653" s="7"/>
      <c r="AP653" s="7"/>
      <c r="AQ653" s="7"/>
      <c r="AR653" s="7"/>
      <c r="AS653" s="7"/>
      <c r="AT653" s="7"/>
      <c r="AU653" s="7"/>
      <c r="AV653" s="7"/>
      <c r="AW653" s="7"/>
    </row>
    <row r="654" spans="1:49">
      <c r="A654" s="1">
        <v>478</v>
      </c>
      <c r="B654" s="5"/>
      <c r="C654" s="10"/>
      <c r="D654" s="5"/>
      <c r="E654" s="10"/>
      <c r="F654" s="43"/>
      <c r="G654" s="5"/>
      <c r="H654" s="5"/>
      <c r="I654" s="5"/>
      <c r="J654" s="5"/>
      <c r="K654" s="10"/>
      <c r="L654" s="10"/>
      <c r="M654" s="10"/>
      <c r="N654" s="5"/>
      <c r="O654" s="5"/>
      <c r="P654" s="5"/>
      <c r="Q654" s="5"/>
      <c r="R654" s="5"/>
      <c r="S654" s="5"/>
      <c r="T654" s="5"/>
      <c r="U654" s="5"/>
      <c r="V654" s="5"/>
      <c r="W654" s="5"/>
      <c r="X654" s="5"/>
      <c r="Y654" s="5"/>
      <c r="Z654" s="5"/>
      <c r="AA654" s="5"/>
      <c r="AB654" s="5"/>
      <c r="AC654" s="5"/>
      <c r="AD654" s="5"/>
      <c r="AE654" s="5"/>
      <c r="AF654" s="5"/>
      <c r="AG654" s="5"/>
      <c r="AH654" s="27"/>
      <c r="AI654" s="27"/>
      <c r="AJ654" s="57"/>
      <c r="AK654" s="27"/>
      <c r="AL654" s="10"/>
      <c r="AM654" s="6"/>
      <c r="AN654" s="7"/>
      <c r="AO654" s="7"/>
      <c r="AP654" s="7"/>
      <c r="AQ654" s="7"/>
      <c r="AR654" s="7"/>
      <c r="AS654" s="7"/>
      <c r="AT654" s="7"/>
      <c r="AU654" s="7"/>
      <c r="AV654" s="7"/>
      <c r="AW654" s="7"/>
    </row>
    <row r="655" spans="1:49">
      <c r="A655" s="1">
        <v>479</v>
      </c>
      <c r="B655" s="5"/>
      <c r="C655" s="10"/>
      <c r="D655" s="5"/>
      <c r="E655" s="10"/>
      <c r="F655" s="43"/>
      <c r="G655" s="5"/>
      <c r="H655" s="5"/>
      <c r="I655" s="5"/>
      <c r="J655" s="5"/>
      <c r="K655" s="10"/>
      <c r="L655" s="10"/>
      <c r="M655" s="10"/>
      <c r="N655" s="5"/>
      <c r="O655" s="5"/>
      <c r="P655" s="5"/>
      <c r="Q655" s="5"/>
      <c r="R655" s="5"/>
      <c r="S655" s="5"/>
      <c r="T655" s="5"/>
      <c r="U655" s="5"/>
      <c r="V655" s="5"/>
      <c r="W655" s="5"/>
      <c r="X655" s="5"/>
      <c r="Y655" s="5"/>
      <c r="Z655" s="5"/>
      <c r="AA655" s="5"/>
      <c r="AB655" s="5"/>
      <c r="AC655" s="5"/>
      <c r="AD655" s="5"/>
      <c r="AE655" s="5"/>
      <c r="AF655" s="5"/>
      <c r="AG655" s="5"/>
      <c r="AH655" s="27"/>
      <c r="AI655" s="27"/>
      <c r="AJ655" s="57"/>
      <c r="AK655" s="27"/>
      <c r="AL655" s="10"/>
      <c r="AM655" s="6"/>
      <c r="AN655" s="7"/>
      <c r="AO655" s="7"/>
      <c r="AP655" s="7"/>
      <c r="AQ655" s="7"/>
      <c r="AR655" s="7"/>
      <c r="AS655" s="7"/>
      <c r="AT655" s="7"/>
      <c r="AU655" s="7"/>
      <c r="AV655" s="7"/>
      <c r="AW655" s="7"/>
    </row>
    <row r="656" spans="1:49">
      <c r="A656" s="1">
        <v>480</v>
      </c>
      <c r="B656" s="5"/>
      <c r="C656" s="10"/>
      <c r="D656" s="5"/>
      <c r="E656" s="10"/>
      <c r="F656" s="43"/>
      <c r="G656" s="5"/>
      <c r="H656" s="5"/>
      <c r="I656" s="5"/>
      <c r="J656" s="5"/>
      <c r="K656" s="10"/>
      <c r="L656" s="10"/>
      <c r="M656" s="10"/>
      <c r="N656" s="5"/>
      <c r="O656" s="5"/>
      <c r="P656" s="5"/>
      <c r="Q656" s="5"/>
      <c r="R656" s="5"/>
      <c r="S656" s="5"/>
      <c r="T656" s="5"/>
      <c r="U656" s="5"/>
      <c r="V656" s="5"/>
      <c r="W656" s="5"/>
      <c r="X656" s="5"/>
      <c r="Y656" s="5"/>
      <c r="Z656" s="5"/>
      <c r="AA656" s="5"/>
      <c r="AB656" s="5"/>
      <c r="AC656" s="5"/>
      <c r="AD656" s="5"/>
      <c r="AE656" s="5"/>
      <c r="AF656" s="5"/>
      <c r="AG656" s="5"/>
      <c r="AH656" s="27"/>
      <c r="AI656" s="27"/>
      <c r="AJ656" s="57"/>
      <c r="AK656" s="27"/>
      <c r="AL656" s="10"/>
      <c r="AM656" s="6"/>
      <c r="AN656" s="7"/>
      <c r="AO656" s="7"/>
      <c r="AP656" s="7"/>
      <c r="AQ656" s="7"/>
      <c r="AR656" s="7"/>
      <c r="AS656" s="7"/>
      <c r="AT656" s="7"/>
      <c r="AU656" s="7"/>
      <c r="AV656" s="7"/>
      <c r="AW656" s="7"/>
    </row>
    <row r="657" spans="1:49">
      <c r="A657" s="1">
        <v>481</v>
      </c>
      <c r="B657" s="5"/>
      <c r="C657" s="10"/>
      <c r="D657" s="5"/>
      <c r="E657" s="10"/>
      <c r="F657" s="43"/>
      <c r="G657" s="5"/>
      <c r="H657" s="5"/>
      <c r="I657" s="5"/>
      <c r="J657" s="5"/>
      <c r="K657" s="10"/>
      <c r="L657" s="10"/>
      <c r="M657" s="10"/>
      <c r="N657" s="5"/>
      <c r="O657" s="5"/>
      <c r="P657" s="5"/>
      <c r="Q657" s="5"/>
      <c r="R657" s="5"/>
      <c r="S657" s="5"/>
      <c r="T657" s="5"/>
      <c r="U657" s="5"/>
      <c r="V657" s="5"/>
      <c r="W657" s="5"/>
      <c r="X657" s="5"/>
      <c r="Y657" s="5"/>
      <c r="Z657" s="5"/>
      <c r="AA657" s="5"/>
      <c r="AB657" s="5"/>
      <c r="AC657" s="5"/>
      <c r="AD657" s="5"/>
      <c r="AE657" s="5"/>
      <c r="AF657" s="5"/>
      <c r="AG657" s="5"/>
      <c r="AH657" s="27"/>
      <c r="AI657" s="27"/>
      <c r="AJ657" s="57"/>
      <c r="AK657" s="27"/>
      <c r="AL657" s="10"/>
      <c r="AM657" s="6"/>
      <c r="AN657" s="7"/>
      <c r="AO657" s="7"/>
      <c r="AP657" s="7"/>
      <c r="AQ657" s="7"/>
      <c r="AR657" s="7"/>
      <c r="AS657" s="7"/>
      <c r="AT657" s="7"/>
      <c r="AU657" s="7"/>
      <c r="AV657" s="7"/>
      <c r="AW657" s="7"/>
    </row>
    <row r="658" spans="1:49">
      <c r="A658" s="1">
        <v>482</v>
      </c>
      <c r="B658" s="5"/>
      <c r="C658" s="10"/>
      <c r="D658" s="5"/>
      <c r="E658" s="10"/>
      <c r="F658" s="43"/>
      <c r="G658" s="5"/>
      <c r="H658" s="5"/>
      <c r="I658" s="5"/>
      <c r="J658" s="5"/>
      <c r="K658" s="10"/>
      <c r="L658" s="10"/>
      <c r="M658" s="10"/>
      <c r="N658" s="5"/>
      <c r="O658" s="5"/>
      <c r="P658" s="5"/>
      <c r="Q658" s="5"/>
      <c r="R658" s="5"/>
      <c r="S658" s="5"/>
      <c r="T658" s="5"/>
      <c r="U658" s="5"/>
      <c r="V658" s="5"/>
      <c r="W658" s="5"/>
      <c r="X658" s="5"/>
      <c r="Y658" s="5"/>
      <c r="Z658" s="5"/>
      <c r="AA658" s="5"/>
      <c r="AB658" s="5"/>
      <c r="AC658" s="5"/>
      <c r="AD658" s="5"/>
      <c r="AE658" s="5"/>
      <c r="AF658" s="5"/>
      <c r="AG658" s="5"/>
      <c r="AH658" s="27"/>
      <c r="AI658" s="27"/>
      <c r="AJ658" s="57"/>
      <c r="AK658" s="27"/>
      <c r="AL658" s="10"/>
      <c r="AM658" s="6"/>
      <c r="AN658" s="7"/>
      <c r="AO658" s="7"/>
      <c r="AP658" s="7"/>
      <c r="AQ658" s="7"/>
      <c r="AR658" s="7"/>
      <c r="AS658" s="7"/>
      <c r="AT658" s="7"/>
      <c r="AU658" s="7"/>
      <c r="AV658" s="7"/>
      <c r="AW658" s="7"/>
    </row>
    <row r="659" spans="1:49">
      <c r="A659" s="1">
        <v>483</v>
      </c>
      <c r="B659" s="5"/>
      <c r="C659" s="10"/>
      <c r="D659" s="5"/>
      <c r="E659" s="10"/>
      <c r="F659" s="43"/>
      <c r="G659" s="5"/>
      <c r="H659" s="5"/>
      <c r="I659" s="5"/>
      <c r="J659" s="5"/>
      <c r="K659" s="10"/>
      <c r="L659" s="10"/>
      <c r="M659" s="10"/>
      <c r="N659" s="5"/>
      <c r="O659" s="5"/>
      <c r="P659" s="5"/>
      <c r="Q659" s="5"/>
      <c r="R659" s="5"/>
      <c r="S659" s="5"/>
      <c r="T659" s="5"/>
      <c r="U659" s="5"/>
      <c r="V659" s="5"/>
      <c r="W659" s="5"/>
      <c r="X659" s="5"/>
      <c r="Y659" s="5"/>
      <c r="Z659" s="5"/>
      <c r="AA659" s="5"/>
      <c r="AB659" s="5"/>
      <c r="AC659" s="5"/>
      <c r="AD659" s="5"/>
      <c r="AE659" s="5"/>
      <c r="AF659" s="5"/>
      <c r="AG659" s="5"/>
      <c r="AH659" s="27"/>
      <c r="AI659" s="27"/>
      <c r="AJ659" s="57"/>
      <c r="AK659" s="27"/>
      <c r="AL659" s="10"/>
      <c r="AM659" s="6"/>
      <c r="AN659" s="7"/>
      <c r="AO659" s="7"/>
      <c r="AP659" s="7"/>
      <c r="AQ659" s="7"/>
      <c r="AR659" s="7"/>
      <c r="AS659" s="7"/>
      <c r="AT659" s="7"/>
      <c r="AU659" s="7"/>
      <c r="AV659" s="7"/>
      <c r="AW659" s="7"/>
    </row>
    <row r="660" spans="1:49">
      <c r="A660" s="1">
        <v>484</v>
      </c>
      <c r="B660" s="5"/>
      <c r="C660" s="10"/>
      <c r="D660" s="5"/>
      <c r="E660" s="10"/>
      <c r="F660" s="43"/>
      <c r="G660" s="5"/>
      <c r="H660" s="5"/>
      <c r="I660" s="5"/>
      <c r="J660" s="5"/>
      <c r="K660" s="10"/>
      <c r="L660" s="10"/>
      <c r="M660" s="10"/>
      <c r="N660" s="5"/>
      <c r="O660" s="5"/>
      <c r="P660" s="5"/>
      <c r="Q660" s="5"/>
      <c r="R660" s="5"/>
      <c r="S660" s="5"/>
      <c r="T660" s="5"/>
      <c r="U660" s="5"/>
      <c r="V660" s="5"/>
      <c r="W660" s="5"/>
      <c r="X660" s="5"/>
      <c r="Y660" s="5"/>
      <c r="Z660" s="5"/>
      <c r="AA660" s="5"/>
      <c r="AB660" s="5"/>
      <c r="AC660" s="5"/>
      <c r="AD660" s="5"/>
      <c r="AE660" s="5"/>
      <c r="AF660" s="5"/>
      <c r="AG660" s="5"/>
      <c r="AH660" s="27"/>
      <c r="AI660" s="27"/>
      <c r="AJ660" s="57"/>
      <c r="AK660" s="27"/>
      <c r="AL660" s="10"/>
      <c r="AM660" s="6"/>
      <c r="AN660" s="7"/>
      <c r="AO660" s="7"/>
      <c r="AP660" s="7"/>
      <c r="AQ660" s="7"/>
      <c r="AR660" s="7"/>
      <c r="AS660" s="7"/>
      <c r="AT660" s="7"/>
      <c r="AU660" s="7"/>
      <c r="AV660" s="7"/>
      <c r="AW660" s="7"/>
    </row>
    <row r="661" spans="1:49">
      <c r="A661" s="1">
        <v>485</v>
      </c>
      <c r="B661" s="5"/>
      <c r="C661" s="10"/>
      <c r="D661" s="5"/>
      <c r="E661" s="10"/>
      <c r="F661" s="43"/>
      <c r="G661" s="5"/>
      <c r="H661" s="5"/>
      <c r="I661" s="5"/>
      <c r="J661" s="5"/>
      <c r="K661" s="10"/>
      <c r="L661" s="10"/>
      <c r="M661" s="10"/>
      <c r="N661" s="5"/>
      <c r="O661" s="5"/>
      <c r="P661" s="5"/>
      <c r="Q661" s="5"/>
      <c r="R661" s="5"/>
      <c r="S661" s="5"/>
      <c r="T661" s="5"/>
      <c r="U661" s="5"/>
      <c r="V661" s="5"/>
      <c r="W661" s="5"/>
      <c r="X661" s="5"/>
      <c r="Y661" s="5"/>
      <c r="Z661" s="5"/>
      <c r="AA661" s="5"/>
      <c r="AB661" s="5"/>
      <c r="AC661" s="5"/>
      <c r="AD661" s="5"/>
      <c r="AE661" s="5"/>
      <c r="AF661" s="5"/>
      <c r="AG661" s="5"/>
      <c r="AH661" s="27"/>
      <c r="AI661" s="27"/>
      <c r="AJ661" s="57"/>
      <c r="AK661" s="27"/>
      <c r="AL661" s="10"/>
      <c r="AM661" s="6"/>
      <c r="AN661" s="7"/>
      <c r="AO661" s="7"/>
      <c r="AP661" s="7"/>
      <c r="AQ661" s="7"/>
      <c r="AR661" s="7"/>
      <c r="AS661" s="7"/>
      <c r="AT661" s="7"/>
      <c r="AU661" s="7"/>
      <c r="AV661" s="7"/>
      <c r="AW661" s="7"/>
    </row>
    <row r="662" spans="1:49">
      <c r="A662" s="1">
        <v>486</v>
      </c>
      <c r="B662" s="5"/>
      <c r="C662" s="10"/>
      <c r="D662" s="5"/>
      <c r="E662" s="10"/>
      <c r="F662" s="43"/>
      <c r="G662" s="5"/>
      <c r="H662" s="5"/>
      <c r="I662" s="5"/>
      <c r="J662" s="5"/>
      <c r="K662" s="10"/>
      <c r="L662" s="10"/>
      <c r="M662" s="10"/>
      <c r="N662" s="5"/>
      <c r="O662" s="5"/>
      <c r="P662" s="5"/>
      <c r="Q662" s="5"/>
      <c r="R662" s="5"/>
      <c r="S662" s="5"/>
      <c r="T662" s="5"/>
      <c r="U662" s="5"/>
      <c r="V662" s="5"/>
      <c r="W662" s="5"/>
      <c r="X662" s="5"/>
      <c r="Y662" s="5"/>
      <c r="Z662" s="5"/>
      <c r="AA662" s="5"/>
      <c r="AB662" s="5"/>
      <c r="AC662" s="5"/>
      <c r="AD662" s="5"/>
      <c r="AE662" s="5"/>
      <c r="AF662" s="5"/>
      <c r="AG662" s="5"/>
      <c r="AH662" s="27"/>
      <c r="AI662" s="27"/>
      <c r="AJ662" s="57"/>
      <c r="AK662" s="27"/>
      <c r="AL662" s="10"/>
      <c r="AM662" s="6"/>
      <c r="AN662" s="7"/>
      <c r="AO662" s="7"/>
      <c r="AP662" s="7"/>
      <c r="AQ662" s="7"/>
      <c r="AR662" s="7"/>
      <c r="AS662" s="7"/>
      <c r="AT662" s="7"/>
      <c r="AU662" s="7"/>
      <c r="AV662" s="7"/>
      <c r="AW662" s="7"/>
    </row>
  </sheetData>
  <autoFilter ref="B1:AY663" xr:uid="{61E62CFE-67C6-45D9-860A-32A87094F9B5}"/>
  <phoneticPr fontId="1" type="noConversion"/>
  <conditionalFormatting sqref="E376:E377 E1:E116 E118:E128 E130:E136 E138:E142 E144:E149 E151:E154 E156:E163 E166:E167 E169:E181 E190:E191 E183:E188 E193:E202 E204:E207 E209:E212 E214:E227 E229:E230 E234 E236 E252:E253 E239:E241 E243:E250 E255:E260 E262:E277 E280:E282 E285:E286 E330:E332 E347 E350:E351 E353:E354 E384:E385 E387 E389:E1048576 E289:E299 E301:E304 E306:E315 E317:E320 E322:E328 E334:E337 E339:E345 E356:E373 E379:E382">
    <cfRule type="duplicateValues" dxfId="463" priority="49"/>
  </conditionalFormatting>
  <conditionalFormatting sqref="E117">
    <cfRule type="duplicateValues" dxfId="462" priority="48"/>
  </conditionalFormatting>
  <conditionalFormatting sqref="E129">
    <cfRule type="duplicateValues" dxfId="461" priority="47"/>
  </conditionalFormatting>
  <conditionalFormatting sqref="E137">
    <cfRule type="duplicateValues" dxfId="460" priority="46"/>
  </conditionalFormatting>
  <conditionalFormatting sqref="E143">
    <cfRule type="duplicateValues" dxfId="459" priority="45"/>
  </conditionalFormatting>
  <conditionalFormatting sqref="E150">
    <cfRule type="duplicateValues" dxfId="458" priority="44"/>
  </conditionalFormatting>
  <conditionalFormatting sqref="E155">
    <cfRule type="duplicateValues" dxfId="457" priority="43"/>
  </conditionalFormatting>
  <conditionalFormatting sqref="E164">
    <cfRule type="duplicateValues" dxfId="456" priority="42"/>
  </conditionalFormatting>
  <conditionalFormatting sqref="E165">
    <cfRule type="duplicateValues" dxfId="455" priority="41"/>
  </conditionalFormatting>
  <conditionalFormatting sqref="E168">
    <cfRule type="duplicateValues" dxfId="454" priority="40"/>
  </conditionalFormatting>
  <conditionalFormatting sqref="E182">
    <cfRule type="duplicateValues" dxfId="453" priority="39"/>
  </conditionalFormatting>
  <conditionalFormatting sqref="E189">
    <cfRule type="duplicateValues" dxfId="452" priority="38"/>
  </conditionalFormatting>
  <conditionalFormatting sqref="E192">
    <cfRule type="duplicateValues" dxfId="451" priority="37"/>
  </conditionalFormatting>
  <conditionalFormatting sqref="E203">
    <cfRule type="duplicateValues" dxfId="450" priority="36"/>
  </conditionalFormatting>
  <conditionalFormatting sqref="E208">
    <cfRule type="duplicateValues" dxfId="449" priority="35"/>
  </conditionalFormatting>
  <conditionalFormatting sqref="E213">
    <cfRule type="duplicateValues" dxfId="448" priority="34"/>
  </conditionalFormatting>
  <conditionalFormatting sqref="E228">
    <cfRule type="duplicateValues" dxfId="447" priority="33"/>
  </conditionalFormatting>
  <conditionalFormatting sqref="E231">
    <cfRule type="duplicateValues" dxfId="446" priority="32"/>
  </conditionalFormatting>
  <conditionalFormatting sqref="E233 E235 E237">
    <cfRule type="duplicateValues" dxfId="445" priority="31"/>
  </conditionalFormatting>
  <conditionalFormatting sqref="E232">
    <cfRule type="duplicateValues" dxfId="444" priority="30"/>
  </conditionalFormatting>
  <conditionalFormatting sqref="E238">
    <cfRule type="duplicateValues" dxfId="443" priority="29"/>
  </conditionalFormatting>
  <conditionalFormatting sqref="E242">
    <cfRule type="duplicateValues" dxfId="442" priority="28"/>
  </conditionalFormatting>
  <conditionalFormatting sqref="E251">
    <cfRule type="duplicateValues" dxfId="441" priority="27"/>
  </conditionalFormatting>
  <conditionalFormatting sqref="E254">
    <cfRule type="duplicateValues" dxfId="440" priority="26"/>
  </conditionalFormatting>
  <conditionalFormatting sqref="E261">
    <cfRule type="duplicateValues" dxfId="439" priority="25"/>
  </conditionalFormatting>
  <conditionalFormatting sqref="E278">
    <cfRule type="duplicateValues" dxfId="438" priority="24"/>
  </conditionalFormatting>
  <conditionalFormatting sqref="E279">
    <cfRule type="duplicateValues" dxfId="437" priority="23"/>
  </conditionalFormatting>
  <conditionalFormatting sqref="E283">
    <cfRule type="duplicateValues" dxfId="436" priority="22"/>
  </conditionalFormatting>
  <conditionalFormatting sqref="E284">
    <cfRule type="duplicateValues" dxfId="435" priority="21"/>
  </conditionalFormatting>
  <conditionalFormatting sqref="E287">
    <cfRule type="duplicateValues" dxfId="434" priority="20"/>
  </conditionalFormatting>
  <conditionalFormatting sqref="E288">
    <cfRule type="duplicateValues" dxfId="433" priority="19"/>
  </conditionalFormatting>
  <conditionalFormatting sqref="E300">
    <cfRule type="duplicateValues" dxfId="432" priority="18"/>
  </conditionalFormatting>
  <conditionalFormatting sqref="E305">
    <cfRule type="duplicateValues" dxfId="431" priority="17"/>
  </conditionalFormatting>
  <conditionalFormatting sqref="E316">
    <cfRule type="duplicateValues" dxfId="430" priority="16"/>
  </conditionalFormatting>
  <conditionalFormatting sqref="E321">
    <cfRule type="duplicateValues" dxfId="429" priority="15"/>
  </conditionalFormatting>
  <conditionalFormatting sqref="E329">
    <cfRule type="duplicateValues" dxfId="428" priority="14"/>
  </conditionalFormatting>
  <conditionalFormatting sqref="E333">
    <cfRule type="duplicateValues" dxfId="427" priority="13"/>
  </conditionalFormatting>
  <conditionalFormatting sqref="E338">
    <cfRule type="duplicateValues" dxfId="426" priority="12"/>
  </conditionalFormatting>
  <conditionalFormatting sqref="E346">
    <cfRule type="duplicateValues" dxfId="425" priority="11"/>
  </conditionalFormatting>
  <conditionalFormatting sqref="E348">
    <cfRule type="duplicateValues" dxfId="424" priority="10"/>
  </conditionalFormatting>
  <conditionalFormatting sqref="E349">
    <cfRule type="duplicateValues" dxfId="423" priority="9"/>
  </conditionalFormatting>
  <conditionalFormatting sqref="E352">
    <cfRule type="duplicateValues" dxfId="422" priority="8"/>
  </conditionalFormatting>
  <conditionalFormatting sqref="E355">
    <cfRule type="duplicateValues" dxfId="421" priority="7"/>
  </conditionalFormatting>
  <conditionalFormatting sqref="E374">
    <cfRule type="duplicateValues" dxfId="420" priority="6"/>
  </conditionalFormatting>
  <conditionalFormatting sqref="E375">
    <cfRule type="duplicateValues" dxfId="419" priority="5"/>
  </conditionalFormatting>
  <conditionalFormatting sqref="E378">
    <cfRule type="duplicateValues" dxfId="418" priority="4"/>
  </conditionalFormatting>
  <conditionalFormatting sqref="E383">
    <cfRule type="duplicateValues" dxfId="417" priority="3"/>
  </conditionalFormatting>
  <conditionalFormatting sqref="E386">
    <cfRule type="duplicateValues" dxfId="416" priority="2"/>
  </conditionalFormatting>
  <conditionalFormatting sqref="E388">
    <cfRule type="duplicateValues" dxfId="41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79B09-A44D-4C0D-8E40-54F26BD28B3B}">
  <sheetPr codeName="Sheet5"/>
  <dimension ref="B1:AQ140"/>
  <sheetViews>
    <sheetView workbookViewId="0">
      <selection activeCell="F10" sqref="F10"/>
    </sheetView>
  </sheetViews>
  <sheetFormatPr defaultColWidth="9.1796875" defaultRowHeight="14.5"/>
  <cols>
    <col min="1" max="1" width="9.1796875" style="29"/>
    <col min="2" max="2" width="40" style="29" customWidth="1"/>
    <col min="3" max="4" width="9.1796875" style="29"/>
    <col min="5" max="5" width="14.1796875" style="29" bestFit="1" customWidth="1"/>
    <col min="6" max="6" width="36.26953125" style="29" bestFit="1" customWidth="1"/>
    <col min="7" max="7" width="10.26953125" style="29" customWidth="1"/>
    <col min="8" max="8" width="29.81640625" style="29" bestFit="1" customWidth="1"/>
    <col min="9" max="9" width="14.1796875" style="29" bestFit="1" customWidth="1"/>
    <col min="10" max="11" width="9.1796875" style="60"/>
    <col min="12" max="16384" width="9.1796875" style="29"/>
  </cols>
  <sheetData>
    <row r="1" spans="2:43">
      <c r="B1" s="29" t="str">
        <f t="shared" ref="B1:B32" si="0">IF(J1="","",IF(J1=1,"",IF(J1=2,"└ ",IF(J1=3,"  └ ",IF(J1=4,"    └ ",IF(J1=5,"        └ ",IF(J1=6,"         └ ",IF(J1=7="            └ ",""))))))))&amp;F1</f>
        <v xml:space="preserve"> 포스 실적 분석</v>
      </c>
      <c r="C1" s="59" t="s">
        <v>47</v>
      </c>
      <c r="D1" s="59"/>
      <c r="E1" s="59" t="s">
        <v>1414</v>
      </c>
      <c r="F1" s="59" t="s">
        <v>1415</v>
      </c>
      <c r="G1" s="59" t="s">
        <v>48</v>
      </c>
      <c r="H1" s="59" t="s">
        <v>48</v>
      </c>
      <c r="I1" s="59" t="s">
        <v>1416</v>
      </c>
      <c r="J1" s="60">
        <v>1</v>
      </c>
      <c r="K1" s="60">
        <v>1</v>
      </c>
      <c r="L1" s="59" t="s">
        <v>399</v>
      </c>
      <c r="M1" s="59" t="s">
        <v>399</v>
      </c>
      <c r="N1" s="59" t="s">
        <v>48</v>
      </c>
      <c r="O1" s="59" t="s">
        <v>399</v>
      </c>
      <c r="P1" s="59" t="s">
        <v>399</v>
      </c>
      <c r="Q1" s="59" t="s">
        <v>399</v>
      </c>
      <c r="R1" s="59" t="s">
        <v>399</v>
      </c>
      <c r="S1" s="59" t="s">
        <v>399</v>
      </c>
      <c r="T1" s="59" t="s">
        <v>400</v>
      </c>
      <c r="U1" s="59" t="s">
        <v>48</v>
      </c>
      <c r="V1" s="59" t="s">
        <v>48</v>
      </c>
      <c r="W1" s="59" t="s">
        <v>400</v>
      </c>
      <c r="X1" s="59" t="s">
        <v>48</v>
      </c>
      <c r="Y1" s="59" t="s">
        <v>48</v>
      </c>
      <c r="Z1" s="59" t="s">
        <v>48</v>
      </c>
      <c r="AA1" s="59" t="s">
        <v>48</v>
      </c>
      <c r="AB1" s="59" t="s">
        <v>48</v>
      </c>
      <c r="AC1" s="59" t="s">
        <v>48</v>
      </c>
      <c r="AD1" s="59" t="s">
        <v>48</v>
      </c>
      <c r="AE1" s="59" t="s">
        <v>48</v>
      </c>
      <c r="AF1" s="59" t="s">
        <v>399</v>
      </c>
      <c r="AG1" s="59" t="s">
        <v>1417</v>
      </c>
      <c r="AH1" s="59" t="s">
        <v>1418</v>
      </c>
      <c r="AI1" s="59" t="s">
        <v>1418</v>
      </c>
      <c r="AJ1" s="59" t="s">
        <v>1419</v>
      </c>
      <c r="AK1" s="59" t="s">
        <v>1418</v>
      </c>
      <c r="AL1" s="59" t="s">
        <v>1418</v>
      </c>
      <c r="AM1" s="59" t="s">
        <v>1418</v>
      </c>
      <c r="AN1" s="59" t="s">
        <v>1418</v>
      </c>
      <c r="AO1" s="59" t="s">
        <v>1418</v>
      </c>
      <c r="AP1" s="59" t="s">
        <v>1418</v>
      </c>
      <c r="AQ1" s="59" t="s">
        <v>1420</v>
      </c>
    </row>
    <row r="2" spans="2:43">
      <c r="B2" s="29" t="str">
        <f t="shared" si="0"/>
        <v>└  공지관리</v>
      </c>
      <c r="C2" s="59" t="s">
        <v>47</v>
      </c>
      <c r="D2" s="59"/>
      <c r="E2" s="59" t="s">
        <v>1421</v>
      </c>
      <c r="F2" s="59" t="s">
        <v>1422</v>
      </c>
      <c r="G2" s="59" t="s">
        <v>48</v>
      </c>
      <c r="H2" s="59" t="s">
        <v>48</v>
      </c>
      <c r="I2" s="59" t="s">
        <v>1414</v>
      </c>
      <c r="J2" s="60">
        <v>2</v>
      </c>
      <c r="K2" s="60">
        <v>2</v>
      </c>
      <c r="L2" s="59" t="s">
        <v>400</v>
      </c>
      <c r="M2" s="59" t="s">
        <v>399</v>
      </c>
      <c r="N2" s="59" t="s">
        <v>399</v>
      </c>
      <c r="O2" s="59" t="s">
        <v>399</v>
      </c>
      <c r="P2" s="59" t="s">
        <v>399</v>
      </c>
      <c r="Q2" s="59" t="s">
        <v>399</v>
      </c>
      <c r="R2" s="59" t="s">
        <v>400</v>
      </c>
      <c r="S2" s="59" t="s">
        <v>400</v>
      </c>
      <c r="T2" s="59" t="s">
        <v>400</v>
      </c>
      <c r="U2" s="59" t="s">
        <v>48</v>
      </c>
      <c r="V2" s="59" t="s">
        <v>48</v>
      </c>
      <c r="W2" s="59" t="s">
        <v>48</v>
      </c>
      <c r="X2" s="59" t="s">
        <v>48</v>
      </c>
      <c r="Y2" s="59" t="s">
        <v>48</v>
      </c>
      <c r="Z2" s="59" t="s">
        <v>48</v>
      </c>
      <c r="AA2" s="59" t="s">
        <v>48</v>
      </c>
      <c r="AB2" s="59" t="s">
        <v>48</v>
      </c>
      <c r="AC2" s="59" t="s">
        <v>48</v>
      </c>
      <c r="AD2" s="59" t="s">
        <v>48</v>
      </c>
      <c r="AE2" s="59" t="s">
        <v>48</v>
      </c>
      <c r="AF2" s="59" t="s">
        <v>399</v>
      </c>
      <c r="AG2" s="59" t="s">
        <v>1423</v>
      </c>
      <c r="AH2" s="59" t="s">
        <v>1418</v>
      </c>
      <c r="AI2" s="59" t="s">
        <v>1418</v>
      </c>
      <c r="AJ2" s="59" t="s">
        <v>1419</v>
      </c>
      <c r="AK2" s="59" t="s">
        <v>1418</v>
      </c>
      <c r="AL2" s="59" t="s">
        <v>1418</v>
      </c>
      <c r="AM2" s="59" t="s">
        <v>1418</v>
      </c>
      <c r="AN2" s="59" t="s">
        <v>1418</v>
      </c>
      <c r="AO2" s="59" t="s">
        <v>1418</v>
      </c>
      <c r="AP2" s="59" t="s">
        <v>1418</v>
      </c>
      <c r="AQ2" s="59" t="s">
        <v>1420</v>
      </c>
    </row>
    <row r="3" spans="2:43">
      <c r="B3" s="29" t="str">
        <f t="shared" si="0"/>
        <v>└  판매관리</v>
      </c>
      <c r="C3" s="59" t="s">
        <v>47</v>
      </c>
      <c r="D3" s="59"/>
      <c r="E3" s="59" t="s">
        <v>1424</v>
      </c>
      <c r="F3" s="59" t="s">
        <v>1425</v>
      </c>
      <c r="G3" s="59" t="s">
        <v>48</v>
      </c>
      <c r="H3" s="59" t="s">
        <v>48</v>
      </c>
      <c r="I3" s="59" t="s">
        <v>1414</v>
      </c>
      <c r="J3" s="60">
        <v>2</v>
      </c>
      <c r="K3" s="60">
        <v>2</v>
      </c>
      <c r="L3" s="59" t="s">
        <v>1426</v>
      </c>
      <c r="M3" s="59" t="s">
        <v>399</v>
      </c>
      <c r="N3" s="59" t="s">
        <v>48</v>
      </c>
      <c r="O3" s="59" t="s">
        <v>399</v>
      </c>
      <c r="P3" s="59" t="s">
        <v>399</v>
      </c>
      <c r="Q3" s="59" t="s">
        <v>399</v>
      </c>
      <c r="R3" s="59" t="s">
        <v>399</v>
      </c>
      <c r="S3" s="59" t="s">
        <v>399</v>
      </c>
      <c r="T3" s="59" t="s">
        <v>400</v>
      </c>
      <c r="U3" s="59" t="s">
        <v>48</v>
      </c>
      <c r="V3" s="59" t="s">
        <v>48</v>
      </c>
      <c r="W3" s="59" t="s">
        <v>48</v>
      </c>
      <c r="X3" s="59" t="s">
        <v>48</v>
      </c>
      <c r="Y3" s="59" t="s">
        <v>48</v>
      </c>
      <c r="Z3" s="59" t="s">
        <v>48</v>
      </c>
      <c r="AA3" s="59" t="s">
        <v>48</v>
      </c>
      <c r="AB3" s="59" t="s">
        <v>48</v>
      </c>
      <c r="AC3" s="59" t="s">
        <v>48</v>
      </c>
      <c r="AD3" s="59" t="s">
        <v>48</v>
      </c>
      <c r="AE3" s="59" t="s">
        <v>48</v>
      </c>
      <c r="AF3" s="59" t="s">
        <v>399</v>
      </c>
      <c r="AG3" s="59" t="s">
        <v>1427</v>
      </c>
      <c r="AH3" s="59" t="s">
        <v>1418</v>
      </c>
      <c r="AI3" s="59" t="s">
        <v>1418</v>
      </c>
      <c r="AJ3" s="59" t="s">
        <v>1419</v>
      </c>
      <c r="AK3" s="59" t="s">
        <v>1418</v>
      </c>
      <c r="AL3" s="59" t="s">
        <v>1418</v>
      </c>
      <c r="AM3" s="59" t="s">
        <v>1418</v>
      </c>
      <c r="AN3" s="59" t="s">
        <v>1418</v>
      </c>
      <c r="AO3" s="59" t="s">
        <v>1418</v>
      </c>
      <c r="AP3" s="59" t="s">
        <v>1418</v>
      </c>
      <c r="AQ3" s="59" t="s">
        <v>1420</v>
      </c>
    </row>
    <row r="4" spans="2:43">
      <c r="B4" s="29" t="str">
        <f t="shared" si="0"/>
        <v xml:space="preserve">    └  반품 등록</v>
      </c>
      <c r="C4" s="59" t="s">
        <v>47</v>
      </c>
      <c r="D4" s="59"/>
      <c r="E4" s="59" t="s">
        <v>1428</v>
      </c>
      <c r="F4" s="59" t="s">
        <v>1429</v>
      </c>
      <c r="G4" s="59" t="s">
        <v>1430</v>
      </c>
      <c r="H4" s="59" t="s">
        <v>1431</v>
      </c>
      <c r="I4" s="59" t="s">
        <v>1424</v>
      </c>
      <c r="J4" s="60">
        <v>4</v>
      </c>
      <c r="K4" s="60">
        <v>4</v>
      </c>
      <c r="L4" s="59" t="s">
        <v>400</v>
      </c>
      <c r="M4" s="59" t="s">
        <v>399</v>
      </c>
      <c r="N4" s="59" t="s">
        <v>399</v>
      </c>
      <c r="O4" s="59" t="s">
        <v>400</v>
      </c>
      <c r="P4" s="59" t="s">
        <v>400</v>
      </c>
      <c r="Q4" s="59" t="s">
        <v>400</v>
      </c>
      <c r="R4" s="59" t="s">
        <v>400</v>
      </c>
      <c r="S4" s="59" t="s">
        <v>400</v>
      </c>
      <c r="T4" s="59" t="s">
        <v>400</v>
      </c>
      <c r="U4" s="59" t="s">
        <v>1418</v>
      </c>
      <c r="V4" s="59" t="s">
        <v>48</v>
      </c>
      <c r="W4" s="59" t="s">
        <v>48</v>
      </c>
      <c r="X4" s="59" t="s">
        <v>48</v>
      </c>
      <c r="Y4" s="59" t="s">
        <v>1418</v>
      </c>
      <c r="Z4" s="59" t="s">
        <v>1418</v>
      </c>
      <c r="AA4" s="59" t="s">
        <v>1418</v>
      </c>
      <c r="AB4" s="59" t="s">
        <v>1418</v>
      </c>
      <c r="AC4" s="59" t="s">
        <v>48</v>
      </c>
      <c r="AD4" s="59" t="s">
        <v>48</v>
      </c>
      <c r="AE4" s="59" t="s">
        <v>48</v>
      </c>
      <c r="AF4" s="59" t="s">
        <v>399</v>
      </c>
      <c r="AG4" s="59" t="s">
        <v>1432</v>
      </c>
      <c r="AH4" s="59" t="s">
        <v>1418</v>
      </c>
      <c r="AI4" s="59" t="s">
        <v>1418</v>
      </c>
      <c r="AJ4" s="59" t="s">
        <v>1419</v>
      </c>
      <c r="AK4" s="59" t="s">
        <v>1418</v>
      </c>
      <c r="AL4" s="59" t="s">
        <v>1418</v>
      </c>
      <c r="AM4" s="59" t="s">
        <v>1418</v>
      </c>
      <c r="AN4" s="59" t="s">
        <v>1418</v>
      </c>
      <c r="AO4" s="59" t="s">
        <v>1433</v>
      </c>
      <c r="AP4" s="59" t="s">
        <v>1418</v>
      </c>
      <c r="AQ4" s="59" t="s">
        <v>1420</v>
      </c>
    </row>
    <row r="5" spans="2:43">
      <c r="B5" s="29" t="str">
        <f t="shared" si="0"/>
        <v xml:space="preserve">    └  반품 내역 조회</v>
      </c>
      <c r="C5" s="59" t="s">
        <v>47</v>
      </c>
      <c r="D5" s="59"/>
      <c r="E5" s="59" t="s">
        <v>1434</v>
      </c>
      <c r="F5" s="59" t="s">
        <v>1435</v>
      </c>
      <c r="G5" s="59" t="s">
        <v>1430</v>
      </c>
      <c r="H5" s="59" t="s">
        <v>1436</v>
      </c>
      <c r="I5" s="59" t="s">
        <v>1424</v>
      </c>
      <c r="J5" s="60">
        <v>4</v>
      </c>
      <c r="K5" s="60">
        <v>4</v>
      </c>
      <c r="L5" s="59" t="s">
        <v>1426</v>
      </c>
      <c r="M5" s="59" t="s">
        <v>399</v>
      </c>
      <c r="N5" s="59" t="s">
        <v>399</v>
      </c>
      <c r="O5" s="59" t="s">
        <v>399</v>
      </c>
      <c r="P5" s="59" t="s">
        <v>399</v>
      </c>
      <c r="Q5" s="59" t="s">
        <v>399</v>
      </c>
      <c r="R5" s="59" t="s">
        <v>400</v>
      </c>
      <c r="S5" s="59" t="s">
        <v>400</v>
      </c>
      <c r="T5" s="59" t="s">
        <v>400</v>
      </c>
      <c r="U5" s="59" t="s">
        <v>1418</v>
      </c>
      <c r="V5" s="59" t="s">
        <v>48</v>
      </c>
      <c r="W5" s="59" t="s">
        <v>48</v>
      </c>
      <c r="X5" s="59" t="s">
        <v>48</v>
      </c>
      <c r="Y5" s="59" t="s">
        <v>1418</v>
      </c>
      <c r="Z5" s="59" t="s">
        <v>1418</v>
      </c>
      <c r="AA5" s="59" t="s">
        <v>1418</v>
      </c>
      <c r="AB5" s="59" t="s">
        <v>1418</v>
      </c>
      <c r="AC5" s="59" t="s">
        <v>48</v>
      </c>
      <c r="AD5" s="59" t="s">
        <v>48</v>
      </c>
      <c r="AE5" s="59" t="s">
        <v>48</v>
      </c>
      <c r="AF5" s="59" t="s">
        <v>399</v>
      </c>
      <c r="AG5" s="59" t="s">
        <v>1437</v>
      </c>
      <c r="AH5" s="59" t="s">
        <v>1418</v>
      </c>
      <c r="AI5" s="59" t="s">
        <v>1418</v>
      </c>
      <c r="AJ5" s="59" t="s">
        <v>1419</v>
      </c>
      <c r="AK5" s="59" t="s">
        <v>1418</v>
      </c>
      <c r="AL5" s="59" t="s">
        <v>1418</v>
      </c>
      <c r="AM5" s="59" t="s">
        <v>1418</v>
      </c>
      <c r="AN5" s="59" t="s">
        <v>1418</v>
      </c>
      <c r="AO5" s="59" t="s">
        <v>1433</v>
      </c>
      <c r="AP5" s="59" t="s">
        <v>1418</v>
      </c>
      <c r="AQ5" s="59" t="s">
        <v>1420</v>
      </c>
    </row>
    <row r="6" spans="2:43">
      <c r="B6" s="29" t="str">
        <f t="shared" si="0"/>
        <v xml:space="preserve">    └  매장 반품 확정</v>
      </c>
      <c r="C6" s="59" t="s">
        <v>47</v>
      </c>
      <c r="D6" s="59"/>
      <c r="E6" s="59" t="s">
        <v>1438</v>
      </c>
      <c r="F6" s="59" t="s">
        <v>1439</v>
      </c>
      <c r="G6" s="59" t="s">
        <v>1430</v>
      </c>
      <c r="H6" s="59" t="s">
        <v>1440</v>
      </c>
      <c r="I6" s="59" t="s">
        <v>1424</v>
      </c>
      <c r="J6" s="60">
        <v>4</v>
      </c>
      <c r="K6" s="60">
        <v>4</v>
      </c>
      <c r="L6" s="59" t="s">
        <v>1441</v>
      </c>
      <c r="M6" s="59" t="s">
        <v>399</v>
      </c>
      <c r="N6" s="59" t="s">
        <v>399</v>
      </c>
      <c r="O6" s="59" t="s">
        <v>400</v>
      </c>
      <c r="P6" s="59" t="s">
        <v>400</v>
      </c>
      <c r="Q6" s="59" t="s">
        <v>400</v>
      </c>
      <c r="R6" s="59" t="s">
        <v>400</v>
      </c>
      <c r="S6" s="59" t="s">
        <v>400</v>
      </c>
      <c r="T6" s="59" t="s">
        <v>400</v>
      </c>
      <c r="U6" s="59" t="s">
        <v>1418</v>
      </c>
      <c r="V6" s="59" t="s">
        <v>48</v>
      </c>
      <c r="W6" s="59" t="s">
        <v>48</v>
      </c>
      <c r="X6" s="59" t="s">
        <v>48</v>
      </c>
      <c r="Y6" s="59" t="s">
        <v>1418</v>
      </c>
      <c r="Z6" s="59" t="s">
        <v>1418</v>
      </c>
      <c r="AA6" s="59" t="s">
        <v>1418</v>
      </c>
      <c r="AB6" s="59" t="s">
        <v>1418</v>
      </c>
      <c r="AC6" s="59" t="s">
        <v>48</v>
      </c>
      <c r="AD6" s="59" t="s">
        <v>48</v>
      </c>
      <c r="AE6" s="59" t="s">
        <v>48</v>
      </c>
      <c r="AF6" s="59" t="s">
        <v>399</v>
      </c>
      <c r="AG6" s="59" t="s">
        <v>1442</v>
      </c>
      <c r="AH6" s="59" t="s">
        <v>1418</v>
      </c>
      <c r="AI6" s="59" t="s">
        <v>1418</v>
      </c>
      <c r="AJ6" s="59" t="s">
        <v>1419</v>
      </c>
      <c r="AK6" s="59" t="s">
        <v>1418</v>
      </c>
      <c r="AL6" s="59" t="s">
        <v>1418</v>
      </c>
      <c r="AM6" s="59" t="s">
        <v>1418</v>
      </c>
      <c r="AN6" s="59" t="s">
        <v>1418</v>
      </c>
      <c r="AO6" s="59" t="s">
        <v>1433</v>
      </c>
      <c r="AP6" s="59" t="s">
        <v>1418</v>
      </c>
      <c r="AQ6" s="59" t="s">
        <v>1420</v>
      </c>
    </row>
    <row r="7" spans="2:43">
      <c r="B7" s="29" t="str">
        <f t="shared" si="0"/>
        <v xml:space="preserve">  └  고개별 판매 분석</v>
      </c>
      <c r="C7" s="59" t="s">
        <v>47</v>
      </c>
      <c r="D7" s="59"/>
      <c r="E7" s="59" t="s">
        <v>1443</v>
      </c>
      <c r="F7" s="59" t="s">
        <v>1444</v>
      </c>
      <c r="G7" s="59" t="s">
        <v>48</v>
      </c>
      <c r="H7" s="59" t="s">
        <v>48</v>
      </c>
      <c r="I7" s="59" t="s">
        <v>1424</v>
      </c>
      <c r="J7" s="60">
        <v>3</v>
      </c>
      <c r="K7" s="60">
        <v>3</v>
      </c>
      <c r="L7" s="59" t="s">
        <v>1445</v>
      </c>
      <c r="M7" s="59" t="s">
        <v>399</v>
      </c>
      <c r="N7" s="59" t="s">
        <v>399</v>
      </c>
      <c r="O7" s="59" t="s">
        <v>399</v>
      </c>
      <c r="P7" s="59" t="s">
        <v>399</v>
      </c>
      <c r="Q7" s="59" t="s">
        <v>399</v>
      </c>
      <c r="R7" s="59" t="s">
        <v>399</v>
      </c>
      <c r="S7" s="59" t="s">
        <v>399</v>
      </c>
      <c r="T7" s="59" t="s">
        <v>400</v>
      </c>
      <c r="U7" s="59" t="s">
        <v>48</v>
      </c>
      <c r="V7" s="59" t="s">
        <v>48</v>
      </c>
      <c r="W7" s="59" t="s">
        <v>48</v>
      </c>
      <c r="X7" s="59" t="s">
        <v>48</v>
      </c>
      <c r="Y7" s="59" t="s">
        <v>48</v>
      </c>
      <c r="Z7" s="59" t="s">
        <v>48</v>
      </c>
      <c r="AA7" s="59" t="s">
        <v>48</v>
      </c>
      <c r="AB7" s="59" t="s">
        <v>48</v>
      </c>
      <c r="AC7" s="59" t="s">
        <v>48</v>
      </c>
      <c r="AD7" s="59" t="s">
        <v>48</v>
      </c>
      <c r="AE7" s="59" t="s">
        <v>48</v>
      </c>
      <c r="AF7" s="59" t="s">
        <v>399</v>
      </c>
      <c r="AG7" s="59" t="s">
        <v>1446</v>
      </c>
      <c r="AH7" s="59" t="s">
        <v>1418</v>
      </c>
      <c r="AI7" s="59" t="s">
        <v>1418</v>
      </c>
      <c r="AJ7" s="59" t="s">
        <v>1419</v>
      </c>
      <c r="AK7" s="59" t="s">
        <v>1418</v>
      </c>
      <c r="AL7" s="59" t="s">
        <v>1418</v>
      </c>
      <c r="AM7" s="59" t="s">
        <v>1418</v>
      </c>
      <c r="AN7" s="59" t="s">
        <v>1418</v>
      </c>
      <c r="AO7" s="59" t="s">
        <v>1418</v>
      </c>
      <c r="AP7" s="59" t="s">
        <v>1418</v>
      </c>
      <c r="AQ7" s="59" t="s">
        <v>1420</v>
      </c>
    </row>
    <row r="8" spans="2:43">
      <c r="B8" s="29" t="str">
        <f t="shared" si="0"/>
        <v xml:space="preserve">    └  고객 객층별 판매 분석</v>
      </c>
      <c r="C8" s="59" t="s">
        <v>47</v>
      </c>
      <c r="D8" s="59"/>
      <c r="E8" s="59" t="s">
        <v>1447</v>
      </c>
      <c r="F8" s="59" t="s">
        <v>1448</v>
      </c>
      <c r="G8" s="59" t="s">
        <v>1430</v>
      </c>
      <c r="H8" s="59" t="s">
        <v>1449</v>
      </c>
      <c r="I8" s="59" t="s">
        <v>1443</v>
      </c>
      <c r="J8" s="60">
        <v>4</v>
      </c>
      <c r="K8" s="60">
        <v>4</v>
      </c>
      <c r="L8" s="59" t="s">
        <v>400</v>
      </c>
      <c r="M8" s="59" t="s">
        <v>399</v>
      </c>
      <c r="N8" s="59" t="s">
        <v>399</v>
      </c>
      <c r="O8" s="59" t="s">
        <v>399</v>
      </c>
      <c r="P8" s="59" t="s">
        <v>399</v>
      </c>
      <c r="Q8" s="59" t="s">
        <v>399</v>
      </c>
      <c r="R8" s="59" t="s">
        <v>400</v>
      </c>
      <c r="S8" s="59" t="s">
        <v>400</v>
      </c>
      <c r="T8" s="59" t="s">
        <v>400</v>
      </c>
      <c r="U8" s="59" t="s">
        <v>48</v>
      </c>
      <c r="V8" s="59" t="s">
        <v>48</v>
      </c>
      <c r="W8" s="59" t="s">
        <v>48</v>
      </c>
      <c r="X8" s="59" t="s">
        <v>48</v>
      </c>
      <c r="Y8" s="59" t="s">
        <v>48</v>
      </c>
      <c r="Z8" s="59" t="s">
        <v>48</v>
      </c>
      <c r="AA8" s="59" t="s">
        <v>48</v>
      </c>
      <c r="AB8" s="59" t="s">
        <v>48</v>
      </c>
      <c r="AC8" s="59" t="s">
        <v>48</v>
      </c>
      <c r="AD8" s="59" t="s">
        <v>48</v>
      </c>
      <c r="AE8" s="59" t="s">
        <v>48</v>
      </c>
      <c r="AF8" s="59" t="s">
        <v>399</v>
      </c>
      <c r="AG8" s="59" t="s">
        <v>1450</v>
      </c>
      <c r="AH8" s="59" t="s">
        <v>1418</v>
      </c>
      <c r="AI8" s="59" t="s">
        <v>1418</v>
      </c>
      <c r="AJ8" s="59" t="s">
        <v>1419</v>
      </c>
      <c r="AK8" s="59" t="s">
        <v>1418</v>
      </c>
      <c r="AL8" s="59" t="s">
        <v>1418</v>
      </c>
      <c r="AM8" s="59" t="s">
        <v>1418</v>
      </c>
      <c r="AN8" s="59" t="s">
        <v>1418</v>
      </c>
      <c r="AO8" s="59" t="s">
        <v>1418</v>
      </c>
      <c r="AP8" s="59" t="s">
        <v>1418</v>
      </c>
      <c r="AQ8" s="59" t="s">
        <v>1420</v>
      </c>
    </row>
    <row r="9" spans="2:43">
      <c r="B9" s="29" t="str">
        <f t="shared" si="0"/>
        <v xml:space="preserve">  └  일 판매내역 조회</v>
      </c>
      <c r="C9" s="59" t="s">
        <v>47</v>
      </c>
      <c r="D9" s="59"/>
      <c r="E9" s="59" t="s">
        <v>1451</v>
      </c>
      <c r="F9" s="59" t="s">
        <v>1452</v>
      </c>
      <c r="G9" s="59" t="s">
        <v>1430</v>
      </c>
      <c r="H9" s="59" t="s">
        <v>1453</v>
      </c>
      <c r="I9" s="59" t="s">
        <v>1424</v>
      </c>
      <c r="J9" s="60">
        <v>3</v>
      </c>
      <c r="K9" s="60">
        <v>3</v>
      </c>
      <c r="L9" s="59" t="s">
        <v>400</v>
      </c>
      <c r="M9" s="59" t="s">
        <v>399</v>
      </c>
      <c r="N9" s="59" t="s">
        <v>399</v>
      </c>
      <c r="O9" s="59" t="s">
        <v>399</v>
      </c>
      <c r="P9" s="59" t="s">
        <v>399</v>
      </c>
      <c r="Q9" s="59" t="s">
        <v>399</v>
      </c>
      <c r="R9" s="59" t="s">
        <v>400</v>
      </c>
      <c r="S9" s="59" t="s">
        <v>400</v>
      </c>
      <c r="T9" s="59" t="s">
        <v>400</v>
      </c>
      <c r="U9" s="59" t="s">
        <v>1418</v>
      </c>
      <c r="V9" s="59" t="s">
        <v>48</v>
      </c>
      <c r="W9" s="59" t="s">
        <v>48</v>
      </c>
      <c r="X9" s="59" t="s">
        <v>48</v>
      </c>
      <c r="Y9" s="59" t="s">
        <v>1418</v>
      </c>
      <c r="Z9" s="59" t="s">
        <v>1418</v>
      </c>
      <c r="AA9" s="59" t="s">
        <v>1418</v>
      </c>
      <c r="AB9" s="59" t="s">
        <v>1418</v>
      </c>
      <c r="AC9" s="59" t="s">
        <v>48</v>
      </c>
      <c r="AD9" s="59" t="s">
        <v>48</v>
      </c>
      <c r="AE9" s="59" t="s">
        <v>48</v>
      </c>
      <c r="AF9" s="59" t="s">
        <v>399</v>
      </c>
      <c r="AG9" s="59" t="s">
        <v>1454</v>
      </c>
      <c r="AH9" s="59" t="s">
        <v>1418</v>
      </c>
      <c r="AI9" s="59" t="s">
        <v>1418</v>
      </c>
      <c r="AJ9" s="59" t="s">
        <v>1419</v>
      </c>
      <c r="AK9" s="59" t="s">
        <v>1418</v>
      </c>
      <c r="AL9" s="59" t="s">
        <v>1418</v>
      </c>
      <c r="AM9" s="59" t="s">
        <v>1418</v>
      </c>
      <c r="AN9" s="59" t="s">
        <v>1418</v>
      </c>
      <c r="AO9" s="59" t="s">
        <v>1455</v>
      </c>
      <c r="AP9" s="59" t="s">
        <v>1418</v>
      </c>
      <c r="AQ9" s="59" t="s">
        <v>1420</v>
      </c>
    </row>
    <row r="10" spans="2:43">
      <c r="B10" s="29" t="str">
        <f t="shared" si="0"/>
        <v xml:space="preserve">  └  일 세부내역 조회</v>
      </c>
      <c r="C10" s="59" t="s">
        <v>47</v>
      </c>
      <c r="D10" s="59"/>
      <c r="E10" s="59" t="s">
        <v>1456</v>
      </c>
      <c r="F10" s="59" t="s">
        <v>1457</v>
      </c>
      <c r="G10" s="59" t="s">
        <v>1430</v>
      </c>
      <c r="H10" s="59" t="s">
        <v>1458</v>
      </c>
      <c r="I10" s="59" t="s">
        <v>1424</v>
      </c>
      <c r="J10" s="60">
        <v>3</v>
      </c>
      <c r="K10" s="60">
        <v>3</v>
      </c>
      <c r="L10" s="59" t="s">
        <v>1426</v>
      </c>
      <c r="M10" s="59" t="s">
        <v>399</v>
      </c>
      <c r="N10" s="59" t="s">
        <v>399</v>
      </c>
      <c r="O10" s="59" t="s">
        <v>400</v>
      </c>
      <c r="P10" s="59" t="s">
        <v>400</v>
      </c>
      <c r="Q10" s="59" t="s">
        <v>400</v>
      </c>
      <c r="R10" s="59" t="s">
        <v>400</v>
      </c>
      <c r="S10" s="59" t="s">
        <v>400</v>
      </c>
      <c r="T10" s="59" t="s">
        <v>400</v>
      </c>
      <c r="U10" s="59" t="s">
        <v>1418</v>
      </c>
      <c r="V10" s="59" t="s">
        <v>48</v>
      </c>
      <c r="W10" s="59" t="s">
        <v>48</v>
      </c>
      <c r="X10" s="59" t="s">
        <v>48</v>
      </c>
      <c r="Y10" s="59" t="s">
        <v>1418</v>
      </c>
      <c r="Z10" s="59" t="s">
        <v>1418</v>
      </c>
      <c r="AA10" s="59" t="s">
        <v>1418</v>
      </c>
      <c r="AB10" s="59" t="s">
        <v>1418</v>
      </c>
      <c r="AC10" s="59" t="s">
        <v>48</v>
      </c>
      <c r="AD10" s="59" t="s">
        <v>48</v>
      </c>
      <c r="AE10" s="59" t="s">
        <v>48</v>
      </c>
      <c r="AF10" s="59" t="s">
        <v>399</v>
      </c>
      <c r="AG10" s="59" t="s">
        <v>1459</v>
      </c>
      <c r="AH10" s="59" t="s">
        <v>1418</v>
      </c>
      <c r="AI10" s="59" t="s">
        <v>1418</v>
      </c>
      <c r="AJ10" s="59" t="s">
        <v>1419</v>
      </c>
      <c r="AK10" s="59" t="s">
        <v>1418</v>
      </c>
      <c r="AL10" s="59" t="s">
        <v>1418</v>
      </c>
      <c r="AM10" s="59" t="s">
        <v>1418</v>
      </c>
      <c r="AN10" s="59" t="s">
        <v>1418</v>
      </c>
      <c r="AO10" s="59" t="s">
        <v>1455</v>
      </c>
      <c r="AP10" s="59" t="s">
        <v>1418</v>
      </c>
      <c r="AQ10" s="59" t="s">
        <v>1420</v>
      </c>
    </row>
    <row r="11" spans="2:43">
      <c r="B11" s="29" t="str">
        <f t="shared" si="0"/>
        <v xml:space="preserve">  └  실시간판매관리</v>
      </c>
      <c r="C11" s="59" t="s">
        <v>47</v>
      </c>
      <c r="D11" s="59"/>
      <c r="E11" s="59" t="s">
        <v>1460</v>
      </c>
      <c r="F11" s="59" t="s">
        <v>1461</v>
      </c>
      <c r="G11" s="59" t="s">
        <v>48</v>
      </c>
      <c r="H11" s="59" t="s">
        <v>48</v>
      </c>
      <c r="I11" s="59" t="s">
        <v>1424</v>
      </c>
      <c r="J11" s="60">
        <v>3</v>
      </c>
      <c r="K11" s="60">
        <v>3</v>
      </c>
      <c r="L11" s="59" t="s">
        <v>1441</v>
      </c>
      <c r="M11" s="59" t="s">
        <v>399</v>
      </c>
      <c r="N11" s="59" t="s">
        <v>399</v>
      </c>
      <c r="O11" s="59" t="s">
        <v>400</v>
      </c>
      <c r="P11" s="59" t="s">
        <v>400</v>
      </c>
      <c r="Q11" s="59" t="s">
        <v>400</v>
      </c>
      <c r="R11" s="59" t="s">
        <v>400</v>
      </c>
      <c r="S11" s="59" t="s">
        <v>400</v>
      </c>
      <c r="T11" s="59" t="s">
        <v>400</v>
      </c>
      <c r="U11" s="59" t="s">
        <v>48</v>
      </c>
      <c r="V11" s="59" t="s">
        <v>48</v>
      </c>
      <c r="W11" s="59" t="s">
        <v>48</v>
      </c>
      <c r="X11" s="59" t="s">
        <v>48</v>
      </c>
      <c r="Y11" s="59" t="s">
        <v>48</v>
      </c>
      <c r="Z11" s="59" t="s">
        <v>48</v>
      </c>
      <c r="AA11" s="59" t="s">
        <v>48</v>
      </c>
      <c r="AB11" s="59" t="s">
        <v>48</v>
      </c>
      <c r="AC11" s="59" t="s">
        <v>48</v>
      </c>
      <c r="AD11" s="59" t="s">
        <v>1418</v>
      </c>
      <c r="AE11" s="59" t="s">
        <v>1418</v>
      </c>
      <c r="AF11" s="59" t="s">
        <v>399</v>
      </c>
      <c r="AG11" s="59" t="s">
        <v>1461</v>
      </c>
      <c r="AH11" s="59" t="s">
        <v>1418</v>
      </c>
      <c r="AI11" s="59" t="s">
        <v>1418</v>
      </c>
      <c r="AJ11" s="59" t="s">
        <v>1418</v>
      </c>
      <c r="AK11" s="59" t="s">
        <v>1418</v>
      </c>
      <c r="AL11" s="59" t="s">
        <v>1418</v>
      </c>
      <c r="AM11" s="59" t="s">
        <v>1418</v>
      </c>
      <c r="AN11" s="59" t="s">
        <v>1418</v>
      </c>
      <c r="AO11" s="59" t="s">
        <v>1418</v>
      </c>
      <c r="AP11" s="59" t="s">
        <v>1418</v>
      </c>
      <c r="AQ11" s="59" t="s">
        <v>1420</v>
      </c>
    </row>
    <row r="12" spans="2:43">
      <c r="B12" s="29" t="str">
        <f t="shared" si="0"/>
        <v xml:space="preserve">  └  기간별 판매조회</v>
      </c>
      <c r="C12" s="59" t="s">
        <v>47</v>
      </c>
      <c r="D12" s="59"/>
      <c r="E12" s="59" t="s">
        <v>1462</v>
      </c>
      <c r="F12" s="59" t="s">
        <v>1463</v>
      </c>
      <c r="G12" s="59" t="s">
        <v>1430</v>
      </c>
      <c r="H12" s="59" t="s">
        <v>1464</v>
      </c>
      <c r="I12" s="59" t="s">
        <v>1424</v>
      </c>
      <c r="J12" s="60">
        <v>3</v>
      </c>
      <c r="K12" s="60">
        <v>3</v>
      </c>
      <c r="L12" s="59" t="s">
        <v>1441</v>
      </c>
      <c r="M12" s="59" t="s">
        <v>399</v>
      </c>
      <c r="N12" s="59" t="s">
        <v>399</v>
      </c>
      <c r="O12" s="59" t="s">
        <v>399</v>
      </c>
      <c r="P12" s="59" t="s">
        <v>399</v>
      </c>
      <c r="Q12" s="59" t="s">
        <v>399</v>
      </c>
      <c r="R12" s="59" t="s">
        <v>400</v>
      </c>
      <c r="S12" s="59" t="s">
        <v>400</v>
      </c>
      <c r="T12" s="59" t="s">
        <v>400</v>
      </c>
      <c r="U12" s="59" t="s">
        <v>48</v>
      </c>
      <c r="V12" s="59" t="s">
        <v>48</v>
      </c>
      <c r="W12" s="59" t="s">
        <v>48</v>
      </c>
      <c r="X12" s="59" t="s">
        <v>48</v>
      </c>
      <c r="Y12" s="59" t="s">
        <v>48</v>
      </c>
      <c r="Z12" s="59" t="s">
        <v>48</v>
      </c>
      <c r="AA12" s="59" t="s">
        <v>48</v>
      </c>
      <c r="AB12" s="59" t="s">
        <v>48</v>
      </c>
      <c r="AC12" s="59" t="s">
        <v>48</v>
      </c>
      <c r="AD12" s="59" t="s">
        <v>48</v>
      </c>
      <c r="AE12" s="59" t="s">
        <v>48</v>
      </c>
      <c r="AF12" s="59" t="s">
        <v>399</v>
      </c>
      <c r="AG12" s="59" t="s">
        <v>1465</v>
      </c>
      <c r="AH12" s="59" t="s">
        <v>1418</v>
      </c>
      <c r="AI12" s="59" t="s">
        <v>1418</v>
      </c>
      <c r="AJ12" s="59" t="s">
        <v>1419</v>
      </c>
      <c r="AK12" s="59" t="s">
        <v>1418</v>
      </c>
      <c r="AL12" s="59" t="s">
        <v>1418</v>
      </c>
      <c r="AM12" s="59" t="s">
        <v>1418</v>
      </c>
      <c r="AN12" s="59" t="s">
        <v>1418</v>
      </c>
      <c r="AO12" s="59" t="s">
        <v>1418</v>
      </c>
      <c r="AP12" s="59" t="s">
        <v>1418</v>
      </c>
      <c r="AQ12" s="59" t="s">
        <v>1420</v>
      </c>
    </row>
    <row r="13" spans="2:43">
      <c r="B13" s="29" t="str">
        <f t="shared" si="0"/>
        <v xml:space="preserve">  └  기간별 분석</v>
      </c>
      <c r="C13" s="59" t="s">
        <v>47</v>
      </c>
      <c r="D13" s="59"/>
      <c r="E13" s="59" t="s">
        <v>1466</v>
      </c>
      <c r="F13" s="59" t="s">
        <v>1467</v>
      </c>
      <c r="G13" s="59" t="s">
        <v>48</v>
      </c>
      <c r="H13" s="59" t="s">
        <v>48</v>
      </c>
      <c r="I13" s="59" t="s">
        <v>1424</v>
      </c>
      <c r="J13" s="60">
        <v>3</v>
      </c>
      <c r="K13" s="60">
        <v>3</v>
      </c>
      <c r="L13" s="59" t="s">
        <v>1468</v>
      </c>
      <c r="M13" s="59" t="s">
        <v>399</v>
      </c>
      <c r="N13" s="59" t="s">
        <v>399</v>
      </c>
      <c r="O13" s="59" t="s">
        <v>399</v>
      </c>
      <c r="P13" s="59" t="s">
        <v>399</v>
      </c>
      <c r="Q13" s="59" t="s">
        <v>399</v>
      </c>
      <c r="R13" s="59" t="s">
        <v>399</v>
      </c>
      <c r="S13" s="59" t="s">
        <v>399</v>
      </c>
      <c r="T13" s="59" t="s">
        <v>400</v>
      </c>
      <c r="U13" s="59" t="s">
        <v>48</v>
      </c>
      <c r="V13" s="59" t="s">
        <v>48</v>
      </c>
      <c r="W13" s="59" t="s">
        <v>48</v>
      </c>
      <c r="X13" s="59" t="s">
        <v>48</v>
      </c>
      <c r="Y13" s="59" t="s">
        <v>48</v>
      </c>
      <c r="Z13" s="59" t="s">
        <v>48</v>
      </c>
      <c r="AA13" s="59" t="s">
        <v>48</v>
      </c>
      <c r="AB13" s="59" t="s">
        <v>48</v>
      </c>
      <c r="AC13" s="59" t="s">
        <v>48</v>
      </c>
      <c r="AD13" s="59" t="s">
        <v>48</v>
      </c>
      <c r="AE13" s="59" t="s">
        <v>48</v>
      </c>
      <c r="AF13" s="59" t="s">
        <v>399</v>
      </c>
      <c r="AG13" s="59" t="s">
        <v>1469</v>
      </c>
      <c r="AH13" s="59" t="s">
        <v>1418</v>
      </c>
      <c r="AI13" s="59" t="s">
        <v>1418</v>
      </c>
      <c r="AJ13" s="59" t="s">
        <v>1419</v>
      </c>
      <c r="AK13" s="59" t="s">
        <v>1418</v>
      </c>
      <c r="AL13" s="59" t="s">
        <v>1418</v>
      </c>
      <c r="AM13" s="59" t="s">
        <v>1418</v>
      </c>
      <c r="AN13" s="59" t="s">
        <v>1418</v>
      </c>
      <c r="AO13" s="59" t="s">
        <v>1418</v>
      </c>
      <c r="AP13" s="59" t="s">
        <v>1418</v>
      </c>
      <c r="AQ13" s="59" t="s">
        <v>1420</v>
      </c>
    </row>
    <row r="14" spans="2:43">
      <c r="B14" s="29" t="str">
        <f t="shared" si="0"/>
        <v xml:space="preserve">    └  '브랜드 기간별 분석'</v>
      </c>
      <c r="C14" s="59" t="s">
        <v>1470</v>
      </c>
      <c r="D14" s="59"/>
      <c r="E14" s="59" t="s">
        <v>1471</v>
      </c>
      <c r="F14" s="59" t="s">
        <v>1472</v>
      </c>
      <c r="G14" s="59" t="s">
        <v>1473</v>
      </c>
      <c r="H14" s="59" t="s">
        <v>1474</v>
      </c>
      <c r="I14" s="59" t="s">
        <v>1466</v>
      </c>
      <c r="J14" s="61">
        <v>4</v>
      </c>
      <c r="K14" s="61">
        <v>4</v>
      </c>
      <c r="L14" s="59" t="s">
        <v>1475</v>
      </c>
      <c r="M14" s="59" t="s">
        <v>1476</v>
      </c>
      <c r="N14" s="59" t="s">
        <v>1476</v>
      </c>
      <c r="O14" s="59" t="s">
        <v>1476</v>
      </c>
      <c r="P14" s="59" t="s">
        <v>1476</v>
      </c>
      <c r="Q14" s="59" t="s">
        <v>1476</v>
      </c>
      <c r="R14" s="59" t="s">
        <v>1477</v>
      </c>
      <c r="S14" s="59" t="s">
        <v>1477</v>
      </c>
      <c r="T14" s="59" t="s">
        <v>1477</v>
      </c>
      <c r="U14" s="59" t="s">
        <v>1418</v>
      </c>
      <c r="V14" s="59" t="s">
        <v>1478</v>
      </c>
      <c r="W14" s="59" t="s">
        <v>1478</v>
      </c>
      <c r="X14" s="59" t="s">
        <v>1478</v>
      </c>
      <c r="Y14" s="59" t="s">
        <v>1418</v>
      </c>
      <c r="Z14" s="59" t="s">
        <v>1418</v>
      </c>
      <c r="AA14" s="59" t="s">
        <v>1418</v>
      </c>
      <c r="AB14" s="59" t="s">
        <v>1418</v>
      </c>
      <c r="AC14" s="59" t="s">
        <v>1478</v>
      </c>
      <c r="AD14" s="59" t="s">
        <v>1478</v>
      </c>
      <c r="AE14" s="59" t="s">
        <v>1478</v>
      </c>
      <c r="AF14" s="59" t="s">
        <v>1476</v>
      </c>
      <c r="AG14" s="59" t="s">
        <v>1479</v>
      </c>
      <c r="AH14" s="59" t="s">
        <v>1418</v>
      </c>
      <c r="AI14" s="59" t="s">
        <v>1418</v>
      </c>
      <c r="AJ14" s="59" t="s">
        <v>1480</v>
      </c>
      <c r="AK14" s="59" t="s">
        <v>1418</v>
      </c>
      <c r="AL14" s="59" t="s">
        <v>1418</v>
      </c>
      <c r="AM14" s="59" t="s">
        <v>1418</v>
      </c>
      <c r="AN14" s="59" t="s">
        <v>1418</v>
      </c>
      <c r="AO14" s="59" t="s">
        <v>1481</v>
      </c>
      <c r="AP14" s="59" t="s">
        <v>1418</v>
      </c>
      <c r="AQ14" s="59" t="s">
        <v>1420</v>
      </c>
    </row>
    <row r="15" spans="2:43">
      <c r="B15" s="29" t="str">
        <f t="shared" si="0"/>
        <v xml:space="preserve">    └  배송분류별 매장</v>
      </c>
      <c r="C15" s="59" t="s">
        <v>47</v>
      </c>
      <c r="D15" s="59"/>
      <c r="E15" s="59" t="s">
        <v>1482</v>
      </c>
      <c r="F15" s="59" t="s">
        <v>1483</v>
      </c>
      <c r="G15" s="59" t="s">
        <v>1430</v>
      </c>
      <c r="H15" s="59" t="s">
        <v>1484</v>
      </c>
      <c r="I15" s="59" t="s">
        <v>1466</v>
      </c>
      <c r="J15" s="60">
        <v>4</v>
      </c>
      <c r="K15" s="60">
        <v>4</v>
      </c>
      <c r="L15" s="59" t="s">
        <v>400</v>
      </c>
      <c r="M15" s="59" t="s">
        <v>399</v>
      </c>
      <c r="N15" s="59" t="s">
        <v>399</v>
      </c>
      <c r="O15" s="59" t="s">
        <v>400</v>
      </c>
      <c r="P15" s="59" t="s">
        <v>400</v>
      </c>
      <c r="Q15" s="59" t="s">
        <v>400</v>
      </c>
      <c r="R15" s="59" t="s">
        <v>400</v>
      </c>
      <c r="S15" s="59" t="s">
        <v>400</v>
      </c>
      <c r="T15" s="59" t="s">
        <v>400</v>
      </c>
      <c r="U15" s="59" t="s">
        <v>1418</v>
      </c>
      <c r="V15" s="59" t="s">
        <v>48</v>
      </c>
      <c r="W15" s="59" t="s">
        <v>48</v>
      </c>
      <c r="X15" s="59" t="s">
        <v>48</v>
      </c>
      <c r="Y15" s="59" t="s">
        <v>1418</v>
      </c>
      <c r="Z15" s="59" t="s">
        <v>1418</v>
      </c>
      <c r="AA15" s="59" t="s">
        <v>1418</v>
      </c>
      <c r="AB15" s="59" t="s">
        <v>1418</v>
      </c>
      <c r="AC15" s="59" t="s">
        <v>48</v>
      </c>
      <c r="AD15" s="59" t="s">
        <v>48</v>
      </c>
      <c r="AE15" s="59" t="s">
        <v>48</v>
      </c>
      <c r="AF15" s="59" t="s">
        <v>399</v>
      </c>
      <c r="AG15" s="59" t="s">
        <v>1485</v>
      </c>
      <c r="AH15" s="59" t="s">
        <v>1418</v>
      </c>
      <c r="AI15" s="59" t="s">
        <v>1418</v>
      </c>
      <c r="AJ15" s="59" t="s">
        <v>1419</v>
      </c>
      <c r="AK15" s="59" t="s">
        <v>1418</v>
      </c>
      <c r="AL15" s="59" t="s">
        <v>1418</v>
      </c>
      <c r="AM15" s="59" t="s">
        <v>1418</v>
      </c>
      <c r="AN15" s="59" t="s">
        <v>1418</v>
      </c>
      <c r="AO15" s="59" t="s">
        <v>1433</v>
      </c>
      <c r="AP15" s="59" t="s">
        <v>1418</v>
      </c>
      <c r="AQ15" s="59" t="s">
        <v>1420</v>
      </c>
    </row>
    <row r="16" spans="2:43">
      <c r="B16" s="29" t="str">
        <f t="shared" si="0"/>
        <v xml:space="preserve">    └  배송분류별 품목 등록</v>
      </c>
      <c r="C16" s="59" t="s">
        <v>47</v>
      </c>
      <c r="D16" s="59"/>
      <c r="E16" s="59" t="s">
        <v>1486</v>
      </c>
      <c r="F16" s="59" t="s">
        <v>1487</v>
      </c>
      <c r="G16" s="59" t="s">
        <v>1430</v>
      </c>
      <c r="H16" s="59" t="s">
        <v>1488</v>
      </c>
      <c r="I16" s="59" t="s">
        <v>1466</v>
      </c>
      <c r="J16" s="60">
        <v>4</v>
      </c>
      <c r="K16" s="60">
        <v>4</v>
      </c>
      <c r="L16" s="59" t="s">
        <v>1426</v>
      </c>
      <c r="M16" s="59" t="s">
        <v>399</v>
      </c>
      <c r="N16" s="59" t="s">
        <v>399</v>
      </c>
      <c r="O16" s="59" t="s">
        <v>400</v>
      </c>
      <c r="P16" s="59" t="s">
        <v>400</v>
      </c>
      <c r="Q16" s="59" t="s">
        <v>400</v>
      </c>
      <c r="R16" s="59" t="s">
        <v>400</v>
      </c>
      <c r="S16" s="59" t="s">
        <v>400</v>
      </c>
      <c r="T16" s="59" t="s">
        <v>400</v>
      </c>
      <c r="U16" s="59" t="s">
        <v>1418</v>
      </c>
      <c r="V16" s="59" t="s">
        <v>48</v>
      </c>
      <c r="W16" s="59" t="s">
        <v>48</v>
      </c>
      <c r="X16" s="59" t="s">
        <v>48</v>
      </c>
      <c r="Y16" s="59" t="s">
        <v>1418</v>
      </c>
      <c r="Z16" s="59" t="s">
        <v>1418</v>
      </c>
      <c r="AA16" s="59" t="s">
        <v>1418</v>
      </c>
      <c r="AB16" s="59" t="s">
        <v>1418</v>
      </c>
      <c r="AC16" s="59" t="s">
        <v>48</v>
      </c>
      <c r="AD16" s="59" t="s">
        <v>48</v>
      </c>
      <c r="AE16" s="59" t="s">
        <v>48</v>
      </c>
      <c r="AF16" s="59" t="s">
        <v>399</v>
      </c>
      <c r="AG16" s="59" t="s">
        <v>1489</v>
      </c>
      <c r="AH16" s="59" t="s">
        <v>1418</v>
      </c>
      <c r="AI16" s="59" t="s">
        <v>1418</v>
      </c>
      <c r="AJ16" s="59" t="s">
        <v>1419</v>
      </c>
      <c r="AK16" s="59" t="s">
        <v>1418</v>
      </c>
      <c r="AL16" s="59" t="s">
        <v>1418</v>
      </c>
      <c r="AM16" s="59" t="s">
        <v>1418</v>
      </c>
      <c r="AN16" s="59" t="s">
        <v>1418</v>
      </c>
      <c r="AO16" s="59" t="s">
        <v>1490</v>
      </c>
      <c r="AP16" s="59" t="s">
        <v>1418</v>
      </c>
      <c r="AQ16" s="59" t="s">
        <v>1420</v>
      </c>
    </row>
    <row r="17" spans="2:43">
      <c r="B17" s="29" t="str">
        <f t="shared" si="0"/>
        <v xml:space="preserve">    └  배송 구분 등록</v>
      </c>
      <c r="C17" s="59" t="s">
        <v>47</v>
      </c>
      <c r="D17" s="59"/>
      <c r="E17" s="59" t="s">
        <v>1491</v>
      </c>
      <c r="F17" s="59" t="s">
        <v>1492</v>
      </c>
      <c r="G17" s="59" t="s">
        <v>1430</v>
      </c>
      <c r="H17" s="59" t="s">
        <v>1493</v>
      </c>
      <c r="I17" s="59" t="s">
        <v>1466</v>
      </c>
      <c r="J17" s="60">
        <v>4</v>
      </c>
      <c r="K17" s="60">
        <v>4</v>
      </c>
      <c r="L17" s="59" t="s">
        <v>1441</v>
      </c>
      <c r="M17" s="59" t="s">
        <v>399</v>
      </c>
      <c r="N17" s="59" t="s">
        <v>399</v>
      </c>
      <c r="O17" s="59" t="s">
        <v>400</v>
      </c>
      <c r="P17" s="59" t="s">
        <v>400</v>
      </c>
      <c r="Q17" s="59" t="s">
        <v>400</v>
      </c>
      <c r="R17" s="59" t="s">
        <v>400</v>
      </c>
      <c r="S17" s="59" t="s">
        <v>400</v>
      </c>
      <c r="T17" s="59" t="s">
        <v>400</v>
      </c>
      <c r="U17" s="59" t="s">
        <v>1418</v>
      </c>
      <c r="V17" s="59" t="s">
        <v>48</v>
      </c>
      <c r="W17" s="59" t="s">
        <v>48</v>
      </c>
      <c r="X17" s="59" t="s">
        <v>48</v>
      </c>
      <c r="Y17" s="59" t="s">
        <v>1418</v>
      </c>
      <c r="Z17" s="59" t="s">
        <v>1418</v>
      </c>
      <c r="AA17" s="59" t="s">
        <v>1418</v>
      </c>
      <c r="AB17" s="59" t="s">
        <v>1418</v>
      </c>
      <c r="AC17" s="59" t="s">
        <v>48</v>
      </c>
      <c r="AD17" s="59" t="s">
        <v>48</v>
      </c>
      <c r="AE17" s="59" t="s">
        <v>48</v>
      </c>
      <c r="AF17" s="59" t="s">
        <v>399</v>
      </c>
      <c r="AG17" s="59" t="s">
        <v>1494</v>
      </c>
      <c r="AH17" s="59" t="s">
        <v>1418</v>
      </c>
      <c r="AI17" s="59" t="s">
        <v>1418</v>
      </c>
      <c r="AJ17" s="59" t="s">
        <v>1419</v>
      </c>
      <c r="AK17" s="59" t="s">
        <v>1418</v>
      </c>
      <c r="AL17" s="59" t="s">
        <v>1418</v>
      </c>
      <c r="AM17" s="59" t="s">
        <v>1418</v>
      </c>
      <c r="AN17" s="59" t="s">
        <v>1418</v>
      </c>
      <c r="AO17" s="59" t="s">
        <v>1490</v>
      </c>
      <c r="AP17" s="59" t="s">
        <v>1418</v>
      </c>
      <c r="AQ17" s="59" t="s">
        <v>1420</v>
      </c>
    </row>
    <row r="18" spans="2:43">
      <c r="B18" s="29" t="str">
        <f t="shared" si="0"/>
        <v xml:space="preserve">    └  기간별 판매분석</v>
      </c>
      <c r="C18" s="59" t="s">
        <v>47</v>
      </c>
      <c r="D18" s="59"/>
      <c r="E18" s="59" t="s">
        <v>1495</v>
      </c>
      <c r="F18" s="59" t="s">
        <v>1496</v>
      </c>
      <c r="G18" s="59" t="s">
        <v>1430</v>
      </c>
      <c r="H18" s="59" t="s">
        <v>1497</v>
      </c>
      <c r="I18" s="59" t="s">
        <v>1466</v>
      </c>
      <c r="J18" s="60">
        <v>4</v>
      </c>
      <c r="K18" s="60">
        <v>4</v>
      </c>
      <c r="L18" s="59" t="s">
        <v>400</v>
      </c>
      <c r="M18" s="59" t="s">
        <v>399</v>
      </c>
      <c r="N18" s="59" t="s">
        <v>399</v>
      </c>
      <c r="O18" s="59" t="s">
        <v>399</v>
      </c>
      <c r="P18" s="59" t="s">
        <v>399</v>
      </c>
      <c r="Q18" s="59" t="s">
        <v>399</v>
      </c>
      <c r="R18" s="59" t="s">
        <v>400</v>
      </c>
      <c r="S18" s="59" t="s">
        <v>400</v>
      </c>
      <c r="T18" s="59" t="s">
        <v>400</v>
      </c>
      <c r="U18" s="59" t="s">
        <v>48</v>
      </c>
      <c r="V18" s="59" t="s">
        <v>48</v>
      </c>
      <c r="W18" s="59" t="s">
        <v>48</v>
      </c>
      <c r="X18" s="59" t="s">
        <v>48</v>
      </c>
      <c r="Y18" s="59" t="s">
        <v>48</v>
      </c>
      <c r="Z18" s="59" t="s">
        <v>48</v>
      </c>
      <c r="AA18" s="59" t="s">
        <v>48</v>
      </c>
      <c r="AB18" s="59" t="s">
        <v>48</v>
      </c>
      <c r="AC18" s="59" t="s">
        <v>48</v>
      </c>
      <c r="AD18" s="59" t="s">
        <v>48</v>
      </c>
      <c r="AE18" s="59" t="s">
        <v>48</v>
      </c>
      <c r="AF18" s="59" t="s">
        <v>399</v>
      </c>
      <c r="AG18" s="59" t="s">
        <v>1498</v>
      </c>
      <c r="AH18" s="59" t="s">
        <v>1418</v>
      </c>
      <c r="AI18" s="59" t="s">
        <v>1418</v>
      </c>
      <c r="AJ18" s="59" t="s">
        <v>1419</v>
      </c>
      <c r="AK18" s="59" t="s">
        <v>1418</v>
      </c>
      <c r="AL18" s="59" t="s">
        <v>1418</v>
      </c>
      <c r="AM18" s="59" t="s">
        <v>1418</v>
      </c>
      <c r="AN18" s="59" t="s">
        <v>1418</v>
      </c>
      <c r="AO18" s="59" t="s">
        <v>1418</v>
      </c>
      <c r="AP18" s="59" t="s">
        <v>1418</v>
      </c>
      <c r="AQ18" s="59" t="s">
        <v>1420</v>
      </c>
    </row>
    <row r="19" spans="2:43">
      <c r="B19" s="29" t="str">
        <f t="shared" si="0"/>
        <v xml:space="preserve">    └  매장별 판매조회</v>
      </c>
      <c r="C19" s="59" t="s">
        <v>47</v>
      </c>
      <c r="D19" s="59"/>
      <c r="E19" s="59" t="s">
        <v>1499</v>
      </c>
      <c r="F19" s="59" t="s">
        <v>1500</v>
      </c>
      <c r="G19" s="59" t="s">
        <v>1430</v>
      </c>
      <c r="H19" s="59" t="s">
        <v>1501</v>
      </c>
      <c r="I19" s="59" t="s">
        <v>1466</v>
      </c>
      <c r="J19" s="60">
        <v>4</v>
      </c>
      <c r="K19" s="60">
        <v>4</v>
      </c>
      <c r="L19" s="59" t="s">
        <v>1426</v>
      </c>
      <c r="M19" s="59" t="s">
        <v>399</v>
      </c>
      <c r="N19" s="59" t="s">
        <v>399</v>
      </c>
      <c r="O19" s="59" t="s">
        <v>399</v>
      </c>
      <c r="P19" s="59" t="s">
        <v>399</v>
      </c>
      <c r="Q19" s="59" t="s">
        <v>399</v>
      </c>
      <c r="R19" s="59" t="s">
        <v>400</v>
      </c>
      <c r="S19" s="59" t="s">
        <v>400</v>
      </c>
      <c r="T19" s="59" t="s">
        <v>400</v>
      </c>
      <c r="U19" s="59" t="s">
        <v>48</v>
      </c>
      <c r="V19" s="59" t="s">
        <v>48</v>
      </c>
      <c r="W19" s="59" t="s">
        <v>48</v>
      </c>
      <c r="X19" s="59" t="s">
        <v>48</v>
      </c>
      <c r="Y19" s="59" t="s">
        <v>48</v>
      </c>
      <c r="Z19" s="59" t="s">
        <v>48</v>
      </c>
      <c r="AA19" s="59" t="s">
        <v>48</v>
      </c>
      <c r="AB19" s="59" t="s">
        <v>48</v>
      </c>
      <c r="AC19" s="59" t="s">
        <v>48</v>
      </c>
      <c r="AD19" s="59" t="s">
        <v>48</v>
      </c>
      <c r="AE19" s="59" t="s">
        <v>48</v>
      </c>
      <c r="AF19" s="59" t="s">
        <v>399</v>
      </c>
      <c r="AG19" s="59" t="s">
        <v>1502</v>
      </c>
      <c r="AH19" s="59" t="s">
        <v>1418</v>
      </c>
      <c r="AI19" s="59" t="s">
        <v>1418</v>
      </c>
      <c r="AJ19" s="59" t="s">
        <v>1419</v>
      </c>
      <c r="AK19" s="59" t="s">
        <v>1418</v>
      </c>
      <c r="AL19" s="59" t="s">
        <v>1418</v>
      </c>
      <c r="AM19" s="59" t="s">
        <v>1418</v>
      </c>
      <c r="AN19" s="59" t="s">
        <v>1418</v>
      </c>
      <c r="AO19" s="59" t="s">
        <v>1418</v>
      </c>
      <c r="AP19" s="59" t="s">
        <v>1418</v>
      </c>
      <c r="AQ19" s="59" t="s">
        <v>1420</v>
      </c>
    </row>
    <row r="20" spans="2:43">
      <c r="B20" s="29" t="str">
        <f t="shared" si="0"/>
        <v xml:space="preserve">    └  매장별 판매분석</v>
      </c>
      <c r="C20" s="59" t="s">
        <v>47</v>
      </c>
      <c r="D20" s="59"/>
      <c r="E20" s="59" t="s">
        <v>1503</v>
      </c>
      <c r="F20" s="59" t="s">
        <v>1504</v>
      </c>
      <c r="G20" s="59" t="s">
        <v>1430</v>
      </c>
      <c r="H20" s="59" t="s">
        <v>1505</v>
      </c>
      <c r="I20" s="59" t="s">
        <v>1466</v>
      </c>
      <c r="J20" s="60">
        <v>4</v>
      </c>
      <c r="K20" s="60">
        <v>4</v>
      </c>
      <c r="L20" s="59" t="s">
        <v>1441</v>
      </c>
      <c r="M20" s="59" t="s">
        <v>399</v>
      </c>
      <c r="N20" s="59" t="s">
        <v>399</v>
      </c>
      <c r="O20" s="59" t="s">
        <v>399</v>
      </c>
      <c r="P20" s="59" t="s">
        <v>399</v>
      </c>
      <c r="Q20" s="59" t="s">
        <v>399</v>
      </c>
      <c r="R20" s="59" t="s">
        <v>400</v>
      </c>
      <c r="S20" s="59" t="s">
        <v>400</v>
      </c>
      <c r="T20" s="59" t="s">
        <v>400</v>
      </c>
      <c r="U20" s="59" t="s">
        <v>48</v>
      </c>
      <c r="V20" s="59" t="s">
        <v>48</v>
      </c>
      <c r="W20" s="59" t="s">
        <v>48</v>
      </c>
      <c r="X20" s="59" t="s">
        <v>48</v>
      </c>
      <c r="Y20" s="59" t="s">
        <v>48</v>
      </c>
      <c r="Z20" s="59" t="s">
        <v>48</v>
      </c>
      <c r="AA20" s="59" t="s">
        <v>48</v>
      </c>
      <c r="AB20" s="59" t="s">
        <v>48</v>
      </c>
      <c r="AC20" s="59" t="s">
        <v>48</v>
      </c>
      <c r="AD20" s="59" t="s">
        <v>48</v>
      </c>
      <c r="AE20" s="59" t="s">
        <v>48</v>
      </c>
      <c r="AF20" s="59" t="s">
        <v>399</v>
      </c>
      <c r="AG20" s="59" t="s">
        <v>1506</v>
      </c>
      <c r="AH20" s="59" t="s">
        <v>1418</v>
      </c>
      <c r="AI20" s="59" t="s">
        <v>1418</v>
      </c>
      <c r="AJ20" s="59" t="s">
        <v>1419</v>
      </c>
      <c r="AK20" s="59" t="s">
        <v>1418</v>
      </c>
      <c r="AL20" s="59" t="s">
        <v>1418</v>
      </c>
      <c r="AM20" s="59" t="s">
        <v>1418</v>
      </c>
      <c r="AN20" s="59" t="s">
        <v>1418</v>
      </c>
      <c r="AO20" s="59" t="s">
        <v>1418</v>
      </c>
      <c r="AP20" s="59" t="s">
        <v>1418</v>
      </c>
      <c r="AQ20" s="59" t="s">
        <v>1420</v>
      </c>
    </row>
    <row r="21" spans="2:43">
      <c r="B21" s="29" t="str">
        <f t="shared" si="0"/>
        <v xml:space="preserve">    └  일자단위별 판매조회</v>
      </c>
      <c r="C21" s="59" t="s">
        <v>47</v>
      </c>
      <c r="D21" s="59"/>
      <c r="E21" s="59" t="s">
        <v>1507</v>
      </c>
      <c r="F21" s="59" t="s">
        <v>1508</v>
      </c>
      <c r="G21" s="59" t="s">
        <v>1430</v>
      </c>
      <c r="H21" s="59" t="s">
        <v>1509</v>
      </c>
      <c r="I21" s="59" t="s">
        <v>1466</v>
      </c>
      <c r="J21" s="60">
        <v>4</v>
      </c>
      <c r="K21" s="60">
        <v>4</v>
      </c>
      <c r="L21" s="59" t="s">
        <v>1510</v>
      </c>
      <c r="M21" s="59" t="s">
        <v>399</v>
      </c>
      <c r="N21" s="59" t="s">
        <v>399</v>
      </c>
      <c r="O21" s="59" t="s">
        <v>399</v>
      </c>
      <c r="P21" s="59" t="s">
        <v>399</v>
      </c>
      <c r="Q21" s="59" t="s">
        <v>399</v>
      </c>
      <c r="R21" s="59" t="s">
        <v>400</v>
      </c>
      <c r="S21" s="59" t="s">
        <v>400</v>
      </c>
      <c r="T21" s="59" t="s">
        <v>400</v>
      </c>
      <c r="U21" s="59" t="s">
        <v>48</v>
      </c>
      <c r="V21" s="59" t="s">
        <v>48</v>
      </c>
      <c r="W21" s="59" t="s">
        <v>48</v>
      </c>
      <c r="X21" s="59" t="s">
        <v>48</v>
      </c>
      <c r="Y21" s="59" t="s">
        <v>48</v>
      </c>
      <c r="Z21" s="59" t="s">
        <v>48</v>
      </c>
      <c r="AA21" s="59" t="s">
        <v>48</v>
      </c>
      <c r="AB21" s="59" t="s">
        <v>48</v>
      </c>
      <c r="AC21" s="59" t="s">
        <v>48</v>
      </c>
      <c r="AD21" s="59" t="s">
        <v>48</v>
      </c>
      <c r="AE21" s="59" t="s">
        <v>48</v>
      </c>
      <c r="AF21" s="59" t="s">
        <v>399</v>
      </c>
      <c r="AG21" s="59" t="s">
        <v>1511</v>
      </c>
      <c r="AH21" s="59" t="s">
        <v>1418</v>
      </c>
      <c r="AI21" s="59" t="s">
        <v>1418</v>
      </c>
      <c r="AJ21" s="59" t="s">
        <v>1419</v>
      </c>
      <c r="AK21" s="59" t="s">
        <v>1418</v>
      </c>
      <c r="AL21" s="59" t="s">
        <v>1418</v>
      </c>
      <c r="AM21" s="59" t="s">
        <v>1418</v>
      </c>
      <c r="AN21" s="59" t="s">
        <v>1418</v>
      </c>
      <c r="AO21" s="59" t="s">
        <v>1418</v>
      </c>
      <c r="AP21" s="59" t="s">
        <v>1418</v>
      </c>
      <c r="AQ21" s="59" t="s">
        <v>1420</v>
      </c>
    </row>
    <row r="22" spans="2:43">
      <c r="B22" s="29" t="str">
        <f t="shared" si="0"/>
        <v xml:space="preserve">    └  시간단위별 판매조회</v>
      </c>
      <c r="C22" s="59" t="s">
        <v>47</v>
      </c>
      <c r="D22" s="59"/>
      <c r="E22" s="59" t="s">
        <v>1512</v>
      </c>
      <c r="F22" s="59" t="s">
        <v>1513</v>
      </c>
      <c r="G22" s="59" t="s">
        <v>1430</v>
      </c>
      <c r="H22" s="59" t="s">
        <v>1514</v>
      </c>
      <c r="I22" s="59" t="s">
        <v>1466</v>
      </c>
      <c r="J22" s="60">
        <v>4</v>
      </c>
      <c r="K22" s="60">
        <v>4</v>
      </c>
      <c r="L22" s="59" t="s">
        <v>1468</v>
      </c>
      <c r="M22" s="59" t="s">
        <v>399</v>
      </c>
      <c r="N22" s="59" t="s">
        <v>399</v>
      </c>
      <c r="O22" s="59" t="s">
        <v>399</v>
      </c>
      <c r="P22" s="59" t="s">
        <v>399</v>
      </c>
      <c r="Q22" s="59" t="s">
        <v>399</v>
      </c>
      <c r="R22" s="59" t="s">
        <v>400</v>
      </c>
      <c r="S22" s="59" t="s">
        <v>400</v>
      </c>
      <c r="T22" s="59" t="s">
        <v>400</v>
      </c>
      <c r="U22" s="59" t="s">
        <v>48</v>
      </c>
      <c r="V22" s="59" t="s">
        <v>48</v>
      </c>
      <c r="W22" s="59" t="s">
        <v>48</v>
      </c>
      <c r="X22" s="59" t="s">
        <v>48</v>
      </c>
      <c r="Y22" s="59" t="s">
        <v>48</v>
      </c>
      <c r="Z22" s="59" t="s">
        <v>48</v>
      </c>
      <c r="AA22" s="59" t="s">
        <v>48</v>
      </c>
      <c r="AB22" s="59" t="s">
        <v>48</v>
      </c>
      <c r="AC22" s="59" t="s">
        <v>48</v>
      </c>
      <c r="AD22" s="59" t="s">
        <v>48</v>
      </c>
      <c r="AE22" s="59" t="s">
        <v>48</v>
      </c>
      <c r="AF22" s="59" t="s">
        <v>399</v>
      </c>
      <c r="AG22" s="59" t="s">
        <v>1515</v>
      </c>
      <c r="AH22" s="59" t="s">
        <v>1418</v>
      </c>
      <c r="AI22" s="59" t="s">
        <v>1418</v>
      </c>
      <c r="AJ22" s="59" t="s">
        <v>1419</v>
      </c>
      <c r="AK22" s="59" t="s">
        <v>1418</v>
      </c>
      <c r="AL22" s="59" t="s">
        <v>1418</v>
      </c>
      <c r="AM22" s="59" t="s">
        <v>1418</v>
      </c>
      <c r="AN22" s="59" t="s">
        <v>1418</v>
      </c>
      <c r="AO22" s="59" t="s">
        <v>1418</v>
      </c>
      <c r="AP22" s="59" t="s">
        <v>1418</v>
      </c>
      <c r="AQ22" s="59" t="s">
        <v>1420</v>
      </c>
    </row>
    <row r="23" spans="2:43">
      <c r="B23" s="29" t="str">
        <f t="shared" si="0"/>
        <v xml:space="preserve">  └  상품 판매분석</v>
      </c>
      <c r="C23" s="59" t="s">
        <v>47</v>
      </c>
      <c r="D23" s="59"/>
      <c r="E23" s="59" t="s">
        <v>1516</v>
      </c>
      <c r="F23" s="59" t="s">
        <v>1517</v>
      </c>
      <c r="G23" s="59" t="s">
        <v>48</v>
      </c>
      <c r="H23" s="59" t="s">
        <v>48</v>
      </c>
      <c r="I23" s="59" t="s">
        <v>1424</v>
      </c>
      <c r="J23" s="60">
        <v>3</v>
      </c>
      <c r="K23" s="60">
        <v>3</v>
      </c>
      <c r="L23" s="59" t="s">
        <v>1518</v>
      </c>
      <c r="M23" s="59" t="s">
        <v>399</v>
      </c>
      <c r="N23" s="59" t="s">
        <v>399</v>
      </c>
      <c r="O23" s="59" t="s">
        <v>399</v>
      </c>
      <c r="P23" s="59" t="s">
        <v>399</v>
      </c>
      <c r="Q23" s="59" t="s">
        <v>399</v>
      </c>
      <c r="R23" s="59" t="s">
        <v>399</v>
      </c>
      <c r="S23" s="59" t="s">
        <v>399</v>
      </c>
      <c r="T23" s="59" t="s">
        <v>400</v>
      </c>
      <c r="U23" s="59" t="s">
        <v>48</v>
      </c>
      <c r="V23" s="59" t="s">
        <v>48</v>
      </c>
      <c r="W23" s="59" t="s">
        <v>48</v>
      </c>
      <c r="X23" s="59" t="s">
        <v>48</v>
      </c>
      <c r="Y23" s="59" t="s">
        <v>48</v>
      </c>
      <c r="Z23" s="59" t="s">
        <v>48</v>
      </c>
      <c r="AA23" s="59" t="s">
        <v>48</v>
      </c>
      <c r="AB23" s="59" t="s">
        <v>48</v>
      </c>
      <c r="AC23" s="59" t="s">
        <v>48</v>
      </c>
      <c r="AD23" s="59" t="s">
        <v>48</v>
      </c>
      <c r="AE23" s="59" t="s">
        <v>48</v>
      </c>
      <c r="AF23" s="59" t="s">
        <v>399</v>
      </c>
      <c r="AG23" s="59" t="s">
        <v>1519</v>
      </c>
      <c r="AH23" s="59" t="s">
        <v>1418</v>
      </c>
      <c r="AI23" s="59" t="s">
        <v>1418</v>
      </c>
      <c r="AJ23" s="59" t="s">
        <v>1419</v>
      </c>
      <c r="AK23" s="59" t="s">
        <v>1418</v>
      </c>
      <c r="AL23" s="59" t="s">
        <v>1418</v>
      </c>
      <c r="AM23" s="59" t="s">
        <v>1418</v>
      </c>
      <c r="AN23" s="59" t="s">
        <v>1418</v>
      </c>
      <c r="AO23" s="59" t="s">
        <v>1418</v>
      </c>
      <c r="AP23" s="59" t="s">
        <v>1418</v>
      </c>
      <c r="AQ23" s="59" t="s">
        <v>1420</v>
      </c>
    </row>
    <row r="24" spans="2:43">
      <c r="B24" s="29" t="str">
        <f t="shared" si="0"/>
        <v xml:space="preserve">        └  상품판매조회</v>
      </c>
      <c r="C24" s="59" t="s">
        <v>47</v>
      </c>
      <c r="D24" s="59"/>
      <c r="E24" s="59" t="s">
        <v>1520</v>
      </c>
      <c r="F24" s="59" t="s">
        <v>1521</v>
      </c>
      <c r="G24" s="59" t="s">
        <v>1430</v>
      </c>
      <c r="H24" s="59" t="s">
        <v>1522</v>
      </c>
      <c r="I24" s="59" t="s">
        <v>1516</v>
      </c>
      <c r="J24" s="60">
        <v>5</v>
      </c>
      <c r="K24" s="60">
        <v>5</v>
      </c>
      <c r="L24" s="59" t="s">
        <v>400</v>
      </c>
      <c r="M24" s="59" t="s">
        <v>399</v>
      </c>
      <c r="N24" s="59" t="s">
        <v>399</v>
      </c>
      <c r="O24" s="59" t="s">
        <v>399</v>
      </c>
      <c r="P24" s="59" t="s">
        <v>399</v>
      </c>
      <c r="Q24" s="59" t="s">
        <v>399</v>
      </c>
      <c r="R24" s="59" t="s">
        <v>400</v>
      </c>
      <c r="S24" s="59" t="s">
        <v>400</v>
      </c>
      <c r="T24" s="59" t="s">
        <v>400</v>
      </c>
      <c r="U24" s="59" t="s">
        <v>48</v>
      </c>
      <c r="V24" s="59" t="s">
        <v>48</v>
      </c>
      <c r="W24" s="59" t="s">
        <v>48</v>
      </c>
      <c r="X24" s="59" t="s">
        <v>48</v>
      </c>
      <c r="Y24" s="59" t="s">
        <v>48</v>
      </c>
      <c r="Z24" s="59" t="s">
        <v>48</v>
      </c>
      <c r="AA24" s="59" t="s">
        <v>48</v>
      </c>
      <c r="AB24" s="59" t="s">
        <v>48</v>
      </c>
      <c r="AC24" s="59" t="s">
        <v>48</v>
      </c>
      <c r="AD24" s="59" t="s">
        <v>48</v>
      </c>
      <c r="AE24" s="59" t="s">
        <v>48</v>
      </c>
      <c r="AF24" s="59" t="s">
        <v>399</v>
      </c>
      <c r="AG24" s="59" t="s">
        <v>1523</v>
      </c>
      <c r="AH24" s="59" t="s">
        <v>1418</v>
      </c>
      <c r="AI24" s="59" t="s">
        <v>1418</v>
      </c>
      <c r="AJ24" s="59" t="s">
        <v>1419</v>
      </c>
      <c r="AK24" s="59" t="s">
        <v>1418</v>
      </c>
      <c r="AL24" s="59" t="s">
        <v>1418</v>
      </c>
      <c r="AM24" s="59" t="s">
        <v>1418</v>
      </c>
      <c r="AN24" s="59" t="s">
        <v>1418</v>
      </c>
      <c r="AO24" s="59" t="s">
        <v>1418</v>
      </c>
      <c r="AP24" s="59" t="s">
        <v>1418</v>
      </c>
      <c r="AQ24" s="59" t="s">
        <v>1420</v>
      </c>
    </row>
    <row r="25" spans="2:43">
      <c r="B25" s="29" t="str">
        <f t="shared" si="0"/>
        <v xml:space="preserve">        └  상품 분류별 판매조회</v>
      </c>
      <c r="C25" s="59" t="s">
        <v>47</v>
      </c>
      <c r="D25" s="59"/>
      <c r="E25" s="59" t="s">
        <v>1524</v>
      </c>
      <c r="F25" s="59" t="s">
        <v>1525</v>
      </c>
      <c r="G25" s="59" t="s">
        <v>1430</v>
      </c>
      <c r="H25" s="59" t="s">
        <v>1526</v>
      </c>
      <c r="I25" s="59" t="s">
        <v>1516</v>
      </c>
      <c r="J25" s="60">
        <v>5</v>
      </c>
      <c r="K25" s="60">
        <v>5</v>
      </c>
      <c r="L25" s="59" t="s">
        <v>1426</v>
      </c>
      <c r="M25" s="59" t="s">
        <v>399</v>
      </c>
      <c r="N25" s="59" t="s">
        <v>399</v>
      </c>
      <c r="O25" s="59" t="s">
        <v>399</v>
      </c>
      <c r="P25" s="59" t="s">
        <v>399</v>
      </c>
      <c r="Q25" s="59" t="s">
        <v>399</v>
      </c>
      <c r="R25" s="59" t="s">
        <v>400</v>
      </c>
      <c r="S25" s="59" t="s">
        <v>400</v>
      </c>
      <c r="T25" s="59" t="s">
        <v>400</v>
      </c>
      <c r="U25" s="59" t="s">
        <v>48</v>
      </c>
      <c r="V25" s="59" t="s">
        <v>48</v>
      </c>
      <c r="W25" s="59" t="s">
        <v>48</v>
      </c>
      <c r="X25" s="59" t="s">
        <v>48</v>
      </c>
      <c r="Y25" s="59" t="s">
        <v>48</v>
      </c>
      <c r="Z25" s="59" t="s">
        <v>48</v>
      </c>
      <c r="AA25" s="59" t="s">
        <v>48</v>
      </c>
      <c r="AB25" s="59" t="s">
        <v>48</v>
      </c>
      <c r="AC25" s="59" t="s">
        <v>48</v>
      </c>
      <c r="AD25" s="59" t="s">
        <v>48</v>
      </c>
      <c r="AE25" s="59" t="s">
        <v>48</v>
      </c>
      <c r="AF25" s="59" t="s">
        <v>399</v>
      </c>
      <c r="AG25" s="59" t="s">
        <v>1527</v>
      </c>
      <c r="AH25" s="59" t="s">
        <v>1418</v>
      </c>
      <c r="AI25" s="59" t="s">
        <v>1418</v>
      </c>
      <c r="AJ25" s="59" t="s">
        <v>1419</v>
      </c>
      <c r="AK25" s="59" t="s">
        <v>1418</v>
      </c>
      <c r="AL25" s="59" t="s">
        <v>1418</v>
      </c>
      <c r="AM25" s="59" t="s">
        <v>1418</v>
      </c>
      <c r="AN25" s="59" t="s">
        <v>1418</v>
      </c>
      <c r="AO25" s="59" t="s">
        <v>1418</v>
      </c>
      <c r="AP25" s="59" t="s">
        <v>1418</v>
      </c>
      <c r="AQ25" s="59" t="s">
        <v>1420</v>
      </c>
    </row>
    <row r="26" spans="2:43">
      <c r="B26" s="29" t="str">
        <f t="shared" si="0"/>
        <v xml:space="preserve">        └  기간별 상품 판매분석</v>
      </c>
      <c r="C26" s="59" t="s">
        <v>47</v>
      </c>
      <c r="D26" s="59"/>
      <c r="E26" s="59" t="s">
        <v>1528</v>
      </c>
      <c r="F26" s="59" t="s">
        <v>1529</v>
      </c>
      <c r="G26" s="59" t="s">
        <v>1430</v>
      </c>
      <c r="H26" s="59" t="s">
        <v>1530</v>
      </c>
      <c r="I26" s="59" t="s">
        <v>1516</v>
      </c>
      <c r="J26" s="60">
        <v>5</v>
      </c>
      <c r="K26" s="60">
        <v>5</v>
      </c>
      <c r="L26" s="59" t="s">
        <v>1441</v>
      </c>
      <c r="M26" s="59" t="s">
        <v>399</v>
      </c>
      <c r="N26" s="59" t="s">
        <v>399</v>
      </c>
      <c r="O26" s="59" t="s">
        <v>399</v>
      </c>
      <c r="P26" s="59" t="s">
        <v>399</v>
      </c>
      <c r="Q26" s="59" t="s">
        <v>399</v>
      </c>
      <c r="R26" s="59" t="s">
        <v>400</v>
      </c>
      <c r="S26" s="59" t="s">
        <v>400</v>
      </c>
      <c r="T26" s="59" t="s">
        <v>400</v>
      </c>
      <c r="U26" s="59" t="s">
        <v>1418</v>
      </c>
      <c r="V26" s="59" t="s">
        <v>48</v>
      </c>
      <c r="W26" s="59" t="s">
        <v>48</v>
      </c>
      <c r="X26" s="59" t="s">
        <v>48</v>
      </c>
      <c r="Y26" s="59" t="s">
        <v>1418</v>
      </c>
      <c r="Z26" s="59" t="s">
        <v>1418</v>
      </c>
      <c r="AA26" s="59" t="s">
        <v>1418</v>
      </c>
      <c r="AB26" s="59" t="s">
        <v>1418</v>
      </c>
      <c r="AC26" s="59" t="s">
        <v>48</v>
      </c>
      <c r="AD26" s="59" t="s">
        <v>48</v>
      </c>
      <c r="AE26" s="59" t="s">
        <v>48</v>
      </c>
      <c r="AF26" s="59" t="s">
        <v>399</v>
      </c>
      <c r="AG26" s="59" t="s">
        <v>1531</v>
      </c>
      <c r="AH26" s="59" t="s">
        <v>1418</v>
      </c>
      <c r="AI26" s="59" t="s">
        <v>1418</v>
      </c>
      <c r="AJ26" s="59" t="s">
        <v>1419</v>
      </c>
      <c r="AK26" s="59" t="s">
        <v>1418</v>
      </c>
      <c r="AL26" s="59" t="s">
        <v>1418</v>
      </c>
      <c r="AM26" s="59" t="s">
        <v>1418</v>
      </c>
      <c r="AN26" s="59" t="s">
        <v>1418</v>
      </c>
      <c r="AO26" s="59" t="s">
        <v>1532</v>
      </c>
      <c r="AP26" s="59" t="s">
        <v>1418</v>
      </c>
      <c r="AQ26" s="59" t="s">
        <v>1420</v>
      </c>
    </row>
    <row r="27" spans="2:43">
      <c r="B27" s="29" t="str">
        <f t="shared" si="0"/>
        <v xml:space="preserve">        └  매장별 상품 판매분석</v>
      </c>
      <c r="C27" s="59" t="s">
        <v>47</v>
      </c>
      <c r="D27" s="59"/>
      <c r="E27" s="59" t="s">
        <v>1533</v>
      </c>
      <c r="F27" s="59" t="s">
        <v>1534</v>
      </c>
      <c r="G27" s="59" t="s">
        <v>1430</v>
      </c>
      <c r="H27" s="59" t="s">
        <v>1505</v>
      </c>
      <c r="I27" s="59" t="s">
        <v>1516</v>
      </c>
      <c r="J27" s="60">
        <v>5</v>
      </c>
      <c r="K27" s="60">
        <v>5</v>
      </c>
      <c r="L27" s="59" t="s">
        <v>1510</v>
      </c>
      <c r="M27" s="59" t="s">
        <v>399</v>
      </c>
      <c r="N27" s="59" t="s">
        <v>399</v>
      </c>
      <c r="O27" s="59" t="s">
        <v>399</v>
      </c>
      <c r="P27" s="59" t="s">
        <v>399</v>
      </c>
      <c r="Q27" s="59" t="s">
        <v>399</v>
      </c>
      <c r="R27" s="59" t="s">
        <v>400</v>
      </c>
      <c r="S27" s="59" t="s">
        <v>400</v>
      </c>
      <c r="T27" s="59" t="s">
        <v>400</v>
      </c>
      <c r="U27" s="59" t="s">
        <v>1418</v>
      </c>
      <c r="V27" s="59" t="s">
        <v>48</v>
      </c>
      <c r="W27" s="59" t="s">
        <v>48</v>
      </c>
      <c r="X27" s="59" t="s">
        <v>48</v>
      </c>
      <c r="Y27" s="59" t="s">
        <v>1418</v>
      </c>
      <c r="Z27" s="59" t="s">
        <v>1418</v>
      </c>
      <c r="AA27" s="59" t="s">
        <v>1418</v>
      </c>
      <c r="AB27" s="59" t="s">
        <v>1418</v>
      </c>
      <c r="AC27" s="59" t="s">
        <v>48</v>
      </c>
      <c r="AD27" s="59" t="s">
        <v>48</v>
      </c>
      <c r="AE27" s="59" t="s">
        <v>48</v>
      </c>
      <c r="AF27" s="59" t="s">
        <v>399</v>
      </c>
      <c r="AG27" s="59" t="s">
        <v>1535</v>
      </c>
      <c r="AH27" s="59" t="s">
        <v>1418</v>
      </c>
      <c r="AI27" s="59" t="s">
        <v>1418</v>
      </c>
      <c r="AJ27" s="59" t="s">
        <v>1419</v>
      </c>
      <c r="AK27" s="59" t="s">
        <v>1418</v>
      </c>
      <c r="AL27" s="59" t="s">
        <v>1418</v>
      </c>
      <c r="AM27" s="59" t="s">
        <v>1418</v>
      </c>
      <c r="AN27" s="59" t="s">
        <v>1418</v>
      </c>
      <c r="AO27" s="59" t="s">
        <v>1536</v>
      </c>
      <c r="AP27" s="59" t="s">
        <v>1418</v>
      </c>
      <c r="AQ27" s="59" t="s">
        <v>1420</v>
      </c>
    </row>
    <row r="28" spans="2:43">
      <c r="B28" s="29" t="str">
        <f t="shared" si="0"/>
        <v xml:space="preserve">  └  할인 분석</v>
      </c>
      <c r="C28" s="59" t="s">
        <v>47</v>
      </c>
      <c r="D28" s="59"/>
      <c r="E28" s="59" t="s">
        <v>1537</v>
      </c>
      <c r="F28" s="59" t="s">
        <v>1538</v>
      </c>
      <c r="G28" s="59" t="s">
        <v>48</v>
      </c>
      <c r="H28" s="59" t="s">
        <v>48</v>
      </c>
      <c r="I28" s="59" t="s">
        <v>1424</v>
      </c>
      <c r="J28" s="60">
        <v>3</v>
      </c>
      <c r="K28" s="60">
        <v>3</v>
      </c>
      <c r="L28" s="59" t="s">
        <v>1539</v>
      </c>
      <c r="M28" s="59" t="s">
        <v>399</v>
      </c>
      <c r="N28" s="59" t="s">
        <v>399</v>
      </c>
      <c r="O28" s="59" t="s">
        <v>399</v>
      </c>
      <c r="P28" s="59" t="s">
        <v>399</v>
      </c>
      <c r="Q28" s="59" t="s">
        <v>399</v>
      </c>
      <c r="R28" s="59" t="s">
        <v>399</v>
      </c>
      <c r="S28" s="59" t="s">
        <v>399</v>
      </c>
      <c r="T28" s="59" t="s">
        <v>400</v>
      </c>
      <c r="U28" s="59" t="s">
        <v>48</v>
      </c>
      <c r="V28" s="59" t="s">
        <v>48</v>
      </c>
      <c r="W28" s="59" t="s">
        <v>48</v>
      </c>
      <c r="X28" s="59" t="s">
        <v>48</v>
      </c>
      <c r="Y28" s="59" t="s">
        <v>48</v>
      </c>
      <c r="Z28" s="59" t="s">
        <v>48</v>
      </c>
      <c r="AA28" s="59" t="s">
        <v>48</v>
      </c>
      <c r="AB28" s="59" t="s">
        <v>48</v>
      </c>
      <c r="AC28" s="59" t="s">
        <v>48</v>
      </c>
      <c r="AD28" s="59" t="s">
        <v>48</v>
      </c>
      <c r="AE28" s="59" t="s">
        <v>48</v>
      </c>
      <c r="AF28" s="59" t="s">
        <v>399</v>
      </c>
      <c r="AG28" s="59" t="s">
        <v>1540</v>
      </c>
      <c r="AH28" s="59" t="s">
        <v>1418</v>
      </c>
      <c r="AI28" s="59" t="s">
        <v>1418</v>
      </c>
      <c r="AJ28" s="59" t="s">
        <v>1419</v>
      </c>
      <c r="AK28" s="59" t="s">
        <v>1418</v>
      </c>
      <c r="AL28" s="59" t="s">
        <v>1418</v>
      </c>
      <c r="AM28" s="59" t="s">
        <v>1418</v>
      </c>
      <c r="AN28" s="59" t="s">
        <v>1418</v>
      </c>
      <c r="AO28" s="59" t="s">
        <v>1418</v>
      </c>
      <c r="AP28" s="59" t="s">
        <v>1418</v>
      </c>
      <c r="AQ28" s="59" t="s">
        <v>1420</v>
      </c>
    </row>
    <row r="29" spans="2:43">
      <c r="B29" s="29" t="str">
        <f t="shared" si="0"/>
        <v xml:space="preserve">    └  서비스/할인 내역 조회</v>
      </c>
      <c r="C29" s="59" t="s">
        <v>47</v>
      </c>
      <c r="D29" s="59"/>
      <c r="E29" s="59" t="s">
        <v>1541</v>
      </c>
      <c r="F29" s="59" t="s">
        <v>1542</v>
      </c>
      <c r="G29" s="59" t="s">
        <v>1430</v>
      </c>
      <c r="H29" s="59" t="s">
        <v>1543</v>
      </c>
      <c r="I29" s="59" t="s">
        <v>1537</v>
      </c>
      <c r="J29" s="60">
        <v>4</v>
      </c>
      <c r="K29" s="60">
        <v>4</v>
      </c>
      <c r="L29" s="59" t="s">
        <v>400</v>
      </c>
      <c r="M29" s="59" t="s">
        <v>399</v>
      </c>
      <c r="N29" s="59" t="s">
        <v>399</v>
      </c>
      <c r="O29" s="59" t="s">
        <v>399</v>
      </c>
      <c r="P29" s="59" t="s">
        <v>399</v>
      </c>
      <c r="Q29" s="59" t="s">
        <v>399</v>
      </c>
      <c r="R29" s="59" t="s">
        <v>400</v>
      </c>
      <c r="S29" s="59" t="s">
        <v>400</v>
      </c>
      <c r="T29" s="59" t="s">
        <v>400</v>
      </c>
      <c r="U29" s="59" t="s">
        <v>48</v>
      </c>
      <c r="V29" s="59" t="s">
        <v>48</v>
      </c>
      <c r="W29" s="59" t="s">
        <v>48</v>
      </c>
      <c r="X29" s="59" t="s">
        <v>48</v>
      </c>
      <c r="Y29" s="59" t="s">
        <v>48</v>
      </c>
      <c r="Z29" s="59" t="s">
        <v>48</v>
      </c>
      <c r="AA29" s="59" t="s">
        <v>48</v>
      </c>
      <c r="AB29" s="59" t="s">
        <v>48</v>
      </c>
      <c r="AC29" s="59" t="s">
        <v>48</v>
      </c>
      <c r="AD29" s="59" t="s">
        <v>48</v>
      </c>
      <c r="AE29" s="59" t="s">
        <v>48</v>
      </c>
      <c r="AF29" s="59" t="s">
        <v>399</v>
      </c>
      <c r="AG29" s="59" t="s">
        <v>1544</v>
      </c>
      <c r="AH29" s="59" t="s">
        <v>1418</v>
      </c>
      <c r="AI29" s="59" t="s">
        <v>1418</v>
      </c>
      <c r="AJ29" s="59" t="s">
        <v>1419</v>
      </c>
      <c r="AK29" s="59" t="s">
        <v>1418</v>
      </c>
      <c r="AL29" s="59" t="s">
        <v>1418</v>
      </c>
      <c r="AM29" s="59" t="s">
        <v>1418</v>
      </c>
      <c r="AN29" s="59" t="s">
        <v>1418</v>
      </c>
      <c r="AO29" s="59" t="s">
        <v>1418</v>
      </c>
      <c r="AP29" s="59" t="s">
        <v>1418</v>
      </c>
      <c r="AQ29" s="59" t="s">
        <v>1420</v>
      </c>
    </row>
    <row r="30" spans="2:43">
      <c r="B30" s="29" t="str">
        <f t="shared" si="0"/>
        <v xml:space="preserve">    └  할인내역 조회</v>
      </c>
      <c r="C30" s="59" t="s">
        <v>47</v>
      </c>
      <c r="D30" s="59"/>
      <c r="E30" s="59" t="s">
        <v>1545</v>
      </c>
      <c r="F30" s="59" t="s">
        <v>1546</v>
      </c>
      <c r="G30" s="59" t="s">
        <v>1430</v>
      </c>
      <c r="H30" s="59" t="s">
        <v>1547</v>
      </c>
      <c r="I30" s="59" t="s">
        <v>1537</v>
      </c>
      <c r="J30" s="60">
        <v>4</v>
      </c>
      <c r="K30" s="60">
        <v>4</v>
      </c>
      <c r="L30" s="59" t="s">
        <v>1426</v>
      </c>
      <c r="M30" s="59" t="s">
        <v>399</v>
      </c>
      <c r="N30" s="59" t="s">
        <v>399</v>
      </c>
      <c r="O30" s="59" t="s">
        <v>399</v>
      </c>
      <c r="P30" s="59" t="s">
        <v>399</v>
      </c>
      <c r="Q30" s="59" t="s">
        <v>399</v>
      </c>
      <c r="R30" s="59" t="s">
        <v>400</v>
      </c>
      <c r="S30" s="59" t="s">
        <v>400</v>
      </c>
      <c r="T30" s="59" t="s">
        <v>400</v>
      </c>
      <c r="U30" s="59" t="s">
        <v>48</v>
      </c>
      <c r="V30" s="59" t="s">
        <v>48</v>
      </c>
      <c r="W30" s="59" t="s">
        <v>48</v>
      </c>
      <c r="X30" s="59" t="s">
        <v>48</v>
      </c>
      <c r="Y30" s="59" t="s">
        <v>48</v>
      </c>
      <c r="Z30" s="59" t="s">
        <v>48</v>
      </c>
      <c r="AA30" s="59" t="s">
        <v>48</v>
      </c>
      <c r="AB30" s="59" t="s">
        <v>48</v>
      </c>
      <c r="AC30" s="59" t="s">
        <v>48</v>
      </c>
      <c r="AD30" s="59" t="s">
        <v>48</v>
      </c>
      <c r="AE30" s="59" t="s">
        <v>48</v>
      </c>
      <c r="AF30" s="59" t="s">
        <v>399</v>
      </c>
      <c r="AG30" s="59" t="s">
        <v>1548</v>
      </c>
      <c r="AH30" s="59" t="s">
        <v>1418</v>
      </c>
      <c r="AI30" s="59" t="s">
        <v>1418</v>
      </c>
      <c r="AJ30" s="59" t="s">
        <v>1419</v>
      </c>
      <c r="AK30" s="59" t="s">
        <v>1418</v>
      </c>
      <c r="AL30" s="59" t="s">
        <v>1418</v>
      </c>
      <c r="AM30" s="59" t="s">
        <v>1418</v>
      </c>
      <c r="AN30" s="59" t="s">
        <v>1418</v>
      </c>
      <c r="AO30" s="59" t="s">
        <v>1418</v>
      </c>
      <c r="AP30" s="59" t="s">
        <v>1418</v>
      </c>
      <c r="AQ30" s="59" t="s">
        <v>1420</v>
      </c>
    </row>
    <row r="31" spans="2:43">
      <c r="B31" s="29" t="str">
        <f t="shared" si="0"/>
        <v xml:space="preserve">    └  서비스내역 조회</v>
      </c>
      <c r="C31" s="59" t="s">
        <v>47</v>
      </c>
      <c r="D31" s="59"/>
      <c r="E31" s="59" t="s">
        <v>1549</v>
      </c>
      <c r="F31" s="59" t="s">
        <v>1550</v>
      </c>
      <c r="G31" s="59" t="s">
        <v>1430</v>
      </c>
      <c r="H31" s="59" t="s">
        <v>1551</v>
      </c>
      <c r="I31" s="59" t="s">
        <v>1537</v>
      </c>
      <c r="J31" s="60">
        <v>4</v>
      </c>
      <c r="K31" s="60">
        <v>4</v>
      </c>
      <c r="L31" s="59" t="s">
        <v>1441</v>
      </c>
      <c r="M31" s="59" t="s">
        <v>399</v>
      </c>
      <c r="N31" s="59" t="s">
        <v>399</v>
      </c>
      <c r="O31" s="59" t="s">
        <v>399</v>
      </c>
      <c r="P31" s="59" t="s">
        <v>399</v>
      </c>
      <c r="Q31" s="59" t="s">
        <v>399</v>
      </c>
      <c r="R31" s="59" t="s">
        <v>400</v>
      </c>
      <c r="S31" s="59" t="s">
        <v>400</v>
      </c>
      <c r="T31" s="59" t="s">
        <v>400</v>
      </c>
      <c r="U31" s="59" t="s">
        <v>48</v>
      </c>
      <c r="V31" s="59" t="s">
        <v>48</v>
      </c>
      <c r="W31" s="59" t="s">
        <v>48</v>
      </c>
      <c r="X31" s="59" t="s">
        <v>48</v>
      </c>
      <c r="Y31" s="59" t="s">
        <v>48</v>
      </c>
      <c r="Z31" s="59" t="s">
        <v>48</v>
      </c>
      <c r="AA31" s="59" t="s">
        <v>48</v>
      </c>
      <c r="AB31" s="59" t="s">
        <v>48</v>
      </c>
      <c r="AC31" s="59" t="s">
        <v>48</v>
      </c>
      <c r="AD31" s="59" t="s">
        <v>48</v>
      </c>
      <c r="AE31" s="59" t="s">
        <v>48</v>
      </c>
      <c r="AF31" s="59" t="s">
        <v>399</v>
      </c>
      <c r="AG31" s="59" t="s">
        <v>1552</v>
      </c>
      <c r="AH31" s="59" t="s">
        <v>1418</v>
      </c>
      <c r="AI31" s="59" t="s">
        <v>1418</v>
      </c>
      <c r="AJ31" s="59" t="s">
        <v>1419</v>
      </c>
      <c r="AK31" s="59" t="s">
        <v>1418</v>
      </c>
      <c r="AL31" s="59" t="s">
        <v>1418</v>
      </c>
      <c r="AM31" s="59" t="s">
        <v>1418</v>
      </c>
      <c r="AN31" s="59" t="s">
        <v>1418</v>
      </c>
      <c r="AO31" s="59" t="s">
        <v>1418</v>
      </c>
      <c r="AP31" s="59" t="s">
        <v>1418</v>
      </c>
      <c r="AQ31" s="59" t="s">
        <v>1420</v>
      </c>
    </row>
    <row r="32" spans="2:43">
      <c r="B32" s="29" t="str">
        <f t="shared" si="0"/>
        <v xml:space="preserve">    └  고객정보 동의 내역</v>
      </c>
      <c r="C32" s="59" t="s">
        <v>47</v>
      </c>
      <c r="D32" s="59"/>
      <c r="E32" s="59" t="s">
        <v>1553</v>
      </c>
      <c r="F32" s="59" t="s">
        <v>1554</v>
      </c>
      <c r="G32" s="59" t="s">
        <v>1555</v>
      </c>
      <c r="H32" s="59" t="s">
        <v>1556</v>
      </c>
      <c r="I32" s="59" t="s">
        <v>1537</v>
      </c>
      <c r="J32" s="60">
        <v>4</v>
      </c>
      <c r="K32" s="60">
        <v>3</v>
      </c>
      <c r="L32" s="59" t="s">
        <v>402</v>
      </c>
      <c r="M32" s="59" t="s">
        <v>399</v>
      </c>
      <c r="N32" s="59" t="s">
        <v>399</v>
      </c>
      <c r="O32" s="59" t="s">
        <v>400</v>
      </c>
      <c r="P32" s="59" t="s">
        <v>400</v>
      </c>
      <c r="Q32" s="59" t="s">
        <v>400</v>
      </c>
      <c r="R32" s="59" t="s">
        <v>400</v>
      </c>
      <c r="S32" s="59" t="s">
        <v>400</v>
      </c>
      <c r="T32" s="59" t="s">
        <v>400</v>
      </c>
      <c r="U32" s="59" t="s">
        <v>1418</v>
      </c>
      <c r="V32" s="59" t="s">
        <v>48</v>
      </c>
      <c r="W32" s="59" t="s">
        <v>48</v>
      </c>
      <c r="X32" s="59" t="s">
        <v>48</v>
      </c>
      <c r="Y32" s="59" t="s">
        <v>1418</v>
      </c>
      <c r="Z32" s="59" t="s">
        <v>1418</v>
      </c>
      <c r="AA32" s="59" t="s">
        <v>1418</v>
      </c>
      <c r="AB32" s="59" t="s">
        <v>1418</v>
      </c>
      <c r="AC32" s="59" t="s">
        <v>48</v>
      </c>
      <c r="AD32" s="59" t="s">
        <v>48</v>
      </c>
      <c r="AE32" s="59" t="s">
        <v>48</v>
      </c>
      <c r="AF32" s="59" t="s">
        <v>399</v>
      </c>
      <c r="AG32" s="59" t="s">
        <v>1557</v>
      </c>
      <c r="AH32" s="59" t="s">
        <v>1418</v>
      </c>
      <c r="AI32" s="59" t="s">
        <v>1418</v>
      </c>
      <c r="AJ32" s="59" t="s">
        <v>1419</v>
      </c>
      <c r="AK32" s="59" t="s">
        <v>1418</v>
      </c>
      <c r="AL32" s="59" t="s">
        <v>1418</v>
      </c>
      <c r="AM32" s="59" t="s">
        <v>1418</v>
      </c>
      <c r="AN32" s="59" t="s">
        <v>1418</v>
      </c>
      <c r="AO32" s="59" t="s">
        <v>1490</v>
      </c>
      <c r="AP32" s="59" t="s">
        <v>1418</v>
      </c>
      <c r="AQ32" s="59" t="s">
        <v>1420</v>
      </c>
    </row>
    <row r="33" spans="2:43">
      <c r="B33" s="29" t="str">
        <f t="shared" ref="B33:B64" si="1">IF(J33="","",IF(J33=1,"",IF(J33=2,"└ ",IF(J33=3,"  └ ",IF(J33=4,"    └ ",IF(J33=5,"        └ ",IF(J33=6,"         └ ",IF(J33=7="            └ ",""))))))))&amp;F33</f>
        <v xml:space="preserve">    └  고객 포인트 통합내역 조회</v>
      </c>
      <c r="C33" s="59" t="s">
        <v>47</v>
      </c>
      <c r="D33" s="59"/>
      <c r="E33" s="59" t="s">
        <v>1558</v>
      </c>
      <c r="F33" s="59" t="s">
        <v>1559</v>
      </c>
      <c r="G33" s="59" t="s">
        <v>1555</v>
      </c>
      <c r="H33" s="59" t="s">
        <v>1560</v>
      </c>
      <c r="I33" s="59" t="s">
        <v>1537</v>
      </c>
      <c r="J33" s="60">
        <v>4</v>
      </c>
      <c r="K33" s="60">
        <v>3</v>
      </c>
      <c r="L33" s="59" t="s">
        <v>1561</v>
      </c>
      <c r="M33" s="59" t="s">
        <v>399</v>
      </c>
      <c r="N33" s="59" t="s">
        <v>399</v>
      </c>
      <c r="O33" s="59" t="s">
        <v>399</v>
      </c>
      <c r="P33" s="59" t="s">
        <v>399</v>
      </c>
      <c r="Q33" s="59" t="s">
        <v>399</v>
      </c>
      <c r="R33" s="59" t="s">
        <v>400</v>
      </c>
      <c r="S33" s="59" t="s">
        <v>400</v>
      </c>
      <c r="T33" s="59" t="s">
        <v>400</v>
      </c>
      <c r="U33" s="59" t="s">
        <v>1418</v>
      </c>
      <c r="V33" s="59" t="s">
        <v>48</v>
      </c>
      <c r="W33" s="59" t="s">
        <v>48</v>
      </c>
      <c r="X33" s="59" t="s">
        <v>48</v>
      </c>
      <c r="Y33" s="59" t="s">
        <v>1418</v>
      </c>
      <c r="Z33" s="59" t="s">
        <v>1418</v>
      </c>
      <c r="AA33" s="59" t="s">
        <v>1418</v>
      </c>
      <c r="AB33" s="59" t="s">
        <v>1418</v>
      </c>
      <c r="AC33" s="59" t="s">
        <v>48</v>
      </c>
      <c r="AD33" s="59" t="s">
        <v>48</v>
      </c>
      <c r="AE33" s="59" t="s">
        <v>48</v>
      </c>
      <c r="AF33" s="59" t="s">
        <v>399</v>
      </c>
      <c r="AG33" s="59" t="s">
        <v>1562</v>
      </c>
      <c r="AH33" s="59" t="s">
        <v>1418</v>
      </c>
      <c r="AI33" s="59" t="s">
        <v>1418</v>
      </c>
      <c r="AJ33" s="59" t="s">
        <v>1419</v>
      </c>
      <c r="AK33" s="59" t="s">
        <v>1418</v>
      </c>
      <c r="AL33" s="59" t="s">
        <v>1418</v>
      </c>
      <c r="AM33" s="59" t="s">
        <v>1418</v>
      </c>
      <c r="AN33" s="59" t="s">
        <v>1418</v>
      </c>
      <c r="AO33" s="59" t="s">
        <v>1563</v>
      </c>
      <c r="AP33" s="59" t="s">
        <v>1418</v>
      </c>
      <c r="AQ33" s="59" t="s">
        <v>1420</v>
      </c>
    </row>
    <row r="34" spans="2:43">
      <c r="B34" s="29" t="str">
        <f t="shared" si="1"/>
        <v xml:space="preserve">    └  고객 포인트 소멸 내역</v>
      </c>
      <c r="C34" s="59" t="s">
        <v>47</v>
      </c>
      <c r="D34" s="59"/>
      <c r="E34" s="59" t="s">
        <v>1564</v>
      </c>
      <c r="F34" s="59" t="s">
        <v>1565</v>
      </c>
      <c r="G34" s="59" t="s">
        <v>1555</v>
      </c>
      <c r="H34" s="59" t="s">
        <v>1566</v>
      </c>
      <c r="I34" s="59" t="s">
        <v>1537</v>
      </c>
      <c r="J34" s="60">
        <v>4</v>
      </c>
      <c r="K34" s="60">
        <v>3</v>
      </c>
      <c r="L34" s="59" t="s">
        <v>1567</v>
      </c>
      <c r="M34" s="59" t="s">
        <v>399</v>
      </c>
      <c r="N34" s="59" t="s">
        <v>399</v>
      </c>
      <c r="O34" s="59" t="s">
        <v>399</v>
      </c>
      <c r="P34" s="59" t="s">
        <v>399</v>
      </c>
      <c r="Q34" s="59" t="s">
        <v>399</v>
      </c>
      <c r="R34" s="59" t="s">
        <v>400</v>
      </c>
      <c r="S34" s="59" t="s">
        <v>400</v>
      </c>
      <c r="T34" s="59" t="s">
        <v>400</v>
      </c>
      <c r="U34" s="59" t="s">
        <v>1418</v>
      </c>
      <c r="V34" s="59" t="s">
        <v>48</v>
      </c>
      <c r="W34" s="59" t="s">
        <v>48</v>
      </c>
      <c r="X34" s="59" t="s">
        <v>48</v>
      </c>
      <c r="Y34" s="59" t="s">
        <v>1418</v>
      </c>
      <c r="Z34" s="59" t="s">
        <v>1418</v>
      </c>
      <c r="AA34" s="59" t="s">
        <v>1418</v>
      </c>
      <c r="AB34" s="59" t="s">
        <v>1418</v>
      </c>
      <c r="AC34" s="59" t="s">
        <v>48</v>
      </c>
      <c r="AD34" s="59" t="s">
        <v>48</v>
      </c>
      <c r="AE34" s="59" t="s">
        <v>48</v>
      </c>
      <c r="AF34" s="59" t="s">
        <v>399</v>
      </c>
      <c r="AG34" s="59" t="s">
        <v>1568</v>
      </c>
      <c r="AH34" s="59" t="s">
        <v>1418</v>
      </c>
      <c r="AI34" s="59" t="s">
        <v>1418</v>
      </c>
      <c r="AJ34" s="59" t="s">
        <v>1419</v>
      </c>
      <c r="AK34" s="59" t="s">
        <v>1418</v>
      </c>
      <c r="AL34" s="59" t="s">
        <v>1418</v>
      </c>
      <c r="AM34" s="59" t="s">
        <v>1418</v>
      </c>
      <c r="AN34" s="59" t="s">
        <v>1418</v>
      </c>
      <c r="AO34" s="59" t="s">
        <v>1563</v>
      </c>
      <c r="AP34" s="59" t="s">
        <v>1418</v>
      </c>
      <c r="AQ34" s="59" t="s">
        <v>1420</v>
      </c>
    </row>
    <row r="35" spans="2:43">
      <c r="B35" s="29" t="str">
        <f t="shared" si="1"/>
        <v xml:space="preserve">    └  고객 외상 관리</v>
      </c>
      <c r="C35" s="59" t="s">
        <v>47</v>
      </c>
      <c r="D35" s="59"/>
      <c r="E35" s="59" t="s">
        <v>1569</v>
      </c>
      <c r="F35" s="59" t="s">
        <v>1570</v>
      </c>
      <c r="G35" s="59" t="s">
        <v>48</v>
      </c>
      <c r="H35" s="59" t="s">
        <v>48</v>
      </c>
      <c r="I35" s="59" t="s">
        <v>1537</v>
      </c>
      <c r="J35" s="60">
        <v>4</v>
      </c>
      <c r="K35" s="60">
        <v>3</v>
      </c>
      <c r="L35" s="59" t="s">
        <v>1571</v>
      </c>
      <c r="M35" s="59" t="s">
        <v>399</v>
      </c>
      <c r="N35" s="59" t="s">
        <v>399</v>
      </c>
      <c r="O35" s="59" t="s">
        <v>399</v>
      </c>
      <c r="P35" s="59" t="s">
        <v>399</v>
      </c>
      <c r="Q35" s="59" t="s">
        <v>399</v>
      </c>
      <c r="R35" s="59" t="s">
        <v>399</v>
      </c>
      <c r="S35" s="59" t="s">
        <v>399</v>
      </c>
      <c r="T35" s="59" t="s">
        <v>400</v>
      </c>
      <c r="U35" s="59" t="s">
        <v>1418</v>
      </c>
      <c r="V35" s="59" t="s">
        <v>48</v>
      </c>
      <c r="W35" s="59" t="s">
        <v>48</v>
      </c>
      <c r="X35" s="59" t="s">
        <v>48</v>
      </c>
      <c r="Y35" s="59" t="s">
        <v>1418</v>
      </c>
      <c r="Z35" s="59" t="s">
        <v>1418</v>
      </c>
      <c r="AA35" s="59" t="s">
        <v>1418</v>
      </c>
      <c r="AB35" s="59" t="s">
        <v>1418</v>
      </c>
      <c r="AC35" s="59" t="s">
        <v>48</v>
      </c>
      <c r="AD35" s="59" t="s">
        <v>48</v>
      </c>
      <c r="AE35" s="59" t="s">
        <v>48</v>
      </c>
      <c r="AF35" s="59" t="s">
        <v>399</v>
      </c>
      <c r="AG35" s="59" t="s">
        <v>1572</v>
      </c>
      <c r="AH35" s="59" t="s">
        <v>1418</v>
      </c>
      <c r="AI35" s="59" t="s">
        <v>1418</v>
      </c>
      <c r="AJ35" s="59" t="s">
        <v>1419</v>
      </c>
      <c r="AK35" s="59" t="s">
        <v>1418</v>
      </c>
      <c r="AL35" s="59" t="s">
        <v>1418</v>
      </c>
      <c r="AM35" s="59" t="s">
        <v>1418</v>
      </c>
      <c r="AN35" s="59" t="s">
        <v>1418</v>
      </c>
      <c r="AO35" s="59" t="s">
        <v>1563</v>
      </c>
      <c r="AP35" s="59" t="s">
        <v>1418</v>
      </c>
      <c r="AQ35" s="59" t="s">
        <v>1420</v>
      </c>
    </row>
    <row r="36" spans="2:43">
      <c r="B36" s="29" t="str">
        <f t="shared" si="1"/>
        <v xml:space="preserve">        └  고객 외상 내역 관리</v>
      </c>
      <c r="C36" s="59" t="s">
        <v>47</v>
      </c>
      <c r="D36" s="59"/>
      <c r="E36" s="59" t="s">
        <v>1573</v>
      </c>
      <c r="F36" s="59" t="s">
        <v>1574</v>
      </c>
      <c r="G36" s="59" t="s">
        <v>1555</v>
      </c>
      <c r="H36" s="59" t="s">
        <v>1575</v>
      </c>
      <c r="I36" s="59" t="s">
        <v>1569</v>
      </c>
      <c r="J36" s="60">
        <v>5</v>
      </c>
      <c r="K36" s="60">
        <v>4</v>
      </c>
      <c r="L36" s="59" t="s">
        <v>400</v>
      </c>
      <c r="M36" s="59" t="s">
        <v>399</v>
      </c>
      <c r="N36" s="59" t="s">
        <v>399</v>
      </c>
      <c r="O36" s="59" t="s">
        <v>400</v>
      </c>
      <c r="P36" s="59" t="s">
        <v>400</v>
      </c>
      <c r="Q36" s="59" t="s">
        <v>400</v>
      </c>
      <c r="R36" s="59" t="s">
        <v>400</v>
      </c>
      <c r="S36" s="59" t="s">
        <v>400</v>
      </c>
      <c r="T36" s="59" t="s">
        <v>400</v>
      </c>
      <c r="U36" s="59" t="s">
        <v>1418</v>
      </c>
      <c r="V36" s="59" t="s">
        <v>48</v>
      </c>
      <c r="W36" s="59" t="s">
        <v>48</v>
      </c>
      <c r="X36" s="59" t="s">
        <v>48</v>
      </c>
      <c r="Y36" s="59" t="s">
        <v>1418</v>
      </c>
      <c r="Z36" s="59" t="s">
        <v>1418</v>
      </c>
      <c r="AA36" s="59" t="s">
        <v>1418</v>
      </c>
      <c r="AB36" s="59" t="s">
        <v>1418</v>
      </c>
      <c r="AC36" s="59" t="s">
        <v>48</v>
      </c>
      <c r="AD36" s="59" t="s">
        <v>48</v>
      </c>
      <c r="AE36" s="59" t="s">
        <v>48</v>
      </c>
      <c r="AF36" s="59" t="s">
        <v>399</v>
      </c>
      <c r="AG36" s="59" t="s">
        <v>1576</v>
      </c>
      <c r="AH36" s="59" t="s">
        <v>1418</v>
      </c>
      <c r="AI36" s="59" t="s">
        <v>1418</v>
      </c>
      <c r="AJ36" s="59" t="s">
        <v>1419</v>
      </c>
      <c r="AK36" s="59" t="s">
        <v>1418</v>
      </c>
      <c r="AL36" s="59" t="s">
        <v>1418</v>
      </c>
      <c r="AM36" s="59" t="s">
        <v>1418</v>
      </c>
      <c r="AN36" s="59" t="s">
        <v>1418</v>
      </c>
      <c r="AO36" s="59" t="s">
        <v>1563</v>
      </c>
      <c r="AP36" s="59" t="s">
        <v>1418</v>
      </c>
      <c r="AQ36" s="59" t="s">
        <v>1420</v>
      </c>
    </row>
    <row r="37" spans="2:43">
      <c r="B37" s="29" t="str">
        <f t="shared" si="1"/>
        <v xml:space="preserve">        └  고객 외상 내역 조회</v>
      </c>
      <c r="C37" s="59" t="s">
        <v>47</v>
      </c>
      <c r="D37" s="59"/>
      <c r="E37" s="59" t="s">
        <v>1577</v>
      </c>
      <c r="F37" s="59" t="s">
        <v>1578</v>
      </c>
      <c r="G37" s="59" t="s">
        <v>1555</v>
      </c>
      <c r="H37" s="59" t="s">
        <v>1579</v>
      </c>
      <c r="I37" s="59" t="s">
        <v>1569</v>
      </c>
      <c r="J37" s="60">
        <v>5</v>
      </c>
      <c r="K37" s="60">
        <v>4</v>
      </c>
      <c r="L37" s="59" t="s">
        <v>1426</v>
      </c>
      <c r="M37" s="59" t="s">
        <v>399</v>
      </c>
      <c r="N37" s="59" t="s">
        <v>399</v>
      </c>
      <c r="O37" s="59" t="s">
        <v>399</v>
      </c>
      <c r="P37" s="59" t="s">
        <v>399</v>
      </c>
      <c r="Q37" s="59" t="s">
        <v>399</v>
      </c>
      <c r="R37" s="59" t="s">
        <v>400</v>
      </c>
      <c r="S37" s="59" t="s">
        <v>400</v>
      </c>
      <c r="T37" s="59" t="s">
        <v>400</v>
      </c>
      <c r="U37" s="59" t="s">
        <v>1418</v>
      </c>
      <c r="V37" s="59" t="s">
        <v>48</v>
      </c>
      <c r="W37" s="59" t="s">
        <v>48</v>
      </c>
      <c r="X37" s="59" t="s">
        <v>48</v>
      </c>
      <c r="Y37" s="59" t="s">
        <v>1418</v>
      </c>
      <c r="Z37" s="59" t="s">
        <v>1418</v>
      </c>
      <c r="AA37" s="59" t="s">
        <v>1418</v>
      </c>
      <c r="AB37" s="59" t="s">
        <v>1418</v>
      </c>
      <c r="AC37" s="59" t="s">
        <v>48</v>
      </c>
      <c r="AD37" s="59" t="s">
        <v>48</v>
      </c>
      <c r="AE37" s="59" t="s">
        <v>48</v>
      </c>
      <c r="AF37" s="59" t="s">
        <v>399</v>
      </c>
      <c r="AG37" s="59" t="s">
        <v>1580</v>
      </c>
      <c r="AH37" s="59" t="s">
        <v>1418</v>
      </c>
      <c r="AI37" s="59" t="s">
        <v>1418</v>
      </c>
      <c r="AJ37" s="59" t="s">
        <v>1419</v>
      </c>
      <c r="AK37" s="59" t="s">
        <v>1418</v>
      </c>
      <c r="AL37" s="59" t="s">
        <v>1418</v>
      </c>
      <c r="AM37" s="59" t="s">
        <v>1418</v>
      </c>
      <c r="AN37" s="59" t="s">
        <v>1418</v>
      </c>
      <c r="AO37" s="59" t="s">
        <v>1563</v>
      </c>
      <c r="AP37" s="59" t="s">
        <v>1418</v>
      </c>
      <c r="AQ37" s="59" t="s">
        <v>1420</v>
      </c>
    </row>
    <row r="38" spans="2:43">
      <c r="B38" s="29" t="str">
        <f t="shared" si="1"/>
        <v xml:space="preserve">    └  매장별 고객관리</v>
      </c>
      <c r="C38" s="59" t="s">
        <v>47</v>
      </c>
      <c r="D38" s="59"/>
      <c r="E38" s="59" t="s">
        <v>1581</v>
      </c>
      <c r="F38" s="59" t="s">
        <v>1582</v>
      </c>
      <c r="G38" s="59" t="s">
        <v>1555</v>
      </c>
      <c r="H38" s="59" t="s">
        <v>1583</v>
      </c>
      <c r="I38" s="59" t="s">
        <v>1537</v>
      </c>
      <c r="J38" s="60">
        <v>4</v>
      </c>
      <c r="K38" s="60">
        <v>3</v>
      </c>
      <c r="L38" s="59" t="s">
        <v>1584</v>
      </c>
      <c r="M38" s="59" t="s">
        <v>399</v>
      </c>
      <c r="N38" s="59" t="s">
        <v>399</v>
      </c>
      <c r="O38" s="59" t="s">
        <v>400</v>
      </c>
      <c r="P38" s="59" t="s">
        <v>400</v>
      </c>
      <c r="Q38" s="59" t="s">
        <v>400</v>
      </c>
      <c r="R38" s="59" t="s">
        <v>400</v>
      </c>
      <c r="S38" s="59" t="s">
        <v>400</v>
      </c>
      <c r="T38" s="59" t="s">
        <v>400</v>
      </c>
      <c r="U38" s="59" t="s">
        <v>1418</v>
      </c>
      <c r="V38" s="59" t="s">
        <v>48</v>
      </c>
      <c r="W38" s="59" t="s">
        <v>48</v>
      </c>
      <c r="X38" s="59" t="s">
        <v>48</v>
      </c>
      <c r="Y38" s="59" t="s">
        <v>1418</v>
      </c>
      <c r="Z38" s="59" t="s">
        <v>1418</v>
      </c>
      <c r="AA38" s="59" t="s">
        <v>1418</v>
      </c>
      <c r="AB38" s="59" t="s">
        <v>1418</v>
      </c>
      <c r="AC38" s="59" t="s">
        <v>48</v>
      </c>
      <c r="AD38" s="59" t="s">
        <v>48</v>
      </c>
      <c r="AE38" s="59" t="s">
        <v>48</v>
      </c>
      <c r="AF38" s="59" t="s">
        <v>399</v>
      </c>
      <c r="AG38" s="59" t="s">
        <v>1585</v>
      </c>
      <c r="AH38" s="59" t="s">
        <v>1418</v>
      </c>
      <c r="AI38" s="59" t="s">
        <v>1418</v>
      </c>
      <c r="AJ38" s="59" t="s">
        <v>1419</v>
      </c>
      <c r="AK38" s="59" t="s">
        <v>1418</v>
      </c>
      <c r="AL38" s="59" t="s">
        <v>1418</v>
      </c>
      <c r="AM38" s="59" t="s">
        <v>1418</v>
      </c>
      <c r="AN38" s="59" t="s">
        <v>1418</v>
      </c>
      <c r="AO38" s="59" t="s">
        <v>1563</v>
      </c>
      <c r="AP38" s="59" t="s">
        <v>1418</v>
      </c>
      <c r="AQ38" s="59" t="s">
        <v>1420</v>
      </c>
    </row>
    <row r="39" spans="2:43">
      <c r="B39" s="29" t="str">
        <f t="shared" si="1"/>
        <v xml:space="preserve">    └  고객 기초 정보 등록</v>
      </c>
      <c r="C39" s="59" t="s">
        <v>47</v>
      </c>
      <c r="D39" s="59"/>
      <c r="E39" s="59" t="s">
        <v>1586</v>
      </c>
      <c r="F39" s="59" t="s">
        <v>1587</v>
      </c>
      <c r="G39" s="59" t="s">
        <v>1555</v>
      </c>
      <c r="H39" s="59" t="s">
        <v>1588</v>
      </c>
      <c r="I39" s="59" t="s">
        <v>1537</v>
      </c>
      <c r="J39" s="60">
        <v>4</v>
      </c>
      <c r="K39" s="60">
        <v>3</v>
      </c>
      <c r="L39" s="59" t="s">
        <v>1589</v>
      </c>
      <c r="M39" s="59" t="s">
        <v>399</v>
      </c>
      <c r="N39" s="59" t="s">
        <v>399</v>
      </c>
      <c r="O39" s="59" t="s">
        <v>400</v>
      </c>
      <c r="P39" s="59" t="s">
        <v>400</v>
      </c>
      <c r="Q39" s="59" t="s">
        <v>400</v>
      </c>
      <c r="R39" s="59" t="s">
        <v>400</v>
      </c>
      <c r="S39" s="59" t="s">
        <v>400</v>
      </c>
      <c r="T39" s="59" t="s">
        <v>400</v>
      </c>
      <c r="U39" s="59" t="s">
        <v>1418</v>
      </c>
      <c r="V39" s="59" t="s">
        <v>48</v>
      </c>
      <c r="W39" s="59" t="s">
        <v>48</v>
      </c>
      <c r="X39" s="59" t="s">
        <v>48</v>
      </c>
      <c r="Y39" s="59" t="s">
        <v>1418</v>
      </c>
      <c r="Z39" s="59" t="s">
        <v>1418</v>
      </c>
      <c r="AA39" s="59" t="s">
        <v>1418</v>
      </c>
      <c r="AB39" s="59" t="s">
        <v>1418</v>
      </c>
      <c r="AC39" s="59" t="s">
        <v>48</v>
      </c>
      <c r="AD39" s="59" t="s">
        <v>48</v>
      </c>
      <c r="AE39" s="59" t="s">
        <v>48</v>
      </c>
      <c r="AF39" s="59" t="s">
        <v>399</v>
      </c>
      <c r="AG39" s="59" t="s">
        <v>1590</v>
      </c>
      <c r="AH39" s="59" t="s">
        <v>1418</v>
      </c>
      <c r="AI39" s="59" t="s">
        <v>1418</v>
      </c>
      <c r="AJ39" s="59" t="s">
        <v>1419</v>
      </c>
      <c r="AK39" s="59" t="s">
        <v>1418</v>
      </c>
      <c r="AL39" s="59" t="s">
        <v>1418</v>
      </c>
      <c r="AM39" s="59" t="s">
        <v>1418</v>
      </c>
      <c r="AN39" s="59" t="s">
        <v>1418</v>
      </c>
      <c r="AO39" s="59" t="s">
        <v>1563</v>
      </c>
      <c r="AP39" s="59" t="s">
        <v>1418</v>
      </c>
      <c r="AQ39" s="59" t="s">
        <v>1420</v>
      </c>
    </row>
    <row r="40" spans="2:43">
      <c r="B40" s="29" t="str">
        <f t="shared" si="1"/>
        <v xml:space="preserve">  └  결제 분석</v>
      </c>
      <c r="C40" s="59" t="s">
        <v>47</v>
      </c>
      <c r="D40" s="59"/>
      <c r="E40" s="59" t="s">
        <v>1591</v>
      </c>
      <c r="F40" s="59" t="s">
        <v>1592</v>
      </c>
      <c r="G40" s="59" t="s">
        <v>48</v>
      </c>
      <c r="H40" s="59" t="s">
        <v>48</v>
      </c>
      <c r="I40" s="59" t="s">
        <v>1424</v>
      </c>
      <c r="J40" s="60">
        <v>3</v>
      </c>
      <c r="K40" s="60">
        <v>3</v>
      </c>
      <c r="L40" s="59" t="s">
        <v>1445</v>
      </c>
      <c r="M40" s="59" t="s">
        <v>399</v>
      </c>
      <c r="N40" s="59" t="s">
        <v>399</v>
      </c>
      <c r="O40" s="59" t="s">
        <v>399</v>
      </c>
      <c r="P40" s="59" t="s">
        <v>399</v>
      </c>
      <c r="Q40" s="59" t="s">
        <v>399</v>
      </c>
      <c r="R40" s="59" t="s">
        <v>399</v>
      </c>
      <c r="S40" s="59" t="s">
        <v>399</v>
      </c>
      <c r="T40" s="59" t="s">
        <v>400</v>
      </c>
      <c r="U40" s="59" t="s">
        <v>48</v>
      </c>
      <c r="V40" s="59" t="s">
        <v>48</v>
      </c>
      <c r="W40" s="59" t="s">
        <v>48</v>
      </c>
      <c r="X40" s="59" t="s">
        <v>48</v>
      </c>
      <c r="Y40" s="59" t="s">
        <v>48</v>
      </c>
      <c r="Z40" s="59" t="s">
        <v>48</v>
      </c>
      <c r="AA40" s="59" t="s">
        <v>48</v>
      </c>
      <c r="AB40" s="59" t="s">
        <v>48</v>
      </c>
      <c r="AC40" s="59" t="s">
        <v>48</v>
      </c>
      <c r="AD40" s="59" t="s">
        <v>48</v>
      </c>
      <c r="AE40" s="59" t="s">
        <v>48</v>
      </c>
      <c r="AF40" s="59" t="s">
        <v>399</v>
      </c>
      <c r="AG40" s="59" t="s">
        <v>1593</v>
      </c>
      <c r="AH40" s="59" t="s">
        <v>1418</v>
      </c>
      <c r="AI40" s="59" t="s">
        <v>1418</v>
      </c>
      <c r="AJ40" s="59" t="s">
        <v>1419</v>
      </c>
      <c r="AK40" s="59" t="s">
        <v>1418</v>
      </c>
      <c r="AL40" s="59" t="s">
        <v>1418</v>
      </c>
      <c r="AM40" s="59" t="s">
        <v>1418</v>
      </c>
      <c r="AN40" s="59" t="s">
        <v>1418</v>
      </c>
      <c r="AO40" s="59" t="s">
        <v>1418</v>
      </c>
      <c r="AP40" s="59" t="s">
        <v>1418</v>
      </c>
      <c r="AQ40" s="59" t="s">
        <v>1420</v>
      </c>
    </row>
    <row r="41" spans="2:43">
      <c r="B41" s="29" t="str">
        <f t="shared" si="1"/>
        <v xml:space="preserve">    └  결제유형별 조회</v>
      </c>
      <c r="C41" s="59" t="s">
        <v>47</v>
      </c>
      <c r="D41" s="59"/>
      <c r="E41" s="59" t="s">
        <v>1594</v>
      </c>
      <c r="F41" s="59" t="s">
        <v>1595</v>
      </c>
      <c r="G41" s="59" t="s">
        <v>1430</v>
      </c>
      <c r="H41" s="59" t="s">
        <v>1596</v>
      </c>
      <c r="I41" s="59" t="s">
        <v>1591</v>
      </c>
      <c r="J41" s="60">
        <v>4</v>
      </c>
      <c r="K41" s="60">
        <v>4</v>
      </c>
      <c r="L41" s="59" t="s">
        <v>400</v>
      </c>
      <c r="M41" s="59" t="s">
        <v>399</v>
      </c>
      <c r="N41" s="59" t="s">
        <v>399</v>
      </c>
      <c r="O41" s="59" t="s">
        <v>399</v>
      </c>
      <c r="P41" s="59" t="s">
        <v>399</v>
      </c>
      <c r="Q41" s="59" t="s">
        <v>399</v>
      </c>
      <c r="R41" s="59" t="s">
        <v>400</v>
      </c>
      <c r="S41" s="59" t="s">
        <v>400</v>
      </c>
      <c r="T41" s="59" t="s">
        <v>400</v>
      </c>
      <c r="U41" s="59" t="s">
        <v>48</v>
      </c>
      <c r="V41" s="59" t="s">
        <v>48</v>
      </c>
      <c r="W41" s="59" t="s">
        <v>48</v>
      </c>
      <c r="X41" s="59" t="s">
        <v>48</v>
      </c>
      <c r="Y41" s="59" t="s">
        <v>48</v>
      </c>
      <c r="Z41" s="59" t="s">
        <v>48</v>
      </c>
      <c r="AA41" s="59" t="s">
        <v>48</v>
      </c>
      <c r="AB41" s="59" t="s">
        <v>48</v>
      </c>
      <c r="AC41" s="59" t="s">
        <v>48</v>
      </c>
      <c r="AD41" s="59" t="s">
        <v>48</v>
      </c>
      <c r="AE41" s="59" t="s">
        <v>48</v>
      </c>
      <c r="AF41" s="59" t="s">
        <v>399</v>
      </c>
      <c r="AG41" s="59" t="s">
        <v>1597</v>
      </c>
      <c r="AH41" s="59" t="s">
        <v>1418</v>
      </c>
      <c r="AI41" s="59" t="s">
        <v>1418</v>
      </c>
      <c r="AJ41" s="59" t="s">
        <v>1419</v>
      </c>
      <c r="AK41" s="59" t="s">
        <v>1418</v>
      </c>
      <c r="AL41" s="59" t="s">
        <v>1418</v>
      </c>
      <c r="AM41" s="59" t="s">
        <v>1418</v>
      </c>
      <c r="AN41" s="59" t="s">
        <v>1418</v>
      </c>
      <c r="AO41" s="59" t="s">
        <v>1418</v>
      </c>
      <c r="AP41" s="59" t="s">
        <v>1418</v>
      </c>
      <c r="AQ41" s="59" t="s">
        <v>1420</v>
      </c>
    </row>
    <row r="42" spans="2:43">
      <c r="B42" s="29" t="str">
        <f t="shared" si="1"/>
        <v xml:space="preserve">    └  신용 승인내역 분석</v>
      </c>
      <c r="C42" s="59" t="s">
        <v>47</v>
      </c>
      <c r="D42" s="59"/>
      <c r="E42" s="59" t="s">
        <v>1598</v>
      </c>
      <c r="F42" s="59" t="s">
        <v>1599</v>
      </c>
      <c r="G42" s="59" t="s">
        <v>1430</v>
      </c>
      <c r="H42" s="59" t="s">
        <v>1600</v>
      </c>
      <c r="I42" s="59" t="s">
        <v>1591</v>
      </c>
      <c r="J42" s="60">
        <v>4</v>
      </c>
      <c r="K42" s="60">
        <v>4</v>
      </c>
      <c r="L42" s="59" t="s">
        <v>1426</v>
      </c>
      <c r="M42" s="59" t="s">
        <v>399</v>
      </c>
      <c r="N42" s="59" t="s">
        <v>399</v>
      </c>
      <c r="O42" s="59" t="s">
        <v>399</v>
      </c>
      <c r="P42" s="59" t="s">
        <v>399</v>
      </c>
      <c r="Q42" s="59" t="s">
        <v>399</v>
      </c>
      <c r="R42" s="59" t="s">
        <v>400</v>
      </c>
      <c r="S42" s="59" t="s">
        <v>400</v>
      </c>
      <c r="T42" s="59" t="s">
        <v>400</v>
      </c>
      <c r="U42" s="59" t="s">
        <v>48</v>
      </c>
      <c r="V42" s="59" t="s">
        <v>48</v>
      </c>
      <c r="W42" s="59" t="s">
        <v>48</v>
      </c>
      <c r="X42" s="59" t="s">
        <v>48</v>
      </c>
      <c r="Y42" s="59" t="s">
        <v>48</v>
      </c>
      <c r="Z42" s="59" t="s">
        <v>48</v>
      </c>
      <c r="AA42" s="59" t="s">
        <v>48</v>
      </c>
      <c r="AB42" s="59" t="s">
        <v>48</v>
      </c>
      <c r="AC42" s="59" t="s">
        <v>48</v>
      </c>
      <c r="AD42" s="59" t="s">
        <v>48</v>
      </c>
      <c r="AE42" s="59" t="s">
        <v>48</v>
      </c>
      <c r="AF42" s="59" t="s">
        <v>399</v>
      </c>
      <c r="AG42" s="59" t="s">
        <v>1601</v>
      </c>
      <c r="AH42" s="59" t="s">
        <v>1418</v>
      </c>
      <c r="AI42" s="59" t="s">
        <v>1418</v>
      </c>
      <c r="AJ42" s="59" t="s">
        <v>1419</v>
      </c>
      <c r="AK42" s="59" t="s">
        <v>1418</v>
      </c>
      <c r="AL42" s="59" t="s">
        <v>1418</v>
      </c>
      <c r="AM42" s="59" t="s">
        <v>1418</v>
      </c>
      <c r="AN42" s="59" t="s">
        <v>1418</v>
      </c>
      <c r="AO42" s="59" t="s">
        <v>1418</v>
      </c>
      <c r="AP42" s="59" t="s">
        <v>1418</v>
      </c>
      <c r="AQ42" s="59" t="s">
        <v>1420</v>
      </c>
    </row>
    <row r="43" spans="2:43">
      <c r="B43" s="29" t="str">
        <f t="shared" si="1"/>
        <v xml:space="preserve">    └  상품권 결제 분석</v>
      </c>
      <c r="C43" s="59" t="s">
        <v>47</v>
      </c>
      <c r="D43" s="59"/>
      <c r="E43" s="59" t="s">
        <v>1602</v>
      </c>
      <c r="F43" s="59" t="s">
        <v>1603</v>
      </c>
      <c r="G43" s="59" t="s">
        <v>1430</v>
      </c>
      <c r="H43" s="59" t="s">
        <v>1604</v>
      </c>
      <c r="I43" s="59" t="s">
        <v>1591</v>
      </c>
      <c r="J43" s="60">
        <v>4</v>
      </c>
      <c r="K43" s="60">
        <v>4</v>
      </c>
      <c r="L43" s="59" t="s">
        <v>1441</v>
      </c>
      <c r="M43" s="59" t="s">
        <v>399</v>
      </c>
      <c r="N43" s="59" t="s">
        <v>399</v>
      </c>
      <c r="O43" s="59" t="s">
        <v>399</v>
      </c>
      <c r="P43" s="59" t="s">
        <v>399</v>
      </c>
      <c r="Q43" s="59" t="s">
        <v>399</v>
      </c>
      <c r="R43" s="59" t="s">
        <v>400</v>
      </c>
      <c r="S43" s="59" t="s">
        <v>400</v>
      </c>
      <c r="T43" s="59" t="s">
        <v>400</v>
      </c>
      <c r="U43" s="59" t="s">
        <v>48</v>
      </c>
      <c r="V43" s="59" t="s">
        <v>48</v>
      </c>
      <c r="W43" s="59" t="s">
        <v>48</v>
      </c>
      <c r="X43" s="59" t="s">
        <v>48</v>
      </c>
      <c r="Y43" s="59" t="s">
        <v>48</v>
      </c>
      <c r="Z43" s="59" t="s">
        <v>48</v>
      </c>
      <c r="AA43" s="59" t="s">
        <v>48</v>
      </c>
      <c r="AB43" s="59" t="s">
        <v>48</v>
      </c>
      <c r="AC43" s="59" t="s">
        <v>48</v>
      </c>
      <c r="AD43" s="59" t="s">
        <v>48</v>
      </c>
      <c r="AE43" s="59" t="s">
        <v>48</v>
      </c>
      <c r="AF43" s="59" t="s">
        <v>399</v>
      </c>
      <c r="AG43" s="59" t="s">
        <v>1605</v>
      </c>
      <c r="AH43" s="59" t="s">
        <v>1418</v>
      </c>
      <c r="AI43" s="59" t="s">
        <v>1418</v>
      </c>
      <c r="AJ43" s="59" t="s">
        <v>1419</v>
      </c>
      <c r="AK43" s="59" t="s">
        <v>1418</v>
      </c>
      <c r="AL43" s="59" t="s">
        <v>1418</v>
      </c>
      <c r="AM43" s="59" t="s">
        <v>1418</v>
      </c>
      <c r="AN43" s="59" t="s">
        <v>1418</v>
      </c>
      <c r="AO43" s="59" t="s">
        <v>1418</v>
      </c>
      <c r="AP43" s="59" t="s">
        <v>1418</v>
      </c>
      <c r="AQ43" s="59" t="s">
        <v>1420</v>
      </c>
    </row>
    <row r="44" spans="2:43">
      <c r="B44" s="29" t="str">
        <f t="shared" si="1"/>
        <v xml:space="preserve">  └  취소 분석</v>
      </c>
      <c r="C44" s="59" t="s">
        <v>47</v>
      </c>
      <c r="D44" s="59"/>
      <c r="E44" s="59" t="s">
        <v>1606</v>
      </c>
      <c r="F44" s="59" t="s">
        <v>1607</v>
      </c>
      <c r="G44" s="59" t="s">
        <v>48</v>
      </c>
      <c r="H44" s="59" t="s">
        <v>48</v>
      </c>
      <c r="I44" s="59" t="s">
        <v>1424</v>
      </c>
      <c r="J44" s="60">
        <v>3</v>
      </c>
      <c r="K44" s="60">
        <v>3</v>
      </c>
      <c r="L44" s="59" t="s">
        <v>402</v>
      </c>
      <c r="M44" s="59" t="s">
        <v>399</v>
      </c>
      <c r="N44" s="59" t="s">
        <v>399</v>
      </c>
      <c r="O44" s="59" t="s">
        <v>399</v>
      </c>
      <c r="P44" s="59" t="s">
        <v>399</v>
      </c>
      <c r="Q44" s="59" t="s">
        <v>399</v>
      </c>
      <c r="R44" s="59" t="s">
        <v>399</v>
      </c>
      <c r="S44" s="59" t="s">
        <v>399</v>
      </c>
      <c r="T44" s="59" t="s">
        <v>400</v>
      </c>
      <c r="U44" s="59" t="s">
        <v>48</v>
      </c>
      <c r="V44" s="59" t="s">
        <v>48</v>
      </c>
      <c r="W44" s="59" t="s">
        <v>48</v>
      </c>
      <c r="X44" s="59" t="s">
        <v>48</v>
      </c>
      <c r="Y44" s="59" t="s">
        <v>48</v>
      </c>
      <c r="Z44" s="59" t="s">
        <v>48</v>
      </c>
      <c r="AA44" s="59" t="s">
        <v>48</v>
      </c>
      <c r="AB44" s="59" t="s">
        <v>48</v>
      </c>
      <c r="AC44" s="59" t="s">
        <v>48</v>
      </c>
      <c r="AD44" s="59" t="s">
        <v>48</v>
      </c>
      <c r="AE44" s="59" t="s">
        <v>48</v>
      </c>
      <c r="AF44" s="59" t="s">
        <v>399</v>
      </c>
      <c r="AG44" s="59" t="s">
        <v>1608</v>
      </c>
      <c r="AH44" s="59" t="s">
        <v>1418</v>
      </c>
      <c r="AI44" s="59" t="s">
        <v>1418</v>
      </c>
      <c r="AJ44" s="59" t="s">
        <v>1419</v>
      </c>
      <c r="AK44" s="59" t="s">
        <v>1418</v>
      </c>
      <c r="AL44" s="59" t="s">
        <v>1418</v>
      </c>
      <c r="AM44" s="59" t="s">
        <v>1418</v>
      </c>
      <c r="AN44" s="59" t="s">
        <v>1418</v>
      </c>
      <c r="AO44" s="59" t="s">
        <v>1418</v>
      </c>
      <c r="AP44" s="59" t="s">
        <v>1418</v>
      </c>
      <c r="AQ44" s="59" t="s">
        <v>1420</v>
      </c>
    </row>
    <row r="45" spans="2:43">
      <c r="B45" s="29" t="str">
        <f t="shared" si="1"/>
        <v xml:space="preserve">    └  취소 내역 조회</v>
      </c>
      <c r="C45" s="59" t="s">
        <v>47</v>
      </c>
      <c r="D45" s="59"/>
      <c r="E45" s="59" t="s">
        <v>1609</v>
      </c>
      <c r="F45" s="59" t="s">
        <v>1610</v>
      </c>
      <c r="G45" s="59" t="s">
        <v>1430</v>
      </c>
      <c r="H45" s="59" t="s">
        <v>1611</v>
      </c>
      <c r="I45" s="59" t="s">
        <v>1606</v>
      </c>
      <c r="J45" s="60">
        <v>4</v>
      </c>
      <c r="K45" s="60">
        <v>4</v>
      </c>
      <c r="L45" s="59" t="s">
        <v>400</v>
      </c>
      <c r="M45" s="59" t="s">
        <v>399</v>
      </c>
      <c r="N45" s="59" t="s">
        <v>399</v>
      </c>
      <c r="O45" s="59" t="s">
        <v>399</v>
      </c>
      <c r="P45" s="59" t="s">
        <v>399</v>
      </c>
      <c r="Q45" s="59" t="s">
        <v>399</v>
      </c>
      <c r="R45" s="59" t="s">
        <v>400</v>
      </c>
      <c r="S45" s="59" t="s">
        <v>400</v>
      </c>
      <c r="T45" s="59" t="s">
        <v>400</v>
      </c>
      <c r="U45" s="59" t="s">
        <v>48</v>
      </c>
      <c r="V45" s="59" t="s">
        <v>48</v>
      </c>
      <c r="W45" s="59" t="s">
        <v>48</v>
      </c>
      <c r="X45" s="59" t="s">
        <v>48</v>
      </c>
      <c r="Y45" s="59" t="s">
        <v>48</v>
      </c>
      <c r="Z45" s="59" t="s">
        <v>48</v>
      </c>
      <c r="AA45" s="59" t="s">
        <v>48</v>
      </c>
      <c r="AB45" s="59" t="s">
        <v>48</v>
      </c>
      <c r="AC45" s="59" t="s">
        <v>48</v>
      </c>
      <c r="AD45" s="59" t="s">
        <v>48</v>
      </c>
      <c r="AE45" s="59" t="s">
        <v>48</v>
      </c>
      <c r="AF45" s="59" t="s">
        <v>399</v>
      </c>
      <c r="AG45" s="59" t="s">
        <v>1612</v>
      </c>
      <c r="AH45" s="59" t="s">
        <v>1418</v>
      </c>
      <c r="AI45" s="59" t="s">
        <v>1418</v>
      </c>
      <c r="AJ45" s="59" t="s">
        <v>1419</v>
      </c>
      <c r="AK45" s="59" t="s">
        <v>1418</v>
      </c>
      <c r="AL45" s="59" t="s">
        <v>1418</v>
      </c>
      <c r="AM45" s="59" t="s">
        <v>1418</v>
      </c>
      <c r="AN45" s="59" t="s">
        <v>1418</v>
      </c>
      <c r="AO45" s="59" t="s">
        <v>1418</v>
      </c>
      <c r="AP45" s="59" t="s">
        <v>1418</v>
      </c>
      <c r="AQ45" s="59" t="s">
        <v>1420</v>
      </c>
    </row>
    <row r="46" spans="2:43">
      <c r="B46" s="29" t="str">
        <f t="shared" si="1"/>
        <v xml:space="preserve">    └  매장 취소 내역</v>
      </c>
      <c r="C46" s="59" t="s">
        <v>47</v>
      </c>
      <c r="D46" s="59"/>
      <c r="E46" s="59" t="s">
        <v>1613</v>
      </c>
      <c r="F46" s="59" t="s">
        <v>1614</v>
      </c>
      <c r="G46" s="59" t="s">
        <v>1430</v>
      </c>
      <c r="H46" s="59" t="s">
        <v>1615</v>
      </c>
      <c r="I46" s="59" t="s">
        <v>1606</v>
      </c>
      <c r="J46" s="60">
        <v>4</v>
      </c>
      <c r="K46" s="60">
        <v>4</v>
      </c>
      <c r="L46" s="59" t="s">
        <v>1426</v>
      </c>
      <c r="M46" s="59" t="s">
        <v>399</v>
      </c>
      <c r="N46" s="59" t="s">
        <v>399</v>
      </c>
      <c r="O46" s="59" t="s">
        <v>399</v>
      </c>
      <c r="P46" s="59" t="s">
        <v>399</v>
      </c>
      <c r="Q46" s="59" t="s">
        <v>399</v>
      </c>
      <c r="R46" s="59" t="s">
        <v>400</v>
      </c>
      <c r="S46" s="59" t="s">
        <v>400</v>
      </c>
      <c r="T46" s="59" t="s">
        <v>400</v>
      </c>
      <c r="U46" s="59" t="s">
        <v>48</v>
      </c>
      <c r="V46" s="59" t="s">
        <v>48</v>
      </c>
      <c r="W46" s="59" t="s">
        <v>48</v>
      </c>
      <c r="X46" s="59" t="s">
        <v>48</v>
      </c>
      <c r="Y46" s="59" t="s">
        <v>48</v>
      </c>
      <c r="Z46" s="59" t="s">
        <v>48</v>
      </c>
      <c r="AA46" s="59" t="s">
        <v>48</v>
      </c>
      <c r="AB46" s="59" t="s">
        <v>48</v>
      </c>
      <c r="AC46" s="59" t="s">
        <v>48</v>
      </c>
      <c r="AD46" s="59" t="s">
        <v>48</v>
      </c>
      <c r="AE46" s="59" t="s">
        <v>48</v>
      </c>
      <c r="AF46" s="59" t="s">
        <v>399</v>
      </c>
      <c r="AG46" s="59" t="s">
        <v>1616</v>
      </c>
      <c r="AH46" s="59" t="s">
        <v>1418</v>
      </c>
      <c r="AI46" s="59" t="s">
        <v>1418</v>
      </c>
      <c r="AJ46" s="59" t="s">
        <v>1419</v>
      </c>
      <c r="AK46" s="59" t="s">
        <v>1418</v>
      </c>
      <c r="AL46" s="59" t="s">
        <v>1418</v>
      </c>
      <c r="AM46" s="59" t="s">
        <v>1418</v>
      </c>
      <c r="AN46" s="59" t="s">
        <v>1418</v>
      </c>
      <c r="AO46" s="59" t="s">
        <v>1418</v>
      </c>
      <c r="AP46" s="59" t="s">
        <v>1418</v>
      </c>
      <c r="AQ46" s="59" t="s">
        <v>1420</v>
      </c>
    </row>
    <row r="47" spans="2:43">
      <c r="B47" s="29" t="str">
        <f t="shared" si="1"/>
        <v xml:space="preserve">  └  반품관리</v>
      </c>
      <c r="C47" s="59" t="s">
        <v>47</v>
      </c>
      <c r="D47" s="59"/>
      <c r="E47" s="59" t="s">
        <v>1617</v>
      </c>
      <c r="F47" s="59" t="s">
        <v>1618</v>
      </c>
      <c r="G47" s="59" t="s">
        <v>48</v>
      </c>
      <c r="H47" s="59" t="s">
        <v>48</v>
      </c>
      <c r="I47" s="59" t="s">
        <v>1424</v>
      </c>
      <c r="J47" s="60">
        <v>3</v>
      </c>
      <c r="K47" s="60">
        <v>3</v>
      </c>
      <c r="L47" s="59" t="s">
        <v>1619</v>
      </c>
      <c r="M47" s="59" t="s">
        <v>399</v>
      </c>
      <c r="N47" s="59" t="s">
        <v>399</v>
      </c>
      <c r="O47" s="59" t="s">
        <v>399</v>
      </c>
      <c r="P47" s="59" t="s">
        <v>399</v>
      </c>
      <c r="Q47" s="59" t="s">
        <v>399</v>
      </c>
      <c r="R47" s="59" t="s">
        <v>399</v>
      </c>
      <c r="S47" s="59" t="s">
        <v>399</v>
      </c>
      <c r="T47" s="59" t="s">
        <v>400</v>
      </c>
      <c r="U47" s="59" t="s">
        <v>48</v>
      </c>
      <c r="V47" s="59" t="s">
        <v>48</v>
      </c>
      <c r="W47" s="59" t="s">
        <v>48</v>
      </c>
      <c r="X47" s="59" t="s">
        <v>48</v>
      </c>
      <c r="Y47" s="59" t="s">
        <v>48</v>
      </c>
      <c r="Z47" s="59" t="s">
        <v>48</v>
      </c>
      <c r="AA47" s="59" t="s">
        <v>48</v>
      </c>
      <c r="AB47" s="59" t="s">
        <v>48</v>
      </c>
      <c r="AC47" s="59" t="s">
        <v>48</v>
      </c>
      <c r="AD47" s="59" t="s">
        <v>48</v>
      </c>
      <c r="AE47" s="59" t="s">
        <v>48</v>
      </c>
      <c r="AF47" s="59" t="s">
        <v>399</v>
      </c>
      <c r="AG47" s="59" t="s">
        <v>1620</v>
      </c>
      <c r="AH47" s="59" t="s">
        <v>1418</v>
      </c>
      <c r="AI47" s="59" t="s">
        <v>1418</v>
      </c>
      <c r="AJ47" s="59" t="s">
        <v>1419</v>
      </c>
      <c r="AK47" s="59" t="s">
        <v>1418</v>
      </c>
      <c r="AL47" s="59" t="s">
        <v>1418</v>
      </c>
      <c r="AM47" s="59" t="s">
        <v>1418</v>
      </c>
      <c r="AN47" s="59" t="s">
        <v>1418</v>
      </c>
      <c r="AO47" s="59" t="s">
        <v>1418</v>
      </c>
      <c r="AP47" s="59" t="s">
        <v>1418</v>
      </c>
      <c r="AQ47" s="59" t="s">
        <v>1420</v>
      </c>
    </row>
    <row r="48" spans="2:43">
      <c r="B48" s="29" t="str">
        <f t="shared" si="1"/>
        <v xml:space="preserve">  └  실시간 판매 정보</v>
      </c>
      <c r="C48" s="59" t="s">
        <v>47</v>
      </c>
      <c r="D48" s="59"/>
      <c r="E48" s="59" t="s">
        <v>1621</v>
      </c>
      <c r="F48" s="59" t="s">
        <v>1622</v>
      </c>
      <c r="G48" s="59" t="s">
        <v>1430</v>
      </c>
      <c r="H48" s="59" t="s">
        <v>1623</v>
      </c>
      <c r="I48" s="59" t="s">
        <v>1424</v>
      </c>
      <c r="J48" s="60">
        <v>3</v>
      </c>
      <c r="K48" s="60">
        <v>3</v>
      </c>
      <c r="L48" s="59" t="s">
        <v>1510</v>
      </c>
      <c r="M48" s="59" t="s">
        <v>399</v>
      </c>
      <c r="N48" s="59" t="s">
        <v>399</v>
      </c>
      <c r="O48" s="59" t="s">
        <v>399</v>
      </c>
      <c r="P48" s="59" t="s">
        <v>399</v>
      </c>
      <c r="Q48" s="59" t="s">
        <v>399</v>
      </c>
      <c r="R48" s="59" t="s">
        <v>400</v>
      </c>
      <c r="S48" s="59" t="s">
        <v>400</v>
      </c>
      <c r="T48" s="59" t="s">
        <v>400</v>
      </c>
      <c r="U48" s="59" t="s">
        <v>48</v>
      </c>
      <c r="V48" s="59" t="s">
        <v>48</v>
      </c>
      <c r="W48" s="59" t="s">
        <v>48</v>
      </c>
      <c r="X48" s="59" t="s">
        <v>48</v>
      </c>
      <c r="Y48" s="59" t="s">
        <v>48</v>
      </c>
      <c r="Z48" s="59" t="s">
        <v>48</v>
      </c>
      <c r="AA48" s="59" t="s">
        <v>48</v>
      </c>
      <c r="AB48" s="59" t="s">
        <v>48</v>
      </c>
      <c r="AC48" s="59" t="s">
        <v>48</v>
      </c>
      <c r="AD48" s="59" t="s">
        <v>48</v>
      </c>
      <c r="AE48" s="59" t="s">
        <v>48</v>
      </c>
      <c r="AF48" s="59" t="s">
        <v>399</v>
      </c>
      <c r="AG48" s="59" t="s">
        <v>1624</v>
      </c>
      <c r="AH48" s="59" t="s">
        <v>1418</v>
      </c>
      <c r="AI48" s="59" t="s">
        <v>1418</v>
      </c>
      <c r="AJ48" s="59" t="s">
        <v>1419</v>
      </c>
      <c r="AK48" s="59" t="s">
        <v>1418</v>
      </c>
      <c r="AL48" s="59" t="s">
        <v>1418</v>
      </c>
      <c r="AM48" s="59" t="s">
        <v>1418</v>
      </c>
      <c r="AN48" s="59" t="s">
        <v>1418</v>
      </c>
      <c r="AO48" s="59" t="s">
        <v>1418</v>
      </c>
      <c r="AP48" s="59" t="s">
        <v>1418</v>
      </c>
      <c r="AQ48" s="59" t="s">
        <v>1420</v>
      </c>
    </row>
    <row r="49" spans="2:43">
      <c r="B49" s="29" t="str">
        <f t="shared" si="1"/>
        <v>└  수발주 관리</v>
      </c>
      <c r="C49" s="59" t="s">
        <v>47</v>
      </c>
      <c r="D49" s="59"/>
      <c r="E49" s="59" t="s">
        <v>1625</v>
      </c>
      <c r="F49" s="59" t="s">
        <v>1626</v>
      </c>
      <c r="G49" s="59" t="s">
        <v>48</v>
      </c>
      <c r="H49" s="59" t="s">
        <v>48</v>
      </c>
      <c r="I49" s="59" t="s">
        <v>1414</v>
      </c>
      <c r="J49" s="60">
        <v>2</v>
      </c>
      <c r="K49" s="60">
        <v>2</v>
      </c>
      <c r="L49" s="59" t="s">
        <v>1441</v>
      </c>
      <c r="M49" s="59" t="s">
        <v>399</v>
      </c>
      <c r="N49" s="59" t="s">
        <v>399</v>
      </c>
      <c r="O49" s="59" t="s">
        <v>399</v>
      </c>
      <c r="P49" s="59" t="s">
        <v>399</v>
      </c>
      <c r="Q49" s="59" t="s">
        <v>399</v>
      </c>
      <c r="R49" s="59" t="s">
        <v>399</v>
      </c>
      <c r="S49" s="59" t="s">
        <v>399</v>
      </c>
      <c r="T49" s="59" t="s">
        <v>400</v>
      </c>
      <c r="U49" s="59" t="s">
        <v>48</v>
      </c>
      <c r="V49" s="59" t="s">
        <v>48</v>
      </c>
      <c r="W49" s="59" t="s">
        <v>48</v>
      </c>
      <c r="X49" s="59" t="s">
        <v>48</v>
      </c>
      <c r="Y49" s="59" t="s">
        <v>48</v>
      </c>
      <c r="Z49" s="59" t="s">
        <v>48</v>
      </c>
      <c r="AA49" s="59" t="s">
        <v>48</v>
      </c>
      <c r="AB49" s="59" t="s">
        <v>48</v>
      </c>
      <c r="AC49" s="59" t="s">
        <v>48</v>
      </c>
      <c r="AD49" s="59" t="s">
        <v>48</v>
      </c>
      <c r="AE49" s="59" t="s">
        <v>48</v>
      </c>
      <c r="AF49" s="59" t="s">
        <v>399</v>
      </c>
      <c r="AG49" s="59" t="s">
        <v>1627</v>
      </c>
      <c r="AH49" s="59" t="s">
        <v>1418</v>
      </c>
      <c r="AI49" s="59" t="s">
        <v>1418</v>
      </c>
      <c r="AJ49" s="59" t="s">
        <v>1419</v>
      </c>
      <c r="AK49" s="59" t="s">
        <v>1418</v>
      </c>
      <c r="AL49" s="59" t="s">
        <v>1418</v>
      </c>
      <c r="AM49" s="59" t="s">
        <v>1418</v>
      </c>
      <c r="AN49" s="59" t="s">
        <v>1418</v>
      </c>
      <c r="AO49" s="59" t="s">
        <v>1418</v>
      </c>
      <c r="AP49" s="59" t="s">
        <v>1418</v>
      </c>
      <c r="AQ49" s="59" t="s">
        <v>1420</v>
      </c>
    </row>
    <row r="50" spans="2:43">
      <c r="B50" s="29" t="str">
        <f t="shared" si="1"/>
        <v xml:space="preserve">  └  수발주 내역 조회</v>
      </c>
      <c r="C50" s="59" t="s">
        <v>47</v>
      </c>
      <c r="D50" s="59"/>
      <c r="E50" s="59" t="s">
        <v>1628</v>
      </c>
      <c r="F50" s="59" t="s">
        <v>1629</v>
      </c>
      <c r="G50" s="59" t="s">
        <v>405</v>
      </c>
      <c r="H50" s="59" t="s">
        <v>1630</v>
      </c>
      <c r="I50" s="59" t="s">
        <v>1625</v>
      </c>
      <c r="J50" s="60">
        <v>3</v>
      </c>
      <c r="K50" s="60">
        <v>3</v>
      </c>
      <c r="L50" s="59" t="s">
        <v>400</v>
      </c>
      <c r="M50" s="59" t="s">
        <v>399</v>
      </c>
      <c r="N50" s="59" t="s">
        <v>399</v>
      </c>
      <c r="O50" s="59" t="s">
        <v>399</v>
      </c>
      <c r="P50" s="59" t="s">
        <v>399</v>
      </c>
      <c r="Q50" s="59" t="s">
        <v>399</v>
      </c>
      <c r="R50" s="59" t="s">
        <v>400</v>
      </c>
      <c r="S50" s="59" t="s">
        <v>400</v>
      </c>
      <c r="T50" s="59" t="s">
        <v>400</v>
      </c>
      <c r="U50" s="59" t="s">
        <v>48</v>
      </c>
      <c r="V50" s="59" t="s">
        <v>48</v>
      </c>
      <c r="W50" s="59" t="s">
        <v>48</v>
      </c>
      <c r="X50" s="59" t="s">
        <v>48</v>
      </c>
      <c r="Y50" s="59" t="s">
        <v>48</v>
      </c>
      <c r="Z50" s="59" t="s">
        <v>48</v>
      </c>
      <c r="AA50" s="59" t="s">
        <v>48</v>
      </c>
      <c r="AB50" s="59" t="s">
        <v>48</v>
      </c>
      <c r="AC50" s="59" t="s">
        <v>48</v>
      </c>
      <c r="AD50" s="59" t="s">
        <v>1418</v>
      </c>
      <c r="AE50" s="59" t="s">
        <v>1418</v>
      </c>
      <c r="AF50" s="59" t="s">
        <v>399</v>
      </c>
      <c r="AG50" s="59" t="s">
        <v>1629</v>
      </c>
      <c r="AH50" s="59" t="s">
        <v>1418</v>
      </c>
      <c r="AI50" s="59" t="s">
        <v>1418</v>
      </c>
      <c r="AJ50" s="59" t="s">
        <v>1418</v>
      </c>
      <c r="AK50" s="59" t="s">
        <v>1418</v>
      </c>
      <c r="AL50" s="59" t="s">
        <v>1418</v>
      </c>
      <c r="AM50" s="59" t="s">
        <v>1418</v>
      </c>
      <c r="AN50" s="59" t="s">
        <v>1418</v>
      </c>
      <c r="AO50" s="59" t="s">
        <v>1418</v>
      </c>
      <c r="AP50" s="59" t="s">
        <v>1418</v>
      </c>
      <c r="AQ50" s="59" t="s">
        <v>1420</v>
      </c>
    </row>
    <row r="51" spans="2:43">
      <c r="B51" s="29" t="str">
        <f t="shared" si="1"/>
        <v xml:space="preserve">  └  수발주내역 조회</v>
      </c>
      <c r="C51" s="59" t="s">
        <v>47</v>
      </c>
      <c r="D51" s="59"/>
      <c r="E51" s="59" t="s">
        <v>1631</v>
      </c>
      <c r="F51" s="59" t="s">
        <v>1632</v>
      </c>
      <c r="G51" s="59" t="s">
        <v>48</v>
      </c>
      <c r="H51" s="59" t="s">
        <v>48</v>
      </c>
      <c r="I51" s="59" t="s">
        <v>1625</v>
      </c>
      <c r="J51" s="60">
        <v>3</v>
      </c>
      <c r="K51" s="60">
        <v>3</v>
      </c>
      <c r="L51" s="59" t="s">
        <v>1510</v>
      </c>
      <c r="M51" s="59" t="s">
        <v>399</v>
      </c>
      <c r="N51" s="59" t="s">
        <v>399</v>
      </c>
      <c r="O51" s="59" t="s">
        <v>399</v>
      </c>
      <c r="P51" s="59" t="s">
        <v>399</v>
      </c>
      <c r="Q51" s="59" t="s">
        <v>399</v>
      </c>
      <c r="R51" s="59" t="s">
        <v>399</v>
      </c>
      <c r="S51" s="59" t="s">
        <v>399</v>
      </c>
      <c r="T51" s="59" t="s">
        <v>400</v>
      </c>
      <c r="U51" s="59" t="s">
        <v>1418</v>
      </c>
      <c r="V51" s="59" t="s">
        <v>48</v>
      </c>
      <c r="W51" s="59" t="s">
        <v>48</v>
      </c>
      <c r="X51" s="59" t="s">
        <v>48</v>
      </c>
      <c r="Y51" s="59" t="s">
        <v>1418</v>
      </c>
      <c r="Z51" s="59" t="s">
        <v>1418</v>
      </c>
      <c r="AA51" s="59" t="s">
        <v>1418</v>
      </c>
      <c r="AB51" s="59" t="s">
        <v>1418</v>
      </c>
      <c r="AC51" s="59" t="s">
        <v>48</v>
      </c>
      <c r="AD51" s="59" t="s">
        <v>48</v>
      </c>
      <c r="AE51" s="59" t="s">
        <v>48</v>
      </c>
      <c r="AF51" s="59" t="s">
        <v>399</v>
      </c>
      <c r="AG51" s="59" t="s">
        <v>1633</v>
      </c>
      <c r="AH51" s="59" t="s">
        <v>1418</v>
      </c>
      <c r="AI51" s="59" t="s">
        <v>1418</v>
      </c>
      <c r="AJ51" s="59" t="s">
        <v>1419</v>
      </c>
      <c r="AK51" s="59" t="s">
        <v>1418</v>
      </c>
      <c r="AL51" s="59" t="s">
        <v>1418</v>
      </c>
      <c r="AM51" s="59" t="s">
        <v>1418</v>
      </c>
      <c r="AN51" s="59" t="s">
        <v>1418</v>
      </c>
      <c r="AO51" s="59" t="s">
        <v>1634</v>
      </c>
      <c r="AP51" s="59" t="s">
        <v>1418</v>
      </c>
      <c r="AQ51" s="59" t="s">
        <v>1420</v>
      </c>
    </row>
    <row r="52" spans="2:43">
      <c r="B52" s="29" t="str">
        <f t="shared" si="1"/>
        <v xml:space="preserve">    └  수발주 현황</v>
      </c>
      <c r="C52" s="59" t="s">
        <v>47</v>
      </c>
      <c r="D52" s="59"/>
      <c r="E52" s="59" t="s">
        <v>1635</v>
      </c>
      <c r="F52" s="59" t="s">
        <v>1636</v>
      </c>
      <c r="G52" s="59" t="s">
        <v>1430</v>
      </c>
      <c r="H52" s="59" t="s">
        <v>1637</v>
      </c>
      <c r="I52" s="59" t="s">
        <v>1631</v>
      </c>
      <c r="J52" s="60">
        <v>4</v>
      </c>
      <c r="K52" s="60">
        <v>4</v>
      </c>
      <c r="L52" s="59" t="s">
        <v>1426</v>
      </c>
      <c r="M52" s="59" t="s">
        <v>399</v>
      </c>
      <c r="N52" s="59" t="s">
        <v>399</v>
      </c>
      <c r="O52" s="59" t="s">
        <v>399</v>
      </c>
      <c r="P52" s="59" t="s">
        <v>399</v>
      </c>
      <c r="Q52" s="59" t="s">
        <v>399</v>
      </c>
      <c r="R52" s="59" t="s">
        <v>400</v>
      </c>
      <c r="S52" s="59" t="s">
        <v>400</v>
      </c>
      <c r="T52" s="59" t="s">
        <v>400</v>
      </c>
      <c r="U52" s="59" t="s">
        <v>48</v>
      </c>
      <c r="V52" s="59" t="s">
        <v>48</v>
      </c>
      <c r="W52" s="59" t="s">
        <v>48</v>
      </c>
      <c r="X52" s="59" t="s">
        <v>48</v>
      </c>
      <c r="Y52" s="59" t="s">
        <v>48</v>
      </c>
      <c r="Z52" s="59" t="s">
        <v>48</v>
      </c>
      <c r="AA52" s="59" t="s">
        <v>48</v>
      </c>
      <c r="AB52" s="59" t="s">
        <v>48</v>
      </c>
      <c r="AC52" s="59" t="s">
        <v>48</v>
      </c>
      <c r="AD52" s="59" t="s">
        <v>48</v>
      </c>
      <c r="AE52" s="59" t="s">
        <v>48</v>
      </c>
      <c r="AF52" s="59" t="s">
        <v>399</v>
      </c>
      <c r="AG52" s="59" t="s">
        <v>1638</v>
      </c>
      <c r="AH52" s="59" t="s">
        <v>1418</v>
      </c>
      <c r="AI52" s="59" t="s">
        <v>1418</v>
      </c>
      <c r="AJ52" s="59" t="s">
        <v>1419</v>
      </c>
      <c r="AK52" s="59" t="s">
        <v>1418</v>
      </c>
      <c r="AL52" s="59" t="s">
        <v>1418</v>
      </c>
      <c r="AM52" s="59" t="s">
        <v>1418</v>
      </c>
      <c r="AN52" s="59" t="s">
        <v>1418</v>
      </c>
      <c r="AO52" s="59" t="s">
        <v>1418</v>
      </c>
      <c r="AP52" s="59" t="s">
        <v>1418</v>
      </c>
      <c r="AQ52" s="59" t="s">
        <v>1420</v>
      </c>
    </row>
    <row r="53" spans="2:43">
      <c r="B53" s="29" t="str">
        <f t="shared" si="1"/>
        <v xml:space="preserve">    └  매장별 수발주 조회</v>
      </c>
      <c r="C53" s="59" t="s">
        <v>47</v>
      </c>
      <c r="D53" s="59"/>
      <c r="E53" s="59" t="s">
        <v>1639</v>
      </c>
      <c r="F53" s="59" t="s">
        <v>1640</v>
      </c>
      <c r="G53" s="59" t="s">
        <v>1430</v>
      </c>
      <c r="H53" s="59" t="s">
        <v>1641</v>
      </c>
      <c r="I53" s="59" t="s">
        <v>1631</v>
      </c>
      <c r="J53" s="60">
        <v>4</v>
      </c>
      <c r="K53" s="60">
        <v>4</v>
      </c>
      <c r="L53" s="59" t="s">
        <v>1441</v>
      </c>
      <c r="M53" s="59" t="s">
        <v>399</v>
      </c>
      <c r="N53" s="59" t="s">
        <v>399</v>
      </c>
      <c r="O53" s="59" t="s">
        <v>399</v>
      </c>
      <c r="P53" s="59" t="s">
        <v>399</v>
      </c>
      <c r="Q53" s="59" t="s">
        <v>399</v>
      </c>
      <c r="R53" s="59" t="s">
        <v>400</v>
      </c>
      <c r="S53" s="59" t="s">
        <v>400</v>
      </c>
      <c r="T53" s="59" t="s">
        <v>400</v>
      </c>
      <c r="U53" s="59" t="s">
        <v>48</v>
      </c>
      <c r="V53" s="59" t="s">
        <v>48</v>
      </c>
      <c r="W53" s="59" t="s">
        <v>48</v>
      </c>
      <c r="X53" s="59" t="s">
        <v>48</v>
      </c>
      <c r="Y53" s="59" t="s">
        <v>48</v>
      </c>
      <c r="Z53" s="59" t="s">
        <v>48</v>
      </c>
      <c r="AA53" s="59" t="s">
        <v>48</v>
      </c>
      <c r="AB53" s="59" t="s">
        <v>48</v>
      </c>
      <c r="AC53" s="59" t="s">
        <v>48</v>
      </c>
      <c r="AD53" s="59" t="s">
        <v>48</v>
      </c>
      <c r="AE53" s="59" t="s">
        <v>48</v>
      </c>
      <c r="AF53" s="59" t="s">
        <v>399</v>
      </c>
      <c r="AG53" s="59" t="s">
        <v>1642</v>
      </c>
      <c r="AH53" s="59" t="s">
        <v>1418</v>
      </c>
      <c r="AI53" s="59" t="s">
        <v>1418</v>
      </c>
      <c r="AJ53" s="59" t="s">
        <v>1419</v>
      </c>
      <c r="AK53" s="59" t="s">
        <v>1418</v>
      </c>
      <c r="AL53" s="59" t="s">
        <v>1418</v>
      </c>
      <c r="AM53" s="59" t="s">
        <v>1418</v>
      </c>
      <c r="AN53" s="59" t="s">
        <v>1418</v>
      </c>
      <c r="AO53" s="59" t="s">
        <v>1418</v>
      </c>
      <c r="AP53" s="59" t="s">
        <v>1418</v>
      </c>
      <c r="AQ53" s="59" t="s">
        <v>1420</v>
      </c>
    </row>
    <row r="54" spans="2:43">
      <c r="B54" s="29" t="str">
        <f t="shared" si="1"/>
        <v xml:space="preserve">    └  품목별 수발주 조회</v>
      </c>
      <c r="C54" s="59" t="s">
        <v>47</v>
      </c>
      <c r="D54" s="59"/>
      <c r="E54" s="59" t="s">
        <v>1643</v>
      </c>
      <c r="F54" s="59" t="s">
        <v>1644</v>
      </c>
      <c r="G54" s="59" t="s">
        <v>1430</v>
      </c>
      <c r="H54" s="59" t="s">
        <v>1645</v>
      </c>
      <c r="I54" s="59" t="s">
        <v>1631</v>
      </c>
      <c r="J54" s="60">
        <v>4</v>
      </c>
      <c r="K54" s="60">
        <v>4</v>
      </c>
      <c r="L54" s="59" t="s">
        <v>1510</v>
      </c>
      <c r="M54" s="59" t="s">
        <v>399</v>
      </c>
      <c r="N54" s="59" t="s">
        <v>399</v>
      </c>
      <c r="O54" s="59" t="s">
        <v>399</v>
      </c>
      <c r="P54" s="59" t="s">
        <v>399</v>
      </c>
      <c r="Q54" s="59" t="s">
        <v>399</v>
      </c>
      <c r="R54" s="59" t="s">
        <v>400</v>
      </c>
      <c r="S54" s="59" t="s">
        <v>400</v>
      </c>
      <c r="T54" s="59" t="s">
        <v>400</v>
      </c>
      <c r="U54" s="59" t="s">
        <v>48</v>
      </c>
      <c r="V54" s="59" t="s">
        <v>48</v>
      </c>
      <c r="W54" s="59" t="s">
        <v>48</v>
      </c>
      <c r="X54" s="59" t="s">
        <v>48</v>
      </c>
      <c r="Y54" s="59" t="s">
        <v>48</v>
      </c>
      <c r="Z54" s="59" t="s">
        <v>48</v>
      </c>
      <c r="AA54" s="59" t="s">
        <v>48</v>
      </c>
      <c r="AB54" s="59" t="s">
        <v>48</v>
      </c>
      <c r="AC54" s="59" t="s">
        <v>48</v>
      </c>
      <c r="AD54" s="59" t="s">
        <v>48</v>
      </c>
      <c r="AE54" s="59" t="s">
        <v>48</v>
      </c>
      <c r="AF54" s="59" t="s">
        <v>399</v>
      </c>
      <c r="AG54" s="59" t="s">
        <v>1646</v>
      </c>
      <c r="AH54" s="59" t="s">
        <v>1418</v>
      </c>
      <c r="AI54" s="59" t="s">
        <v>1418</v>
      </c>
      <c r="AJ54" s="59" t="s">
        <v>1419</v>
      </c>
      <c r="AK54" s="59" t="s">
        <v>1418</v>
      </c>
      <c r="AL54" s="59" t="s">
        <v>1418</v>
      </c>
      <c r="AM54" s="59" t="s">
        <v>1418</v>
      </c>
      <c r="AN54" s="59" t="s">
        <v>1418</v>
      </c>
      <c r="AO54" s="59" t="s">
        <v>1418</v>
      </c>
      <c r="AP54" s="59" t="s">
        <v>1418</v>
      </c>
      <c r="AQ54" s="59" t="s">
        <v>1420</v>
      </c>
    </row>
    <row r="55" spans="2:43">
      <c r="B55" s="29" t="str">
        <f t="shared" si="1"/>
        <v xml:space="preserve">    └  수발주 내역 조회</v>
      </c>
      <c r="C55" s="59" t="s">
        <v>47</v>
      </c>
      <c r="D55" s="59"/>
      <c r="E55" s="59" t="s">
        <v>1647</v>
      </c>
      <c r="F55" s="59" t="s">
        <v>1629</v>
      </c>
      <c r="G55" s="59" t="s">
        <v>1430</v>
      </c>
      <c r="H55" s="59" t="s">
        <v>1630</v>
      </c>
      <c r="I55" s="59" t="s">
        <v>1631</v>
      </c>
      <c r="J55" s="60">
        <v>4</v>
      </c>
      <c r="K55" s="60">
        <v>4</v>
      </c>
      <c r="L55" s="59" t="s">
        <v>400</v>
      </c>
      <c r="M55" s="59" t="s">
        <v>399</v>
      </c>
      <c r="N55" s="59" t="s">
        <v>399</v>
      </c>
      <c r="O55" s="59" t="s">
        <v>400</v>
      </c>
      <c r="P55" s="59" t="s">
        <v>400</v>
      </c>
      <c r="Q55" s="59" t="s">
        <v>400</v>
      </c>
      <c r="R55" s="59" t="s">
        <v>400</v>
      </c>
      <c r="S55" s="59" t="s">
        <v>400</v>
      </c>
      <c r="T55" s="59" t="s">
        <v>400</v>
      </c>
      <c r="U55" s="59" t="s">
        <v>1418</v>
      </c>
      <c r="V55" s="59" t="s">
        <v>48</v>
      </c>
      <c r="W55" s="59" t="s">
        <v>48</v>
      </c>
      <c r="X55" s="59" t="s">
        <v>48</v>
      </c>
      <c r="Y55" s="59" t="s">
        <v>1418</v>
      </c>
      <c r="Z55" s="59" t="s">
        <v>1418</v>
      </c>
      <c r="AA55" s="59" t="s">
        <v>1418</v>
      </c>
      <c r="AB55" s="59" t="s">
        <v>1418</v>
      </c>
      <c r="AC55" s="59" t="s">
        <v>48</v>
      </c>
      <c r="AD55" s="59" t="s">
        <v>48</v>
      </c>
      <c r="AE55" s="59" t="s">
        <v>48</v>
      </c>
      <c r="AF55" s="59" t="s">
        <v>399</v>
      </c>
      <c r="AG55" s="59" t="s">
        <v>1648</v>
      </c>
      <c r="AH55" s="59" t="s">
        <v>1418</v>
      </c>
      <c r="AI55" s="59" t="s">
        <v>1418</v>
      </c>
      <c r="AJ55" s="59" t="s">
        <v>1419</v>
      </c>
      <c r="AK55" s="59" t="s">
        <v>1418</v>
      </c>
      <c r="AL55" s="59" t="s">
        <v>1418</v>
      </c>
      <c r="AM55" s="59" t="s">
        <v>1418</v>
      </c>
      <c r="AN55" s="59" t="s">
        <v>1418</v>
      </c>
      <c r="AO55" s="59" t="s">
        <v>1634</v>
      </c>
      <c r="AP55" s="59" t="s">
        <v>1418</v>
      </c>
      <c r="AQ55" s="59" t="s">
        <v>1420</v>
      </c>
    </row>
    <row r="56" spans="2:43">
      <c r="B56" s="29" t="str">
        <f t="shared" si="1"/>
        <v xml:space="preserve">  └  생산 제품 분배</v>
      </c>
      <c r="C56" s="59" t="s">
        <v>47</v>
      </c>
      <c r="D56" s="59"/>
      <c r="E56" s="59" t="s">
        <v>1649</v>
      </c>
      <c r="F56" s="59" t="s">
        <v>1650</v>
      </c>
      <c r="G56" s="59" t="s">
        <v>1430</v>
      </c>
      <c r="H56" s="59" t="s">
        <v>1651</v>
      </c>
      <c r="I56" s="59" t="s">
        <v>1625</v>
      </c>
      <c r="J56" s="60">
        <v>3</v>
      </c>
      <c r="K56" s="60">
        <v>3</v>
      </c>
      <c r="L56" s="59" t="s">
        <v>1619</v>
      </c>
      <c r="M56" s="59" t="s">
        <v>399</v>
      </c>
      <c r="N56" s="59" t="s">
        <v>399</v>
      </c>
      <c r="O56" s="59" t="s">
        <v>400</v>
      </c>
      <c r="P56" s="59" t="s">
        <v>400</v>
      </c>
      <c r="Q56" s="59" t="s">
        <v>400</v>
      </c>
      <c r="R56" s="59" t="s">
        <v>400</v>
      </c>
      <c r="S56" s="59" t="s">
        <v>400</v>
      </c>
      <c r="T56" s="59" t="s">
        <v>400</v>
      </c>
      <c r="U56" s="59" t="s">
        <v>1418</v>
      </c>
      <c r="V56" s="59" t="s">
        <v>48</v>
      </c>
      <c r="W56" s="59" t="s">
        <v>48</v>
      </c>
      <c r="X56" s="59" t="s">
        <v>48</v>
      </c>
      <c r="Y56" s="59" t="s">
        <v>1418</v>
      </c>
      <c r="Z56" s="59" t="s">
        <v>1418</v>
      </c>
      <c r="AA56" s="59" t="s">
        <v>1418</v>
      </c>
      <c r="AB56" s="59" t="s">
        <v>1418</v>
      </c>
      <c r="AC56" s="59" t="s">
        <v>48</v>
      </c>
      <c r="AD56" s="59" t="s">
        <v>48</v>
      </c>
      <c r="AE56" s="59" t="s">
        <v>48</v>
      </c>
      <c r="AF56" s="59" t="s">
        <v>399</v>
      </c>
      <c r="AG56" s="59" t="s">
        <v>1652</v>
      </c>
      <c r="AH56" s="59" t="s">
        <v>1418</v>
      </c>
      <c r="AI56" s="59" t="s">
        <v>1418</v>
      </c>
      <c r="AJ56" s="59" t="s">
        <v>1419</v>
      </c>
      <c r="AK56" s="59" t="s">
        <v>1418</v>
      </c>
      <c r="AL56" s="59" t="s">
        <v>1418</v>
      </c>
      <c r="AM56" s="59" t="s">
        <v>1418</v>
      </c>
      <c r="AN56" s="59" t="s">
        <v>1418</v>
      </c>
      <c r="AO56" s="59" t="s">
        <v>1433</v>
      </c>
      <c r="AP56" s="59" t="s">
        <v>1418</v>
      </c>
      <c r="AQ56" s="59" t="s">
        <v>1420</v>
      </c>
    </row>
    <row r="57" spans="2:43">
      <c r="B57" s="29" t="str">
        <f t="shared" si="1"/>
        <v xml:space="preserve">  └  수발주 상품 옵션 관리</v>
      </c>
      <c r="C57" s="59" t="s">
        <v>47</v>
      </c>
      <c r="D57" s="59"/>
      <c r="E57" s="59" t="s">
        <v>1653</v>
      </c>
      <c r="F57" s="59" t="s">
        <v>1654</v>
      </c>
      <c r="G57" s="59" t="s">
        <v>1430</v>
      </c>
      <c r="H57" s="59" t="s">
        <v>1655</v>
      </c>
      <c r="I57" s="59" t="s">
        <v>1625</v>
      </c>
      <c r="J57" s="60">
        <v>3</v>
      </c>
      <c r="K57" s="60">
        <v>3</v>
      </c>
      <c r="L57" s="59" t="s">
        <v>1567</v>
      </c>
      <c r="M57" s="59" t="s">
        <v>399</v>
      </c>
      <c r="N57" s="59" t="s">
        <v>399</v>
      </c>
      <c r="O57" s="59" t="s">
        <v>400</v>
      </c>
      <c r="P57" s="59" t="s">
        <v>400</v>
      </c>
      <c r="Q57" s="59" t="s">
        <v>400</v>
      </c>
      <c r="R57" s="59" t="s">
        <v>400</v>
      </c>
      <c r="S57" s="59" t="s">
        <v>400</v>
      </c>
      <c r="T57" s="59" t="s">
        <v>400</v>
      </c>
      <c r="U57" s="59" t="s">
        <v>1418</v>
      </c>
      <c r="V57" s="59" t="s">
        <v>48</v>
      </c>
      <c r="W57" s="59" t="s">
        <v>48</v>
      </c>
      <c r="X57" s="59" t="s">
        <v>48</v>
      </c>
      <c r="Y57" s="59" t="s">
        <v>1418</v>
      </c>
      <c r="Z57" s="59" t="s">
        <v>1418</v>
      </c>
      <c r="AA57" s="59" t="s">
        <v>1418</v>
      </c>
      <c r="AB57" s="59" t="s">
        <v>1418</v>
      </c>
      <c r="AC57" s="59" t="s">
        <v>48</v>
      </c>
      <c r="AD57" s="59" t="s">
        <v>48</v>
      </c>
      <c r="AE57" s="59" t="s">
        <v>48</v>
      </c>
      <c r="AF57" s="59" t="s">
        <v>399</v>
      </c>
      <c r="AG57" s="59" t="s">
        <v>1656</v>
      </c>
      <c r="AH57" s="59" t="s">
        <v>1418</v>
      </c>
      <c r="AI57" s="59" t="s">
        <v>1418</v>
      </c>
      <c r="AJ57" s="59" t="s">
        <v>1419</v>
      </c>
      <c r="AK57" s="59" t="s">
        <v>1418</v>
      </c>
      <c r="AL57" s="59" t="s">
        <v>1418</v>
      </c>
      <c r="AM57" s="59" t="s">
        <v>1418</v>
      </c>
      <c r="AN57" s="59" t="s">
        <v>1418</v>
      </c>
      <c r="AO57" s="59" t="s">
        <v>1433</v>
      </c>
      <c r="AP57" s="59" t="s">
        <v>1418</v>
      </c>
      <c r="AQ57" s="59" t="s">
        <v>1420</v>
      </c>
    </row>
    <row r="58" spans="2:43">
      <c r="B58" s="29" t="str">
        <f t="shared" si="1"/>
        <v xml:space="preserve">  └  BOM을 통한 수불 분석</v>
      </c>
      <c r="C58" s="59" t="s">
        <v>47</v>
      </c>
      <c r="D58" s="59"/>
      <c r="E58" s="59" t="s">
        <v>1657</v>
      </c>
      <c r="F58" s="59" t="s">
        <v>1658</v>
      </c>
      <c r="G58" s="59" t="s">
        <v>1430</v>
      </c>
      <c r="H58" s="59" t="s">
        <v>1659</v>
      </c>
      <c r="I58" s="59" t="s">
        <v>1625</v>
      </c>
      <c r="J58" s="60">
        <v>3</v>
      </c>
      <c r="K58" s="60">
        <v>3</v>
      </c>
      <c r="L58" s="59" t="s">
        <v>1571</v>
      </c>
      <c r="M58" s="59" t="s">
        <v>399</v>
      </c>
      <c r="N58" s="59" t="s">
        <v>399</v>
      </c>
      <c r="O58" s="59" t="s">
        <v>399</v>
      </c>
      <c r="P58" s="59" t="s">
        <v>399</v>
      </c>
      <c r="Q58" s="59" t="s">
        <v>399</v>
      </c>
      <c r="R58" s="59" t="s">
        <v>400</v>
      </c>
      <c r="S58" s="59" t="s">
        <v>400</v>
      </c>
      <c r="T58" s="59" t="s">
        <v>400</v>
      </c>
      <c r="U58" s="59" t="s">
        <v>1418</v>
      </c>
      <c r="V58" s="59" t="s">
        <v>48</v>
      </c>
      <c r="W58" s="59" t="s">
        <v>48</v>
      </c>
      <c r="X58" s="59" t="s">
        <v>48</v>
      </c>
      <c r="Y58" s="59" t="s">
        <v>1418</v>
      </c>
      <c r="Z58" s="59" t="s">
        <v>1418</v>
      </c>
      <c r="AA58" s="59" t="s">
        <v>1418</v>
      </c>
      <c r="AB58" s="59" t="s">
        <v>1418</v>
      </c>
      <c r="AC58" s="59" t="s">
        <v>48</v>
      </c>
      <c r="AD58" s="59" t="s">
        <v>48</v>
      </c>
      <c r="AE58" s="59" t="s">
        <v>48</v>
      </c>
      <c r="AF58" s="59" t="s">
        <v>399</v>
      </c>
      <c r="AG58" s="59" t="s">
        <v>1660</v>
      </c>
      <c r="AH58" s="59" t="s">
        <v>1418</v>
      </c>
      <c r="AI58" s="59" t="s">
        <v>1418</v>
      </c>
      <c r="AJ58" s="59" t="s">
        <v>1419</v>
      </c>
      <c r="AK58" s="59" t="s">
        <v>1418</v>
      </c>
      <c r="AL58" s="59" t="s">
        <v>1418</v>
      </c>
      <c r="AM58" s="59" t="s">
        <v>1418</v>
      </c>
      <c r="AN58" s="59" t="s">
        <v>1418</v>
      </c>
      <c r="AO58" s="59" t="s">
        <v>1433</v>
      </c>
      <c r="AP58" s="59" t="s">
        <v>1418</v>
      </c>
      <c r="AQ58" s="59" t="s">
        <v>1420</v>
      </c>
    </row>
    <row r="59" spans="2:43">
      <c r="B59" s="29" t="str">
        <f t="shared" si="1"/>
        <v xml:space="preserve">  └  수발주 내역 검증</v>
      </c>
      <c r="C59" s="59" t="s">
        <v>47</v>
      </c>
      <c r="D59" s="59"/>
      <c r="E59" s="59" t="s">
        <v>1661</v>
      </c>
      <c r="F59" s="59" t="s">
        <v>1662</v>
      </c>
      <c r="G59" s="59" t="s">
        <v>1430</v>
      </c>
      <c r="H59" s="59" t="s">
        <v>1663</v>
      </c>
      <c r="I59" s="59" t="s">
        <v>1625</v>
      </c>
      <c r="J59" s="60">
        <v>3</v>
      </c>
      <c r="K59" s="60">
        <v>3</v>
      </c>
      <c r="L59" s="59" t="s">
        <v>1664</v>
      </c>
      <c r="M59" s="59" t="s">
        <v>399</v>
      </c>
      <c r="N59" s="59" t="s">
        <v>399</v>
      </c>
      <c r="O59" s="59" t="s">
        <v>399</v>
      </c>
      <c r="P59" s="59" t="s">
        <v>399</v>
      </c>
      <c r="Q59" s="59" t="s">
        <v>399</v>
      </c>
      <c r="R59" s="59" t="s">
        <v>400</v>
      </c>
      <c r="S59" s="59" t="s">
        <v>400</v>
      </c>
      <c r="T59" s="59" t="s">
        <v>400</v>
      </c>
      <c r="U59" s="59" t="s">
        <v>1418</v>
      </c>
      <c r="V59" s="59" t="s">
        <v>48</v>
      </c>
      <c r="W59" s="59" t="s">
        <v>48</v>
      </c>
      <c r="X59" s="59" t="s">
        <v>48</v>
      </c>
      <c r="Y59" s="59" t="s">
        <v>1418</v>
      </c>
      <c r="Z59" s="59" t="s">
        <v>1418</v>
      </c>
      <c r="AA59" s="59" t="s">
        <v>1418</v>
      </c>
      <c r="AB59" s="59" t="s">
        <v>1418</v>
      </c>
      <c r="AC59" s="59" t="s">
        <v>48</v>
      </c>
      <c r="AD59" s="59" t="s">
        <v>48</v>
      </c>
      <c r="AE59" s="59" t="s">
        <v>48</v>
      </c>
      <c r="AF59" s="59" t="s">
        <v>399</v>
      </c>
      <c r="AG59" s="59" t="s">
        <v>1665</v>
      </c>
      <c r="AH59" s="59" t="s">
        <v>1418</v>
      </c>
      <c r="AI59" s="59" t="s">
        <v>1418</v>
      </c>
      <c r="AJ59" s="59" t="s">
        <v>1419</v>
      </c>
      <c r="AK59" s="59" t="s">
        <v>1418</v>
      </c>
      <c r="AL59" s="59" t="s">
        <v>1418</v>
      </c>
      <c r="AM59" s="59" t="s">
        <v>1418</v>
      </c>
      <c r="AN59" s="59" t="s">
        <v>1418</v>
      </c>
      <c r="AO59" s="59" t="s">
        <v>1433</v>
      </c>
      <c r="AP59" s="59" t="s">
        <v>1418</v>
      </c>
      <c r="AQ59" s="59" t="s">
        <v>1420</v>
      </c>
    </row>
    <row r="60" spans="2:43">
      <c r="B60" s="29" t="str">
        <f t="shared" si="1"/>
        <v xml:space="preserve">  └  수발주 패턴 관리</v>
      </c>
      <c r="C60" s="59" t="s">
        <v>47</v>
      </c>
      <c r="D60" s="59"/>
      <c r="E60" s="59" t="s">
        <v>1666</v>
      </c>
      <c r="F60" s="59" t="s">
        <v>1667</v>
      </c>
      <c r="G60" s="59" t="s">
        <v>1430</v>
      </c>
      <c r="H60" s="59" t="s">
        <v>1668</v>
      </c>
      <c r="I60" s="59" t="s">
        <v>1625</v>
      </c>
      <c r="J60" s="60">
        <v>3</v>
      </c>
      <c r="K60" s="60">
        <v>3</v>
      </c>
      <c r="L60" s="59" t="s">
        <v>400</v>
      </c>
      <c r="M60" s="59" t="s">
        <v>399</v>
      </c>
      <c r="N60" s="59" t="s">
        <v>399</v>
      </c>
      <c r="O60" s="59" t="s">
        <v>400</v>
      </c>
      <c r="P60" s="59" t="s">
        <v>400</v>
      </c>
      <c r="Q60" s="59" t="s">
        <v>400</v>
      </c>
      <c r="R60" s="59" t="s">
        <v>400</v>
      </c>
      <c r="S60" s="59" t="s">
        <v>400</v>
      </c>
      <c r="T60" s="59" t="s">
        <v>400</v>
      </c>
      <c r="U60" s="59" t="s">
        <v>1418</v>
      </c>
      <c r="V60" s="59" t="s">
        <v>48</v>
      </c>
      <c r="W60" s="59" t="s">
        <v>48</v>
      </c>
      <c r="X60" s="59" t="s">
        <v>48</v>
      </c>
      <c r="Y60" s="59" t="s">
        <v>1418</v>
      </c>
      <c r="Z60" s="59" t="s">
        <v>1418</v>
      </c>
      <c r="AA60" s="59" t="s">
        <v>1418</v>
      </c>
      <c r="AB60" s="59" t="s">
        <v>1418</v>
      </c>
      <c r="AC60" s="59" t="s">
        <v>48</v>
      </c>
      <c r="AD60" s="59" t="s">
        <v>48</v>
      </c>
      <c r="AE60" s="59" t="s">
        <v>48</v>
      </c>
      <c r="AF60" s="59" t="s">
        <v>399</v>
      </c>
      <c r="AG60" s="59" t="s">
        <v>1669</v>
      </c>
      <c r="AH60" s="59" t="s">
        <v>1418</v>
      </c>
      <c r="AI60" s="59" t="s">
        <v>1418</v>
      </c>
      <c r="AJ60" s="59" t="s">
        <v>1419</v>
      </c>
      <c r="AK60" s="59" t="s">
        <v>1418</v>
      </c>
      <c r="AL60" s="59" t="s">
        <v>1418</v>
      </c>
      <c r="AM60" s="59" t="s">
        <v>1418</v>
      </c>
      <c r="AN60" s="59" t="s">
        <v>1418</v>
      </c>
      <c r="AO60" s="59" t="s">
        <v>1433</v>
      </c>
      <c r="AP60" s="59" t="s">
        <v>1418</v>
      </c>
      <c r="AQ60" s="59" t="s">
        <v>1420</v>
      </c>
    </row>
    <row r="61" spans="2:43">
      <c r="B61" s="29" t="str">
        <f t="shared" si="1"/>
        <v xml:space="preserve">  └  단일 발주 등록</v>
      </c>
      <c r="C61" s="59" t="s">
        <v>47</v>
      </c>
      <c r="D61" s="59"/>
      <c r="E61" s="59" t="s">
        <v>1670</v>
      </c>
      <c r="F61" s="59" t="s">
        <v>1671</v>
      </c>
      <c r="G61" s="59" t="s">
        <v>1430</v>
      </c>
      <c r="H61" s="59" t="s">
        <v>1672</v>
      </c>
      <c r="I61" s="59" t="s">
        <v>1625</v>
      </c>
      <c r="J61" s="60">
        <v>3</v>
      </c>
      <c r="K61" s="60">
        <v>3</v>
      </c>
      <c r="L61" s="59" t="s">
        <v>1426</v>
      </c>
      <c r="M61" s="59" t="s">
        <v>399</v>
      </c>
      <c r="N61" s="59" t="s">
        <v>399</v>
      </c>
      <c r="O61" s="59" t="s">
        <v>400</v>
      </c>
      <c r="P61" s="59" t="s">
        <v>400</v>
      </c>
      <c r="Q61" s="59" t="s">
        <v>400</v>
      </c>
      <c r="R61" s="59" t="s">
        <v>400</v>
      </c>
      <c r="S61" s="59" t="s">
        <v>400</v>
      </c>
      <c r="T61" s="59" t="s">
        <v>400</v>
      </c>
      <c r="U61" s="59" t="s">
        <v>1418</v>
      </c>
      <c r="V61" s="59" t="s">
        <v>48</v>
      </c>
      <c r="W61" s="59" t="s">
        <v>48</v>
      </c>
      <c r="X61" s="59" t="s">
        <v>48</v>
      </c>
      <c r="Y61" s="59" t="s">
        <v>1418</v>
      </c>
      <c r="Z61" s="59" t="s">
        <v>1418</v>
      </c>
      <c r="AA61" s="59" t="s">
        <v>1418</v>
      </c>
      <c r="AB61" s="59" t="s">
        <v>1418</v>
      </c>
      <c r="AC61" s="59" t="s">
        <v>48</v>
      </c>
      <c r="AD61" s="59" t="s">
        <v>48</v>
      </c>
      <c r="AE61" s="59" t="s">
        <v>48</v>
      </c>
      <c r="AF61" s="59" t="s">
        <v>399</v>
      </c>
      <c r="AG61" s="59" t="s">
        <v>1673</v>
      </c>
      <c r="AH61" s="59" t="s">
        <v>1418</v>
      </c>
      <c r="AI61" s="59" t="s">
        <v>1418</v>
      </c>
      <c r="AJ61" s="59" t="s">
        <v>1419</v>
      </c>
      <c r="AK61" s="59" t="s">
        <v>1418</v>
      </c>
      <c r="AL61" s="59" t="s">
        <v>1418</v>
      </c>
      <c r="AM61" s="59" t="s">
        <v>1418</v>
      </c>
      <c r="AN61" s="59" t="s">
        <v>1418</v>
      </c>
      <c r="AO61" s="59" t="s">
        <v>1634</v>
      </c>
      <c r="AP61" s="59" t="s">
        <v>1418</v>
      </c>
      <c r="AQ61" s="59" t="s">
        <v>1420</v>
      </c>
    </row>
    <row r="62" spans="2:43">
      <c r="B62" s="29" t="str">
        <f t="shared" si="1"/>
        <v xml:space="preserve">  └  그룹 발주 등록</v>
      </c>
      <c r="C62" s="59" t="s">
        <v>47</v>
      </c>
      <c r="D62" s="59"/>
      <c r="E62" s="59" t="s">
        <v>1674</v>
      </c>
      <c r="F62" s="59" t="s">
        <v>1675</v>
      </c>
      <c r="G62" s="59" t="s">
        <v>1430</v>
      </c>
      <c r="H62" s="59" t="s">
        <v>1676</v>
      </c>
      <c r="I62" s="59" t="s">
        <v>1625</v>
      </c>
      <c r="J62" s="60">
        <v>3</v>
      </c>
      <c r="K62" s="60">
        <v>3</v>
      </c>
      <c r="L62" s="59" t="s">
        <v>1441</v>
      </c>
      <c r="M62" s="59" t="s">
        <v>399</v>
      </c>
      <c r="N62" s="59" t="s">
        <v>399</v>
      </c>
      <c r="O62" s="59" t="s">
        <v>400</v>
      </c>
      <c r="P62" s="59" t="s">
        <v>400</v>
      </c>
      <c r="Q62" s="59" t="s">
        <v>400</v>
      </c>
      <c r="R62" s="59" t="s">
        <v>400</v>
      </c>
      <c r="S62" s="59" t="s">
        <v>400</v>
      </c>
      <c r="T62" s="59" t="s">
        <v>400</v>
      </c>
      <c r="U62" s="59" t="s">
        <v>1418</v>
      </c>
      <c r="V62" s="59" t="s">
        <v>48</v>
      </c>
      <c r="W62" s="59" t="s">
        <v>48</v>
      </c>
      <c r="X62" s="59" t="s">
        <v>48</v>
      </c>
      <c r="Y62" s="59" t="s">
        <v>1418</v>
      </c>
      <c r="Z62" s="59" t="s">
        <v>1418</v>
      </c>
      <c r="AA62" s="59" t="s">
        <v>1418</v>
      </c>
      <c r="AB62" s="59" t="s">
        <v>1418</v>
      </c>
      <c r="AC62" s="59" t="s">
        <v>48</v>
      </c>
      <c r="AD62" s="59" t="s">
        <v>48</v>
      </c>
      <c r="AE62" s="59" t="s">
        <v>48</v>
      </c>
      <c r="AF62" s="59" t="s">
        <v>399</v>
      </c>
      <c r="AG62" s="59" t="s">
        <v>1677</v>
      </c>
      <c r="AH62" s="59" t="s">
        <v>1418</v>
      </c>
      <c r="AI62" s="59" t="s">
        <v>1418</v>
      </c>
      <c r="AJ62" s="59" t="s">
        <v>1419</v>
      </c>
      <c r="AK62" s="59" t="s">
        <v>1418</v>
      </c>
      <c r="AL62" s="59" t="s">
        <v>1418</v>
      </c>
      <c r="AM62" s="59" t="s">
        <v>1418</v>
      </c>
      <c r="AN62" s="59" t="s">
        <v>1418</v>
      </c>
      <c r="AO62" s="59" t="s">
        <v>1634</v>
      </c>
      <c r="AP62" s="59" t="s">
        <v>1418</v>
      </c>
      <c r="AQ62" s="59" t="s">
        <v>1420</v>
      </c>
    </row>
    <row r="63" spans="2:43">
      <c r="B63" s="29" t="str">
        <f t="shared" si="1"/>
        <v xml:space="preserve">  └  수주 등록</v>
      </c>
      <c r="C63" s="59" t="s">
        <v>47</v>
      </c>
      <c r="D63" s="59"/>
      <c r="E63" s="59" t="s">
        <v>1678</v>
      </c>
      <c r="F63" s="59" t="s">
        <v>1679</v>
      </c>
      <c r="G63" s="59" t="s">
        <v>1430</v>
      </c>
      <c r="H63" s="59" t="s">
        <v>1680</v>
      </c>
      <c r="I63" s="59" t="s">
        <v>1625</v>
      </c>
      <c r="J63" s="60">
        <v>3</v>
      </c>
      <c r="K63" s="60">
        <v>3</v>
      </c>
      <c r="L63" s="59" t="s">
        <v>1468</v>
      </c>
      <c r="M63" s="59" t="s">
        <v>399</v>
      </c>
      <c r="N63" s="59" t="s">
        <v>399</v>
      </c>
      <c r="O63" s="59" t="s">
        <v>400</v>
      </c>
      <c r="P63" s="59" t="s">
        <v>400</v>
      </c>
      <c r="Q63" s="59" t="s">
        <v>400</v>
      </c>
      <c r="R63" s="59" t="s">
        <v>400</v>
      </c>
      <c r="S63" s="59" t="s">
        <v>400</v>
      </c>
      <c r="T63" s="59" t="s">
        <v>400</v>
      </c>
      <c r="U63" s="59" t="s">
        <v>1418</v>
      </c>
      <c r="V63" s="59" t="s">
        <v>48</v>
      </c>
      <c r="W63" s="59" t="s">
        <v>48</v>
      </c>
      <c r="X63" s="59" t="s">
        <v>48</v>
      </c>
      <c r="Y63" s="59" t="s">
        <v>1418</v>
      </c>
      <c r="Z63" s="59" t="s">
        <v>1418</v>
      </c>
      <c r="AA63" s="59" t="s">
        <v>1418</v>
      </c>
      <c r="AB63" s="59" t="s">
        <v>1418</v>
      </c>
      <c r="AC63" s="59" t="s">
        <v>48</v>
      </c>
      <c r="AD63" s="59" t="s">
        <v>48</v>
      </c>
      <c r="AE63" s="59" t="s">
        <v>48</v>
      </c>
      <c r="AF63" s="59" t="s">
        <v>399</v>
      </c>
      <c r="AG63" s="59" t="s">
        <v>1681</v>
      </c>
      <c r="AH63" s="59" t="s">
        <v>1418</v>
      </c>
      <c r="AI63" s="59" t="s">
        <v>1418</v>
      </c>
      <c r="AJ63" s="59" t="s">
        <v>1419</v>
      </c>
      <c r="AK63" s="59" t="s">
        <v>1418</v>
      </c>
      <c r="AL63" s="59" t="s">
        <v>1418</v>
      </c>
      <c r="AM63" s="59" t="s">
        <v>1418</v>
      </c>
      <c r="AN63" s="59" t="s">
        <v>1418</v>
      </c>
      <c r="AO63" s="59" t="s">
        <v>1634</v>
      </c>
      <c r="AP63" s="59" t="s">
        <v>1418</v>
      </c>
      <c r="AQ63" s="59" t="s">
        <v>1420</v>
      </c>
    </row>
    <row r="64" spans="2:43">
      <c r="B64" s="29" t="str">
        <f t="shared" si="1"/>
        <v xml:space="preserve">  └  출고 등록</v>
      </c>
      <c r="C64" s="59" t="s">
        <v>47</v>
      </c>
      <c r="D64" s="59"/>
      <c r="E64" s="59" t="s">
        <v>1682</v>
      </c>
      <c r="F64" s="59" t="s">
        <v>1683</v>
      </c>
      <c r="G64" s="59" t="s">
        <v>1430</v>
      </c>
      <c r="H64" s="59" t="s">
        <v>1684</v>
      </c>
      <c r="I64" s="59" t="s">
        <v>1625</v>
      </c>
      <c r="J64" s="60">
        <v>3</v>
      </c>
      <c r="K64" s="60">
        <v>3</v>
      </c>
      <c r="L64" s="59" t="s">
        <v>1518</v>
      </c>
      <c r="M64" s="59" t="s">
        <v>399</v>
      </c>
      <c r="N64" s="59" t="s">
        <v>399</v>
      </c>
      <c r="O64" s="59" t="s">
        <v>400</v>
      </c>
      <c r="P64" s="59" t="s">
        <v>400</v>
      </c>
      <c r="Q64" s="59" t="s">
        <v>400</v>
      </c>
      <c r="R64" s="59" t="s">
        <v>400</v>
      </c>
      <c r="S64" s="59" t="s">
        <v>400</v>
      </c>
      <c r="T64" s="59" t="s">
        <v>400</v>
      </c>
      <c r="U64" s="59" t="s">
        <v>1418</v>
      </c>
      <c r="V64" s="59" t="s">
        <v>48</v>
      </c>
      <c r="W64" s="59" t="s">
        <v>48</v>
      </c>
      <c r="X64" s="59" t="s">
        <v>48</v>
      </c>
      <c r="Y64" s="59" t="s">
        <v>1418</v>
      </c>
      <c r="Z64" s="59" t="s">
        <v>1418</v>
      </c>
      <c r="AA64" s="59" t="s">
        <v>1418</v>
      </c>
      <c r="AB64" s="59" t="s">
        <v>1418</v>
      </c>
      <c r="AC64" s="59" t="s">
        <v>48</v>
      </c>
      <c r="AD64" s="59" t="s">
        <v>48</v>
      </c>
      <c r="AE64" s="59" t="s">
        <v>48</v>
      </c>
      <c r="AF64" s="59" t="s">
        <v>399</v>
      </c>
      <c r="AG64" s="59" t="s">
        <v>1685</v>
      </c>
      <c r="AH64" s="59" t="s">
        <v>1418</v>
      </c>
      <c r="AI64" s="59" t="s">
        <v>1418</v>
      </c>
      <c r="AJ64" s="59" t="s">
        <v>1419</v>
      </c>
      <c r="AK64" s="59" t="s">
        <v>1418</v>
      </c>
      <c r="AL64" s="59" t="s">
        <v>1418</v>
      </c>
      <c r="AM64" s="59" t="s">
        <v>1418</v>
      </c>
      <c r="AN64" s="59" t="s">
        <v>1418</v>
      </c>
      <c r="AO64" s="59" t="s">
        <v>1455</v>
      </c>
      <c r="AP64" s="59" t="s">
        <v>1418</v>
      </c>
      <c r="AQ64" s="59" t="s">
        <v>1420</v>
      </c>
    </row>
    <row r="65" spans="2:43">
      <c r="B65" s="29" t="str">
        <f t="shared" ref="B65:B96" si="2">IF(J65="","",IF(J65=1,"",IF(J65=2,"└ ",IF(J65=3,"  └ ",IF(J65=4,"    └ ",IF(J65=5,"        └ ",IF(J65=6,"         └ ",IF(J65=7="            └ ",""))))))))&amp;F65</f>
        <v xml:space="preserve">  └  매장 입고 등록</v>
      </c>
      <c r="C65" s="59" t="s">
        <v>47</v>
      </c>
      <c r="D65" s="59"/>
      <c r="E65" s="59" t="s">
        <v>1686</v>
      </c>
      <c r="F65" s="59" t="s">
        <v>1687</v>
      </c>
      <c r="G65" s="59" t="s">
        <v>1430</v>
      </c>
      <c r="H65" s="59" t="s">
        <v>1688</v>
      </c>
      <c r="I65" s="59" t="s">
        <v>1625</v>
      </c>
      <c r="J65" s="60">
        <v>3</v>
      </c>
      <c r="K65" s="60">
        <v>3</v>
      </c>
      <c r="L65" s="59" t="s">
        <v>1539</v>
      </c>
      <c r="M65" s="59" t="s">
        <v>399</v>
      </c>
      <c r="N65" s="59" t="s">
        <v>399</v>
      </c>
      <c r="O65" s="59" t="s">
        <v>400</v>
      </c>
      <c r="P65" s="59" t="s">
        <v>400</v>
      </c>
      <c r="Q65" s="59" t="s">
        <v>400</v>
      </c>
      <c r="R65" s="59" t="s">
        <v>400</v>
      </c>
      <c r="S65" s="59" t="s">
        <v>400</v>
      </c>
      <c r="T65" s="59" t="s">
        <v>400</v>
      </c>
      <c r="U65" s="59" t="s">
        <v>1418</v>
      </c>
      <c r="V65" s="59" t="s">
        <v>48</v>
      </c>
      <c r="W65" s="59" t="s">
        <v>48</v>
      </c>
      <c r="X65" s="59" t="s">
        <v>48</v>
      </c>
      <c r="Y65" s="59" t="s">
        <v>1418</v>
      </c>
      <c r="Z65" s="59" t="s">
        <v>1418</v>
      </c>
      <c r="AA65" s="59" t="s">
        <v>1418</v>
      </c>
      <c r="AB65" s="59" t="s">
        <v>1418</v>
      </c>
      <c r="AC65" s="59" t="s">
        <v>48</v>
      </c>
      <c r="AD65" s="59" t="s">
        <v>48</v>
      </c>
      <c r="AE65" s="59" t="s">
        <v>48</v>
      </c>
      <c r="AF65" s="59" t="s">
        <v>399</v>
      </c>
      <c r="AG65" s="59" t="s">
        <v>1689</v>
      </c>
      <c r="AH65" s="59" t="s">
        <v>1418</v>
      </c>
      <c r="AI65" s="59" t="s">
        <v>1418</v>
      </c>
      <c r="AJ65" s="59" t="s">
        <v>1419</v>
      </c>
      <c r="AK65" s="59" t="s">
        <v>1418</v>
      </c>
      <c r="AL65" s="59" t="s">
        <v>1418</v>
      </c>
      <c r="AM65" s="59" t="s">
        <v>1418</v>
      </c>
      <c r="AN65" s="59" t="s">
        <v>1418</v>
      </c>
      <c r="AO65" s="59" t="s">
        <v>1455</v>
      </c>
      <c r="AP65" s="59" t="s">
        <v>1418</v>
      </c>
      <c r="AQ65" s="59" t="s">
        <v>1420</v>
      </c>
    </row>
    <row r="66" spans="2:43">
      <c r="B66" s="29" t="str">
        <f t="shared" si="2"/>
        <v xml:space="preserve">  └  마감 등록</v>
      </c>
      <c r="C66" s="59" t="s">
        <v>47</v>
      </c>
      <c r="D66" s="59"/>
      <c r="E66" s="59" t="s">
        <v>1690</v>
      </c>
      <c r="F66" s="59" t="s">
        <v>1691</v>
      </c>
      <c r="G66" s="59" t="s">
        <v>1430</v>
      </c>
      <c r="H66" s="59" t="s">
        <v>1692</v>
      </c>
      <c r="I66" s="59" t="s">
        <v>1625</v>
      </c>
      <c r="J66" s="60">
        <v>3</v>
      </c>
      <c r="K66" s="60">
        <v>3</v>
      </c>
      <c r="L66" s="59" t="s">
        <v>1445</v>
      </c>
      <c r="M66" s="59" t="s">
        <v>399</v>
      </c>
      <c r="N66" s="59" t="s">
        <v>399</v>
      </c>
      <c r="O66" s="59" t="s">
        <v>400</v>
      </c>
      <c r="P66" s="59" t="s">
        <v>400</v>
      </c>
      <c r="Q66" s="59" t="s">
        <v>400</v>
      </c>
      <c r="R66" s="59" t="s">
        <v>400</v>
      </c>
      <c r="S66" s="59" t="s">
        <v>400</v>
      </c>
      <c r="T66" s="59" t="s">
        <v>400</v>
      </c>
      <c r="U66" s="59" t="s">
        <v>1418</v>
      </c>
      <c r="V66" s="59" t="s">
        <v>48</v>
      </c>
      <c r="W66" s="59" t="s">
        <v>48</v>
      </c>
      <c r="X66" s="59" t="s">
        <v>48</v>
      </c>
      <c r="Y66" s="59" t="s">
        <v>1418</v>
      </c>
      <c r="Z66" s="59" t="s">
        <v>1418</v>
      </c>
      <c r="AA66" s="59" t="s">
        <v>1418</v>
      </c>
      <c r="AB66" s="59" t="s">
        <v>1418</v>
      </c>
      <c r="AC66" s="59" t="s">
        <v>48</v>
      </c>
      <c r="AD66" s="59" t="s">
        <v>48</v>
      </c>
      <c r="AE66" s="59" t="s">
        <v>48</v>
      </c>
      <c r="AF66" s="59" t="s">
        <v>399</v>
      </c>
      <c r="AG66" s="59" t="s">
        <v>1693</v>
      </c>
      <c r="AH66" s="59" t="s">
        <v>1418</v>
      </c>
      <c r="AI66" s="59" t="s">
        <v>1418</v>
      </c>
      <c r="AJ66" s="59" t="s">
        <v>1419</v>
      </c>
      <c r="AK66" s="59" t="s">
        <v>1418</v>
      </c>
      <c r="AL66" s="59" t="s">
        <v>1418</v>
      </c>
      <c r="AM66" s="59" t="s">
        <v>1418</v>
      </c>
      <c r="AN66" s="59" t="s">
        <v>1418</v>
      </c>
      <c r="AO66" s="59" t="s">
        <v>1455</v>
      </c>
      <c r="AP66" s="59" t="s">
        <v>1418</v>
      </c>
      <c r="AQ66" s="59" t="s">
        <v>1420</v>
      </c>
    </row>
    <row r="67" spans="2:43">
      <c r="B67" s="29" t="str">
        <f t="shared" si="2"/>
        <v xml:space="preserve">  └  자주쓰는 수발주 품목 등록</v>
      </c>
      <c r="C67" s="59" t="s">
        <v>47</v>
      </c>
      <c r="D67" s="59"/>
      <c r="E67" s="59" t="s">
        <v>1694</v>
      </c>
      <c r="F67" s="59" t="s">
        <v>1695</v>
      </c>
      <c r="G67" s="59" t="s">
        <v>1430</v>
      </c>
      <c r="H67" s="59" t="s">
        <v>1696</v>
      </c>
      <c r="I67" s="59" t="s">
        <v>1625</v>
      </c>
      <c r="J67" s="60">
        <v>3</v>
      </c>
      <c r="K67" s="60">
        <v>3</v>
      </c>
      <c r="L67" s="59" t="s">
        <v>402</v>
      </c>
      <c r="M67" s="59" t="s">
        <v>399</v>
      </c>
      <c r="N67" s="59" t="s">
        <v>399</v>
      </c>
      <c r="O67" s="59" t="s">
        <v>400</v>
      </c>
      <c r="P67" s="59" t="s">
        <v>400</v>
      </c>
      <c r="Q67" s="59" t="s">
        <v>400</v>
      </c>
      <c r="R67" s="59" t="s">
        <v>400</v>
      </c>
      <c r="S67" s="59" t="s">
        <v>400</v>
      </c>
      <c r="T67" s="59" t="s">
        <v>400</v>
      </c>
      <c r="U67" s="59" t="s">
        <v>1418</v>
      </c>
      <c r="V67" s="59" t="s">
        <v>48</v>
      </c>
      <c r="W67" s="59" t="s">
        <v>48</v>
      </c>
      <c r="X67" s="59" t="s">
        <v>48</v>
      </c>
      <c r="Y67" s="59" t="s">
        <v>1418</v>
      </c>
      <c r="Z67" s="59" t="s">
        <v>1418</v>
      </c>
      <c r="AA67" s="59" t="s">
        <v>1418</v>
      </c>
      <c r="AB67" s="59" t="s">
        <v>1418</v>
      </c>
      <c r="AC67" s="59" t="s">
        <v>48</v>
      </c>
      <c r="AD67" s="59" t="s">
        <v>48</v>
      </c>
      <c r="AE67" s="59" t="s">
        <v>48</v>
      </c>
      <c r="AF67" s="59" t="s">
        <v>399</v>
      </c>
      <c r="AG67" s="59" t="s">
        <v>1697</v>
      </c>
      <c r="AH67" s="59" t="s">
        <v>1418</v>
      </c>
      <c r="AI67" s="59" t="s">
        <v>1418</v>
      </c>
      <c r="AJ67" s="59" t="s">
        <v>1419</v>
      </c>
      <c r="AK67" s="59" t="s">
        <v>1418</v>
      </c>
      <c r="AL67" s="59" t="s">
        <v>1418</v>
      </c>
      <c r="AM67" s="59" t="s">
        <v>1418</v>
      </c>
      <c r="AN67" s="59" t="s">
        <v>1418</v>
      </c>
      <c r="AO67" s="59" t="s">
        <v>1455</v>
      </c>
      <c r="AP67" s="59" t="s">
        <v>1418</v>
      </c>
      <c r="AQ67" s="59" t="s">
        <v>1420</v>
      </c>
    </row>
    <row r="68" spans="2:43">
      <c r="B68" s="29" t="str">
        <f t="shared" si="2"/>
        <v xml:space="preserve">  └  배송관리</v>
      </c>
      <c r="C68" s="59" t="s">
        <v>47</v>
      </c>
      <c r="D68" s="59"/>
      <c r="E68" s="59" t="s">
        <v>1698</v>
      </c>
      <c r="F68" s="59" t="s">
        <v>1699</v>
      </c>
      <c r="G68" s="59" t="s">
        <v>48</v>
      </c>
      <c r="H68" s="59" t="s">
        <v>48</v>
      </c>
      <c r="I68" s="59" t="s">
        <v>1625</v>
      </c>
      <c r="J68" s="60">
        <v>3</v>
      </c>
      <c r="K68" s="60">
        <v>3</v>
      </c>
      <c r="L68" s="59" t="s">
        <v>1700</v>
      </c>
      <c r="M68" s="59" t="s">
        <v>399</v>
      </c>
      <c r="N68" s="59" t="s">
        <v>399</v>
      </c>
      <c r="O68" s="59" t="s">
        <v>399</v>
      </c>
      <c r="P68" s="59" t="s">
        <v>399</v>
      </c>
      <c r="Q68" s="59" t="s">
        <v>399</v>
      </c>
      <c r="R68" s="59" t="s">
        <v>399</v>
      </c>
      <c r="S68" s="59" t="s">
        <v>399</v>
      </c>
      <c r="T68" s="59" t="s">
        <v>400</v>
      </c>
      <c r="U68" s="59" t="s">
        <v>1418</v>
      </c>
      <c r="V68" s="59" t="s">
        <v>48</v>
      </c>
      <c r="W68" s="59" t="s">
        <v>48</v>
      </c>
      <c r="X68" s="59" t="s">
        <v>48</v>
      </c>
      <c r="Y68" s="59" t="s">
        <v>1418</v>
      </c>
      <c r="Z68" s="59" t="s">
        <v>1418</v>
      </c>
      <c r="AA68" s="59" t="s">
        <v>1418</v>
      </c>
      <c r="AB68" s="59" t="s">
        <v>1418</v>
      </c>
      <c r="AC68" s="59" t="s">
        <v>48</v>
      </c>
      <c r="AD68" s="59" t="s">
        <v>48</v>
      </c>
      <c r="AE68" s="59" t="s">
        <v>48</v>
      </c>
      <c r="AF68" s="59" t="s">
        <v>399</v>
      </c>
      <c r="AG68" s="59" t="s">
        <v>1701</v>
      </c>
      <c r="AH68" s="59" t="s">
        <v>1418</v>
      </c>
      <c r="AI68" s="59" t="s">
        <v>1418</v>
      </c>
      <c r="AJ68" s="59" t="s">
        <v>1419</v>
      </c>
      <c r="AK68" s="59" t="s">
        <v>1418</v>
      </c>
      <c r="AL68" s="59" t="s">
        <v>1418</v>
      </c>
      <c r="AM68" s="59" t="s">
        <v>1418</v>
      </c>
      <c r="AN68" s="59" t="s">
        <v>1418</v>
      </c>
      <c r="AO68" s="59" t="s">
        <v>1455</v>
      </c>
      <c r="AP68" s="59" t="s">
        <v>1418</v>
      </c>
      <c r="AQ68" s="59" t="s">
        <v>1420</v>
      </c>
    </row>
    <row r="69" spans="2:43">
      <c r="B69" s="29" t="str">
        <f t="shared" si="2"/>
        <v xml:space="preserve">    └  배송 내역 관리</v>
      </c>
      <c r="C69" s="59" t="s">
        <v>47</v>
      </c>
      <c r="D69" s="59"/>
      <c r="E69" s="59" t="s">
        <v>1702</v>
      </c>
      <c r="F69" s="59" t="s">
        <v>1703</v>
      </c>
      <c r="G69" s="59" t="s">
        <v>1430</v>
      </c>
      <c r="H69" s="59" t="s">
        <v>1704</v>
      </c>
      <c r="I69" s="59" t="s">
        <v>1698</v>
      </c>
      <c r="J69" s="60">
        <v>4</v>
      </c>
      <c r="K69" s="60">
        <v>4</v>
      </c>
      <c r="L69" s="59" t="s">
        <v>400</v>
      </c>
      <c r="M69" s="59" t="s">
        <v>399</v>
      </c>
      <c r="N69" s="59" t="s">
        <v>399</v>
      </c>
      <c r="O69" s="59" t="s">
        <v>400</v>
      </c>
      <c r="P69" s="59" t="s">
        <v>400</v>
      </c>
      <c r="Q69" s="59" t="s">
        <v>400</v>
      </c>
      <c r="R69" s="59" t="s">
        <v>400</v>
      </c>
      <c r="S69" s="59" t="s">
        <v>400</v>
      </c>
      <c r="T69" s="59" t="s">
        <v>400</v>
      </c>
      <c r="U69" s="59" t="s">
        <v>1418</v>
      </c>
      <c r="V69" s="59" t="s">
        <v>48</v>
      </c>
      <c r="W69" s="59" t="s">
        <v>48</v>
      </c>
      <c r="X69" s="59" t="s">
        <v>48</v>
      </c>
      <c r="Y69" s="59" t="s">
        <v>1418</v>
      </c>
      <c r="Z69" s="59" t="s">
        <v>1418</v>
      </c>
      <c r="AA69" s="59" t="s">
        <v>1418</v>
      </c>
      <c r="AB69" s="59" t="s">
        <v>1418</v>
      </c>
      <c r="AC69" s="59" t="s">
        <v>48</v>
      </c>
      <c r="AD69" s="59" t="s">
        <v>48</v>
      </c>
      <c r="AE69" s="59" t="s">
        <v>48</v>
      </c>
      <c r="AF69" s="59" t="s">
        <v>399</v>
      </c>
      <c r="AG69" s="59" t="s">
        <v>1705</v>
      </c>
      <c r="AH69" s="59" t="s">
        <v>1418</v>
      </c>
      <c r="AI69" s="59" t="s">
        <v>1418</v>
      </c>
      <c r="AJ69" s="59" t="s">
        <v>1419</v>
      </c>
      <c r="AK69" s="59" t="s">
        <v>1418</v>
      </c>
      <c r="AL69" s="59" t="s">
        <v>1418</v>
      </c>
      <c r="AM69" s="59" t="s">
        <v>1418</v>
      </c>
      <c r="AN69" s="59" t="s">
        <v>1418</v>
      </c>
      <c r="AO69" s="59" t="s">
        <v>1455</v>
      </c>
      <c r="AP69" s="59" t="s">
        <v>1418</v>
      </c>
      <c r="AQ69" s="59" t="s">
        <v>1420</v>
      </c>
    </row>
    <row r="70" spans="2:43">
      <c r="B70" s="29" t="str">
        <f t="shared" si="2"/>
        <v xml:space="preserve">    └  배송 지시서[통합배송]</v>
      </c>
      <c r="C70" s="59" t="s">
        <v>47</v>
      </c>
      <c r="D70" s="59"/>
      <c r="E70" s="59" t="s">
        <v>1706</v>
      </c>
      <c r="F70" s="59" t="s">
        <v>1707</v>
      </c>
      <c r="G70" s="59" t="s">
        <v>1430</v>
      </c>
      <c r="H70" s="59" t="s">
        <v>1708</v>
      </c>
      <c r="I70" s="59" t="s">
        <v>1698</v>
      </c>
      <c r="J70" s="60">
        <v>4</v>
      </c>
      <c r="K70" s="60">
        <v>4</v>
      </c>
      <c r="L70" s="59" t="s">
        <v>1426</v>
      </c>
      <c r="M70" s="59" t="s">
        <v>399</v>
      </c>
      <c r="N70" s="59" t="s">
        <v>399</v>
      </c>
      <c r="O70" s="59" t="s">
        <v>400</v>
      </c>
      <c r="P70" s="59" t="s">
        <v>400</v>
      </c>
      <c r="Q70" s="59" t="s">
        <v>400</v>
      </c>
      <c r="R70" s="59" t="s">
        <v>400</v>
      </c>
      <c r="S70" s="59" t="s">
        <v>400</v>
      </c>
      <c r="T70" s="59" t="s">
        <v>400</v>
      </c>
      <c r="U70" s="59" t="s">
        <v>1418</v>
      </c>
      <c r="V70" s="59" t="s">
        <v>48</v>
      </c>
      <c r="W70" s="59" t="s">
        <v>48</v>
      </c>
      <c r="X70" s="59" t="s">
        <v>48</v>
      </c>
      <c r="Y70" s="59" t="s">
        <v>1418</v>
      </c>
      <c r="Z70" s="59" t="s">
        <v>1418</v>
      </c>
      <c r="AA70" s="59" t="s">
        <v>1418</v>
      </c>
      <c r="AB70" s="59" t="s">
        <v>1418</v>
      </c>
      <c r="AC70" s="59" t="s">
        <v>48</v>
      </c>
      <c r="AD70" s="59" t="s">
        <v>48</v>
      </c>
      <c r="AE70" s="59" t="s">
        <v>48</v>
      </c>
      <c r="AF70" s="59" t="s">
        <v>399</v>
      </c>
      <c r="AG70" s="59" t="s">
        <v>1709</v>
      </c>
      <c r="AH70" s="59" t="s">
        <v>1418</v>
      </c>
      <c r="AI70" s="59" t="s">
        <v>1418</v>
      </c>
      <c r="AJ70" s="59" t="s">
        <v>1419</v>
      </c>
      <c r="AK70" s="59" t="s">
        <v>1418</v>
      </c>
      <c r="AL70" s="59" t="s">
        <v>1418</v>
      </c>
      <c r="AM70" s="59" t="s">
        <v>1418</v>
      </c>
      <c r="AN70" s="59" t="s">
        <v>1418</v>
      </c>
      <c r="AO70" s="59" t="s">
        <v>1455</v>
      </c>
      <c r="AP70" s="59" t="s">
        <v>1418</v>
      </c>
      <c r="AQ70" s="59" t="s">
        <v>1420</v>
      </c>
    </row>
    <row r="71" spans="2:43">
      <c r="B71" s="29" t="str">
        <f t="shared" si="2"/>
        <v xml:space="preserve">    └  물류 구분별 배송[다중 배송]</v>
      </c>
      <c r="C71" s="59" t="s">
        <v>47</v>
      </c>
      <c r="D71" s="59"/>
      <c r="E71" s="59" t="s">
        <v>1710</v>
      </c>
      <c r="F71" s="59" t="s">
        <v>1711</v>
      </c>
      <c r="G71" s="59" t="s">
        <v>1430</v>
      </c>
      <c r="H71" s="59" t="s">
        <v>1712</v>
      </c>
      <c r="I71" s="59" t="s">
        <v>1698</v>
      </c>
      <c r="J71" s="60">
        <v>4</v>
      </c>
      <c r="K71" s="60">
        <v>4</v>
      </c>
      <c r="L71" s="59" t="s">
        <v>1441</v>
      </c>
      <c r="M71" s="59" t="s">
        <v>399</v>
      </c>
      <c r="N71" s="59" t="s">
        <v>399</v>
      </c>
      <c r="O71" s="59" t="s">
        <v>400</v>
      </c>
      <c r="P71" s="59" t="s">
        <v>400</v>
      </c>
      <c r="Q71" s="59" t="s">
        <v>400</v>
      </c>
      <c r="R71" s="59" t="s">
        <v>400</v>
      </c>
      <c r="S71" s="59" t="s">
        <v>400</v>
      </c>
      <c r="T71" s="59" t="s">
        <v>400</v>
      </c>
      <c r="U71" s="59" t="s">
        <v>1418</v>
      </c>
      <c r="V71" s="59" t="s">
        <v>48</v>
      </c>
      <c r="W71" s="59" t="s">
        <v>48</v>
      </c>
      <c r="X71" s="59" t="s">
        <v>48</v>
      </c>
      <c r="Y71" s="59" t="s">
        <v>1418</v>
      </c>
      <c r="Z71" s="59" t="s">
        <v>1418</v>
      </c>
      <c r="AA71" s="59" t="s">
        <v>1418</v>
      </c>
      <c r="AB71" s="59" t="s">
        <v>1418</v>
      </c>
      <c r="AC71" s="59" t="s">
        <v>48</v>
      </c>
      <c r="AD71" s="59" t="s">
        <v>48</v>
      </c>
      <c r="AE71" s="59" t="s">
        <v>48</v>
      </c>
      <c r="AF71" s="59" t="s">
        <v>399</v>
      </c>
      <c r="AG71" s="59" t="s">
        <v>1713</v>
      </c>
      <c r="AH71" s="59" t="s">
        <v>1418</v>
      </c>
      <c r="AI71" s="59" t="s">
        <v>1418</v>
      </c>
      <c r="AJ71" s="59" t="s">
        <v>1419</v>
      </c>
      <c r="AK71" s="59" t="s">
        <v>1418</v>
      </c>
      <c r="AL71" s="59" t="s">
        <v>1418</v>
      </c>
      <c r="AM71" s="59" t="s">
        <v>1418</v>
      </c>
      <c r="AN71" s="59" t="s">
        <v>1418</v>
      </c>
      <c r="AO71" s="59" t="s">
        <v>1455</v>
      </c>
      <c r="AP71" s="59" t="s">
        <v>1418</v>
      </c>
      <c r="AQ71" s="59" t="s">
        <v>1420</v>
      </c>
    </row>
    <row r="72" spans="2:43">
      <c r="B72" s="29" t="str">
        <f t="shared" si="2"/>
        <v xml:space="preserve">    └  Digital Packing System(DPS)</v>
      </c>
      <c r="C72" s="59" t="s">
        <v>47</v>
      </c>
      <c r="D72" s="59"/>
      <c r="E72" s="59" t="s">
        <v>1714</v>
      </c>
      <c r="F72" s="59" t="s">
        <v>1715</v>
      </c>
      <c r="G72" s="59" t="s">
        <v>1430</v>
      </c>
      <c r="H72" s="59" t="s">
        <v>1716</v>
      </c>
      <c r="I72" s="59" t="s">
        <v>1698</v>
      </c>
      <c r="J72" s="60">
        <v>4</v>
      </c>
      <c r="K72" s="60">
        <v>4</v>
      </c>
      <c r="L72" s="59" t="s">
        <v>1510</v>
      </c>
      <c r="M72" s="59" t="s">
        <v>399</v>
      </c>
      <c r="N72" s="59" t="s">
        <v>399</v>
      </c>
      <c r="O72" s="59" t="s">
        <v>400</v>
      </c>
      <c r="P72" s="59" t="s">
        <v>400</v>
      </c>
      <c r="Q72" s="59" t="s">
        <v>400</v>
      </c>
      <c r="R72" s="59" t="s">
        <v>400</v>
      </c>
      <c r="S72" s="59" t="s">
        <v>400</v>
      </c>
      <c r="T72" s="59" t="s">
        <v>400</v>
      </c>
      <c r="U72" s="59" t="s">
        <v>1418</v>
      </c>
      <c r="V72" s="59" t="s">
        <v>48</v>
      </c>
      <c r="W72" s="59" t="s">
        <v>48</v>
      </c>
      <c r="X72" s="59" t="s">
        <v>48</v>
      </c>
      <c r="Y72" s="59" t="s">
        <v>1418</v>
      </c>
      <c r="Z72" s="59" t="s">
        <v>1418</v>
      </c>
      <c r="AA72" s="59" t="s">
        <v>1418</v>
      </c>
      <c r="AB72" s="59" t="s">
        <v>1418</v>
      </c>
      <c r="AC72" s="59" t="s">
        <v>48</v>
      </c>
      <c r="AD72" s="59" t="s">
        <v>48</v>
      </c>
      <c r="AE72" s="59" t="s">
        <v>48</v>
      </c>
      <c r="AF72" s="59" t="s">
        <v>399</v>
      </c>
      <c r="AG72" s="59" t="s">
        <v>1717</v>
      </c>
      <c r="AH72" s="59" t="s">
        <v>1418</v>
      </c>
      <c r="AI72" s="59" t="s">
        <v>1418</v>
      </c>
      <c r="AJ72" s="59" t="s">
        <v>1419</v>
      </c>
      <c r="AK72" s="59" t="s">
        <v>1418</v>
      </c>
      <c r="AL72" s="59" t="s">
        <v>1418</v>
      </c>
      <c r="AM72" s="59" t="s">
        <v>1418</v>
      </c>
      <c r="AN72" s="59" t="s">
        <v>1418</v>
      </c>
      <c r="AO72" s="59" t="s">
        <v>1455</v>
      </c>
      <c r="AP72" s="59" t="s">
        <v>1418</v>
      </c>
      <c r="AQ72" s="59" t="s">
        <v>1420</v>
      </c>
    </row>
    <row r="73" spans="2:43">
      <c r="B73" s="29" t="str">
        <f t="shared" si="2"/>
        <v xml:space="preserve">  └  수발주 미수금 관리</v>
      </c>
      <c r="C73" s="59" t="s">
        <v>47</v>
      </c>
      <c r="D73" s="59"/>
      <c r="E73" s="59" t="s">
        <v>1718</v>
      </c>
      <c r="F73" s="59" t="s">
        <v>1719</v>
      </c>
      <c r="G73" s="59" t="s">
        <v>48</v>
      </c>
      <c r="H73" s="59" t="s">
        <v>48</v>
      </c>
      <c r="I73" s="59" t="s">
        <v>1625</v>
      </c>
      <c r="J73" s="60">
        <v>3</v>
      </c>
      <c r="K73" s="60">
        <v>3</v>
      </c>
      <c r="L73" s="59" t="s">
        <v>1584</v>
      </c>
      <c r="M73" s="59" t="s">
        <v>399</v>
      </c>
      <c r="N73" s="59" t="s">
        <v>399</v>
      </c>
      <c r="O73" s="59" t="s">
        <v>399</v>
      </c>
      <c r="P73" s="59" t="s">
        <v>399</v>
      </c>
      <c r="Q73" s="59" t="s">
        <v>399</v>
      </c>
      <c r="R73" s="59" t="s">
        <v>399</v>
      </c>
      <c r="S73" s="59" t="s">
        <v>399</v>
      </c>
      <c r="T73" s="59" t="s">
        <v>400</v>
      </c>
      <c r="U73" s="59" t="s">
        <v>1418</v>
      </c>
      <c r="V73" s="59" t="s">
        <v>48</v>
      </c>
      <c r="W73" s="59" t="s">
        <v>48</v>
      </c>
      <c r="X73" s="59" t="s">
        <v>48</v>
      </c>
      <c r="Y73" s="59" t="s">
        <v>1418</v>
      </c>
      <c r="Z73" s="59" t="s">
        <v>1418</v>
      </c>
      <c r="AA73" s="59" t="s">
        <v>1418</v>
      </c>
      <c r="AB73" s="59" t="s">
        <v>1418</v>
      </c>
      <c r="AC73" s="59" t="s">
        <v>48</v>
      </c>
      <c r="AD73" s="59" t="s">
        <v>48</v>
      </c>
      <c r="AE73" s="59" t="s">
        <v>48</v>
      </c>
      <c r="AF73" s="59" t="s">
        <v>399</v>
      </c>
      <c r="AG73" s="59" t="s">
        <v>1720</v>
      </c>
      <c r="AH73" s="59" t="s">
        <v>1418</v>
      </c>
      <c r="AI73" s="59" t="s">
        <v>1418</v>
      </c>
      <c r="AJ73" s="59" t="s">
        <v>1419</v>
      </c>
      <c r="AK73" s="59" t="s">
        <v>1418</v>
      </c>
      <c r="AL73" s="59" t="s">
        <v>1418</v>
      </c>
      <c r="AM73" s="59" t="s">
        <v>1418</v>
      </c>
      <c r="AN73" s="59" t="s">
        <v>1418</v>
      </c>
      <c r="AO73" s="59" t="s">
        <v>1455</v>
      </c>
      <c r="AP73" s="59" t="s">
        <v>1418</v>
      </c>
      <c r="AQ73" s="59" t="s">
        <v>1420</v>
      </c>
    </row>
    <row r="74" spans="2:43">
      <c r="B74" s="29" t="str">
        <f t="shared" si="2"/>
        <v xml:space="preserve">    └  매장별 영업 분석</v>
      </c>
      <c r="C74" s="59" t="s">
        <v>47</v>
      </c>
      <c r="D74" s="59"/>
      <c r="E74" s="59" t="s">
        <v>1721</v>
      </c>
      <c r="F74" s="59" t="s">
        <v>1722</v>
      </c>
      <c r="G74" s="59" t="s">
        <v>1430</v>
      </c>
      <c r="H74" s="59" t="s">
        <v>1723</v>
      </c>
      <c r="I74" s="59" t="s">
        <v>1718</v>
      </c>
      <c r="J74" s="60">
        <v>4</v>
      </c>
      <c r="K74" s="60">
        <v>4</v>
      </c>
      <c r="L74" s="59" t="s">
        <v>1510</v>
      </c>
      <c r="M74" s="59" t="s">
        <v>399</v>
      </c>
      <c r="N74" s="59" t="s">
        <v>399</v>
      </c>
      <c r="O74" s="59" t="s">
        <v>399</v>
      </c>
      <c r="P74" s="59" t="s">
        <v>399</v>
      </c>
      <c r="Q74" s="59" t="s">
        <v>399</v>
      </c>
      <c r="R74" s="59" t="s">
        <v>400</v>
      </c>
      <c r="S74" s="59" t="s">
        <v>400</v>
      </c>
      <c r="T74" s="59" t="s">
        <v>400</v>
      </c>
      <c r="U74" s="59" t="s">
        <v>1418</v>
      </c>
      <c r="V74" s="59" t="s">
        <v>48</v>
      </c>
      <c r="W74" s="59" t="s">
        <v>48</v>
      </c>
      <c r="X74" s="59" t="s">
        <v>48</v>
      </c>
      <c r="Y74" s="59" t="s">
        <v>1418</v>
      </c>
      <c r="Z74" s="59" t="s">
        <v>1418</v>
      </c>
      <c r="AA74" s="59" t="s">
        <v>1418</v>
      </c>
      <c r="AB74" s="59" t="s">
        <v>1418</v>
      </c>
      <c r="AC74" s="59" t="s">
        <v>48</v>
      </c>
      <c r="AD74" s="59" t="s">
        <v>48</v>
      </c>
      <c r="AE74" s="59" t="s">
        <v>48</v>
      </c>
      <c r="AF74" s="59" t="s">
        <v>399</v>
      </c>
      <c r="AG74" s="59" t="s">
        <v>1724</v>
      </c>
      <c r="AH74" s="59" t="s">
        <v>1418</v>
      </c>
      <c r="AI74" s="59" t="s">
        <v>1418</v>
      </c>
      <c r="AJ74" s="59" t="s">
        <v>1419</v>
      </c>
      <c r="AK74" s="59" t="s">
        <v>1418</v>
      </c>
      <c r="AL74" s="59" t="s">
        <v>1418</v>
      </c>
      <c r="AM74" s="59" t="s">
        <v>1418</v>
      </c>
      <c r="AN74" s="59" t="s">
        <v>1418</v>
      </c>
      <c r="AO74" s="59" t="s">
        <v>1433</v>
      </c>
      <c r="AP74" s="59" t="s">
        <v>1418</v>
      </c>
      <c r="AQ74" s="59" t="s">
        <v>1420</v>
      </c>
    </row>
    <row r="75" spans="2:43">
      <c r="B75" s="29" t="str">
        <f t="shared" si="2"/>
        <v xml:space="preserve">    └  수금 내역 등록</v>
      </c>
      <c r="C75" s="59" t="s">
        <v>47</v>
      </c>
      <c r="D75" s="59"/>
      <c r="E75" s="59" t="s">
        <v>1725</v>
      </c>
      <c r="F75" s="59" t="s">
        <v>1726</v>
      </c>
      <c r="G75" s="59" t="s">
        <v>1430</v>
      </c>
      <c r="H75" s="59" t="s">
        <v>1727</v>
      </c>
      <c r="I75" s="59" t="s">
        <v>1718</v>
      </c>
      <c r="J75" s="60">
        <v>4</v>
      </c>
      <c r="K75" s="60">
        <v>4</v>
      </c>
      <c r="L75" s="59" t="s">
        <v>400</v>
      </c>
      <c r="M75" s="59" t="s">
        <v>399</v>
      </c>
      <c r="N75" s="59" t="s">
        <v>399</v>
      </c>
      <c r="O75" s="59" t="s">
        <v>400</v>
      </c>
      <c r="P75" s="59" t="s">
        <v>400</v>
      </c>
      <c r="Q75" s="59" t="s">
        <v>400</v>
      </c>
      <c r="R75" s="59" t="s">
        <v>400</v>
      </c>
      <c r="S75" s="59" t="s">
        <v>400</v>
      </c>
      <c r="T75" s="59" t="s">
        <v>400</v>
      </c>
      <c r="U75" s="59" t="s">
        <v>1418</v>
      </c>
      <c r="V75" s="59" t="s">
        <v>48</v>
      </c>
      <c r="W75" s="59" t="s">
        <v>48</v>
      </c>
      <c r="X75" s="59" t="s">
        <v>48</v>
      </c>
      <c r="Y75" s="59" t="s">
        <v>1418</v>
      </c>
      <c r="Z75" s="59" t="s">
        <v>1418</v>
      </c>
      <c r="AA75" s="59" t="s">
        <v>1418</v>
      </c>
      <c r="AB75" s="59" t="s">
        <v>1418</v>
      </c>
      <c r="AC75" s="59" t="s">
        <v>48</v>
      </c>
      <c r="AD75" s="59" t="s">
        <v>48</v>
      </c>
      <c r="AE75" s="59" t="s">
        <v>48</v>
      </c>
      <c r="AF75" s="59" t="s">
        <v>399</v>
      </c>
      <c r="AG75" s="59" t="s">
        <v>1728</v>
      </c>
      <c r="AH75" s="59" t="s">
        <v>1418</v>
      </c>
      <c r="AI75" s="59" t="s">
        <v>1418</v>
      </c>
      <c r="AJ75" s="59" t="s">
        <v>1419</v>
      </c>
      <c r="AK75" s="59" t="s">
        <v>1418</v>
      </c>
      <c r="AL75" s="59" t="s">
        <v>1418</v>
      </c>
      <c r="AM75" s="59" t="s">
        <v>1418</v>
      </c>
      <c r="AN75" s="59" t="s">
        <v>1418</v>
      </c>
      <c r="AO75" s="59" t="s">
        <v>1455</v>
      </c>
      <c r="AP75" s="59" t="s">
        <v>1418</v>
      </c>
      <c r="AQ75" s="59" t="s">
        <v>1420</v>
      </c>
    </row>
    <row r="76" spans="2:43">
      <c r="B76" s="29" t="str">
        <f t="shared" si="2"/>
        <v xml:space="preserve">    └  수금 내역 조회</v>
      </c>
      <c r="C76" s="59" t="s">
        <v>47</v>
      </c>
      <c r="D76" s="59"/>
      <c r="E76" s="59" t="s">
        <v>1729</v>
      </c>
      <c r="F76" s="59" t="s">
        <v>1730</v>
      </c>
      <c r="G76" s="59" t="s">
        <v>1430</v>
      </c>
      <c r="H76" s="59" t="s">
        <v>1731</v>
      </c>
      <c r="I76" s="59" t="s">
        <v>1718</v>
      </c>
      <c r="J76" s="60">
        <v>4</v>
      </c>
      <c r="K76" s="60">
        <v>4</v>
      </c>
      <c r="L76" s="59" t="s">
        <v>1426</v>
      </c>
      <c r="M76" s="59" t="s">
        <v>399</v>
      </c>
      <c r="N76" s="59" t="s">
        <v>399</v>
      </c>
      <c r="O76" s="59" t="s">
        <v>399</v>
      </c>
      <c r="P76" s="59" t="s">
        <v>399</v>
      </c>
      <c r="Q76" s="59" t="s">
        <v>399</v>
      </c>
      <c r="R76" s="59" t="s">
        <v>400</v>
      </c>
      <c r="S76" s="59" t="s">
        <v>400</v>
      </c>
      <c r="T76" s="59" t="s">
        <v>400</v>
      </c>
      <c r="U76" s="59" t="s">
        <v>1418</v>
      </c>
      <c r="V76" s="59" t="s">
        <v>48</v>
      </c>
      <c r="W76" s="59" t="s">
        <v>48</v>
      </c>
      <c r="X76" s="59" t="s">
        <v>48</v>
      </c>
      <c r="Y76" s="59" t="s">
        <v>1418</v>
      </c>
      <c r="Z76" s="59" t="s">
        <v>1418</v>
      </c>
      <c r="AA76" s="59" t="s">
        <v>1418</v>
      </c>
      <c r="AB76" s="59" t="s">
        <v>1418</v>
      </c>
      <c r="AC76" s="59" t="s">
        <v>48</v>
      </c>
      <c r="AD76" s="59" t="s">
        <v>48</v>
      </c>
      <c r="AE76" s="59" t="s">
        <v>48</v>
      </c>
      <c r="AF76" s="59" t="s">
        <v>399</v>
      </c>
      <c r="AG76" s="59" t="s">
        <v>1732</v>
      </c>
      <c r="AH76" s="59" t="s">
        <v>1418</v>
      </c>
      <c r="AI76" s="59" t="s">
        <v>1418</v>
      </c>
      <c r="AJ76" s="59" t="s">
        <v>1419</v>
      </c>
      <c r="AK76" s="59" t="s">
        <v>1418</v>
      </c>
      <c r="AL76" s="59" t="s">
        <v>1418</v>
      </c>
      <c r="AM76" s="59" t="s">
        <v>1418</v>
      </c>
      <c r="AN76" s="59" t="s">
        <v>1418</v>
      </c>
      <c r="AO76" s="59" t="s">
        <v>1455</v>
      </c>
      <c r="AP76" s="59" t="s">
        <v>1418</v>
      </c>
      <c r="AQ76" s="59" t="s">
        <v>1420</v>
      </c>
    </row>
    <row r="77" spans="2:43">
      <c r="B77" s="29" t="str">
        <f t="shared" si="2"/>
        <v xml:space="preserve">    └  미수금 관리</v>
      </c>
      <c r="C77" s="59" t="s">
        <v>47</v>
      </c>
      <c r="D77" s="59"/>
      <c r="E77" s="59" t="s">
        <v>1733</v>
      </c>
      <c r="F77" s="59" t="s">
        <v>1734</v>
      </c>
      <c r="G77" s="59" t="s">
        <v>1430</v>
      </c>
      <c r="H77" s="59" t="s">
        <v>1735</v>
      </c>
      <c r="I77" s="59" t="s">
        <v>1718</v>
      </c>
      <c r="J77" s="60">
        <v>4</v>
      </c>
      <c r="K77" s="60">
        <v>4</v>
      </c>
      <c r="L77" s="59" t="s">
        <v>1441</v>
      </c>
      <c r="M77" s="59" t="s">
        <v>399</v>
      </c>
      <c r="N77" s="59" t="s">
        <v>399</v>
      </c>
      <c r="O77" s="59" t="s">
        <v>400</v>
      </c>
      <c r="P77" s="59" t="s">
        <v>400</v>
      </c>
      <c r="Q77" s="59" t="s">
        <v>400</v>
      </c>
      <c r="R77" s="59" t="s">
        <v>400</v>
      </c>
      <c r="S77" s="59" t="s">
        <v>400</v>
      </c>
      <c r="T77" s="59" t="s">
        <v>400</v>
      </c>
      <c r="U77" s="59" t="s">
        <v>1418</v>
      </c>
      <c r="V77" s="59" t="s">
        <v>48</v>
      </c>
      <c r="W77" s="59" t="s">
        <v>48</v>
      </c>
      <c r="X77" s="59" t="s">
        <v>48</v>
      </c>
      <c r="Y77" s="59" t="s">
        <v>1418</v>
      </c>
      <c r="Z77" s="59" t="s">
        <v>1418</v>
      </c>
      <c r="AA77" s="59" t="s">
        <v>1418</v>
      </c>
      <c r="AB77" s="59" t="s">
        <v>1418</v>
      </c>
      <c r="AC77" s="59" t="s">
        <v>48</v>
      </c>
      <c r="AD77" s="59" t="s">
        <v>48</v>
      </c>
      <c r="AE77" s="59" t="s">
        <v>48</v>
      </c>
      <c r="AF77" s="59" t="s">
        <v>399</v>
      </c>
      <c r="AG77" s="59" t="s">
        <v>1736</v>
      </c>
      <c r="AH77" s="59" t="s">
        <v>1418</v>
      </c>
      <c r="AI77" s="59" t="s">
        <v>1418</v>
      </c>
      <c r="AJ77" s="59" t="s">
        <v>1419</v>
      </c>
      <c r="AK77" s="59" t="s">
        <v>1418</v>
      </c>
      <c r="AL77" s="59" t="s">
        <v>1418</v>
      </c>
      <c r="AM77" s="59" t="s">
        <v>1418</v>
      </c>
      <c r="AN77" s="59" t="s">
        <v>1418</v>
      </c>
      <c r="AO77" s="59" t="s">
        <v>1455</v>
      </c>
      <c r="AP77" s="59" t="s">
        <v>1418</v>
      </c>
      <c r="AQ77" s="59" t="s">
        <v>1420</v>
      </c>
    </row>
    <row r="78" spans="2:43">
      <c r="B78" s="29" t="str">
        <f t="shared" si="2"/>
        <v xml:space="preserve">  └  수발주 내역 관리</v>
      </c>
      <c r="C78" s="59" t="s">
        <v>47</v>
      </c>
      <c r="D78" s="59"/>
      <c r="E78" s="59" t="s">
        <v>1737</v>
      </c>
      <c r="F78" s="59" t="s">
        <v>1738</v>
      </c>
      <c r="G78" s="59" t="s">
        <v>1430</v>
      </c>
      <c r="H78" s="59" t="s">
        <v>1739</v>
      </c>
      <c r="I78" s="59" t="s">
        <v>1625</v>
      </c>
      <c r="J78" s="60">
        <v>3</v>
      </c>
      <c r="K78" s="60">
        <v>3</v>
      </c>
      <c r="L78" s="59" t="s">
        <v>1561</v>
      </c>
      <c r="M78" s="59" t="s">
        <v>399</v>
      </c>
      <c r="N78" s="59" t="s">
        <v>399</v>
      </c>
      <c r="O78" s="59" t="s">
        <v>400</v>
      </c>
      <c r="P78" s="59" t="s">
        <v>400</v>
      </c>
      <c r="Q78" s="59" t="s">
        <v>400</v>
      </c>
      <c r="R78" s="59" t="s">
        <v>400</v>
      </c>
      <c r="S78" s="59" t="s">
        <v>400</v>
      </c>
      <c r="T78" s="59" t="s">
        <v>400</v>
      </c>
      <c r="U78" s="59" t="s">
        <v>1418</v>
      </c>
      <c r="V78" s="59" t="s">
        <v>48</v>
      </c>
      <c r="W78" s="59" t="s">
        <v>48</v>
      </c>
      <c r="X78" s="59" t="s">
        <v>48</v>
      </c>
      <c r="Y78" s="59" t="s">
        <v>1418</v>
      </c>
      <c r="Z78" s="59" t="s">
        <v>1418</v>
      </c>
      <c r="AA78" s="59" t="s">
        <v>1418</v>
      </c>
      <c r="AB78" s="59" t="s">
        <v>1418</v>
      </c>
      <c r="AC78" s="59" t="s">
        <v>48</v>
      </c>
      <c r="AD78" s="59" t="s">
        <v>48</v>
      </c>
      <c r="AE78" s="59" t="s">
        <v>48</v>
      </c>
      <c r="AF78" s="59" t="s">
        <v>399</v>
      </c>
      <c r="AG78" s="59" t="s">
        <v>1740</v>
      </c>
      <c r="AH78" s="59" t="s">
        <v>1418</v>
      </c>
      <c r="AI78" s="59" t="s">
        <v>1418</v>
      </c>
      <c r="AJ78" s="59" t="s">
        <v>1419</v>
      </c>
      <c r="AK78" s="59" t="s">
        <v>1418</v>
      </c>
      <c r="AL78" s="59" t="s">
        <v>1418</v>
      </c>
      <c r="AM78" s="59" t="s">
        <v>1418</v>
      </c>
      <c r="AN78" s="59" t="s">
        <v>1418</v>
      </c>
      <c r="AO78" s="59" t="s">
        <v>1455</v>
      </c>
      <c r="AP78" s="59" t="s">
        <v>1418</v>
      </c>
      <c r="AQ78" s="59" t="s">
        <v>1420</v>
      </c>
    </row>
    <row r="79" spans="2:43">
      <c r="B79" s="29" t="str">
        <f t="shared" si="2"/>
        <v xml:space="preserve">    └  고객별 판매분석</v>
      </c>
      <c r="C79" s="59" t="s">
        <v>47</v>
      </c>
      <c r="D79" s="59"/>
      <c r="E79" s="59" t="s">
        <v>1741</v>
      </c>
      <c r="F79" s="59" t="s">
        <v>1742</v>
      </c>
      <c r="G79" s="59" t="s">
        <v>48</v>
      </c>
      <c r="H79" s="59" t="s">
        <v>48</v>
      </c>
      <c r="I79" s="59" t="s">
        <v>1737</v>
      </c>
      <c r="J79" s="60">
        <v>4</v>
      </c>
      <c r="K79" s="60">
        <v>3</v>
      </c>
      <c r="L79" s="59" t="s">
        <v>1518</v>
      </c>
      <c r="M79" s="59" t="s">
        <v>399</v>
      </c>
      <c r="N79" s="59" t="s">
        <v>399</v>
      </c>
      <c r="O79" s="59" t="s">
        <v>399</v>
      </c>
      <c r="P79" s="59" t="s">
        <v>399</v>
      </c>
      <c r="Q79" s="59" t="s">
        <v>399</v>
      </c>
      <c r="R79" s="59" t="s">
        <v>399</v>
      </c>
      <c r="S79" s="59" t="s">
        <v>399</v>
      </c>
      <c r="T79" s="59" t="s">
        <v>400</v>
      </c>
      <c r="U79" s="59" t="s">
        <v>48</v>
      </c>
      <c r="V79" s="59" t="s">
        <v>48</v>
      </c>
      <c r="W79" s="59" t="s">
        <v>48</v>
      </c>
      <c r="X79" s="59" t="s">
        <v>48</v>
      </c>
      <c r="Y79" s="59" t="s">
        <v>48</v>
      </c>
      <c r="Z79" s="59" t="s">
        <v>48</v>
      </c>
      <c r="AA79" s="59" t="s">
        <v>48</v>
      </c>
      <c r="AB79" s="59" t="s">
        <v>48</v>
      </c>
      <c r="AC79" s="59" t="s">
        <v>48</v>
      </c>
      <c r="AD79" s="59" t="s">
        <v>1418</v>
      </c>
      <c r="AE79" s="59" t="s">
        <v>1418</v>
      </c>
      <c r="AF79" s="59" t="s">
        <v>399</v>
      </c>
      <c r="AG79" s="59" t="s">
        <v>1742</v>
      </c>
      <c r="AH79" s="59" t="s">
        <v>1418</v>
      </c>
      <c r="AI79" s="59" t="s">
        <v>1418</v>
      </c>
      <c r="AJ79" s="59" t="s">
        <v>1418</v>
      </c>
      <c r="AK79" s="59" t="s">
        <v>1418</v>
      </c>
      <c r="AL79" s="59" t="s">
        <v>1418</v>
      </c>
      <c r="AM79" s="59" t="s">
        <v>1418</v>
      </c>
      <c r="AN79" s="59" t="s">
        <v>1418</v>
      </c>
      <c r="AO79" s="59" t="s">
        <v>1418</v>
      </c>
      <c r="AP79" s="59" t="s">
        <v>1418</v>
      </c>
      <c r="AQ79" s="59" t="s">
        <v>1420</v>
      </c>
    </row>
    <row r="80" spans="2:43">
      <c r="B80" s="29" t="str">
        <f t="shared" si="2"/>
        <v xml:space="preserve">        └  객층별 판매분석</v>
      </c>
      <c r="C80" s="59" t="s">
        <v>47</v>
      </c>
      <c r="D80" s="59"/>
      <c r="E80" s="59" t="s">
        <v>1743</v>
      </c>
      <c r="F80" s="59" t="s">
        <v>1744</v>
      </c>
      <c r="G80" s="59" t="s">
        <v>1745</v>
      </c>
      <c r="H80" s="59" t="s">
        <v>48</v>
      </c>
      <c r="I80" s="59" t="s">
        <v>1741</v>
      </c>
      <c r="J80" s="60">
        <v>5</v>
      </c>
      <c r="K80" s="60">
        <v>5</v>
      </c>
      <c r="L80" s="59" t="s">
        <v>400</v>
      </c>
      <c r="M80" s="59" t="s">
        <v>399</v>
      </c>
      <c r="N80" s="59" t="s">
        <v>399</v>
      </c>
      <c r="O80" s="59" t="s">
        <v>399</v>
      </c>
      <c r="P80" s="59" t="s">
        <v>399</v>
      </c>
      <c r="Q80" s="59" t="s">
        <v>399</v>
      </c>
      <c r="R80" s="59" t="s">
        <v>400</v>
      </c>
      <c r="S80" s="59" t="s">
        <v>400</v>
      </c>
      <c r="T80" s="59" t="s">
        <v>400</v>
      </c>
      <c r="U80" s="59" t="s">
        <v>48</v>
      </c>
      <c r="V80" s="59" t="s">
        <v>48</v>
      </c>
      <c r="W80" s="59" t="s">
        <v>48</v>
      </c>
      <c r="X80" s="59" t="s">
        <v>48</v>
      </c>
      <c r="Y80" s="59" t="s">
        <v>48</v>
      </c>
      <c r="Z80" s="59" t="s">
        <v>48</v>
      </c>
      <c r="AA80" s="59" t="s">
        <v>48</v>
      </c>
      <c r="AB80" s="59" t="s">
        <v>48</v>
      </c>
      <c r="AC80" s="59" t="s">
        <v>48</v>
      </c>
      <c r="AD80" s="59" t="s">
        <v>1418</v>
      </c>
      <c r="AE80" s="59" t="s">
        <v>1418</v>
      </c>
      <c r="AF80" s="59" t="s">
        <v>399</v>
      </c>
      <c r="AG80" s="59" t="s">
        <v>1744</v>
      </c>
      <c r="AH80" s="59" t="s">
        <v>1418</v>
      </c>
      <c r="AI80" s="59" t="s">
        <v>1418</v>
      </c>
      <c r="AJ80" s="59" t="s">
        <v>1418</v>
      </c>
      <c r="AK80" s="59" t="s">
        <v>1418</v>
      </c>
      <c r="AL80" s="59" t="s">
        <v>1418</v>
      </c>
      <c r="AM80" s="59" t="s">
        <v>1418</v>
      </c>
      <c r="AN80" s="59" t="s">
        <v>1418</v>
      </c>
      <c r="AO80" s="59" t="s">
        <v>1418</v>
      </c>
      <c r="AP80" s="59" t="s">
        <v>1418</v>
      </c>
      <c r="AQ80" s="59" t="s">
        <v>1420</v>
      </c>
    </row>
    <row r="81" spans="2:43">
      <c r="B81" s="29" t="str">
        <f t="shared" si="2"/>
        <v>└  기초자료</v>
      </c>
      <c r="C81" s="59" t="s">
        <v>47</v>
      </c>
      <c r="D81" s="59"/>
      <c r="E81" s="59" t="s">
        <v>1746</v>
      </c>
      <c r="F81" s="59" t="s">
        <v>1747</v>
      </c>
      <c r="G81" s="59" t="s">
        <v>48</v>
      </c>
      <c r="H81" s="59" t="s">
        <v>48</v>
      </c>
      <c r="I81" s="59" t="s">
        <v>1414</v>
      </c>
      <c r="J81" s="60">
        <v>2</v>
      </c>
      <c r="K81" s="60">
        <v>2</v>
      </c>
      <c r="L81" s="59" t="s">
        <v>1510</v>
      </c>
      <c r="M81" s="59" t="s">
        <v>399</v>
      </c>
      <c r="N81" s="59" t="s">
        <v>399</v>
      </c>
      <c r="O81" s="59" t="s">
        <v>399</v>
      </c>
      <c r="P81" s="59" t="s">
        <v>399</v>
      </c>
      <c r="Q81" s="59" t="s">
        <v>399</v>
      </c>
      <c r="R81" s="59" t="s">
        <v>399</v>
      </c>
      <c r="S81" s="59" t="s">
        <v>399</v>
      </c>
      <c r="T81" s="59" t="s">
        <v>400</v>
      </c>
      <c r="U81" s="59" t="s">
        <v>48</v>
      </c>
      <c r="V81" s="59" t="s">
        <v>48</v>
      </c>
      <c r="W81" s="59" t="s">
        <v>48</v>
      </c>
      <c r="X81" s="59" t="s">
        <v>48</v>
      </c>
      <c r="Y81" s="59" t="s">
        <v>48</v>
      </c>
      <c r="Z81" s="59" t="s">
        <v>48</v>
      </c>
      <c r="AA81" s="59" t="s">
        <v>48</v>
      </c>
      <c r="AB81" s="59" t="s">
        <v>48</v>
      </c>
      <c r="AC81" s="59" t="s">
        <v>48</v>
      </c>
      <c r="AD81" s="59" t="s">
        <v>48</v>
      </c>
      <c r="AE81" s="59" t="s">
        <v>48</v>
      </c>
      <c r="AF81" s="59" t="s">
        <v>399</v>
      </c>
      <c r="AG81" s="59" t="s">
        <v>1748</v>
      </c>
      <c r="AH81" s="59" t="s">
        <v>1418</v>
      </c>
      <c r="AI81" s="59" t="s">
        <v>1418</v>
      </c>
      <c r="AJ81" s="59" t="s">
        <v>1419</v>
      </c>
      <c r="AK81" s="59" t="s">
        <v>1418</v>
      </c>
      <c r="AL81" s="59" t="s">
        <v>1418</v>
      </c>
      <c r="AM81" s="59" t="s">
        <v>1418</v>
      </c>
      <c r="AN81" s="59" t="s">
        <v>1418</v>
      </c>
      <c r="AO81" s="59" t="s">
        <v>1418</v>
      </c>
      <c r="AP81" s="59" t="s">
        <v>1418</v>
      </c>
      <c r="AQ81" s="59" t="s">
        <v>1420</v>
      </c>
    </row>
    <row r="82" spans="2:43">
      <c r="B82" s="29" t="str">
        <f t="shared" si="2"/>
        <v xml:space="preserve">  └  고객 이벤트 등록</v>
      </c>
      <c r="C82" s="59" t="s">
        <v>47</v>
      </c>
      <c r="D82" s="59"/>
      <c r="E82" s="59" t="s">
        <v>1749</v>
      </c>
      <c r="F82" s="59" t="s">
        <v>1750</v>
      </c>
      <c r="G82" s="59" t="s">
        <v>1555</v>
      </c>
      <c r="H82" s="59" t="s">
        <v>1751</v>
      </c>
      <c r="I82" s="59" t="s">
        <v>1746</v>
      </c>
      <c r="J82" s="60">
        <v>3</v>
      </c>
      <c r="K82" s="60">
        <v>4</v>
      </c>
      <c r="L82" s="59" t="s">
        <v>1510</v>
      </c>
      <c r="M82" s="59" t="s">
        <v>399</v>
      </c>
      <c r="N82" s="59" t="s">
        <v>399</v>
      </c>
      <c r="O82" s="59" t="s">
        <v>400</v>
      </c>
      <c r="P82" s="59" t="s">
        <v>400</v>
      </c>
      <c r="Q82" s="59" t="s">
        <v>400</v>
      </c>
      <c r="R82" s="59" t="s">
        <v>400</v>
      </c>
      <c r="S82" s="59" t="s">
        <v>400</v>
      </c>
      <c r="T82" s="59" t="s">
        <v>400</v>
      </c>
      <c r="U82" s="59" t="s">
        <v>1418</v>
      </c>
      <c r="V82" s="59" t="s">
        <v>48</v>
      </c>
      <c r="W82" s="59" t="s">
        <v>48</v>
      </c>
      <c r="X82" s="59" t="s">
        <v>48</v>
      </c>
      <c r="Y82" s="59" t="s">
        <v>1418</v>
      </c>
      <c r="Z82" s="59" t="s">
        <v>1418</v>
      </c>
      <c r="AA82" s="59" t="s">
        <v>1418</v>
      </c>
      <c r="AB82" s="59" t="s">
        <v>1418</v>
      </c>
      <c r="AC82" s="59" t="s">
        <v>48</v>
      </c>
      <c r="AD82" s="59" t="s">
        <v>48</v>
      </c>
      <c r="AE82" s="59" t="s">
        <v>48</v>
      </c>
      <c r="AF82" s="59" t="s">
        <v>399</v>
      </c>
      <c r="AG82" s="59" t="s">
        <v>1752</v>
      </c>
      <c r="AH82" s="59" t="s">
        <v>1418</v>
      </c>
      <c r="AI82" s="59" t="s">
        <v>1418</v>
      </c>
      <c r="AJ82" s="59" t="s">
        <v>1419</v>
      </c>
      <c r="AK82" s="59" t="s">
        <v>1418</v>
      </c>
      <c r="AL82" s="59" t="s">
        <v>1418</v>
      </c>
      <c r="AM82" s="59" t="s">
        <v>1418</v>
      </c>
      <c r="AN82" s="59" t="s">
        <v>1418</v>
      </c>
      <c r="AO82" s="59" t="s">
        <v>1753</v>
      </c>
      <c r="AP82" s="59" t="s">
        <v>1418</v>
      </c>
      <c r="AQ82" s="59" t="s">
        <v>1420</v>
      </c>
    </row>
    <row r="83" spans="2:43">
      <c r="B83" s="29" t="str">
        <f t="shared" si="2"/>
        <v xml:space="preserve">  └  매장 관리</v>
      </c>
      <c r="C83" s="59" t="s">
        <v>47</v>
      </c>
      <c r="D83" s="59"/>
      <c r="E83" s="59" t="s">
        <v>1754</v>
      </c>
      <c r="F83" s="59" t="s">
        <v>1755</v>
      </c>
      <c r="G83" s="59" t="s">
        <v>48</v>
      </c>
      <c r="H83" s="59" t="s">
        <v>48</v>
      </c>
      <c r="I83" s="59" t="s">
        <v>1746</v>
      </c>
      <c r="J83" s="60">
        <v>3</v>
      </c>
      <c r="K83" s="60">
        <v>3</v>
      </c>
      <c r="L83" s="59" t="s">
        <v>400</v>
      </c>
      <c r="M83" s="59" t="s">
        <v>399</v>
      </c>
      <c r="N83" s="59" t="s">
        <v>399</v>
      </c>
      <c r="O83" s="59" t="s">
        <v>399</v>
      </c>
      <c r="P83" s="59" t="s">
        <v>399</v>
      </c>
      <c r="Q83" s="59" t="s">
        <v>399</v>
      </c>
      <c r="R83" s="59" t="s">
        <v>399</v>
      </c>
      <c r="S83" s="59" t="s">
        <v>399</v>
      </c>
      <c r="T83" s="59" t="s">
        <v>400</v>
      </c>
      <c r="U83" s="59" t="s">
        <v>48</v>
      </c>
      <c r="V83" s="59" t="s">
        <v>48</v>
      </c>
      <c r="W83" s="59" t="s">
        <v>48</v>
      </c>
      <c r="X83" s="59" t="s">
        <v>48</v>
      </c>
      <c r="Y83" s="59" t="s">
        <v>48</v>
      </c>
      <c r="Z83" s="59" t="s">
        <v>48</v>
      </c>
      <c r="AA83" s="59" t="s">
        <v>48</v>
      </c>
      <c r="AB83" s="59" t="s">
        <v>48</v>
      </c>
      <c r="AC83" s="59" t="s">
        <v>48</v>
      </c>
      <c r="AD83" s="59" t="s">
        <v>48</v>
      </c>
      <c r="AE83" s="59" t="s">
        <v>48</v>
      </c>
      <c r="AF83" s="59" t="s">
        <v>399</v>
      </c>
      <c r="AG83" s="59" t="s">
        <v>1756</v>
      </c>
      <c r="AH83" s="59" t="s">
        <v>1418</v>
      </c>
      <c r="AI83" s="59" t="s">
        <v>1418</v>
      </c>
      <c r="AJ83" s="59" t="s">
        <v>1419</v>
      </c>
      <c r="AK83" s="59" t="s">
        <v>1418</v>
      </c>
      <c r="AL83" s="59" t="s">
        <v>1418</v>
      </c>
      <c r="AM83" s="59" t="s">
        <v>1418</v>
      </c>
      <c r="AN83" s="59" t="s">
        <v>1418</v>
      </c>
      <c r="AO83" s="59" t="s">
        <v>1418</v>
      </c>
      <c r="AP83" s="59" t="s">
        <v>1418</v>
      </c>
      <c r="AQ83" s="59" t="s">
        <v>1420</v>
      </c>
    </row>
    <row r="84" spans="2:43">
      <c r="B84" s="29" t="str">
        <f t="shared" si="2"/>
        <v xml:space="preserve">    └  매장 등록</v>
      </c>
      <c r="C84" s="59" t="s">
        <v>47</v>
      </c>
      <c r="D84" s="59"/>
      <c r="E84" s="59" t="s">
        <v>1757</v>
      </c>
      <c r="F84" s="59" t="s">
        <v>1758</v>
      </c>
      <c r="G84" s="59" t="s">
        <v>1430</v>
      </c>
      <c r="H84" s="59" t="s">
        <v>1759</v>
      </c>
      <c r="I84" s="59" t="s">
        <v>1754</v>
      </c>
      <c r="J84" s="60">
        <v>4</v>
      </c>
      <c r="K84" s="60">
        <v>4</v>
      </c>
      <c r="L84" s="59" t="s">
        <v>400</v>
      </c>
      <c r="M84" s="59" t="s">
        <v>399</v>
      </c>
      <c r="N84" s="59" t="s">
        <v>399</v>
      </c>
      <c r="O84" s="59" t="s">
        <v>400</v>
      </c>
      <c r="P84" s="59" t="s">
        <v>400</v>
      </c>
      <c r="Q84" s="59" t="s">
        <v>400</v>
      </c>
      <c r="R84" s="59" t="s">
        <v>400</v>
      </c>
      <c r="S84" s="59" t="s">
        <v>400</v>
      </c>
      <c r="T84" s="59" t="s">
        <v>400</v>
      </c>
      <c r="U84" s="59" t="s">
        <v>48</v>
      </c>
      <c r="V84" s="59" t="s">
        <v>48</v>
      </c>
      <c r="W84" s="59" t="s">
        <v>48</v>
      </c>
      <c r="X84" s="59" t="s">
        <v>48</v>
      </c>
      <c r="Y84" s="59" t="s">
        <v>48</v>
      </c>
      <c r="Z84" s="59" t="s">
        <v>48</v>
      </c>
      <c r="AA84" s="59" t="s">
        <v>48</v>
      </c>
      <c r="AB84" s="59" t="s">
        <v>48</v>
      </c>
      <c r="AC84" s="59" t="s">
        <v>48</v>
      </c>
      <c r="AD84" s="59" t="s">
        <v>48</v>
      </c>
      <c r="AE84" s="59" t="s">
        <v>48</v>
      </c>
      <c r="AF84" s="59" t="s">
        <v>399</v>
      </c>
      <c r="AG84" s="59" t="s">
        <v>1760</v>
      </c>
      <c r="AH84" s="59" t="s">
        <v>1418</v>
      </c>
      <c r="AI84" s="59" t="s">
        <v>1418</v>
      </c>
      <c r="AJ84" s="59" t="s">
        <v>1419</v>
      </c>
      <c r="AK84" s="59" t="s">
        <v>1418</v>
      </c>
      <c r="AL84" s="59" t="s">
        <v>1418</v>
      </c>
      <c r="AM84" s="59" t="s">
        <v>1418</v>
      </c>
      <c r="AN84" s="59" t="s">
        <v>1418</v>
      </c>
      <c r="AO84" s="59" t="s">
        <v>1418</v>
      </c>
      <c r="AP84" s="59" t="s">
        <v>1418</v>
      </c>
      <c r="AQ84" s="59" t="s">
        <v>1420</v>
      </c>
    </row>
    <row r="85" spans="2:43">
      <c r="B85" s="29" t="str">
        <f t="shared" si="2"/>
        <v xml:space="preserve">  └  상품정보관리</v>
      </c>
      <c r="C85" s="59" t="s">
        <v>47</v>
      </c>
      <c r="D85" s="59"/>
      <c r="E85" s="59" t="s">
        <v>1761</v>
      </c>
      <c r="F85" s="59" t="s">
        <v>1762</v>
      </c>
      <c r="G85" s="59" t="s">
        <v>48</v>
      </c>
      <c r="H85" s="59" t="s">
        <v>48</v>
      </c>
      <c r="I85" s="59" t="s">
        <v>1746</v>
      </c>
      <c r="J85" s="60">
        <v>3</v>
      </c>
      <c r="K85" s="60">
        <v>3</v>
      </c>
      <c r="L85" s="59" t="s">
        <v>1426</v>
      </c>
      <c r="M85" s="59" t="s">
        <v>399</v>
      </c>
      <c r="N85" s="59" t="s">
        <v>399</v>
      </c>
      <c r="O85" s="59" t="s">
        <v>399</v>
      </c>
      <c r="P85" s="59" t="s">
        <v>399</v>
      </c>
      <c r="Q85" s="59" t="s">
        <v>399</v>
      </c>
      <c r="R85" s="59" t="s">
        <v>399</v>
      </c>
      <c r="S85" s="59" t="s">
        <v>399</v>
      </c>
      <c r="T85" s="59" t="s">
        <v>400</v>
      </c>
      <c r="U85" s="59" t="s">
        <v>48</v>
      </c>
      <c r="V85" s="59" t="s">
        <v>48</v>
      </c>
      <c r="W85" s="59" t="s">
        <v>48</v>
      </c>
      <c r="X85" s="59" t="s">
        <v>48</v>
      </c>
      <c r="Y85" s="59" t="s">
        <v>48</v>
      </c>
      <c r="Z85" s="59" t="s">
        <v>48</v>
      </c>
      <c r="AA85" s="59" t="s">
        <v>48</v>
      </c>
      <c r="AB85" s="59" t="s">
        <v>48</v>
      </c>
      <c r="AC85" s="59" t="s">
        <v>48</v>
      </c>
      <c r="AD85" s="59" t="s">
        <v>48</v>
      </c>
      <c r="AE85" s="59" t="s">
        <v>48</v>
      </c>
      <c r="AF85" s="59" t="s">
        <v>399</v>
      </c>
      <c r="AG85" s="59" t="s">
        <v>1763</v>
      </c>
      <c r="AH85" s="59" t="s">
        <v>1418</v>
      </c>
      <c r="AI85" s="59" t="s">
        <v>1418</v>
      </c>
      <c r="AJ85" s="59" t="s">
        <v>1419</v>
      </c>
      <c r="AK85" s="59" t="s">
        <v>1418</v>
      </c>
      <c r="AL85" s="59" t="s">
        <v>1418</v>
      </c>
      <c r="AM85" s="59" t="s">
        <v>1418</v>
      </c>
      <c r="AN85" s="59" t="s">
        <v>1418</v>
      </c>
      <c r="AO85" s="59" t="s">
        <v>1418</v>
      </c>
      <c r="AP85" s="59" t="s">
        <v>1418</v>
      </c>
      <c r="AQ85" s="59" t="s">
        <v>1420</v>
      </c>
    </row>
    <row r="86" spans="2:43">
      <c r="B86" s="29" t="str">
        <f t="shared" si="2"/>
        <v xml:space="preserve">    └  상품정보 조회</v>
      </c>
      <c r="C86" s="59" t="s">
        <v>47</v>
      </c>
      <c r="D86" s="59"/>
      <c r="E86" s="59" t="s">
        <v>1764</v>
      </c>
      <c r="F86" s="59" t="s">
        <v>1765</v>
      </c>
      <c r="G86" s="59" t="s">
        <v>1430</v>
      </c>
      <c r="H86" s="59" t="s">
        <v>1766</v>
      </c>
      <c r="I86" s="59" t="s">
        <v>1761</v>
      </c>
      <c r="J86" s="60">
        <v>4</v>
      </c>
      <c r="K86" s="60">
        <v>4</v>
      </c>
      <c r="L86" s="59" t="s">
        <v>400</v>
      </c>
      <c r="M86" s="59" t="s">
        <v>399</v>
      </c>
      <c r="N86" s="59" t="s">
        <v>399</v>
      </c>
      <c r="O86" s="59" t="s">
        <v>399</v>
      </c>
      <c r="P86" s="59" t="s">
        <v>399</v>
      </c>
      <c r="Q86" s="59" t="s">
        <v>399</v>
      </c>
      <c r="R86" s="59" t="s">
        <v>400</v>
      </c>
      <c r="S86" s="59" t="s">
        <v>400</v>
      </c>
      <c r="T86" s="59" t="s">
        <v>400</v>
      </c>
      <c r="U86" s="59" t="s">
        <v>48</v>
      </c>
      <c r="V86" s="59" t="s">
        <v>48</v>
      </c>
      <c r="W86" s="59" t="s">
        <v>48</v>
      </c>
      <c r="X86" s="59" t="s">
        <v>48</v>
      </c>
      <c r="Y86" s="59" t="s">
        <v>48</v>
      </c>
      <c r="Z86" s="59" t="s">
        <v>48</v>
      </c>
      <c r="AA86" s="59" t="s">
        <v>48</v>
      </c>
      <c r="AB86" s="59" t="s">
        <v>48</v>
      </c>
      <c r="AC86" s="59" t="s">
        <v>48</v>
      </c>
      <c r="AD86" s="59" t="s">
        <v>48</v>
      </c>
      <c r="AE86" s="59" t="s">
        <v>48</v>
      </c>
      <c r="AF86" s="59" t="s">
        <v>399</v>
      </c>
      <c r="AG86" s="59" t="s">
        <v>1767</v>
      </c>
      <c r="AH86" s="59" t="s">
        <v>1418</v>
      </c>
      <c r="AI86" s="59" t="s">
        <v>1418</v>
      </c>
      <c r="AJ86" s="59" t="s">
        <v>1419</v>
      </c>
      <c r="AK86" s="59" t="s">
        <v>1418</v>
      </c>
      <c r="AL86" s="59" t="s">
        <v>1418</v>
      </c>
      <c r="AM86" s="59" t="s">
        <v>1418</v>
      </c>
      <c r="AN86" s="59" t="s">
        <v>1418</v>
      </c>
      <c r="AO86" s="59" t="s">
        <v>1418</v>
      </c>
      <c r="AP86" s="59" t="s">
        <v>1418</v>
      </c>
      <c r="AQ86" s="59" t="s">
        <v>1420</v>
      </c>
    </row>
    <row r="87" spans="2:43">
      <c r="B87" s="29" t="str">
        <f t="shared" si="2"/>
        <v xml:space="preserve">  └  메뉴 코드 관리</v>
      </c>
      <c r="C87" s="59" t="s">
        <v>47</v>
      </c>
      <c r="D87" s="59"/>
      <c r="E87" s="59" t="s">
        <v>1768</v>
      </c>
      <c r="F87" s="59" t="s">
        <v>1769</v>
      </c>
      <c r="G87" s="59" t="s">
        <v>1770</v>
      </c>
      <c r="H87" s="59" t="s">
        <v>1771</v>
      </c>
      <c r="I87" s="59" t="s">
        <v>1772</v>
      </c>
      <c r="J87" s="60">
        <v>3</v>
      </c>
      <c r="K87" s="60">
        <v>3</v>
      </c>
      <c r="L87" s="59" t="s">
        <v>1426</v>
      </c>
      <c r="M87" s="59" t="s">
        <v>399</v>
      </c>
      <c r="N87" s="59" t="s">
        <v>399</v>
      </c>
      <c r="O87" s="59" t="s">
        <v>400</v>
      </c>
      <c r="P87" s="59" t="s">
        <v>400</v>
      </c>
      <c r="Q87" s="59" t="s">
        <v>400</v>
      </c>
      <c r="R87" s="59" t="s">
        <v>399</v>
      </c>
      <c r="S87" s="59" t="s">
        <v>399</v>
      </c>
      <c r="T87" s="59" t="s">
        <v>402</v>
      </c>
      <c r="U87" s="59" t="s">
        <v>48</v>
      </c>
      <c r="V87" s="59" t="s">
        <v>399</v>
      </c>
      <c r="W87" s="59" t="s">
        <v>399</v>
      </c>
      <c r="X87" s="59" t="s">
        <v>399</v>
      </c>
      <c r="Y87" s="59" t="s">
        <v>48</v>
      </c>
      <c r="Z87" s="59" t="s">
        <v>48</v>
      </c>
      <c r="AA87" s="59" t="s">
        <v>48</v>
      </c>
      <c r="AB87" s="59" t="s">
        <v>48</v>
      </c>
      <c r="AC87" s="59" t="s">
        <v>48</v>
      </c>
      <c r="AD87" s="59" t="s">
        <v>1418</v>
      </c>
      <c r="AE87" s="59" t="s">
        <v>1418</v>
      </c>
      <c r="AF87" s="59" t="s">
        <v>399</v>
      </c>
      <c r="AG87" s="59" t="s">
        <v>1769</v>
      </c>
      <c r="AH87" s="59" t="s">
        <v>1418</v>
      </c>
      <c r="AI87" s="59" t="s">
        <v>1418</v>
      </c>
      <c r="AJ87" s="59" t="s">
        <v>1418</v>
      </c>
      <c r="AK87" s="59" t="s">
        <v>1418</v>
      </c>
      <c r="AL87" s="59" t="s">
        <v>1418</v>
      </c>
      <c r="AM87" s="59" t="s">
        <v>1418</v>
      </c>
      <c r="AN87" s="59" t="s">
        <v>1418</v>
      </c>
      <c r="AO87" s="59" t="s">
        <v>1418</v>
      </c>
      <c r="AP87" s="59" t="s">
        <v>1418</v>
      </c>
      <c r="AQ87" s="59" t="s">
        <v>1420</v>
      </c>
    </row>
    <row r="88" spans="2:43">
      <c r="B88" s="29" t="str">
        <f t="shared" si="2"/>
        <v xml:space="preserve">  └  기초 코드 관리</v>
      </c>
      <c r="C88" s="59" t="s">
        <v>47</v>
      </c>
      <c r="D88" s="59"/>
      <c r="E88" s="59" t="s">
        <v>1773</v>
      </c>
      <c r="F88" s="59" t="s">
        <v>1774</v>
      </c>
      <c r="G88" s="59" t="s">
        <v>1770</v>
      </c>
      <c r="H88" s="59" t="s">
        <v>1775</v>
      </c>
      <c r="I88" s="59" t="s">
        <v>1772</v>
      </c>
      <c r="J88" s="60">
        <v>3</v>
      </c>
      <c r="K88" s="60">
        <v>3</v>
      </c>
      <c r="L88" s="59" t="s">
        <v>1441</v>
      </c>
      <c r="M88" s="59" t="s">
        <v>399</v>
      </c>
      <c r="N88" s="59" t="s">
        <v>399</v>
      </c>
      <c r="O88" s="59" t="s">
        <v>400</v>
      </c>
      <c r="P88" s="59" t="s">
        <v>400</v>
      </c>
      <c r="Q88" s="59" t="s">
        <v>400</v>
      </c>
      <c r="R88" s="59" t="s">
        <v>399</v>
      </c>
      <c r="S88" s="59" t="s">
        <v>400</v>
      </c>
      <c r="T88" s="59" t="s">
        <v>402</v>
      </c>
      <c r="U88" s="59" t="s">
        <v>48</v>
      </c>
      <c r="V88" s="59" t="s">
        <v>399</v>
      </c>
      <c r="W88" s="59" t="s">
        <v>399</v>
      </c>
      <c r="X88" s="59" t="s">
        <v>399</v>
      </c>
      <c r="Y88" s="59" t="s">
        <v>48</v>
      </c>
      <c r="Z88" s="59" t="s">
        <v>48</v>
      </c>
      <c r="AA88" s="59" t="s">
        <v>48</v>
      </c>
      <c r="AB88" s="59" t="s">
        <v>48</v>
      </c>
      <c r="AC88" s="59" t="s">
        <v>48</v>
      </c>
      <c r="AD88" s="59" t="s">
        <v>1418</v>
      </c>
      <c r="AE88" s="59" t="s">
        <v>1418</v>
      </c>
      <c r="AF88" s="59" t="s">
        <v>399</v>
      </c>
      <c r="AG88" s="59" t="s">
        <v>1774</v>
      </c>
      <c r="AH88" s="59" t="s">
        <v>1418</v>
      </c>
      <c r="AI88" s="59" t="s">
        <v>1418</v>
      </c>
      <c r="AJ88" s="59" t="s">
        <v>1418</v>
      </c>
      <c r="AK88" s="59" t="s">
        <v>1418</v>
      </c>
      <c r="AL88" s="59" t="s">
        <v>1418</v>
      </c>
      <c r="AM88" s="59" t="s">
        <v>1418</v>
      </c>
      <c r="AN88" s="59" t="s">
        <v>1418</v>
      </c>
      <c r="AO88" s="59" t="s">
        <v>1418</v>
      </c>
      <c r="AP88" s="59" t="s">
        <v>1418</v>
      </c>
      <c r="AQ88" s="59" t="s">
        <v>1420</v>
      </c>
    </row>
    <row r="89" spans="2:43">
      <c r="B89" s="29" t="str">
        <f t="shared" si="2"/>
        <v xml:space="preserve">  └  단어 코드 관리</v>
      </c>
      <c r="C89" s="59" t="s">
        <v>47</v>
      </c>
      <c r="D89" s="59"/>
      <c r="E89" s="59" t="s">
        <v>1776</v>
      </c>
      <c r="F89" s="59" t="s">
        <v>1777</v>
      </c>
      <c r="G89" s="59" t="s">
        <v>1770</v>
      </c>
      <c r="H89" s="59" t="s">
        <v>1778</v>
      </c>
      <c r="I89" s="59" t="s">
        <v>1772</v>
      </c>
      <c r="J89" s="60">
        <v>3</v>
      </c>
      <c r="K89" s="60">
        <v>3</v>
      </c>
      <c r="L89" s="59" t="s">
        <v>1510</v>
      </c>
      <c r="M89" s="59" t="s">
        <v>399</v>
      </c>
      <c r="N89" s="59" t="s">
        <v>399</v>
      </c>
      <c r="O89" s="59" t="s">
        <v>400</v>
      </c>
      <c r="P89" s="59" t="s">
        <v>400</v>
      </c>
      <c r="Q89" s="59" t="s">
        <v>400</v>
      </c>
      <c r="R89" s="59" t="s">
        <v>399</v>
      </c>
      <c r="S89" s="59" t="s">
        <v>400</v>
      </c>
      <c r="T89" s="59" t="s">
        <v>402</v>
      </c>
      <c r="U89" s="59" t="s">
        <v>48</v>
      </c>
      <c r="V89" s="59" t="s">
        <v>399</v>
      </c>
      <c r="W89" s="59" t="s">
        <v>399</v>
      </c>
      <c r="X89" s="59" t="s">
        <v>399</v>
      </c>
      <c r="Y89" s="59" t="s">
        <v>48</v>
      </c>
      <c r="Z89" s="59" t="s">
        <v>48</v>
      </c>
      <c r="AA89" s="59" t="s">
        <v>48</v>
      </c>
      <c r="AB89" s="59" t="s">
        <v>48</v>
      </c>
      <c r="AC89" s="59" t="s">
        <v>48</v>
      </c>
      <c r="AD89" s="59" t="s">
        <v>1418</v>
      </c>
      <c r="AE89" s="59" t="s">
        <v>1418</v>
      </c>
      <c r="AF89" s="59" t="s">
        <v>399</v>
      </c>
      <c r="AG89" s="59" t="s">
        <v>1777</v>
      </c>
      <c r="AH89" s="59" t="s">
        <v>1418</v>
      </c>
      <c r="AI89" s="59" t="s">
        <v>1418</v>
      </c>
      <c r="AJ89" s="59" t="s">
        <v>1418</v>
      </c>
      <c r="AK89" s="59" t="s">
        <v>1418</v>
      </c>
      <c r="AL89" s="59" t="s">
        <v>1418</v>
      </c>
      <c r="AM89" s="59" t="s">
        <v>1418</v>
      </c>
      <c r="AN89" s="59" t="s">
        <v>1418</v>
      </c>
      <c r="AO89" s="59" t="s">
        <v>1418</v>
      </c>
      <c r="AP89" s="59" t="s">
        <v>1418</v>
      </c>
      <c r="AQ89" s="59" t="s">
        <v>1420</v>
      </c>
    </row>
    <row r="90" spans="2:43">
      <c r="B90" s="29" t="str">
        <f t="shared" si="2"/>
        <v xml:space="preserve">  └  우편 번호 관리</v>
      </c>
      <c r="C90" s="59" t="s">
        <v>47</v>
      </c>
      <c r="D90" s="59"/>
      <c r="E90" s="59" t="s">
        <v>1779</v>
      </c>
      <c r="F90" s="59" t="s">
        <v>1780</v>
      </c>
      <c r="G90" s="59" t="s">
        <v>1770</v>
      </c>
      <c r="H90" s="59" t="s">
        <v>1781</v>
      </c>
      <c r="I90" s="59" t="s">
        <v>1772</v>
      </c>
      <c r="J90" s="60">
        <v>3</v>
      </c>
      <c r="K90" s="60">
        <v>3</v>
      </c>
      <c r="L90" s="59" t="s">
        <v>1468</v>
      </c>
      <c r="M90" s="59" t="s">
        <v>399</v>
      </c>
      <c r="N90" s="59" t="s">
        <v>399</v>
      </c>
      <c r="O90" s="59" t="s">
        <v>400</v>
      </c>
      <c r="P90" s="59" t="s">
        <v>400</v>
      </c>
      <c r="Q90" s="59" t="s">
        <v>399</v>
      </c>
      <c r="R90" s="59" t="s">
        <v>399</v>
      </c>
      <c r="S90" s="59" t="s">
        <v>400</v>
      </c>
      <c r="T90" s="59" t="s">
        <v>402</v>
      </c>
      <c r="U90" s="59" t="s">
        <v>48</v>
      </c>
      <c r="V90" s="59" t="s">
        <v>399</v>
      </c>
      <c r="W90" s="59" t="s">
        <v>399</v>
      </c>
      <c r="X90" s="59" t="s">
        <v>399</v>
      </c>
      <c r="Y90" s="59" t="s">
        <v>48</v>
      </c>
      <c r="Z90" s="59" t="s">
        <v>48</v>
      </c>
      <c r="AA90" s="59" t="s">
        <v>48</v>
      </c>
      <c r="AB90" s="59" t="s">
        <v>48</v>
      </c>
      <c r="AC90" s="59" t="s">
        <v>48</v>
      </c>
      <c r="AD90" s="59" t="s">
        <v>1418</v>
      </c>
      <c r="AE90" s="59" t="s">
        <v>1418</v>
      </c>
      <c r="AF90" s="59" t="s">
        <v>399</v>
      </c>
      <c r="AG90" s="59" t="s">
        <v>1780</v>
      </c>
      <c r="AH90" s="59" t="s">
        <v>1418</v>
      </c>
      <c r="AI90" s="59" t="s">
        <v>1418</v>
      </c>
      <c r="AJ90" s="59" t="s">
        <v>1418</v>
      </c>
      <c r="AK90" s="59" t="s">
        <v>1418</v>
      </c>
      <c r="AL90" s="59" t="s">
        <v>1418</v>
      </c>
      <c r="AM90" s="59" t="s">
        <v>1418</v>
      </c>
      <c r="AN90" s="59" t="s">
        <v>1418</v>
      </c>
      <c r="AO90" s="59" t="s">
        <v>1418</v>
      </c>
      <c r="AP90" s="59" t="s">
        <v>1418</v>
      </c>
      <c r="AQ90" s="59" t="s">
        <v>1420</v>
      </c>
    </row>
    <row r="91" spans="2:43">
      <c r="B91" s="29" t="str">
        <f t="shared" si="2"/>
        <v xml:space="preserve">  └  계정 정보 관리</v>
      </c>
      <c r="C91" s="59" t="s">
        <v>47</v>
      </c>
      <c r="D91" s="59"/>
      <c r="E91" s="59" t="s">
        <v>1782</v>
      </c>
      <c r="F91" s="59" t="s">
        <v>1783</v>
      </c>
      <c r="G91" s="59" t="s">
        <v>404</v>
      </c>
      <c r="H91" s="59" t="s">
        <v>1784</v>
      </c>
      <c r="I91" s="59" t="s">
        <v>1785</v>
      </c>
      <c r="J91" s="60">
        <v>3</v>
      </c>
      <c r="K91" s="60">
        <v>3</v>
      </c>
      <c r="L91" s="59" t="s">
        <v>400</v>
      </c>
      <c r="M91" s="59" t="s">
        <v>399</v>
      </c>
      <c r="N91" s="59" t="s">
        <v>399</v>
      </c>
      <c r="O91" s="59" t="s">
        <v>399</v>
      </c>
      <c r="P91" s="59" t="s">
        <v>399</v>
      </c>
      <c r="Q91" s="59" t="s">
        <v>399</v>
      </c>
      <c r="R91" s="59" t="s">
        <v>399</v>
      </c>
      <c r="S91" s="59" t="s">
        <v>399</v>
      </c>
      <c r="T91" s="59" t="s">
        <v>400</v>
      </c>
      <c r="U91" s="59" t="s">
        <v>48</v>
      </c>
      <c r="V91" s="59" t="s">
        <v>400</v>
      </c>
      <c r="W91" s="59" t="s">
        <v>399</v>
      </c>
      <c r="X91" s="59" t="s">
        <v>399</v>
      </c>
      <c r="Y91" s="59" t="s">
        <v>48</v>
      </c>
      <c r="Z91" s="59" t="s">
        <v>48</v>
      </c>
      <c r="AA91" s="59" t="s">
        <v>48</v>
      </c>
      <c r="AB91" s="59" t="s">
        <v>48</v>
      </c>
      <c r="AC91" s="59" t="s">
        <v>48</v>
      </c>
      <c r="AD91" s="59" t="s">
        <v>1418</v>
      </c>
      <c r="AE91" s="59" t="s">
        <v>1418</v>
      </c>
      <c r="AF91" s="59" t="s">
        <v>399</v>
      </c>
      <c r="AG91" s="59" t="s">
        <v>1783</v>
      </c>
      <c r="AH91" s="59" t="s">
        <v>1418</v>
      </c>
      <c r="AI91" s="59" t="s">
        <v>1418</v>
      </c>
      <c r="AJ91" s="59" t="s">
        <v>1418</v>
      </c>
      <c r="AK91" s="59" t="s">
        <v>1418</v>
      </c>
      <c r="AL91" s="59" t="s">
        <v>1418</v>
      </c>
      <c r="AM91" s="59" t="s">
        <v>1418</v>
      </c>
      <c r="AN91" s="59" t="s">
        <v>1418</v>
      </c>
      <c r="AO91" s="59" t="s">
        <v>1418</v>
      </c>
      <c r="AP91" s="59" t="s">
        <v>1418</v>
      </c>
      <c r="AQ91" s="59" t="s">
        <v>1420</v>
      </c>
    </row>
    <row r="92" spans="2:43">
      <c r="B92" s="29" t="str">
        <f t="shared" si="2"/>
        <v xml:space="preserve">  └  상품 정보 관리</v>
      </c>
      <c r="C92" s="59" t="s">
        <v>47</v>
      </c>
      <c r="D92" s="59"/>
      <c r="E92" s="59" t="s">
        <v>1786</v>
      </c>
      <c r="F92" s="59" t="s">
        <v>1787</v>
      </c>
      <c r="G92" s="59" t="s">
        <v>406</v>
      </c>
      <c r="H92" s="59" t="s">
        <v>1788</v>
      </c>
      <c r="I92" s="59" t="s">
        <v>1785</v>
      </c>
      <c r="J92" s="60">
        <v>3</v>
      </c>
      <c r="K92" s="60">
        <v>3</v>
      </c>
      <c r="L92" s="59" t="s">
        <v>1426</v>
      </c>
      <c r="M92" s="59" t="s">
        <v>399</v>
      </c>
      <c r="N92" s="59" t="s">
        <v>399</v>
      </c>
      <c r="O92" s="59" t="s">
        <v>399</v>
      </c>
      <c r="P92" s="59" t="s">
        <v>399</v>
      </c>
      <c r="Q92" s="59" t="s">
        <v>399</v>
      </c>
      <c r="R92" s="59" t="s">
        <v>399</v>
      </c>
      <c r="S92" s="59" t="s">
        <v>399</v>
      </c>
      <c r="T92" s="59" t="s">
        <v>400</v>
      </c>
      <c r="U92" s="59" t="s">
        <v>48</v>
      </c>
      <c r="V92" s="59" t="s">
        <v>400</v>
      </c>
      <c r="W92" s="59" t="s">
        <v>399</v>
      </c>
      <c r="X92" s="59" t="s">
        <v>399</v>
      </c>
      <c r="Y92" s="59" t="s">
        <v>48</v>
      </c>
      <c r="Z92" s="59" t="s">
        <v>48</v>
      </c>
      <c r="AA92" s="59" t="s">
        <v>48</v>
      </c>
      <c r="AB92" s="59" t="s">
        <v>48</v>
      </c>
      <c r="AC92" s="59" t="s">
        <v>48</v>
      </c>
      <c r="AD92" s="59" t="s">
        <v>1418</v>
      </c>
      <c r="AE92" s="59" t="s">
        <v>1418</v>
      </c>
      <c r="AF92" s="59" t="s">
        <v>399</v>
      </c>
      <c r="AG92" s="59" t="s">
        <v>1787</v>
      </c>
      <c r="AH92" s="59" t="s">
        <v>1418</v>
      </c>
      <c r="AI92" s="59" t="s">
        <v>1418</v>
      </c>
      <c r="AJ92" s="59" t="s">
        <v>1418</v>
      </c>
      <c r="AK92" s="59" t="s">
        <v>1418</v>
      </c>
      <c r="AL92" s="59" t="s">
        <v>1418</v>
      </c>
      <c r="AM92" s="59" t="s">
        <v>1418</v>
      </c>
      <c r="AN92" s="59" t="s">
        <v>1418</v>
      </c>
      <c r="AO92" s="59" t="s">
        <v>1418</v>
      </c>
      <c r="AP92" s="59" t="s">
        <v>1418</v>
      </c>
      <c r="AQ92" s="59" t="s">
        <v>1420</v>
      </c>
    </row>
    <row r="93" spans="2:43">
      <c r="B93" s="29" t="str">
        <f t="shared" si="2"/>
        <v xml:space="preserve">  └  계정 관리</v>
      </c>
      <c r="C93" s="59" t="s">
        <v>47</v>
      </c>
      <c r="D93" s="59"/>
      <c r="E93" s="59" t="s">
        <v>1789</v>
      </c>
      <c r="F93" s="59" t="s">
        <v>1790</v>
      </c>
      <c r="G93" s="59" t="s">
        <v>48</v>
      </c>
      <c r="H93" s="59" t="s">
        <v>48</v>
      </c>
      <c r="I93" s="59" t="s">
        <v>1791</v>
      </c>
      <c r="J93" s="60">
        <v>3</v>
      </c>
      <c r="K93" s="60">
        <v>3</v>
      </c>
      <c r="L93" s="59" t="s">
        <v>1468</v>
      </c>
      <c r="M93" s="59" t="s">
        <v>399</v>
      </c>
      <c r="N93" s="59" t="s">
        <v>399</v>
      </c>
      <c r="O93" s="59" t="s">
        <v>399</v>
      </c>
      <c r="P93" s="59" t="s">
        <v>399</v>
      </c>
      <c r="Q93" s="59" t="s">
        <v>399</v>
      </c>
      <c r="R93" s="59" t="s">
        <v>399</v>
      </c>
      <c r="S93" s="59" t="s">
        <v>399</v>
      </c>
      <c r="T93" s="59" t="s">
        <v>400</v>
      </c>
      <c r="U93" s="59" t="s">
        <v>48</v>
      </c>
      <c r="V93" s="59" t="s">
        <v>48</v>
      </c>
      <c r="W93" s="59" t="s">
        <v>399</v>
      </c>
      <c r="X93" s="59" t="s">
        <v>48</v>
      </c>
      <c r="Y93" s="59" t="s">
        <v>48</v>
      </c>
      <c r="Z93" s="59" t="s">
        <v>48</v>
      </c>
      <c r="AA93" s="59" t="s">
        <v>48</v>
      </c>
      <c r="AB93" s="59" t="s">
        <v>48</v>
      </c>
      <c r="AC93" s="59" t="s">
        <v>48</v>
      </c>
      <c r="AD93" s="59" t="s">
        <v>48</v>
      </c>
      <c r="AE93" s="59" t="s">
        <v>48</v>
      </c>
      <c r="AF93" s="59" t="s">
        <v>399</v>
      </c>
      <c r="AG93" s="59" t="s">
        <v>1792</v>
      </c>
      <c r="AH93" s="59" t="s">
        <v>1418</v>
      </c>
      <c r="AI93" s="59" t="s">
        <v>1418</v>
      </c>
      <c r="AJ93" s="59" t="s">
        <v>1419</v>
      </c>
      <c r="AK93" s="59" t="s">
        <v>1418</v>
      </c>
      <c r="AL93" s="59" t="s">
        <v>1418</v>
      </c>
      <c r="AM93" s="59" t="s">
        <v>1418</v>
      </c>
      <c r="AN93" s="59" t="s">
        <v>1418</v>
      </c>
      <c r="AO93" s="59" t="s">
        <v>1418</v>
      </c>
      <c r="AP93" s="59" t="s">
        <v>1418</v>
      </c>
      <c r="AQ93" s="59" t="s">
        <v>1420</v>
      </c>
    </row>
    <row r="94" spans="2:43">
      <c r="B94" s="29" t="str">
        <f t="shared" si="2"/>
        <v xml:space="preserve">    └  사용자 부서 관리</v>
      </c>
      <c r="C94" s="59" t="s">
        <v>47</v>
      </c>
      <c r="D94" s="59"/>
      <c r="E94" s="59" t="s">
        <v>1793</v>
      </c>
      <c r="F94" s="59" t="s">
        <v>1794</v>
      </c>
      <c r="G94" s="59" t="s">
        <v>407</v>
      </c>
      <c r="H94" s="59" t="s">
        <v>1795</v>
      </c>
      <c r="I94" s="59" t="s">
        <v>1789</v>
      </c>
      <c r="J94" s="60">
        <v>4</v>
      </c>
      <c r="K94" s="60">
        <v>4</v>
      </c>
      <c r="L94" s="59" t="s">
        <v>1426</v>
      </c>
      <c r="M94" s="59" t="s">
        <v>399</v>
      </c>
      <c r="N94" s="59" t="s">
        <v>399</v>
      </c>
      <c r="O94" s="59" t="s">
        <v>400</v>
      </c>
      <c r="P94" s="59" t="s">
        <v>400</v>
      </c>
      <c r="Q94" s="59" t="s">
        <v>399</v>
      </c>
      <c r="R94" s="59" t="s">
        <v>399</v>
      </c>
      <c r="S94" s="59" t="s">
        <v>400</v>
      </c>
      <c r="T94" s="59" t="s">
        <v>400</v>
      </c>
      <c r="U94" s="59" t="s">
        <v>48</v>
      </c>
      <c r="V94" s="59" t="s">
        <v>48</v>
      </c>
      <c r="W94" s="59" t="s">
        <v>399</v>
      </c>
      <c r="X94" s="59" t="s">
        <v>48</v>
      </c>
      <c r="Y94" s="59" t="s">
        <v>48</v>
      </c>
      <c r="Z94" s="59" t="s">
        <v>48</v>
      </c>
      <c r="AA94" s="59" t="s">
        <v>48</v>
      </c>
      <c r="AB94" s="59" t="s">
        <v>48</v>
      </c>
      <c r="AC94" s="59" t="s">
        <v>48</v>
      </c>
      <c r="AD94" s="59" t="s">
        <v>48</v>
      </c>
      <c r="AE94" s="59" t="s">
        <v>48</v>
      </c>
      <c r="AF94" s="59" t="s">
        <v>399</v>
      </c>
      <c r="AG94" s="59" t="s">
        <v>1796</v>
      </c>
      <c r="AH94" s="59" t="s">
        <v>1418</v>
      </c>
      <c r="AI94" s="59" t="s">
        <v>1418</v>
      </c>
      <c r="AJ94" s="59" t="s">
        <v>1419</v>
      </c>
      <c r="AK94" s="59" t="s">
        <v>1418</v>
      </c>
      <c r="AL94" s="59" t="s">
        <v>1418</v>
      </c>
      <c r="AM94" s="59" t="s">
        <v>1418</v>
      </c>
      <c r="AN94" s="59" t="s">
        <v>1418</v>
      </c>
      <c r="AO94" s="59" t="s">
        <v>1418</v>
      </c>
      <c r="AP94" s="59" t="s">
        <v>1418</v>
      </c>
      <c r="AQ94" s="59" t="s">
        <v>1420</v>
      </c>
    </row>
    <row r="95" spans="2:43">
      <c r="B95" s="29" t="str">
        <f t="shared" si="2"/>
        <v xml:space="preserve">    └  권한 관리</v>
      </c>
      <c r="C95" s="59" t="s">
        <v>47</v>
      </c>
      <c r="D95" s="59"/>
      <c r="E95" s="59" t="s">
        <v>1797</v>
      </c>
      <c r="F95" s="59" t="s">
        <v>1798</v>
      </c>
      <c r="G95" s="59" t="s">
        <v>48</v>
      </c>
      <c r="H95" s="59" t="s">
        <v>48</v>
      </c>
      <c r="I95" s="59" t="s">
        <v>1789</v>
      </c>
      <c r="J95" s="60">
        <v>4</v>
      </c>
      <c r="K95" s="60">
        <v>4</v>
      </c>
      <c r="L95" s="59" t="s">
        <v>1510</v>
      </c>
      <c r="M95" s="59" t="s">
        <v>399</v>
      </c>
      <c r="N95" s="59" t="s">
        <v>399</v>
      </c>
      <c r="O95" s="59" t="s">
        <v>399</v>
      </c>
      <c r="P95" s="59" t="s">
        <v>399</v>
      </c>
      <c r="Q95" s="59" t="s">
        <v>399</v>
      </c>
      <c r="R95" s="59" t="s">
        <v>399</v>
      </c>
      <c r="S95" s="59" t="s">
        <v>399</v>
      </c>
      <c r="T95" s="59" t="s">
        <v>400</v>
      </c>
      <c r="U95" s="59" t="s">
        <v>48</v>
      </c>
      <c r="V95" s="59" t="s">
        <v>48</v>
      </c>
      <c r="W95" s="59" t="s">
        <v>399</v>
      </c>
      <c r="X95" s="59" t="s">
        <v>48</v>
      </c>
      <c r="Y95" s="59" t="s">
        <v>48</v>
      </c>
      <c r="Z95" s="59" t="s">
        <v>48</v>
      </c>
      <c r="AA95" s="59" t="s">
        <v>48</v>
      </c>
      <c r="AB95" s="59" t="s">
        <v>48</v>
      </c>
      <c r="AC95" s="59" t="s">
        <v>48</v>
      </c>
      <c r="AD95" s="59" t="s">
        <v>1418</v>
      </c>
      <c r="AE95" s="59" t="s">
        <v>1418</v>
      </c>
      <c r="AF95" s="59" t="s">
        <v>399</v>
      </c>
      <c r="AG95" s="59" t="s">
        <v>1798</v>
      </c>
      <c r="AH95" s="59" t="s">
        <v>1418</v>
      </c>
      <c r="AI95" s="59" t="s">
        <v>1418</v>
      </c>
      <c r="AJ95" s="59" t="s">
        <v>1418</v>
      </c>
      <c r="AK95" s="59" t="s">
        <v>1418</v>
      </c>
      <c r="AL95" s="59" t="s">
        <v>1418</v>
      </c>
      <c r="AM95" s="59" t="s">
        <v>1418</v>
      </c>
      <c r="AN95" s="59" t="s">
        <v>1418</v>
      </c>
      <c r="AO95" s="59" t="s">
        <v>1418</v>
      </c>
      <c r="AP95" s="59" t="s">
        <v>1418</v>
      </c>
      <c r="AQ95" s="59" t="s">
        <v>1420</v>
      </c>
    </row>
    <row r="96" spans="2:43">
      <c r="B96" s="29" t="str">
        <f t="shared" si="2"/>
        <v xml:space="preserve">    └  사용자 계정 관리</v>
      </c>
      <c r="C96" s="59" t="s">
        <v>47</v>
      </c>
      <c r="D96" s="59"/>
      <c r="E96" s="59" t="s">
        <v>1799</v>
      </c>
      <c r="F96" s="59" t="s">
        <v>1800</v>
      </c>
      <c r="G96" s="59" t="s">
        <v>407</v>
      </c>
      <c r="H96" s="59" t="s">
        <v>1801</v>
      </c>
      <c r="I96" s="59" t="s">
        <v>1789</v>
      </c>
      <c r="J96" s="60">
        <v>4</v>
      </c>
      <c r="K96" s="60">
        <v>4</v>
      </c>
      <c r="L96" s="59" t="s">
        <v>400</v>
      </c>
      <c r="M96" s="59" t="s">
        <v>399</v>
      </c>
      <c r="N96" s="59" t="s">
        <v>399</v>
      </c>
      <c r="O96" s="59" t="s">
        <v>400</v>
      </c>
      <c r="P96" s="59" t="s">
        <v>400</v>
      </c>
      <c r="Q96" s="59" t="s">
        <v>399</v>
      </c>
      <c r="R96" s="59" t="s">
        <v>399</v>
      </c>
      <c r="S96" s="59" t="s">
        <v>400</v>
      </c>
      <c r="T96" s="59" t="s">
        <v>400</v>
      </c>
      <c r="U96" s="59" t="s">
        <v>48</v>
      </c>
      <c r="V96" s="59" t="s">
        <v>48</v>
      </c>
      <c r="W96" s="59" t="s">
        <v>399</v>
      </c>
      <c r="X96" s="59" t="s">
        <v>48</v>
      </c>
      <c r="Y96" s="59" t="s">
        <v>48</v>
      </c>
      <c r="Z96" s="59" t="s">
        <v>48</v>
      </c>
      <c r="AA96" s="59" t="s">
        <v>48</v>
      </c>
      <c r="AB96" s="59" t="s">
        <v>48</v>
      </c>
      <c r="AC96" s="59" t="s">
        <v>48</v>
      </c>
      <c r="AD96" s="59" t="s">
        <v>48</v>
      </c>
      <c r="AE96" s="59" t="s">
        <v>48</v>
      </c>
      <c r="AF96" s="59" t="s">
        <v>399</v>
      </c>
      <c r="AG96" s="59" t="s">
        <v>1802</v>
      </c>
      <c r="AH96" s="59" t="s">
        <v>1418</v>
      </c>
      <c r="AI96" s="59" t="s">
        <v>1418</v>
      </c>
      <c r="AJ96" s="59" t="s">
        <v>1419</v>
      </c>
      <c r="AK96" s="59" t="s">
        <v>1418</v>
      </c>
      <c r="AL96" s="59" t="s">
        <v>1418</v>
      </c>
      <c r="AM96" s="59" t="s">
        <v>1418</v>
      </c>
      <c r="AN96" s="59" t="s">
        <v>1418</v>
      </c>
      <c r="AO96" s="59" t="s">
        <v>1418</v>
      </c>
      <c r="AP96" s="59" t="s">
        <v>1418</v>
      </c>
      <c r="AQ96" s="59" t="s">
        <v>1420</v>
      </c>
    </row>
    <row r="97" spans="2:43">
      <c r="B97" s="29" t="str">
        <f t="shared" ref="B97:B128" si="3">IF(J97="","",IF(J97=1,"",IF(J97=2,"└ ",IF(J97=3,"  └ ",IF(J97=4,"    └ ",IF(J97=5,"        └ ",IF(J97=6,"         └ ",IF(J97=7="            └ ",""))))))))&amp;F97</f>
        <v xml:space="preserve">    └  사용자 권한 관리</v>
      </c>
      <c r="C97" s="59" t="s">
        <v>47</v>
      </c>
      <c r="D97" s="59"/>
      <c r="E97" s="59" t="s">
        <v>1803</v>
      </c>
      <c r="F97" s="59" t="s">
        <v>1804</v>
      </c>
      <c r="G97" s="59" t="s">
        <v>407</v>
      </c>
      <c r="H97" s="59" t="s">
        <v>1805</v>
      </c>
      <c r="I97" s="59" t="s">
        <v>1789</v>
      </c>
      <c r="J97" s="60">
        <v>4</v>
      </c>
      <c r="K97" s="60">
        <v>5</v>
      </c>
      <c r="L97" s="59" t="s">
        <v>1468</v>
      </c>
      <c r="M97" s="59" t="s">
        <v>399</v>
      </c>
      <c r="N97" s="59" t="s">
        <v>399</v>
      </c>
      <c r="O97" s="59" t="s">
        <v>399</v>
      </c>
      <c r="P97" s="59" t="s">
        <v>400</v>
      </c>
      <c r="Q97" s="59" t="s">
        <v>399</v>
      </c>
      <c r="R97" s="59" t="s">
        <v>399</v>
      </c>
      <c r="S97" s="59" t="s">
        <v>399</v>
      </c>
      <c r="T97" s="59" t="s">
        <v>402</v>
      </c>
      <c r="U97" s="59" t="s">
        <v>48</v>
      </c>
      <c r="V97" s="59" t="s">
        <v>48</v>
      </c>
      <c r="W97" s="59" t="s">
        <v>399</v>
      </c>
      <c r="X97" s="59" t="s">
        <v>48</v>
      </c>
      <c r="Y97" s="59" t="s">
        <v>48</v>
      </c>
      <c r="Z97" s="59" t="s">
        <v>48</v>
      </c>
      <c r="AA97" s="59" t="s">
        <v>48</v>
      </c>
      <c r="AB97" s="59" t="s">
        <v>48</v>
      </c>
      <c r="AC97" s="59" t="s">
        <v>48</v>
      </c>
      <c r="AD97" s="59" t="s">
        <v>48</v>
      </c>
      <c r="AE97" s="59" t="s">
        <v>48</v>
      </c>
      <c r="AF97" s="59" t="s">
        <v>399</v>
      </c>
      <c r="AG97" s="59" t="s">
        <v>1806</v>
      </c>
      <c r="AH97" s="59" t="s">
        <v>1418</v>
      </c>
      <c r="AI97" s="59" t="s">
        <v>1418</v>
      </c>
      <c r="AJ97" s="59" t="s">
        <v>1419</v>
      </c>
      <c r="AK97" s="59" t="s">
        <v>1418</v>
      </c>
      <c r="AL97" s="59" t="s">
        <v>1418</v>
      </c>
      <c r="AM97" s="59" t="s">
        <v>1418</v>
      </c>
      <c r="AN97" s="59" t="s">
        <v>1418</v>
      </c>
      <c r="AO97" s="59" t="s">
        <v>1418</v>
      </c>
      <c r="AP97" s="59" t="s">
        <v>1418</v>
      </c>
      <c r="AQ97" s="59" t="s">
        <v>1420</v>
      </c>
    </row>
    <row r="98" spans="2:43">
      <c r="B98" s="29" t="str">
        <f t="shared" si="3"/>
        <v xml:space="preserve">  └  서버 관리</v>
      </c>
      <c r="C98" s="59" t="s">
        <v>47</v>
      </c>
      <c r="D98" s="59"/>
      <c r="E98" s="59" t="s">
        <v>1807</v>
      </c>
      <c r="F98" s="59" t="s">
        <v>1808</v>
      </c>
      <c r="G98" s="59" t="s">
        <v>1770</v>
      </c>
      <c r="H98" s="59" t="s">
        <v>48</v>
      </c>
      <c r="I98" s="59" t="s">
        <v>1791</v>
      </c>
      <c r="J98" s="60">
        <v>3</v>
      </c>
      <c r="K98" s="60">
        <v>3</v>
      </c>
      <c r="L98" s="59" t="s">
        <v>1539</v>
      </c>
      <c r="M98" s="59" t="s">
        <v>399</v>
      </c>
      <c r="N98" s="59" t="s">
        <v>399</v>
      </c>
      <c r="O98" s="59" t="s">
        <v>399</v>
      </c>
      <c r="P98" s="59" t="s">
        <v>399</v>
      </c>
      <c r="Q98" s="59" t="s">
        <v>399</v>
      </c>
      <c r="R98" s="59" t="s">
        <v>399</v>
      </c>
      <c r="S98" s="59" t="s">
        <v>399</v>
      </c>
      <c r="T98" s="59" t="s">
        <v>400</v>
      </c>
      <c r="U98" s="59" t="s">
        <v>48</v>
      </c>
      <c r="V98" s="59" t="s">
        <v>48</v>
      </c>
      <c r="W98" s="59" t="s">
        <v>399</v>
      </c>
      <c r="X98" s="59" t="s">
        <v>48</v>
      </c>
      <c r="Y98" s="59" t="s">
        <v>48</v>
      </c>
      <c r="Z98" s="59" t="s">
        <v>48</v>
      </c>
      <c r="AA98" s="59" t="s">
        <v>48</v>
      </c>
      <c r="AB98" s="59" t="s">
        <v>48</v>
      </c>
      <c r="AC98" s="59" t="s">
        <v>48</v>
      </c>
      <c r="AD98" s="59" t="s">
        <v>1418</v>
      </c>
      <c r="AE98" s="59" t="s">
        <v>1418</v>
      </c>
      <c r="AF98" s="59" t="s">
        <v>399</v>
      </c>
      <c r="AG98" s="59" t="s">
        <v>1808</v>
      </c>
      <c r="AH98" s="59" t="s">
        <v>1418</v>
      </c>
      <c r="AI98" s="59" t="s">
        <v>1418</v>
      </c>
      <c r="AJ98" s="59" t="s">
        <v>1418</v>
      </c>
      <c r="AK98" s="59" t="s">
        <v>1418</v>
      </c>
      <c r="AL98" s="59" t="s">
        <v>1418</v>
      </c>
      <c r="AM98" s="59" t="s">
        <v>1418</v>
      </c>
      <c r="AN98" s="59" t="s">
        <v>1418</v>
      </c>
      <c r="AO98" s="59" t="s">
        <v>1418</v>
      </c>
      <c r="AP98" s="59" t="s">
        <v>1418</v>
      </c>
      <c r="AQ98" s="59" t="s">
        <v>1420</v>
      </c>
    </row>
    <row r="99" spans="2:43">
      <c r="B99" s="29" t="str">
        <f t="shared" si="3"/>
        <v xml:space="preserve">  └  기초 코드 관리(System)</v>
      </c>
      <c r="C99" s="59" t="s">
        <v>47</v>
      </c>
      <c r="D99" s="59"/>
      <c r="E99" s="59" t="s">
        <v>1809</v>
      </c>
      <c r="F99" s="59" t="s">
        <v>1810</v>
      </c>
      <c r="G99" s="59" t="s">
        <v>1811</v>
      </c>
      <c r="H99" s="59" t="s">
        <v>1775</v>
      </c>
      <c r="I99" s="59" t="s">
        <v>1791</v>
      </c>
      <c r="J99" s="60">
        <v>3</v>
      </c>
      <c r="K99" s="60">
        <v>3</v>
      </c>
      <c r="L99" s="59" t="s">
        <v>1441</v>
      </c>
      <c r="M99" s="59" t="s">
        <v>399</v>
      </c>
      <c r="N99" s="59" t="s">
        <v>399</v>
      </c>
      <c r="O99" s="59" t="s">
        <v>400</v>
      </c>
      <c r="P99" s="59" t="s">
        <v>400</v>
      </c>
      <c r="Q99" s="59" t="s">
        <v>400</v>
      </c>
      <c r="R99" s="59" t="s">
        <v>399</v>
      </c>
      <c r="S99" s="59" t="s">
        <v>400</v>
      </c>
      <c r="T99" s="59" t="s">
        <v>400</v>
      </c>
      <c r="U99" s="59" t="s">
        <v>48</v>
      </c>
      <c r="V99" s="59" t="s">
        <v>48</v>
      </c>
      <c r="W99" s="59" t="s">
        <v>399</v>
      </c>
      <c r="X99" s="59" t="s">
        <v>48</v>
      </c>
      <c r="Y99" s="59" t="s">
        <v>48</v>
      </c>
      <c r="Z99" s="59" t="s">
        <v>48</v>
      </c>
      <c r="AA99" s="59" t="s">
        <v>48</v>
      </c>
      <c r="AB99" s="59" t="s">
        <v>48</v>
      </c>
      <c r="AC99" s="59" t="s">
        <v>48</v>
      </c>
      <c r="AD99" s="59" t="s">
        <v>48</v>
      </c>
      <c r="AE99" s="59" t="s">
        <v>48</v>
      </c>
      <c r="AF99" s="59" t="s">
        <v>399</v>
      </c>
      <c r="AG99" s="59" t="s">
        <v>1812</v>
      </c>
      <c r="AH99" s="59" t="s">
        <v>1418</v>
      </c>
      <c r="AI99" s="59" t="s">
        <v>1418</v>
      </c>
      <c r="AJ99" s="59" t="s">
        <v>1419</v>
      </c>
      <c r="AK99" s="59" t="s">
        <v>1418</v>
      </c>
      <c r="AL99" s="59" t="s">
        <v>1418</v>
      </c>
      <c r="AM99" s="59" t="s">
        <v>1418</v>
      </c>
      <c r="AN99" s="59" t="s">
        <v>1418</v>
      </c>
      <c r="AO99" s="59" t="s">
        <v>1418</v>
      </c>
      <c r="AP99" s="59" t="s">
        <v>1418</v>
      </c>
      <c r="AQ99" s="59" t="s">
        <v>1420</v>
      </c>
    </row>
    <row r="100" spans="2:43">
      <c r="B100" s="29" t="str">
        <f t="shared" si="3"/>
        <v xml:space="preserve">  └  인증 관리</v>
      </c>
      <c r="C100" s="59" t="s">
        <v>47</v>
      </c>
      <c r="D100" s="59"/>
      <c r="E100" s="59" t="s">
        <v>1813</v>
      </c>
      <c r="F100" s="59" t="s">
        <v>1814</v>
      </c>
      <c r="G100" s="59" t="s">
        <v>48</v>
      </c>
      <c r="H100" s="59" t="s">
        <v>48</v>
      </c>
      <c r="I100" s="59" t="s">
        <v>1791</v>
      </c>
      <c r="J100" s="60">
        <v>3</v>
      </c>
      <c r="K100" s="60">
        <v>3</v>
      </c>
      <c r="L100" s="59" t="s">
        <v>1445</v>
      </c>
      <c r="M100" s="59" t="s">
        <v>399</v>
      </c>
      <c r="N100" s="59" t="s">
        <v>399</v>
      </c>
      <c r="O100" s="59" t="s">
        <v>399</v>
      </c>
      <c r="P100" s="59" t="s">
        <v>399</v>
      </c>
      <c r="Q100" s="59" t="s">
        <v>399</v>
      </c>
      <c r="R100" s="59" t="s">
        <v>399</v>
      </c>
      <c r="S100" s="59" t="s">
        <v>399</v>
      </c>
      <c r="T100" s="59" t="s">
        <v>400</v>
      </c>
      <c r="U100" s="59" t="s">
        <v>48</v>
      </c>
      <c r="V100" s="59" t="s">
        <v>48</v>
      </c>
      <c r="W100" s="59" t="s">
        <v>400</v>
      </c>
      <c r="X100" s="59" t="s">
        <v>48</v>
      </c>
      <c r="Y100" s="59" t="s">
        <v>48</v>
      </c>
      <c r="Z100" s="59" t="s">
        <v>48</v>
      </c>
      <c r="AA100" s="59" t="s">
        <v>48</v>
      </c>
      <c r="AB100" s="59" t="s">
        <v>48</v>
      </c>
      <c r="AC100" s="59" t="s">
        <v>48</v>
      </c>
      <c r="AD100" s="59" t="s">
        <v>1418</v>
      </c>
      <c r="AE100" s="59" t="s">
        <v>1418</v>
      </c>
      <c r="AF100" s="59" t="s">
        <v>399</v>
      </c>
      <c r="AG100" s="59" t="s">
        <v>1814</v>
      </c>
      <c r="AH100" s="59" t="s">
        <v>1418</v>
      </c>
      <c r="AI100" s="59" t="s">
        <v>1418</v>
      </c>
      <c r="AJ100" s="59" t="s">
        <v>1418</v>
      </c>
      <c r="AK100" s="59" t="s">
        <v>1418</v>
      </c>
      <c r="AL100" s="59" t="s">
        <v>1418</v>
      </c>
      <c r="AM100" s="59" t="s">
        <v>1418</v>
      </c>
      <c r="AN100" s="59" t="s">
        <v>1418</v>
      </c>
      <c r="AO100" s="59" t="s">
        <v>1418</v>
      </c>
      <c r="AP100" s="59" t="s">
        <v>1418</v>
      </c>
      <c r="AQ100" s="59" t="s">
        <v>1420</v>
      </c>
    </row>
    <row r="101" spans="2:43">
      <c r="B101" s="29" t="str">
        <f t="shared" si="3"/>
        <v xml:space="preserve">  └  공지사항 조회</v>
      </c>
      <c r="C101" s="59" t="s">
        <v>47</v>
      </c>
      <c r="D101" s="59"/>
      <c r="E101" s="59" t="s">
        <v>1815</v>
      </c>
      <c r="F101" s="59" t="s">
        <v>1816</v>
      </c>
      <c r="G101" s="59" t="s">
        <v>1430</v>
      </c>
      <c r="H101" s="59" t="s">
        <v>1817</v>
      </c>
      <c r="I101" s="59" t="s">
        <v>1421</v>
      </c>
      <c r="J101" s="60">
        <v>3</v>
      </c>
      <c r="K101" s="60">
        <v>3</v>
      </c>
      <c r="L101" s="59" t="s">
        <v>400</v>
      </c>
      <c r="M101" s="59" t="s">
        <v>399</v>
      </c>
      <c r="N101" s="59" t="s">
        <v>399</v>
      </c>
      <c r="O101" s="59" t="s">
        <v>399</v>
      </c>
      <c r="P101" s="59" t="s">
        <v>399</v>
      </c>
      <c r="Q101" s="59" t="s">
        <v>399</v>
      </c>
      <c r="R101" s="59" t="s">
        <v>400</v>
      </c>
      <c r="S101" s="59" t="s">
        <v>400</v>
      </c>
      <c r="T101" s="59" t="s">
        <v>400</v>
      </c>
      <c r="U101" s="59" t="s">
        <v>48</v>
      </c>
      <c r="V101" s="59" t="s">
        <v>48</v>
      </c>
      <c r="W101" s="59" t="s">
        <v>48</v>
      </c>
      <c r="X101" s="59" t="s">
        <v>48</v>
      </c>
      <c r="Y101" s="59" t="s">
        <v>48</v>
      </c>
      <c r="Z101" s="59" t="s">
        <v>48</v>
      </c>
      <c r="AA101" s="59" t="s">
        <v>48</v>
      </c>
      <c r="AB101" s="59" t="s">
        <v>48</v>
      </c>
      <c r="AC101" s="59" t="s">
        <v>48</v>
      </c>
      <c r="AD101" s="59" t="s">
        <v>48</v>
      </c>
      <c r="AE101" s="59" t="s">
        <v>48</v>
      </c>
      <c r="AF101" s="59" t="s">
        <v>399</v>
      </c>
      <c r="AG101" s="59" t="s">
        <v>1818</v>
      </c>
      <c r="AH101" s="59" t="s">
        <v>1418</v>
      </c>
      <c r="AI101" s="59" t="s">
        <v>1418</v>
      </c>
      <c r="AJ101" s="59" t="s">
        <v>1419</v>
      </c>
      <c r="AK101" s="59" t="s">
        <v>1418</v>
      </c>
      <c r="AL101" s="59" t="s">
        <v>1418</v>
      </c>
      <c r="AM101" s="59" t="s">
        <v>1418</v>
      </c>
      <c r="AN101" s="59" t="s">
        <v>1418</v>
      </c>
      <c r="AO101" s="59" t="s">
        <v>1418</v>
      </c>
      <c r="AP101" s="59" t="s">
        <v>1418</v>
      </c>
      <c r="AQ101" s="59" t="s">
        <v>1420</v>
      </c>
    </row>
    <row r="102" spans="2:43">
      <c r="B102" s="29" t="str">
        <f t="shared" si="3"/>
        <v xml:space="preserve">  └  Home</v>
      </c>
      <c r="C102" s="59" t="s">
        <v>47</v>
      </c>
      <c r="D102" s="59"/>
      <c r="E102" s="59" t="s">
        <v>1819</v>
      </c>
      <c r="F102" s="59" t="s">
        <v>1820</v>
      </c>
      <c r="G102" s="59" t="s">
        <v>1430</v>
      </c>
      <c r="H102" s="59" t="s">
        <v>1821</v>
      </c>
      <c r="I102" s="59" t="s">
        <v>1421</v>
      </c>
      <c r="J102" s="60">
        <v>3</v>
      </c>
      <c r="K102" s="60">
        <v>3</v>
      </c>
      <c r="L102" s="59" t="s">
        <v>1426</v>
      </c>
      <c r="M102" s="59" t="s">
        <v>399</v>
      </c>
      <c r="N102" s="59" t="s">
        <v>399</v>
      </c>
      <c r="O102" s="59" t="s">
        <v>399</v>
      </c>
      <c r="P102" s="59" t="s">
        <v>399</v>
      </c>
      <c r="Q102" s="59" t="s">
        <v>399</v>
      </c>
      <c r="R102" s="59" t="s">
        <v>400</v>
      </c>
      <c r="S102" s="59" t="s">
        <v>400</v>
      </c>
      <c r="T102" s="59" t="s">
        <v>400</v>
      </c>
      <c r="U102" s="59" t="s">
        <v>48</v>
      </c>
      <c r="V102" s="59" t="s">
        <v>48</v>
      </c>
      <c r="W102" s="59" t="s">
        <v>48</v>
      </c>
      <c r="X102" s="59" t="s">
        <v>48</v>
      </c>
      <c r="Y102" s="59" t="s">
        <v>48</v>
      </c>
      <c r="Z102" s="59" t="s">
        <v>48</v>
      </c>
      <c r="AA102" s="59" t="s">
        <v>48</v>
      </c>
      <c r="AB102" s="59" t="s">
        <v>48</v>
      </c>
      <c r="AC102" s="59" t="s">
        <v>48</v>
      </c>
      <c r="AD102" s="59" t="s">
        <v>48</v>
      </c>
      <c r="AE102" s="59" t="s">
        <v>48</v>
      </c>
      <c r="AF102" s="59" t="s">
        <v>399</v>
      </c>
      <c r="AG102" s="59" t="s">
        <v>1822</v>
      </c>
      <c r="AH102" s="59" t="s">
        <v>1418</v>
      </c>
      <c r="AI102" s="59" t="s">
        <v>1418</v>
      </c>
      <c r="AJ102" s="59" t="s">
        <v>1419</v>
      </c>
      <c r="AK102" s="59" t="s">
        <v>1418</v>
      </c>
      <c r="AL102" s="59" t="s">
        <v>1418</v>
      </c>
      <c r="AM102" s="59" t="s">
        <v>1418</v>
      </c>
      <c r="AN102" s="59" t="s">
        <v>1418</v>
      </c>
      <c r="AO102" s="59" t="s">
        <v>1418</v>
      </c>
      <c r="AP102" s="59" t="s">
        <v>1418</v>
      </c>
      <c r="AQ102" s="59" t="s">
        <v>1420</v>
      </c>
    </row>
    <row r="103" spans="2:43">
      <c r="B103" s="29" t="str">
        <f t="shared" si="3"/>
        <v/>
      </c>
    </row>
    <row r="104" spans="2:43">
      <c r="B104" s="29" t="str">
        <f t="shared" si="3"/>
        <v/>
      </c>
    </row>
    <row r="105" spans="2:43">
      <c r="B105" s="29" t="str">
        <f t="shared" si="3"/>
        <v/>
      </c>
    </row>
    <row r="106" spans="2:43">
      <c r="B106" s="29" t="str">
        <f t="shared" si="3"/>
        <v/>
      </c>
    </row>
    <row r="107" spans="2:43">
      <c r="B107" s="29" t="str">
        <f t="shared" si="3"/>
        <v/>
      </c>
    </row>
    <row r="108" spans="2:43">
      <c r="B108" s="29" t="str">
        <f t="shared" si="3"/>
        <v/>
      </c>
    </row>
    <row r="109" spans="2:43">
      <c r="B109" s="29" t="str">
        <f t="shared" si="3"/>
        <v/>
      </c>
    </row>
    <row r="110" spans="2:43">
      <c r="B110" s="29" t="str">
        <f t="shared" si="3"/>
        <v/>
      </c>
    </row>
    <row r="111" spans="2:43">
      <c r="B111" s="29" t="str">
        <f t="shared" si="3"/>
        <v/>
      </c>
    </row>
    <row r="112" spans="2:43">
      <c r="B112" s="29" t="str">
        <f t="shared" si="3"/>
        <v/>
      </c>
    </row>
    <row r="113" spans="2:2">
      <c r="B113" s="29" t="str">
        <f t="shared" si="3"/>
        <v/>
      </c>
    </row>
    <row r="114" spans="2:2">
      <c r="B114" s="29" t="str">
        <f t="shared" si="3"/>
        <v/>
      </c>
    </row>
    <row r="115" spans="2:2">
      <c r="B115" s="29" t="str">
        <f t="shared" si="3"/>
        <v/>
      </c>
    </row>
    <row r="116" spans="2:2">
      <c r="B116" s="29" t="str">
        <f t="shared" si="3"/>
        <v/>
      </c>
    </row>
    <row r="117" spans="2:2">
      <c r="B117" s="29" t="str">
        <f t="shared" si="3"/>
        <v/>
      </c>
    </row>
    <row r="118" spans="2:2">
      <c r="B118" s="29" t="str">
        <f t="shared" si="3"/>
        <v/>
      </c>
    </row>
    <row r="119" spans="2:2">
      <c r="B119" s="29" t="str">
        <f t="shared" si="3"/>
        <v/>
      </c>
    </row>
    <row r="120" spans="2:2">
      <c r="B120" s="29" t="str">
        <f t="shared" si="3"/>
        <v/>
      </c>
    </row>
    <row r="121" spans="2:2">
      <c r="B121" s="29" t="str">
        <f t="shared" si="3"/>
        <v/>
      </c>
    </row>
    <row r="122" spans="2:2">
      <c r="B122" s="29" t="str">
        <f t="shared" si="3"/>
        <v/>
      </c>
    </row>
    <row r="123" spans="2:2">
      <c r="B123" s="29" t="str">
        <f t="shared" si="3"/>
        <v/>
      </c>
    </row>
    <row r="124" spans="2:2">
      <c r="B124" s="29" t="str">
        <f t="shared" si="3"/>
        <v/>
      </c>
    </row>
    <row r="125" spans="2:2">
      <c r="B125" s="29" t="str">
        <f t="shared" si="3"/>
        <v/>
      </c>
    </row>
    <row r="126" spans="2:2">
      <c r="B126" s="29" t="str">
        <f t="shared" si="3"/>
        <v/>
      </c>
    </row>
    <row r="127" spans="2:2">
      <c r="B127" s="29" t="str">
        <f t="shared" si="3"/>
        <v/>
      </c>
    </row>
    <row r="128" spans="2:2">
      <c r="B128" s="29" t="str">
        <f t="shared" si="3"/>
        <v/>
      </c>
    </row>
    <row r="129" spans="2:2">
      <c r="B129" s="29" t="str">
        <f t="shared" ref="B129:B140" si="4">IF(J129="","",IF(J129=1,"",IF(J129=2,"└ ",IF(J129=3,"  └ ",IF(J129=4,"    └ ",IF(J129=5,"        └ ",IF(J129=6,"         └ ",IF(J129=7="            └ ",""))))))))&amp;F129</f>
        <v/>
      </c>
    </row>
    <row r="130" spans="2:2">
      <c r="B130" s="29" t="str">
        <f t="shared" si="4"/>
        <v/>
      </c>
    </row>
    <row r="131" spans="2:2">
      <c r="B131" s="29" t="str">
        <f t="shared" si="4"/>
        <v/>
      </c>
    </row>
    <row r="132" spans="2:2">
      <c r="B132" s="29" t="str">
        <f t="shared" si="4"/>
        <v/>
      </c>
    </row>
    <row r="133" spans="2:2">
      <c r="B133" s="29" t="str">
        <f t="shared" si="4"/>
        <v/>
      </c>
    </row>
    <row r="134" spans="2:2">
      <c r="B134" s="29" t="str">
        <f t="shared" si="4"/>
        <v/>
      </c>
    </row>
    <row r="135" spans="2:2">
      <c r="B135" s="29" t="str">
        <f t="shared" si="4"/>
        <v/>
      </c>
    </row>
    <row r="136" spans="2:2">
      <c r="B136" s="29" t="str">
        <f t="shared" si="4"/>
        <v/>
      </c>
    </row>
    <row r="137" spans="2:2">
      <c r="B137" s="29" t="str">
        <f t="shared" si="4"/>
        <v/>
      </c>
    </row>
    <row r="138" spans="2:2">
      <c r="B138" s="29" t="str">
        <f t="shared" si="4"/>
        <v/>
      </c>
    </row>
    <row r="139" spans="2:2">
      <c r="B139" s="29" t="str">
        <f t="shared" si="4"/>
        <v/>
      </c>
    </row>
    <row r="140" spans="2:2">
      <c r="B140" s="29" t="str">
        <f t="shared" si="4"/>
        <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58ABB-886C-4E63-8F4A-6C8DC8D10712}">
  <sheetPr codeName="Sheet6"/>
  <dimension ref="A1:D83"/>
  <sheetViews>
    <sheetView workbookViewId="0">
      <selection activeCell="A16" sqref="A16"/>
    </sheetView>
  </sheetViews>
  <sheetFormatPr defaultRowHeight="17"/>
  <cols>
    <col min="1" max="1" width="15.1796875" style="113" bestFit="1" customWidth="1"/>
    <col min="2" max="2" width="17.26953125" style="113" bestFit="1" customWidth="1"/>
    <col min="3" max="3" width="21.453125" style="129" bestFit="1" customWidth="1"/>
    <col min="4" max="4" width="79.7265625" style="130" customWidth="1"/>
  </cols>
  <sheetData>
    <row r="1" spans="1:4">
      <c r="A1" s="131" t="s">
        <v>2273</v>
      </c>
      <c r="B1" s="131" t="s">
        <v>2274</v>
      </c>
      <c r="C1" s="132" t="s">
        <v>2002</v>
      </c>
      <c r="D1" s="133" t="s">
        <v>2275</v>
      </c>
    </row>
    <row r="2" spans="1:4">
      <c r="A2" s="112" t="s">
        <v>2276</v>
      </c>
      <c r="B2" s="112" t="s">
        <v>2280</v>
      </c>
      <c r="C2" s="134" t="s">
        <v>58</v>
      </c>
      <c r="D2" s="135" t="s">
        <v>2153</v>
      </c>
    </row>
    <row r="3" spans="1:4">
      <c r="A3" s="112"/>
      <c r="B3" s="112"/>
      <c r="C3" s="134" t="s">
        <v>60</v>
      </c>
      <c r="D3" s="135" t="s">
        <v>2154</v>
      </c>
    </row>
    <row r="4" spans="1:4">
      <c r="A4" s="112"/>
      <c r="B4" s="112"/>
      <c r="C4" s="134" t="s">
        <v>2155</v>
      </c>
      <c r="D4" s="135" t="s">
        <v>2156</v>
      </c>
    </row>
    <row r="5" spans="1:4">
      <c r="A5" s="112"/>
      <c r="B5" s="112"/>
      <c r="C5" s="134" t="s">
        <v>2157</v>
      </c>
      <c r="D5" s="135" t="s">
        <v>2158</v>
      </c>
    </row>
    <row r="6" spans="1:4">
      <c r="A6" s="112"/>
      <c r="B6" s="112"/>
      <c r="C6" s="134" t="s">
        <v>707</v>
      </c>
      <c r="D6" s="135" t="s">
        <v>2159</v>
      </c>
    </row>
    <row r="7" spans="1:4">
      <c r="A7" s="112"/>
      <c r="B7" s="112"/>
      <c r="C7" s="134" t="s">
        <v>2160</v>
      </c>
      <c r="D7" s="135" t="s">
        <v>2161</v>
      </c>
    </row>
    <row r="8" spans="1:4">
      <c r="A8" s="112"/>
      <c r="B8" s="112"/>
      <c r="C8" s="134" t="s">
        <v>2162</v>
      </c>
      <c r="D8" s="135" t="s">
        <v>2163</v>
      </c>
    </row>
    <row r="9" spans="1:4">
      <c r="A9" s="112"/>
      <c r="B9" s="112" t="s">
        <v>1014</v>
      </c>
      <c r="C9" s="134" t="s">
        <v>75</v>
      </c>
      <c r="D9" s="135" t="s">
        <v>2164</v>
      </c>
    </row>
    <row r="10" spans="1:4">
      <c r="A10" s="112"/>
      <c r="B10" s="112"/>
      <c r="C10" s="134" t="s">
        <v>65</v>
      </c>
      <c r="D10" s="135" t="s">
        <v>2165</v>
      </c>
    </row>
    <row r="11" spans="1:4" ht="29">
      <c r="A11" s="112"/>
      <c r="B11" s="112"/>
      <c r="C11" s="134" t="s">
        <v>63</v>
      </c>
      <c r="D11" s="135" t="s">
        <v>2075</v>
      </c>
    </row>
    <row r="12" spans="1:4">
      <c r="A12" s="112"/>
      <c r="B12" s="112"/>
      <c r="C12" s="134" t="s">
        <v>69</v>
      </c>
      <c r="D12" s="135" t="s">
        <v>2166</v>
      </c>
    </row>
    <row r="13" spans="1:4">
      <c r="A13" s="112"/>
      <c r="B13" s="112"/>
      <c r="C13" s="134" t="s">
        <v>71</v>
      </c>
      <c r="D13" s="135" t="s">
        <v>2167</v>
      </c>
    </row>
    <row r="14" spans="1:4">
      <c r="A14" s="112"/>
      <c r="B14" s="112"/>
      <c r="C14" s="134" t="s">
        <v>2168</v>
      </c>
      <c r="D14" s="135" t="s">
        <v>2076</v>
      </c>
    </row>
    <row r="15" spans="1:4">
      <c r="A15" s="112"/>
      <c r="B15" s="112" t="s">
        <v>2277</v>
      </c>
      <c r="C15" s="134" t="s">
        <v>2169</v>
      </c>
      <c r="D15" s="135" t="s">
        <v>2170</v>
      </c>
    </row>
    <row r="16" spans="1:4">
      <c r="A16" s="112"/>
      <c r="B16" s="112"/>
      <c r="C16" s="134" t="s">
        <v>2171</v>
      </c>
      <c r="D16" s="135" t="s">
        <v>2172</v>
      </c>
    </row>
    <row r="17" spans="1:4">
      <c r="A17" s="112"/>
      <c r="B17" s="112"/>
      <c r="C17" s="134" t="s">
        <v>2173</v>
      </c>
      <c r="D17" s="135" t="s">
        <v>2174</v>
      </c>
    </row>
    <row r="18" spans="1:4">
      <c r="A18" s="112"/>
      <c r="B18" s="112"/>
      <c r="C18" s="134" t="s">
        <v>2175</v>
      </c>
      <c r="D18" s="135" t="s">
        <v>2077</v>
      </c>
    </row>
    <row r="19" spans="1:4">
      <c r="A19" s="112"/>
      <c r="B19" s="112"/>
      <c r="C19" s="134" t="s">
        <v>2176</v>
      </c>
      <c r="D19" s="135" t="s">
        <v>2177</v>
      </c>
    </row>
    <row r="20" spans="1:4">
      <c r="A20" s="112"/>
      <c r="B20" s="112"/>
      <c r="C20" s="134" t="s">
        <v>2178</v>
      </c>
      <c r="D20" s="135" t="s">
        <v>2179</v>
      </c>
    </row>
    <row r="21" spans="1:4">
      <c r="A21" s="112"/>
      <c r="B21" s="112" t="s">
        <v>2278</v>
      </c>
      <c r="C21" s="134" t="s">
        <v>2180</v>
      </c>
      <c r="D21" s="135" t="s">
        <v>2079</v>
      </c>
    </row>
    <row r="22" spans="1:4">
      <c r="A22" s="112"/>
      <c r="B22" s="112"/>
      <c r="C22" s="134" t="s">
        <v>2181</v>
      </c>
      <c r="D22" s="135" t="s">
        <v>2182</v>
      </c>
    </row>
    <row r="23" spans="1:4">
      <c r="A23" s="112"/>
      <c r="B23" s="112"/>
      <c r="C23" s="134" t="s">
        <v>2183</v>
      </c>
      <c r="D23" s="135" t="s">
        <v>2184</v>
      </c>
    </row>
    <row r="24" spans="1:4">
      <c r="A24" s="112" t="s">
        <v>123</v>
      </c>
      <c r="B24" s="112" t="s">
        <v>165</v>
      </c>
      <c r="C24" s="134" t="s">
        <v>2185</v>
      </c>
      <c r="D24" s="135" t="s">
        <v>2186</v>
      </c>
    </row>
    <row r="25" spans="1:4">
      <c r="A25" s="112"/>
      <c r="B25" s="112" t="s">
        <v>2279</v>
      </c>
      <c r="C25" s="134" t="s">
        <v>2187</v>
      </c>
      <c r="D25" s="135" t="s">
        <v>2188</v>
      </c>
    </row>
    <row r="26" spans="1:4">
      <c r="A26" s="112"/>
      <c r="B26" s="112"/>
      <c r="C26" s="134" t="s">
        <v>2190</v>
      </c>
      <c r="D26" s="135" t="s">
        <v>2191</v>
      </c>
    </row>
    <row r="27" spans="1:4">
      <c r="A27" s="112"/>
      <c r="B27" s="112"/>
      <c r="C27" s="134" t="s">
        <v>2192</v>
      </c>
      <c r="D27" s="135" t="s">
        <v>2193</v>
      </c>
    </row>
    <row r="28" spans="1:4">
      <c r="A28" s="112"/>
      <c r="B28" s="112"/>
      <c r="C28" s="134" t="s">
        <v>2194</v>
      </c>
      <c r="D28" s="135" t="s">
        <v>2195</v>
      </c>
    </row>
    <row r="29" spans="1:4">
      <c r="A29" s="112"/>
      <c r="B29" s="112"/>
      <c r="C29" s="134" t="s">
        <v>2196</v>
      </c>
      <c r="D29" s="135" t="s">
        <v>2197</v>
      </c>
    </row>
    <row r="30" spans="1:4">
      <c r="A30" s="112"/>
      <c r="B30" s="112"/>
      <c r="C30" s="134" t="s">
        <v>2198</v>
      </c>
      <c r="D30" s="135" t="s">
        <v>2199</v>
      </c>
    </row>
    <row r="31" spans="1:4">
      <c r="A31" s="112" t="s">
        <v>135</v>
      </c>
      <c r="B31" s="112" t="s">
        <v>170</v>
      </c>
      <c r="C31" s="134" t="s">
        <v>2185</v>
      </c>
      <c r="D31" s="135" t="s">
        <v>2200</v>
      </c>
    </row>
    <row r="32" spans="1:4" ht="29">
      <c r="A32" s="112"/>
      <c r="B32" s="112" t="s">
        <v>137</v>
      </c>
      <c r="C32" s="134" t="s">
        <v>2201</v>
      </c>
      <c r="D32" s="135" t="s">
        <v>2086</v>
      </c>
    </row>
    <row r="33" spans="1:4">
      <c r="A33" s="112"/>
      <c r="B33" s="112"/>
      <c r="C33" s="134" t="s">
        <v>2202</v>
      </c>
      <c r="D33" s="135" t="s">
        <v>2084</v>
      </c>
    </row>
    <row r="34" spans="1:4">
      <c r="A34" s="112"/>
      <c r="B34" s="112"/>
      <c r="C34" s="134" t="s">
        <v>2203</v>
      </c>
      <c r="D34" s="135" t="s">
        <v>2087</v>
      </c>
    </row>
    <row r="35" spans="1:4">
      <c r="A35" s="112" t="s">
        <v>172</v>
      </c>
      <c r="B35" s="112" t="s">
        <v>2281</v>
      </c>
      <c r="C35" s="134" t="s">
        <v>2204</v>
      </c>
      <c r="D35" s="135" t="s">
        <v>2205</v>
      </c>
    </row>
    <row r="36" spans="1:4">
      <c r="A36" s="112"/>
      <c r="B36" s="112"/>
      <c r="C36" s="134" t="s">
        <v>2206</v>
      </c>
      <c r="D36" s="135" t="s">
        <v>2207</v>
      </c>
    </row>
    <row r="37" spans="1:4" ht="29">
      <c r="A37" s="112"/>
      <c r="B37" s="112"/>
      <c r="C37" s="134" t="s">
        <v>2208</v>
      </c>
      <c r="D37" s="135" t="s">
        <v>2209</v>
      </c>
    </row>
    <row r="38" spans="1:4">
      <c r="A38" s="112"/>
      <c r="B38" s="112"/>
      <c r="C38" s="134" t="s">
        <v>2210</v>
      </c>
      <c r="D38" s="135" t="s">
        <v>2211</v>
      </c>
    </row>
    <row r="39" spans="1:4">
      <c r="A39" s="112"/>
      <c r="B39" s="112"/>
      <c r="C39" s="134" t="s">
        <v>2212</v>
      </c>
      <c r="D39" s="135" t="s">
        <v>2213</v>
      </c>
    </row>
    <row r="40" spans="1:4">
      <c r="A40" s="112"/>
      <c r="B40" s="112"/>
      <c r="C40" s="134" t="s">
        <v>2214</v>
      </c>
      <c r="D40" s="135" t="s">
        <v>2215</v>
      </c>
    </row>
    <row r="41" spans="1:4">
      <c r="A41" s="112"/>
      <c r="B41" s="112"/>
      <c r="C41" s="134" t="s">
        <v>2216</v>
      </c>
      <c r="D41" s="135" t="s">
        <v>2217</v>
      </c>
    </row>
    <row r="42" spans="1:4">
      <c r="A42" s="112"/>
      <c r="B42" s="112" t="s">
        <v>180</v>
      </c>
      <c r="C42" s="134" t="s">
        <v>2218</v>
      </c>
      <c r="D42" s="135" t="s">
        <v>2219</v>
      </c>
    </row>
    <row r="43" spans="1:4">
      <c r="A43" s="112"/>
      <c r="B43" s="112"/>
      <c r="C43" s="134" t="s">
        <v>2220</v>
      </c>
      <c r="D43" s="135" t="s">
        <v>2221</v>
      </c>
    </row>
    <row r="44" spans="1:4">
      <c r="A44" s="112"/>
      <c r="B44" s="112"/>
      <c r="C44" s="134" t="s">
        <v>2222</v>
      </c>
      <c r="D44" s="135" t="s">
        <v>2223</v>
      </c>
    </row>
    <row r="45" spans="1:4">
      <c r="A45" s="112"/>
      <c r="B45" s="112"/>
      <c r="C45" s="134" t="s">
        <v>2224</v>
      </c>
      <c r="D45" s="135" t="s">
        <v>2225</v>
      </c>
    </row>
    <row r="46" spans="1:4">
      <c r="A46" s="112"/>
      <c r="B46" s="112" t="s">
        <v>244</v>
      </c>
      <c r="C46" s="134" t="s">
        <v>2226</v>
      </c>
      <c r="D46" s="135" t="s">
        <v>2227</v>
      </c>
    </row>
    <row r="47" spans="1:4">
      <c r="A47" s="112"/>
      <c r="B47" s="112"/>
      <c r="C47" s="134" t="s">
        <v>2228</v>
      </c>
      <c r="D47" s="135" t="s">
        <v>2229</v>
      </c>
    </row>
    <row r="48" spans="1:4" ht="29">
      <c r="A48" s="112" t="s">
        <v>196</v>
      </c>
      <c r="B48" s="112" t="s">
        <v>702</v>
      </c>
      <c r="C48" s="134" t="s">
        <v>2230</v>
      </c>
      <c r="D48" s="135" t="s">
        <v>2231</v>
      </c>
    </row>
    <row r="49" spans="1:4">
      <c r="A49" s="112"/>
      <c r="B49" s="112"/>
      <c r="C49" s="134" t="s">
        <v>2232</v>
      </c>
      <c r="D49" s="135" t="s">
        <v>2233</v>
      </c>
    </row>
    <row r="50" spans="1:4">
      <c r="A50" s="112"/>
      <c r="B50" s="112"/>
      <c r="C50" s="134" t="s">
        <v>2234</v>
      </c>
      <c r="D50" s="135" t="s">
        <v>2235</v>
      </c>
    </row>
    <row r="51" spans="1:4">
      <c r="A51" s="112"/>
      <c r="B51" s="112" t="s">
        <v>2282</v>
      </c>
      <c r="C51" s="134" t="s">
        <v>2236</v>
      </c>
      <c r="D51" s="135" t="s">
        <v>2091</v>
      </c>
    </row>
    <row r="52" spans="1:4">
      <c r="A52" s="112"/>
      <c r="B52" s="112"/>
      <c r="C52" s="134" t="s">
        <v>2237</v>
      </c>
      <c r="D52" s="135" t="s">
        <v>2093</v>
      </c>
    </row>
    <row r="53" spans="1:4">
      <c r="A53" s="112"/>
      <c r="B53" s="112"/>
      <c r="C53" s="134" t="s">
        <v>2238</v>
      </c>
      <c r="D53" s="135" t="s">
        <v>2095</v>
      </c>
    </row>
    <row r="54" spans="1:4">
      <c r="A54" s="112"/>
      <c r="B54" s="112"/>
      <c r="C54" s="134" t="s">
        <v>2239</v>
      </c>
      <c r="D54" s="135" t="s">
        <v>2097</v>
      </c>
    </row>
    <row r="55" spans="1:4">
      <c r="A55" s="112"/>
      <c r="B55" s="112"/>
      <c r="C55" s="134" t="s">
        <v>2240</v>
      </c>
      <c r="D55" s="135" t="s">
        <v>2099</v>
      </c>
    </row>
    <row r="56" spans="1:4">
      <c r="A56" s="112"/>
      <c r="B56" s="112"/>
      <c r="C56" s="134" t="s">
        <v>2241</v>
      </c>
      <c r="D56" s="135" t="s">
        <v>2101</v>
      </c>
    </row>
    <row r="57" spans="1:4">
      <c r="A57" s="112"/>
      <c r="B57" s="112"/>
      <c r="C57" s="134" t="s">
        <v>2242</v>
      </c>
      <c r="D57" s="135" t="s">
        <v>2103</v>
      </c>
    </row>
    <row r="58" spans="1:4">
      <c r="A58" s="112"/>
      <c r="B58" s="112" t="s">
        <v>207</v>
      </c>
      <c r="C58" s="134" t="s">
        <v>2243</v>
      </c>
      <c r="D58" s="135" t="s">
        <v>2244</v>
      </c>
    </row>
    <row r="59" spans="1:4">
      <c r="A59" s="112"/>
      <c r="B59" s="112"/>
      <c r="C59" s="134" t="s">
        <v>2245</v>
      </c>
      <c r="D59" s="135" t="s">
        <v>2113</v>
      </c>
    </row>
    <row r="60" spans="1:4">
      <c r="A60" s="112"/>
      <c r="B60" s="112"/>
      <c r="C60" s="134" t="s">
        <v>2246</v>
      </c>
      <c r="D60" s="135" t="s">
        <v>2115</v>
      </c>
    </row>
    <row r="61" spans="1:4">
      <c r="A61" s="112"/>
      <c r="B61" s="112" t="s">
        <v>2283</v>
      </c>
      <c r="C61" s="134" t="s">
        <v>2247</v>
      </c>
      <c r="D61" s="135"/>
    </row>
    <row r="62" spans="1:4">
      <c r="A62" s="112"/>
      <c r="B62" s="112"/>
      <c r="C62" s="134" t="s">
        <v>2248</v>
      </c>
      <c r="D62" s="135" t="s">
        <v>2249</v>
      </c>
    </row>
    <row r="63" spans="1:4">
      <c r="A63" s="112"/>
      <c r="B63" s="112"/>
      <c r="C63" s="134" t="s">
        <v>2250</v>
      </c>
      <c r="D63" s="135" t="s">
        <v>2251</v>
      </c>
    </row>
    <row r="64" spans="1:4">
      <c r="A64" s="112"/>
      <c r="B64" s="112"/>
      <c r="C64" s="134" t="s">
        <v>2252</v>
      </c>
      <c r="D64" s="135" t="s">
        <v>2119</v>
      </c>
    </row>
    <row r="65" spans="1:4">
      <c r="A65" s="112"/>
      <c r="B65" s="112"/>
      <c r="C65" s="134" t="s">
        <v>2253</v>
      </c>
      <c r="D65" s="135" t="s">
        <v>2121</v>
      </c>
    </row>
    <row r="66" spans="1:4">
      <c r="A66" s="112"/>
      <c r="B66" s="112"/>
      <c r="C66" s="134" t="s">
        <v>2254</v>
      </c>
      <c r="D66" s="135" t="s">
        <v>2123</v>
      </c>
    </row>
    <row r="67" spans="1:4">
      <c r="A67" s="112"/>
      <c r="B67" s="112"/>
      <c r="C67" s="134" t="s">
        <v>2255</v>
      </c>
      <c r="D67" s="135" t="s">
        <v>2126</v>
      </c>
    </row>
    <row r="68" spans="1:4">
      <c r="A68" s="112"/>
      <c r="B68" s="112"/>
      <c r="C68" s="134" t="s">
        <v>2256</v>
      </c>
      <c r="D68" s="135" t="s">
        <v>2128</v>
      </c>
    </row>
    <row r="69" spans="1:4">
      <c r="A69" s="112"/>
      <c r="B69" s="112"/>
      <c r="C69" s="134" t="s">
        <v>2257</v>
      </c>
      <c r="D69" s="135" t="s">
        <v>2130</v>
      </c>
    </row>
    <row r="70" spans="1:4">
      <c r="A70" s="112" t="s">
        <v>245</v>
      </c>
      <c r="B70" s="112" t="s">
        <v>702</v>
      </c>
      <c r="C70" s="134" t="s">
        <v>2258</v>
      </c>
      <c r="D70" s="135" t="s">
        <v>2133</v>
      </c>
    </row>
    <row r="71" spans="1:4">
      <c r="A71" s="112"/>
      <c r="B71" s="112"/>
      <c r="C71" s="134" t="s">
        <v>2259</v>
      </c>
      <c r="D71" s="135" t="s">
        <v>2135</v>
      </c>
    </row>
    <row r="72" spans="1:4">
      <c r="A72" s="112"/>
      <c r="B72" s="112" t="s">
        <v>2284</v>
      </c>
      <c r="C72" s="134" t="s">
        <v>2260</v>
      </c>
      <c r="D72" s="135" t="s">
        <v>2140</v>
      </c>
    </row>
    <row r="73" spans="1:4">
      <c r="A73" s="112"/>
      <c r="B73" s="112"/>
      <c r="C73" s="134" t="s">
        <v>2261</v>
      </c>
      <c r="D73" s="135" t="s">
        <v>2142</v>
      </c>
    </row>
    <row r="74" spans="1:4">
      <c r="A74" s="112"/>
      <c r="B74" s="112"/>
      <c r="C74" s="134" t="s">
        <v>2262</v>
      </c>
      <c r="D74" s="135" t="s">
        <v>2145</v>
      </c>
    </row>
    <row r="75" spans="1:4">
      <c r="A75" s="112"/>
      <c r="B75" s="112"/>
      <c r="C75" s="134" t="s">
        <v>2263</v>
      </c>
      <c r="D75" s="135" t="s">
        <v>2147</v>
      </c>
    </row>
    <row r="76" spans="1:4">
      <c r="A76" s="112"/>
      <c r="B76" s="112" t="s">
        <v>262</v>
      </c>
      <c r="C76" s="134" t="s">
        <v>2264</v>
      </c>
      <c r="D76" s="135" t="s">
        <v>2149</v>
      </c>
    </row>
    <row r="77" spans="1:4">
      <c r="A77" s="112"/>
      <c r="B77" s="112"/>
      <c r="C77" s="134" t="s">
        <v>2265</v>
      </c>
      <c r="D77" s="135" t="s">
        <v>2151</v>
      </c>
    </row>
    <row r="78" spans="1:4">
      <c r="A78" s="112" t="s">
        <v>1915</v>
      </c>
      <c r="B78" s="112"/>
      <c r="C78" s="134" t="s">
        <v>2266</v>
      </c>
      <c r="D78" s="135" t="s">
        <v>2267</v>
      </c>
    </row>
    <row r="79" spans="1:4">
      <c r="A79" s="112"/>
      <c r="B79" s="112"/>
      <c r="C79" s="134" t="s">
        <v>2268</v>
      </c>
      <c r="D79" s="135" t="s">
        <v>2269</v>
      </c>
    </row>
    <row r="80" spans="1:4">
      <c r="A80" s="112" t="s">
        <v>369</v>
      </c>
      <c r="B80" s="112"/>
      <c r="C80" s="134" t="s">
        <v>2270</v>
      </c>
      <c r="D80" s="135" t="s">
        <v>2189</v>
      </c>
    </row>
    <row r="81" spans="1:4">
      <c r="A81" s="112"/>
      <c r="B81" s="112"/>
      <c r="C81" s="134" t="s">
        <v>2271</v>
      </c>
      <c r="D81" s="135" t="s">
        <v>2272</v>
      </c>
    </row>
    <row r="82" spans="1:4">
      <c r="C82" s="136" t="s">
        <v>2294</v>
      </c>
    </row>
    <row r="83" spans="1:4">
      <c r="C83" s="137" t="s">
        <v>2295</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C0AA3-1A0D-4D06-B0F7-C2428FDA3F11}">
  <sheetPr codeName="Sheet4"/>
  <dimension ref="A1:AY823"/>
  <sheetViews>
    <sheetView zoomScale="110" zoomScaleNormal="110" workbookViewId="0">
      <pane xSplit="2" ySplit="2" topLeftCell="C6" activePane="bottomRight" state="frozen"/>
      <selection activeCell="F10" sqref="F10"/>
      <selection pane="topRight" activeCell="F10" sqref="F10"/>
      <selection pane="bottomLeft" activeCell="F10" sqref="F10"/>
      <selection pane="bottomRight" activeCell="F23" sqref="F23"/>
    </sheetView>
  </sheetViews>
  <sheetFormatPr defaultColWidth="9.1796875" defaultRowHeight="13"/>
  <cols>
    <col min="1" max="1" width="4" style="1" bestFit="1" customWidth="1"/>
    <col min="2" max="2" width="31" style="1" bestFit="1" customWidth="1"/>
    <col min="3" max="3" width="7.26953125" style="8" customWidth="1"/>
    <col min="4" max="4" width="6.81640625" style="1" customWidth="1"/>
    <col min="5" max="5" width="8.7265625" style="8" bestFit="1" customWidth="1"/>
    <col min="6" max="6" width="22.1796875" style="1" bestFit="1" customWidth="1"/>
    <col min="7" max="10" width="9.1796875" style="1" hidden="1" customWidth="1"/>
    <col min="11" max="13" width="9.1796875" style="8" hidden="1" customWidth="1"/>
    <col min="14" max="14" width="21.7265625" style="1" customWidth="1"/>
    <col min="15" max="15" width="21.54296875" style="1" customWidth="1"/>
    <col min="16" max="26" width="15.26953125" style="20" hidden="1" customWidth="1"/>
    <col min="27" max="30" width="15.26953125" style="1" hidden="1" customWidth="1"/>
    <col min="31" max="31" width="9.1796875" style="1" hidden="1" customWidth="1"/>
    <col min="32" max="32" width="26.7265625" style="1" hidden="1" customWidth="1"/>
    <col min="33" max="33" width="32.81640625" style="1" hidden="1" customWidth="1"/>
    <col min="34" max="34" width="8.7265625" style="20" customWidth="1"/>
    <col min="35" max="36" width="9.1796875" style="20" customWidth="1"/>
    <col min="37" max="37" width="9.1796875" style="1" customWidth="1"/>
    <col min="38" max="38" width="50.54296875" style="1" hidden="1" customWidth="1"/>
    <col min="39" max="39" width="9.54296875" style="8" customWidth="1"/>
    <col min="40" max="42" width="5.54296875" style="8" customWidth="1"/>
    <col min="43" max="43" width="8.54296875" style="8" customWidth="1"/>
    <col min="44" max="44" width="7.1796875" style="8" customWidth="1"/>
    <col min="45" max="45" width="5.54296875" style="8" customWidth="1"/>
    <col min="46" max="46" width="5" style="8" bestFit="1" customWidth="1"/>
    <col min="47" max="48" width="11.7265625" style="8" customWidth="1"/>
    <col min="49" max="49" width="60.54296875" style="128" customWidth="1"/>
    <col min="50" max="50" width="7.26953125" style="138" customWidth="1"/>
    <col min="51" max="51" width="9.1796875" style="31"/>
    <col min="52" max="16384" width="9.1796875" style="1"/>
  </cols>
  <sheetData>
    <row r="1" spans="1:51">
      <c r="A1" s="1">
        <v>1</v>
      </c>
      <c r="C1" s="8" t="s">
        <v>127</v>
      </c>
      <c r="D1" s="1" t="s">
        <v>128</v>
      </c>
      <c r="AM1" s="9" t="s">
        <v>1913</v>
      </c>
      <c r="AN1" s="62" t="s">
        <v>1828</v>
      </c>
      <c r="AO1" s="62" t="s">
        <v>1824</v>
      </c>
      <c r="AP1" s="62" t="s">
        <v>1825</v>
      </c>
      <c r="AQ1" s="62" t="s">
        <v>1826</v>
      </c>
      <c r="AR1" s="62" t="s">
        <v>1827</v>
      </c>
      <c r="AS1" s="62" t="s">
        <v>1888</v>
      </c>
      <c r="AT1" s="62" t="s">
        <v>1947</v>
      </c>
      <c r="AU1" s="62" t="s">
        <v>1946</v>
      </c>
      <c r="AV1" s="62" t="s">
        <v>1946</v>
      </c>
      <c r="AW1" s="128" t="s">
        <v>1830</v>
      </c>
    </row>
    <row r="2" spans="1:51">
      <c r="A2" s="1">
        <v>2</v>
      </c>
      <c r="B2" s="118"/>
      <c r="C2" s="21" t="s">
        <v>0</v>
      </c>
      <c r="D2" s="118" t="s">
        <v>1</v>
      </c>
      <c r="E2" s="21" t="s">
        <v>2</v>
      </c>
      <c r="F2" s="118" t="s">
        <v>3</v>
      </c>
      <c r="G2" s="118" t="s">
        <v>4</v>
      </c>
      <c r="H2" s="118" t="s">
        <v>5</v>
      </c>
      <c r="I2" s="118" t="s">
        <v>6</v>
      </c>
      <c r="J2" s="118" t="s">
        <v>7</v>
      </c>
      <c r="K2" s="21" t="s">
        <v>8</v>
      </c>
      <c r="L2" s="21" t="s">
        <v>9</v>
      </c>
      <c r="M2" s="21" t="s">
        <v>10</v>
      </c>
      <c r="N2" s="118" t="s">
        <v>11</v>
      </c>
      <c r="O2" s="118" t="s">
        <v>12</v>
      </c>
      <c r="P2" s="21" t="s">
        <v>13</v>
      </c>
      <c r="Q2" s="21" t="s">
        <v>14</v>
      </c>
      <c r="R2" s="21" t="s">
        <v>15</v>
      </c>
      <c r="S2" s="21" t="s">
        <v>16</v>
      </c>
      <c r="T2" s="21" t="s">
        <v>17</v>
      </c>
      <c r="U2" s="21" t="s">
        <v>18</v>
      </c>
      <c r="V2" s="21" t="s">
        <v>19</v>
      </c>
      <c r="W2" s="21" t="s">
        <v>20</v>
      </c>
      <c r="X2" s="21" t="s">
        <v>21</v>
      </c>
      <c r="Y2" s="21" t="s">
        <v>22</v>
      </c>
      <c r="Z2" s="21" t="s">
        <v>23</v>
      </c>
      <c r="AA2" s="118" t="s">
        <v>24</v>
      </c>
      <c r="AB2" s="118" t="s">
        <v>25</v>
      </c>
      <c r="AC2" s="118" t="s">
        <v>26</v>
      </c>
      <c r="AD2" s="118" t="s">
        <v>27</v>
      </c>
      <c r="AE2" s="118" t="s">
        <v>28</v>
      </c>
      <c r="AF2" s="118" t="s">
        <v>29</v>
      </c>
      <c r="AG2" s="118" t="s">
        <v>30</v>
      </c>
      <c r="AH2" s="21" t="s">
        <v>31</v>
      </c>
      <c r="AI2" s="21" t="s">
        <v>32</v>
      </c>
      <c r="AJ2" s="21" t="s">
        <v>33</v>
      </c>
      <c r="AK2" s="118" t="s">
        <v>35</v>
      </c>
      <c r="AL2" s="119" t="s">
        <v>36</v>
      </c>
      <c r="AM2" s="120" t="s">
        <v>2048</v>
      </c>
      <c r="AN2" s="120" t="s">
        <v>2050</v>
      </c>
      <c r="AO2" s="120" t="s">
        <v>2049</v>
      </c>
      <c r="AP2" s="120" t="s">
        <v>2051</v>
      </c>
      <c r="AQ2" s="120" t="s">
        <v>2052</v>
      </c>
      <c r="AR2" s="120" t="s">
        <v>2056</v>
      </c>
      <c r="AS2" s="120" t="s">
        <v>2053</v>
      </c>
      <c r="AT2" s="120" t="s">
        <v>2054</v>
      </c>
      <c r="AU2" s="120" t="s">
        <v>2486</v>
      </c>
      <c r="AV2" s="120" t="s">
        <v>2055</v>
      </c>
      <c r="AW2" s="128" t="s">
        <v>2057</v>
      </c>
      <c r="AY2" s="31" t="s">
        <v>392</v>
      </c>
    </row>
    <row r="3" spans="1:51">
      <c r="A3" s="1">
        <v>3</v>
      </c>
      <c r="B3" s="121"/>
      <c r="C3" s="22" t="s">
        <v>47</v>
      </c>
      <c r="D3" s="122"/>
      <c r="E3" s="22"/>
      <c r="F3" s="122"/>
      <c r="G3" s="122"/>
      <c r="H3" s="122"/>
      <c r="I3" s="122"/>
      <c r="J3" s="122"/>
      <c r="K3" s="22" t="s">
        <v>48</v>
      </c>
      <c r="L3" s="22" t="s">
        <v>49</v>
      </c>
      <c r="M3" s="22" t="s">
        <v>50</v>
      </c>
      <c r="N3" s="122"/>
      <c r="O3" s="122"/>
      <c r="P3" s="22" t="s">
        <v>50</v>
      </c>
      <c r="Q3" s="22" t="s">
        <v>50</v>
      </c>
      <c r="R3" s="22" t="s">
        <v>50</v>
      </c>
      <c r="S3" s="22" t="s">
        <v>50</v>
      </c>
      <c r="T3" s="22" t="s">
        <v>50</v>
      </c>
      <c r="U3" s="22" t="s">
        <v>50</v>
      </c>
      <c r="V3" s="22" t="s">
        <v>49</v>
      </c>
      <c r="W3" s="22"/>
      <c r="X3" s="22" t="s">
        <v>49</v>
      </c>
      <c r="Y3" s="22" t="s">
        <v>50</v>
      </c>
      <c r="Z3" s="22" t="s">
        <v>50</v>
      </c>
      <c r="AA3" s="122"/>
      <c r="AB3" s="122"/>
      <c r="AC3" s="122"/>
      <c r="AD3" s="122"/>
      <c r="AE3" s="122" t="s">
        <v>50</v>
      </c>
      <c r="AF3" s="122"/>
      <c r="AG3" s="122"/>
      <c r="AH3" s="22" t="s">
        <v>47</v>
      </c>
      <c r="AI3" s="22" t="s">
        <v>49</v>
      </c>
      <c r="AJ3" s="22">
        <v>10</v>
      </c>
      <c r="AK3" s="121" t="str">
        <f>IF(B4="","","0")</f>
        <v>0</v>
      </c>
      <c r="AL3" s="123"/>
      <c r="AM3" s="22"/>
      <c r="AN3" s="124"/>
      <c r="AO3" s="124"/>
      <c r="AP3" s="124"/>
      <c r="AQ3" s="124"/>
      <c r="AR3" s="124"/>
      <c r="AS3" s="124"/>
      <c r="AT3" s="124"/>
      <c r="AU3" s="124"/>
      <c r="AV3" s="124"/>
      <c r="AW3" s="117"/>
      <c r="AY3" s="31" t="str">
        <f>IF(C3&lt;&gt;"",CREATE_QUERY($D$1,C$2:AW$2,C3:AW3),"")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 '', '', '', '', '', ' ', '1', '0', '', '', '0', '0', '0', '0', '0', '0', '1', '', '1', '0', '0', '', '', '', '', '0', '', '', '14821', '1', '10', '0', '', '', '', '', '', '', '', '', '', '', '');</v>
      </c>
    </row>
    <row r="4" spans="1:51">
      <c r="A4" s="1">
        <v>4</v>
      </c>
      <c r="B4" s="121" t="str">
        <f>IF(AI4="","",IF(AI4="1","",IF(AI4="2","→",IF(AI4="3","→→",IF(AI4="4","→→→",IF(AI4="5","→→→→",IF(AI4="6","→→→→→",IF(AI4="7"="→→→→→→",""))))))))&amp;F4</f>
        <v>→관제센터</v>
      </c>
      <c r="C4" s="27" t="str">
        <f>IF(F4="","","14821")</f>
        <v>14821</v>
      </c>
      <c r="D4" s="125"/>
      <c r="E4" s="126" t="s">
        <v>114</v>
      </c>
      <c r="F4" s="125" t="s">
        <v>97</v>
      </c>
      <c r="G4" s="125"/>
      <c r="H4" s="125"/>
      <c r="I4" s="125"/>
      <c r="J4" s="125"/>
      <c r="K4" s="23" t="str">
        <f>IF(O4="","","1")</f>
        <v/>
      </c>
      <c r="L4" s="23">
        <v>1</v>
      </c>
      <c r="M4" s="23" t="str">
        <f>IF(O4="","0","1")</f>
        <v>0</v>
      </c>
      <c r="N4" s="125"/>
      <c r="O4" s="125"/>
      <c r="P4" s="23" t="str">
        <f>IF(O4="","0","1")</f>
        <v>0</v>
      </c>
      <c r="Q4" s="23" t="str">
        <f>IF(O4="","0","1")</f>
        <v>0</v>
      </c>
      <c r="R4" s="23" t="str">
        <f>IF(O4="","0","1")</f>
        <v>0</v>
      </c>
      <c r="S4" s="23" t="str">
        <f>IF(O4="","0","1")</f>
        <v>0</v>
      </c>
      <c r="T4" s="23" t="str">
        <f>IF(O4="","0","1")</f>
        <v>0</v>
      </c>
      <c r="U4" s="23" t="str">
        <f>IF(O4="","0","1")</f>
        <v>0</v>
      </c>
      <c r="V4" s="23" t="str">
        <f>IF(O4="","1","1")</f>
        <v>1</v>
      </c>
      <c r="W4" s="23"/>
      <c r="X4" s="23" t="str">
        <f>IF(O4="","","0")</f>
        <v/>
      </c>
      <c r="Y4" s="23" t="str">
        <f>IF(O4="","","0")</f>
        <v/>
      </c>
      <c r="Z4" s="23" t="str">
        <f>IF(O4="","","0")</f>
        <v/>
      </c>
      <c r="AA4" s="125"/>
      <c r="AB4" s="125"/>
      <c r="AC4" s="125"/>
      <c r="AD4" s="125"/>
      <c r="AE4" s="125"/>
      <c r="AF4" s="125"/>
      <c r="AG4" s="125"/>
      <c r="AH4" s="23" t="s">
        <v>47</v>
      </c>
      <c r="AI4" s="23" t="s">
        <v>52</v>
      </c>
      <c r="AJ4" s="23">
        <v>20</v>
      </c>
      <c r="AK4" s="121" t="str">
        <f t="shared" ref="AK4:AK82" si="0">IF(B5="","","0")</f>
        <v>0</v>
      </c>
      <c r="AL4" s="123" t="str">
        <f t="shared" ref="AL4:AL123" si="1">IF(C4="","",C4&amp;"/"&amp;F4&amp;"/"&amp;N4&amp;"/"&amp;O4)</f>
        <v>14821/관제센터//</v>
      </c>
      <c r="AM4" s="126"/>
      <c r="AN4" s="124" t="s">
        <v>1829</v>
      </c>
      <c r="AO4" s="124"/>
      <c r="AP4" s="124"/>
      <c r="AQ4" s="124"/>
      <c r="AR4" s="124"/>
      <c r="AS4" s="124"/>
      <c r="AT4" s="124"/>
      <c r="AU4" s="124"/>
      <c r="AV4" s="124"/>
      <c r="AW4" s="117"/>
      <c r="AX4" s="138" t="str">
        <f t="shared" ref="AX4:AX67" si="2">IF(C4="","","delete from module_mst where pjt_id = '"&amp;C4&amp;"' and menu_id = '"&amp;E4&amp;"';")</f>
        <v>delete from module_mst where pjt_id = '14821' and menu_id = '100000';</v>
      </c>
      <c r="AY4" s="31" t="str">
        <f>IF(C4&lt;&gt;"",CREATE_QUERY($D$1,C$2:AW$2,C4:AW4),"")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'100000', '관제센터', '', '', '', '', '', '1', '0', '', '', '0', '0', '0', '0', '0', '0', '1', '', '', '', '', '', '', '', '', '', '', '', '14821', '2', '20', '0', '14821/관제센터//', '', 'Y', '', '', '', '', '', '', '', '');</v>
      </c>
    </row>
    <row r="5" spans="1:51">
      <c r="A5" s="1">
        <v>5</v>
      </c>
      <c r="B5" s="121" t="str">
        <f t="shared" ref="B5:B68" si="3">IF(F5="","",IF(AI5="1","",IF(AI5="2","└ ",IF(AI5="3","  └ ",IF(AI5="4","    └ ",IF(AI5="5","        └ ",IF(AI5="6","         └ ",IF(AI5="7"="            └ ",""))))))))&amp;AM5&amp;F5</f>
        <v xml:space="preserve">  └ 고객사 정보관리</v>
      </c>
      <c r="C5" s="27" t="str">
        <f t="shared" ref="C5:C85" si="4">IF(F5="","","14821")</f>
        <v>14821</v>
      </c>
      <c r="D5" s="121"/>
      <c r="E5" s="24" t="s">
        <v>115</v>
      </c>
      <c r="F5" s="127" t="s">
        <v>257</v>
      </c>
      <c r="G5" s="127"/>
      <c r="H5" s="127"/>
      <c r="I5" s="127"/>
      <c r="J5" s="127"/>
      <c r="K5" s="25" t="str">
        <f t="shared" ref="K5:K83" si="5">IF(O5="","","1")</f>
        <v/>
      </c>
      <c r="L5" s="25">
        <v>1</v>
      </c>
      <c r="M5" s="25" t="str">
        <f t="shared" ref="M5:M83" si="6">IF(O5="","0","1")</f>
        <v>0</v>
      </c>
      <c r="N5" s="127"/>
      <c r="O5" s="127"/>
      <c r="P5" s="25" t="str">
        <f t="shared" ref="P5:P83" si="7">IF(O5="","0","1")</f>
        <v>0</v>
      </c>
      <c r="Q5" s="25" t="str">
        <f t="shared" ref="Q5:Q83" si="8">IF(O5="","0","1")</f>
        <v>0</v>
      </c>
      <c r="R5" s="25" t="str">
        <f t="shared" ref="R5:R83" si="9">IF(O5="","0","1")</f>
        <v>0</v>
      </c>
      <c r="S5" s="25" t="str">
        <f t="shared" ref="S5:S83" si="10">IF(O5="","0","1")</f>
        <v>0</v>
      </c>
      <c r="T5" s="25" t="str">
        <f t="shared" ref="T5:T83" si="11">IF(O5="","0","1")</f>
        <v>0</v>
      </c>
      <c r="U5" s="25" t="str">
        <f t="shared" ref="U5:U83" si="12">IF(O5="","0","1")</f>
        <v>0</v>
      </c>
      <c r="V5" s="25" t="str">
        <f t="shared" ref="V5:V83" si="13">IF(O5="","1","1")</f>
        <v>1</v>
      </c>
      <c r="W5" s="25"/>
      <c r="X5" s="25" t="str">
        <f t="shared" ref="X5:X83" si="14">IF(O5="","","0")</f>
        <v/>
      </c>
      <c r="Y5" s="25" t="str">
        <f t="shared" ref="Y5:Y83" si="15">IF(O5="","","0")</f>
        <v/>
      </c>
      <c r="Z5" s="25" t="str">
        <f t="shared" ref="Z5:Z83" si="16">IF(O5="","","0")</f>
        <v/>
      </c>
      <c r="AA5" s="127"/>
      <c r="AB5" s="127"/>
      <c r="AC5" s="127"/>
      <c r="AD5" s="127"/>
      <c r="AE5" s="127"/>
      <c r="AF5" s="127"/>
      <c r="AG5" s="127"/>
      <c r="AH5" s="24" t="s">
        <v>114</v>
      </c>
      <c r="AI5" s="24" t="s">
        <v>111</v>
      </c>
      <c r="AJ5" s="24">
        <v>30</v>
      </c>
      <c r="AK5" s="121" t="str">
        <f t="shared" si="0"/>
        <v>0</v>
      </c>
      <c r="AL5" s="123" t="str">
        <f t="shared" si="1"/>
        <v>14821/고객사 정보관리//</v>
      </c>
      <c r="AM5" s="24"/>
      <c r="AN5" s="124" t="s">
        <v>1829</v>
      </c>
      <c r="AO5" s="124"/>
      <c r="AP5" s="124"/>
      <c r="AQ5" s="124"/>
      <c r="AR5" s="124"/>
      <c r="AS5" s="124"/>
      <c r="AT5" s="124"/>
      <c r="AU5" s="124"/>
      <c r="AV5" s="124"/>
      <c r="AW5" s="117"/>
      <c r="AX5" s="138" t="str">
        <f t="shared" si="2"/>
        <v>delete from module_mst where pjt_id = '14821' and menu_id = '110000';</v>
      </c>
      <c r="AY5" s="31" t="str">
        <f>IF(C5&lt;&gt;"",CREATE_QUERY($D$1,C$2:AW$2,C5:AW5),"")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'110000', '고객사 정보관리', '', '', '', '', '', '1', '0', '', '', '0', '0', '0', '0', '0', '0', '1', '', '', '', '', '', '', '', '', '', '', '', '100000', '3', '30', '0', '14821/고객사 정보관리//', '', 'Y', '', '', '', '', '', '', '', '');</v>
      </c>
    </row>
    <row r="6" spans="1:51">
      <c r="A6" s="1">
        <v>7</v>
      </c>
      <c r="B6" s="121" t="str">
        <f t="shared" si="3"/>
        <v xml:space="preserve">    └ 고객 본사 정보 관리</v>
      </c>
      <c r="C6" s="27" t="str">
        <f t="shared" si="4"/>
        <v>14821</v>
      </c>
      <c r="D6" s="121"/>
      <c r="E6" s="28">
        <v>110001</v>
      </c>
      <c r="F6" s="118" t="s">
        <v>105</v>
      </c>
      <c r="G6" s="118"/>
      <c r="H6" s="118"/>
      <c r="I6" s="118"/>
      <c r="J6" s="118"/>
      <c r="K6" s="21" t="str">
        <f t="shared" si="5"/>
        <v>1</v>
      </c>
      <c r="L6" s="21">
        <v>1</v>
      </c>
      <c r="M6" s="21" t="str">
        <f t="shared" si="6"/>
        <v>1</v>
      </c>
      <c r="N6" s="118" t="s">
        <v>54</v>
      </c>
      <c r="O6" s="118" t="s">
        <v>101</v>
      </c>
      <c r="P6" s="21" t="str">
        <f t="shared" si="7"/>
        <v>1</v>
      </c>
      <c r="Q6" s="21" t="str">
        <f t="shared" si="8"/>
        <v>1</v>
      </c>
      <c r="R6" s="21" t="str">
        <f t="shared" si="9"/>
        <v>1</v>
      </c>
      <c r="S6" s="21" t="str">
        <f t="shared" si="10"/>
        <v>1</v>
      </c>
      <c r="T6" s="21" t="str">
        <f t="shared" si="11"/>
        <v>1</v>
      </c>
      <c r="U6" s="21" t="str">
        <f t="shared" si="12"/>
        <v>1</v>
      </c>
      <c r="V6" s="21" t="str">
        <f t="shared" si="13"/>
        <v>1</v>
      </c>
      <c r="W6" s="21"/>
      <c r="X6" s="21" t="str">
        <f t="shared" si="14"/>
        <v>0</v>
      </c>
      <c r="Y6" s="21" t="str">
        <f t="shared" si="15"/>
        <v>0</v>
      </c>
      <c r="Z6" s="21" t="str">
        <f t="shared" si="16"/>
        <v>0</v>
      </c>
      <c r="AA6" s="118"/>
      <c r="AB6" s="118"/>
      <c r="AC6" s="118"/>
      <c r="AD6" s="118"/>
      <c r="AE6" s="118"/>
      <c r="AF6" s="118"/>
      <c r="AG6" s="118"/>
      <c r="AH6" s="26" t="s">
        <v>115</v>
      </c>
      <c r="AI6" s="26" t="s">
        <v>112</v>
      </c>
      <c r="AJ6" s="26">
        <v>40</v>
      </c>
      <c r="AK6" s="121" t="str">
        <f t="shared" si="0"/>
        <v>0</v>
      </c>
      <c r="AL6" s="123" t="str">
        <f t="shared" si="1"/>
        <v>14821/고객 본사 정보 관리/project/ProjSite</v>
      </c>
      <c r="AM6" s="21"/>
      <c r="AN6" s="124" t="s">
        <v>1829</v>
      </c>
      <c r="AO6" s="124"/>
      <c r="AP6" s="124"/>
      <c r="AQ6" s="124"/>
      <c r="AR6" s="124"/>
      <c r="AS6" s="124"/>
      <c r="AT6" s="124"/>
      <c r="AU6" s="124"/>
      <c r="AV6" s="124"/>
      <c r="AW6" s="117"/>
      <c r="AX6" s="138" t="str">
        <f t="shared" si="2"/>
        <v>delete from module_mst where pjt_id = '14821' and menu_id = '110001';</v>
      </c>
      <c r="AY6" s="31" t="str">
        <f>IF(C6&lt;&gt;"",CREATE_QUERY($D$1,C$2:AW$2,C6:AW6),"")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'110001', '고객 본사 정보 관리', '', '', '', '', '1', '1', '1', 'project', 'ProjSite', '1', '1', '1', '1', '1', '1', '1', '', '0', '0', '0', '', '', '', '', '', '', '', '110000', '4', '40', '0', '14821/고객 본사 정보 관리/project/ProjSite', '', 'Y', '', '', '', '', '', '', '', '');</v>
      </c>
    </row>
    <row r="7" spans="1:51">
      <c r="A7" s="1">
        <v>6</v>
      </c>
      <c r="B7" s="121" t="str">
        <f t="shared" si="3"/>
        <v xml:space="preserve">    └ 고객사 연동 정보 관리</v>
      </c>
      <c r="C7" s="27" t="str">
        <f t="shared" si="4"/>
        <v>14821</v>
      </c>
      <c r="D7" s="121"/>
      <c r="E7" s="28">
        <v>110002</v>
      </c>
      <c r="F7" s="118" t="s">
        <v>104</v>
      </c>
      <c r="G7" s="118"/>
      <c r="H7" s="118"/>
      <c r="I7" s="118"/>
      <c r="J7" s="118"/>
      <c r="K7" s="21" t="str">
        <f t="shared" si="5"/>
        <v>1</v>
      </c>
      <c r="L7" s="21">
        <v>1</v>
      </c>
      <c r="M7" s="21" t="str">
        <f t="shared" si="6"/>
        <v>1</v>
      </c>
      <c r="N7" s="118" t="s">
        <v>54</v>
      </c>
      <c r="O7" s="118" t="s">
        <v>88</v>
      </c>
      <c r="P7" s="21" t="str">
        <f t="shared" si="7"/>
        <v>1</v>
      </c>
      <c r="Q7" s="21" t="str">
        <f t="shared" si="8"/>
        <v>1</v>
      </c>
      <c r="R7" s="21" t="str">
        <f t="shared" si="9"/>
        <v>1</v>
      </c>
      <c r="S7" s="21" t="str">
        <f t="shared" si="10"/>
        <v>1</v>
      </c>
      <c r="T7" s="21" t="str">
        <f t="shared" si="11"/>
        <v>1</v>
      </c>
      <c r="U7" s="21" t="str">
        <f t="shared" si="12"/>
        <v>1</v>
      </c>
      <c r="V7" s="21" t="str">
        <f t="shared" si="13"/>
        <v>1</v>
      </c>
      <c r="W7" s="21"/>
      <c r="X7" s="21" t="str">
        <f t="shared" si="14"/>
        <v>0</v>
      </c>
      <c r="Y7" s="21" t="str">
        <f t="shared" si="15"/>
        <v>0</v>
      </c>
      <c r="Z7" s="21" t="str">
        <f t="shared" si="16"/>
        <v>0</v>
      </c>
      <c r="AA7" s="118"/>
      <c r="AB7" s="118"/>
      <c r="AC7" s="118"/>
      <c r="AD7" s="118"/>
      <c r="AE7" s="118"/>
      <c r="AF7" s="118"/>
      <c r="AG7" s="118"/>
      <c r="AH7" s="26" t="s">
        <v>115</v>
      </c>
      <c r="AI7" s="26" t="s">
        <v>112</v>
      </c>
      <c r="AJ7" s="26">
        <v>50</v>
      </c>
      <c r="AK7" s="121" t="str">
        <f t="shared" si="0"/>
        <v>0</v>
      </c>
      <c r="AL7" s="123" t="str">
        <f t="shared" si="1"/>
        <v>14821/고객사 연동 정보 관리/project/BonsaInfo</v>
      </c>
      <c r="AM7" s="21"/>
      <c r="AN7" s="124" t="s">
        <v>1829</v>
      </c>
      <c r="AO7" s="124"/>
      <c r="AP7" s="124"/>
      <c r="AQ7" s="124"/>
      <c r="AR7" s="124"/>
      <c r="AS7" s="124"/>
      <c r="AT7" s="124"/>
      <c r="AU7" s="124"/>
      <c r="AV7" s="124"/>
      <c r="AW7" s="117"/>
      <c r="AX7" s="138" t="str">
        <f t="shared" si="2"/>
        <v>delete from module_mst where pjt_id = '14821' and menu_id = '110002';</v>
      </c>
      <c r="AY7" s="31" t="str">
        <f>IF(C7&lt;&gt;"",CREATE_QUERY($D$1,C$2:AW$2,C7:AW7),"")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'110002', '고객사 연동 정보 관리', '', '', '', '', '1', '1', '1', 'project', 'BonsaInfo', '1', '1', '1', '1', '1', '1', '1', '', '0', '0', '0', '', '', '', '', '', '', '', '110000', '4', '50', '0', '14821/고객사 연동 정보 관리/project/BonsaInfo', '', 'Y', '', '', '', '', '', '', '', '');</v>
      </c>
    </row>
    <row r="8" spans="1:51">
      <c r="A8" s="1">
        <v>8</v>
      </c>
      <c r="B8" s="121" t="str">
        <f t="shared" si="3"/>
        <v xml:space="preserve">    └ 고객 매장 정보관리</v>
      </c>
      <c r="C8" s="27" t="str">
        <f t="shared" si="4"/>
        <v>14821</v>
      </c>
      <c r="D8" s="121"/>
      <c r="E8" s="28">
        <v>110003</v>
      </c>
      <c r="F8" s="118" t="s">
        <v>106</v>
      </c>
      <c r="G8" s="118"/>
      <c r="H8" s="118"/>
      <c r="I8" s="118"/>
      <c r="J8" s="118"/>
      <c r="K8" s="21" t="str">
        <f t="shared" si="5"/>
        <v>1</v>
      </c>
      <c r="L8" s="21">
        <v>1</v>
      </c>
      <c r="M8" s="21" t="str">
        <f t="shared" si="6"/>
        <v>1</v>
      </c>
      <c r="N8" s="118" t="s">
        <v>54</v>
      </c>
      <c r="O8" s="118" t="s">
        <v>91</v>
      </c>
      <c r="P8" s="21" t="str">
        <f t="shared" si="7"/>
        <v>1</v>
      </c>
      <c r="Q8" s="21" t="str">
        <f t="shared" si="8"/>
        <v>1</v>
      </c>
      <c r="R8" s="21" t="str">
        <f t="shared" si="9"/>
        <v>1</v>
      </c>
      <c r="S8" s="21" t="str">
        <f t="shared" si="10"/>
        <v>1</v>
      </c>
      <c r="T8" s="21" t="str">
        <f t="shared" si="11"/>
        <v>1</v>
      </c>
      <c r="U8" s="21" t="str">
        <f t="shared" si="12"/>
        <v>1</v>
      </c>
      <c r="V8" s="21" t="str">
        <f t="shared" si="13"/>
        <v>1</v>
      </c>
      <c r="W8" s="21"/>
      <c r="X8" s="21" t="str">
        <f t="shared" si="14"/>
        <v>0</v>
      </c>
      <c r="Y8" s="21" t="str">
        <f t="shared" si="15"/>
        <v>0</v>
      </c>
      <c r="Z8" s="21" t="str">
        <f t="shared" si="16"/>
        <v>0</v>
      </c>
      <c r="AA8" s="118"/>
      <c r="AB8" s="118"/>
      <c r="AC8" s="118"/>
      <c r="AD8" s="118"/>
      <c r="AE8" s="118"/>
      <c r="AF8" s="118"/>
      <c r="AG8" s="118"/>
      <c r="AH8" s="26" t="s">
        <v>115</v>
      </c>
      <c r="AI8" s="26" t="s">
        <v>112</v>
      </c>
      <c r="AJ8" s="26">
        <v>60</v>
      </c>
      <c r="AK8" s="121" t="str">
        <f t="shared" si="0"/>
        <v>0</v>
      </c>
      <c r="AL8" s="123" t="str">
        <f t="shared" si="1"/>
        <v>14821/고객 매장 정보관리/project/StoreInfo</v>
      </c>
      <c r="AM8" s="21"/>
      <c r="AN8" s="124" t="s">
        <v>1829</v>
      </c>
      <c r="AO8" s="124"/>
      <c r="AP8" s="124"/>
      <c r="AQ8" s="124"/>
      <c r="AR8" s="124"/>
      <c r="AS8" s="124"/>
      <c r="AT8" s="124"/>
      <c r="AU8" s="124"/>
      <c r="AV8" s="124"/>
      <c r="AW8" s="117"/>
      <c r="AX8" s="138" t="str">
        <f t="shared" si="2"/>
        <v>delete from module_mst where pjt_id = '14821' and menu_id = '110003';</v>
      </c>
      <c r="AY8" s="31" t="str">
        <f>IF(C8&lt;&gt;"",CREATE_QUERY($D$1,C$2:AW$2,C8:AW8),"")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'110003', '고객 매장 정보관리', '', '', '', '', '1', '1', '1', 'project', 'StoreInfo', '1', '1', '1', '1', '1', '1', '1', '', '0', '0', '0', '', '', '', '', '', '', '', '110000', '4', '60', '0', '14821/고객 매장 정보관리/project/StoreInfo', '', 'Y', '', '', '', '', '', '', '', '');</v>
      </c>
    </row>
    <row r="9" spans="1:51">
      <c r="A9" s="1">
        <v>8</v>
      </c>
      <c r="B9" s="121" t="str">
        <f t="shared" si="3"/>
        <v xml:space="preserve">    └ 고객별 단어 관리</v>
      </c>
      <c r="C9" s="27" t="str">
        <f t="shared" si="4"/>
        <v>14821</v>
      </c>
      <c r="D9" s="121"/>
      <c r="E9" s="28">
        <v>110004</v>
      </c>
      <c r="F9" s="118" t="s">
        <v>2385</v>
      </c>
      <c r="G9" s="118"/>
      <c r="H9" s="118"/>
      <c r="I9" s="118"/>
      <c r="J9" s="118"/>
      <c r="K9" s="21" t="str">
        <f t="shared" si="5"/>
        <v>1</v>
      </c>
      <c r="L9" s="21">
        <v>1</v>
      </c>
      <c r="M9" s="21" t="str">
        <f t="shared" si="6"/>
        <v>1</v>
      </c>
      <c r="N9" s="118" t="s">
        <v>54</v>
      </c>
      <c r="O9" s="118" t="s">
        <v>2384</v>
      </c>
      <c r="P9" s="21" t="str">
        <f t="shared" si="7"/>
        <v>1</v>
      </c>
      <c r="Q9" s="21" t="str">
        <f t="shared" si="8"/>
        <v>1</v>
      </c>
      <c r="R9" s="21" t="str">
        <f t="shared" si="9"/>
        <v>1</v>
      </c>
      <c r="S9" s="21" t="str">
        <f t="shared" si="10"/>
        <v>1</v>
      </c>
      <c r="T9" s="21" t="str">
        <f t="shared" si="11"/>
        <v>1</v>
      </c>
      <c r="U9" s="21" t="str">
        <f t="shared" si="12"/>
        <v>1</v>
      </c>
      <c r="V9" s="21" t="str">
        <f t="shared" si="13"/>
        <v>1</v>
      </c>
      <c r="W9" s="21"/>
      <c r="X9" s="21" t="str">
        <f t="shared" si="14"/>
        <v>0</v>
      </c>
      <c r="Y9" s="21" t="str">
        <f t="shared" si="15"/>
        <v>0</v>
      </c>
      <c r="Z9" s="21" t="str">
        <f t="shared" si="16"/>
        <v>0</v>
      </c>
      <c r="AA9" s="118"/>
      <c r="AB9" s="118"/>
      <c r="AC9" s="118"/>
      <c r="AD9" s="118"/>
      <c r="AE9" s="118"/>
      <c r="AF9" s="118"/>
      <c r="AG9" s="118"/>
      <c r="AH9" s="26" t="s">
        <v>115</v>
      </c>
      <c r="AI9" s="26" t="s">
        <v>112</v>
      </c>
      <c r="AJ9" s="26">
        <v>60</v>
      </c>
      <c r="AK9" s="121" t="str">
        <f t="shared" si="0"/>
        <v/>
      </c>
      <c r="AL9" s="123" t="str">
        <f t="shared" si="1"/>
        <v>14821/고객별 단어 관리/project/ProjWord</v>
      </c>
      <c r="AM9" s="21"/>
      <c r="AN9" s="124" t="s">
        <v>1829</v>
      </c>
      <c r="AO9" s="124"/>
      <c r="AP9" s="124"/>
      <c r="AQ9" s="124"/>
      <c r="AR9" s="124"/>
      <c r="AS9" s="124"/>
      <c r="AT9" s="124"/>
      <c r="AU9" s="124"/>
      <c r="AV9" s="124"/>
      <c r="AW9" s="117"/>
      <c r="AX9" s="138" t="str">
        <f t="shared" si="2"/>
        <v>delete from module_mst where pjt_id = '14821' and menu_id = '110004';</v>
      </c>
      <c r="AY9" s="31" t="str">
        <f>IF(C9&lt;&gt;"",CREATE_QUERY($D$1,C$2:AW$2,C9:AW9),"")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'110004', '고객별 단어 관리', '', '', '', '', '1', '1', '1', 'project', 'ProjWord', '1', '1', '1', '1', '1', '1', '1', '', '0', '0', '0', '', '', '', '', '', '', '', '110000', '4', '60', '', '14821/고객별 단어 관리/project/ProjWord', '', 'Y', '', '', '', '', '', '', '', '');</v>
      </c>
    </row>
    <row r="10" spans="1:51">
      <c r="A10" s="1">
        <v>9</v>
      </c>
      <c r="B10" s="121" t="str">
        <f t="shared" si="3"/>
        <v/>
      </c>
      <c r="C10" s="27" t="str">
        <f t="shared" si="4"/>
        <v/>
      </c>
      <c r="D10" s="121"/>
      <c r="E10" s="27"/>
      <c r="F10" s="121"/>
      <c r="G10" s="121"/>
      <c r="H10" s="121"/>
      <c r="I10" s="121"/>
      <c r="J10" s="121"/>
      <c r="K10" s="27" t="str">
        <f t="shared" si="5"/>
        <v/>
      </c>
      <c r="L10" s="27">
        <v>1</v>
      </c>
      <c r="M10" s="27" t="str">
        <f t="shared" si="6"/>
        <v>0</v>
      </c>
      <c r="N10" s="121"/>
      <c r="O10" s="121"/>
      <c r="P10" s="27" t="str">
        <f t="shared" si="7"/>
        <v>0</v>
      </c>
      <c r="Q10" s="27" t="str">
        <f t="shared" si="8"/>
        <v>0</v>
      </c>
      <c r="R10" s="27" t="str">
        <f t="shared" si="9"/>
        <v>0</v>
      </c>
      <c r="S10" s="27" t="str">
        <f t="shared" si="10"/>
        <v>0</v>
      </c>
      <c r="T10" s="27" t="str">
        <f t="shared" si="11"/>
        <v>0</v>
      </c>
      <c r="U10" s="27" t="str">
        <f t="shared" si="12"/>
        <v>0</v>
      </c>
      <c r="V10" s="27" t="str">
        <f t="shared" si="13"/>
        <v>1</v>
      </c>
      <c r="W10" s="27"/>
      <c r="X10" s="27" t="str">
        <f t="shared" si="14"/>
        <v/>
      </c>
      <c r="Y10" s="27" t="str">
        <f t="shared" si="15"/>
        <v/>
      </c>
      <c r="Z10" s="27" t="str">
        <f t="shared" si="16"/>
        <v/>
      </c>
      <c r="AA10" s="121"/>
      <c r="AB10" s="121"/>
      <c r="AC10" s="121"/>
      <c r="AD10" s="121"/>
      <c r="AE10" s="121"/>
      <c r="AF10" s="121"/>
      <c r="AG10" s="121"/>
      <c r="AH10" s="27"/>
      <c r="AI10" s="27"/>
      <c r="AJ10" s="27"/>
      <c r="AK10" s="121" t="str">
        <f t="shared" si="0"/>
        <v>0</v>
      </c>
      <c r="AL10" s="123" t="str">
        <f t="shared" si="1"/>
        <v/>
      </c>
      <c r="AM10" s="27"/>
      <c r="AN10" s="124" t="s">
        <v>1829</v>
      </c>
      <c r="AO10" s="124"/>
      <c r="AP10" s="124"/>
      <c r="AQ10" s="124"/>
      <c r="AR10" s="124"/>
      <c r="AS10" s="124"/>
      <c r="AT10" s="124"/>
      <c r="AU10" s="124"/>
      <c r="AV10" s="124"/>
      <c r="AW10" s="117"/>
      <c r="AX10" s="138" t="str">
        <f t="shared" si="2"/>
        <v/>
      </c>
      <c r="AY10" s="31" t="str">
        <f>IF(C10&lt;&gt;"",CREATE_QUERY($D$1,C$2:AW$2,C10:AW10),"")</f>
        <v/>
      </c>
    </row>
    <row r="11" spans="1:51">
      <c r="A11" s="1">
        <v>10</v>
      </c>
      <c r="B11" s="121" t="str">
        <f t="shared" si="3"/>
        <v xml:space="preserve">  └ Module 관리</v>
      </c>
      <c r="C11" s="27" t="str">
        <f t="shared" si="4"/>
        <v>14821</v>
      </c>
      <c r="D11" s="121"/>
      <c r="E11" s="25" t="s">
        <v>116</v>
      </c>
      <c r="F11" s="127" t="s">
        <v>99</v>
      </c>
      <c r="G11" s="127"/>
      <c r="H11" s="127"/>
      <c r="I11" s="127"/>
      <c r="J11" s="127"/>
      <c r="K11" s="25" t="str">
        <f t="shared" si="5"/>
        <v/>
      </c>
      <c r="L11" s="25">
        <v>1</v>
      </c>
      <c r="M11" s="25" t="str">
        <f t="shared" si="6"/>
        <v>0</v>
      </c>
      <c r="N11" s="127"/>
      <c r="O11" s="127"/>
      <c r="P11" s="25" t="str">
        <f t="shared" si="7"/>
        <v>0</v>
      </c>
      <c r="Q11" s="25" t="str">
        <f t="shared" si="8"/>
        <v>0</v>
      </c>
      <c r="R11" s="25" t="str">
        <f t="shared" si="9"/>
        <v>0</v>
      </c>
      <c r="S11" s="25" t="str">
        <f t="shared" si="10"/>
        <v>0</v>
      </c>
      <c r="T11" s="25" t="str">
        <f t="shared" si="11"/>
        <v>0</v>
      </c>
      <c r="U11" s="25" t="str">
        <f t="shared" si="12"/>
        <v>0</v>
      </c>
      <c r="V11" s="25" t="str">
        <f t="shared" si="13"/>
        <v>1</v>
      </c>
      <c r="W11" s="25"/>
      <c r="X11" s="25" t="str">
        <f t="shared" si="14"/>
        <v/>
      </c>
      <c r="Y11" s="25" t="str">
        <f t="shared" si="15"/>
        <v/>
      </c>
      <c r="Z11" s="25" t="str">
        <f t="shared" si="16"/>
        <v/>
      </c>
      <c r="AA11" s="127"/>
      <c r="AB11" s="127"/>
      <c r="AC11" s="127"/>
      <c r="AD11" s="127"/>
      <c r="AE11" s="127"/>
      <c r="AF11" s="127"/>
      <c r="AG11" s="127"/>
      <c r="AH11" s="25" t="s">
        <v>114</v>
      </c>
      <c r="AI11" s="25" t="s">
        <v>111</v>
      </c>
      <c r="AJ11" s="25">
        <v>80</v>
      </c>
      <c r="AK11" s="121" t="str">
        <f t="shared" si="0"/>
        <v>0</v>
      </c>
      <c r="AL11" s="123" t="str">
        <f t="shared" si="1"/>
        <v>14821/Module 관리//</v>
      </c>
      <c r="AM11" s="25"/>
      <c r="AN11" s="124" t="s">
        <v>1829</v>
      </c>
      <c r="AO11" s="124"/>
      <c r="AP11" s="124"/>
      <c r="AQ11" s="124"/>
      <c r="AR11" s="124"/>
      <c r="AS11" s="124"/>
      <c r="AT11" s="124"/>
      <c r="AU11" s="124"/>
      <c r="AV11" s="124"/>
      <c r="AW11" s="117"/>
      <c r="AX11" s="138" t="str">
        <f t="shared" si="2"/>
        <v>delete from module_mst where pjt_id = '14821' and menu_id = '120000';</v>
      </c>
      <c r="AY11" s="31" t="str">
        <f>IF(C11&lt;&gt;"",CREATE_QUERY($D$1,C$2:AW$2,C11:AW11),"")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'120000', 'Module 관리', '', '', '', '', '', '1', '0', '', '', '0', '0', '0', '0', '0', '0', '1', '', '', '', '', '', '', '', '', '', '', '', '100000', '3', '80', '0', '14821/Module 관리//', '', 'Y', '', '', '', '', '', '', '', '');</v>
      </c>
    </row>
    <row r="12" spans="1:51">
      <c r="A12" s="1">
        <v>11</v>
      </c>
      <c r="B12" s="121" t="str">
        <f t="shared" si="3"/>
        <v xml:space="preserve">    └ Module 정보 관리</v>
      </c>
      <c r="C12" s="27" t="str">
        <f t="shared" si="4"/>
        <v>14821</v>
      </c>
      <c r="D12" s="121"/>
      <c r="E12" s="21">
        <v>120001</v>
      </c>
      <c r="F12" s="118" t="s">
        <v>354</v>
      </c>
      <c r="G12" s="118"/>
      <c r="H12" s="118"/>
      <c r="I12" s="118"/>
      <c r="J12" s="118"/>
      <c r="K12" s="21" t="str">
        <f t="shared" si="5"/>
        <v>1</v>
      </c>
      <c r="L12" s="21">
        <v>1</v>
      </c>
      <c r="M12" s="21" t="str">
        <f t="shared" si="6"/>
        <v>1</v>
      </c>
      <c r="N12" s="118" t="s">
        <v>54</v>
      </c>
      <c r="O12" s="118" t="s">
        <v>100</v>
      </c>
      <c r="P12" s="21" t="str">
        <f t="shared" si="7"/>
        <v>1</v>
      </c>
      <c r="Q12" s="21" t="str">
        <f t="shared" si="8"/>
        <v>1</v>
      </c>
      <c r="R12" s="21" t="str">
        <f t="shared" si="9"/>
        <v>1</v>
      </c>
      <c r="S12" s="21" t="str">
        <f t="shared" si="10"/>
        <v>1</v>
      </c>
      <c r="T12" s="21" t="str">
        <f t="shared" si="11"/>
        <v>1</v>
      </c>
      <c r="U12" s="21" t="str">
        <f t="shared" si="12"/>
        <v>1</v>
      </c>
      <c r="V12" s="21" t="str">
        <f t="shared" si="13"/>
        <v>1</v>
      </c>
      <c r="W12" s="21"/>
      <c r="X12" s="21" t="str">
        <f t="shared" si="14"/>
        <v>0</v>
      </c>
      <c r="Y12" s="21" t="str">
        <f t="shared" si="15"/>
        <v>0</v>
      </c>
      <c r="Z12" s="21" t="str">
        <f t="shared" si="16"/>
        <v>0</v>
      </c>
      <c r="AA12" s="118"/>
      <c r="AB12" s="118"/>
      <c r="AC12" s="118"/>
      <c r="AD12" s="118"/>
      <c r="AE12" s="118"/>
      <c r="AF12" s="118"/>
      <c r="AG12" s="118"/>
      <c r="AH12" s="26" t="s">
        <v>116</v>
      </c>
      <c r="AI12" s="26" t="s">
        <v>112</v>
      </c>
      <c r="AJ12" s="26">
        <v>90</v>
      </c>
      <c r="AK12" s="121" t="str">
        <f t="shared" si="0"/>
        <v>0</v>
      </c>
      <c r="AL12" s="123" t="str">
        <f t="shared" si="1"/>
        <v>14821/Module 정보 관리/project/ModuleInfo</v>
      </c>
      <c r="AM12" s="21"/>
      <c r="AN12" s="124" t="s">
        <v>1829</v>
      </c>
      <c r="AO12" s="124"/>
      <c r="AP12" s="124"/>
      <c r="AQ12" s="124"/>
      <c r="AR12" s="124"/>
      <c r="AS12" s="124"/>
      <c r="AT12" s="124"/>
      <c r="AU12" s="124"/>
      <c r="AV12" s="124"/>
      <c r="AW12" s="117"/>
      <c r="AX12" s="138" t="str">
        <f t="shared" si="2"/>
        <v>delete from module_mst where pjt_id = '14821' and menu_id = '120001';</v>
      </c>
      <c r="AY12" s="31" t="str">
        <f>IF(C12&lt;&gt;"",CREATE_QUERY($D$1,C$2:AW$2,C12:AW12),"")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'120001', 'Module 정보 관리', '', '', '', '', '1', '1', '1', 'project', 'ModuleInfo', '1', '1', '1', '1', '1', '1', '1', '', '0', '0', '0', '', '', '', '', '', '', '', '120000', '4', '90', '0', '14821/Module 정보 관리/project/ModuleInfo', '', 'Y', '', '', '', '', '', '', '', '');</v>
      </c>
    </row>
    <row r="13" spans="1:51">
      <c r="A13" s="1">
        <v>12</v>
      </c>
      <c r="B13" s="121" t="str">
        <f t="shared" si="3"/>
        <v xml:space="preserve">    └ 고객사 Module 등록</v>
      </c>
      <c r="C13" s="27" t="str">
        <f t="shared" si="4"/>
        <v>14821</v>
      </c>
      <c r="D13" s="121"/>
      <c r="E13" s="21">
        <v>120002</v>
      </c>
      <c r="F13" s="118" t="s">
        <v>102</v>
      </c>
      <c r="G13" s="118"/>
      <c r="H13" s="118"/>
      <c r="I13" s="118"/>
      <c r="J13" s="118"/>
      <c r="K13" s="21" t="str">
        <f t="shared" si="5"/>
        <v>1</v>
      </c>
      <c r="L13" s="21">
        <v>1</v>
      </c>
      <c r="M13" s="21" t="str">
        <f t="shared" si="6"/>
        <v>1</v>
      </c>
      <c r="N13" s="118" t="s">
        <v>54</v>
      </c>
      <c r="O13" s="118" t="s">
        <v>90</v>
      </c>
      <c r="P13" s="21" t="str">
        <f t="shared" si="7"/>
        <v>1</v>
      </c>
      <c r="Q13" s="21" t="str">
        <f t="shared" si="8"/>
        <v>1</v>
      </c>
      <c r="R13" s="21" t="str">
        <f t="shared" si="9"/>
        <v>1</v>
      </c>
      <c r="S13" s="21" t="str">
        <f t="shared" si="10"/>
        <v>1</v>
      </c>
      <c r="T13" s="21" t="str">
        <f t="shared" si="11"/>
        <v>1</v>
      </c>
      <c r="U13" s="21" t="str">
        <f t="shared" si="12"/>
        <v>1</v>
      </c>
      <c r="V13" s="21" t="str">
        <f t="shared" si="13"/>
        <v>1</v>
      </c>
      <c r="W13" s="21"/>
      <c r="X13" s="21" t="str">
        <f t="shared" si="14"/>
        <v>0</v>
      </c>
      <c r="Y13" s="21" t="str">
        <f t="shared" si="15"/>
        <v>0</v>
      </c>
      <c r="Z13" s="21" t="str">
        <f t="shared" si="16"/>
        <v>0</v>
      </c>
      <c r="AA13" s="118"/>
      <c r="AB13" s="118"/>
      <c r="AC13" s="118"/>
      <c r="AD13" s="118"/>
      <c r="AE13" s="118"/>
      <c r="AF13" s="118"/>
      <c r="AG13" s="118"/>
      <c r="AH13" s="26" t="s">
        <v>116</v>
      </c>
      <c r="AI13" s="26" t="s">
        <v>112</v>
      </c>
      <c r="AJ13" s="26">
        <v>100</v>
      </c>
      <c r="AK13" s="121" t="str">
        <f t="shared" si="0"/>
        <v>0</v>
      </c>
      <c r="AL13" s="123" t="str">
        <f t="shared" si="1"/>
        <v>14821/고객사 Module 등록/project/BonsaMenu</v>
      </c>
      <c r="AM13" s="21"/>
      <c r="AN13" s="124" t="s">
        <v>1829</v>
      </c>
      <c r="AO13" s="124"/>
      <c r="AP13" s="124"/>
      <c r="AQ13" s="124"/>
      <c r="AR13" s="124"/>
      <c r="AS13" s="124"/>
      <c r="AT13" s="124"/>
      <c r="AU13" s="124"/>
      <c r="AV13" s="124"/>
      <c r="AW13" s="117"/>
      <c r="AX13" s="138" t="str">
        <f t="shared" si="2"/>
        <v>delete from module_mst where pjt_id = '14821' and menu_id = '120002';</v>
      </c>
      <c r="AY13" s="31" t="str">
        <f>IF(C13&lt;&gt;"",CREATE_QUERY($D$1,C$2:AW$2,C13:AW13),"")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'120002', '고객사 Module 등록', '', '', '', '', '1', '1', '1', 'project', 'BonsaMenu', '1', '1', '1', '1', '1', '1', '1', '', '0', '0', '0', '', '', '', '', '', '', '', '120000', '4', '100', '0', '14821/고객사 Module 등록/project/BonsaMenu', '', 'Y', '', '', '', '', '', '', '', '');</v>
      </c>
    </row>
    <row r="14" spans="1:51">
      <c r="A14" s="1">
        <v>13</v>
      </c>
      <c r="B14" s="121" t="str">
        <f t="shared" si="3"/>
        <v xml:space="preserve">    └ 고객사 메뉴 관리</v>
      </c>
      <c r="C14" s="27" t="str">
        <f t="shared" si="4"/>
        <v>14821</v>
      </c>
      <c r="D14" s="121"/>
      <c r="E14" s="21">
        <v>120003</v>
      </c>
      <c r="F14" s="118" t="s">
        <v>103</v>
      </c>
      <c r="G14" s="118"/>
      <c r="H14" s="118"/>
      <c r="I14" s="118"/>
      <c r="J14" s="118"/>
      <c r="K14" s="21" t="str">
        <f t="shared" si="5"/>
        <v>1</v>
      </c>
      <c r="L14" s="21">
        <v>1</v>
      </c>
      <c r="M14" s="21" t="str">
        <f t="shared" si="6"/>
        <v>1</v>
      </c>
      <c r="N14" s="118" t="s">
        <v>54</v>
      </c>
      <c r="O14" s="118" t="s">
        <v>92</v>
      </c>
      <c r="P14" s="21" t="str">
        <f t="shared" si="7"/>
        <v>1</v>
      </c>
      <c r="Q14" s="21" t="str">
        <f t="shared" si="8"/>
        <v>1</v>
      </c>
      <c r="R14" s="21" t="str">
        <f t="shared" si="9"/>
        <v>1</v>
      </c>
      <c r="S14" s="21" t="str">
        <f t="shared" si="10"/>
        <v>1</v>
      </c>
      <c r="T14" s="21" t="str">
        <f t="shared" si="11"/>
        <v>1</v>
      </c>
      <c r="U14" s="21" t="str">
        <f t="shared" si="12"/>
        <v>1</v>
      </c>
      <c r="V14" s="21" t="str">
        <f t="shared" si="13"/>
        <v>1</v>
      </c>
      <c r="W14" s="21"/>
      <c r="X14" s="21" t="str">
        <f t="shared" si="14"/>
        <v>0</v>
      </c>
      <c r="Y14" s="21" t="str">
        <f t="shared" si="15"/>
        <v>0</v>
      </c>
      <c r="Z14" s="21" t="str">
        <f t="shared" si="16"/>
        <v>0</v>
      </c>
      <c r="AA14" s="118"/>
      <c r="AB14" s="118"/>
      <c r="AC14" s="118"/>
      <c r="AD14" s="118"/>
      <c r="AE14" s="118"/>
      <c r="AF14" s="118"/>
      <c r="AG14" s="118"/>
      <c r="AH14" s="26" t="s">
        <v>116</v>
      </c>
      <c r="AI14" s="26" t="s">
        <v>112</v>
      </c>
      <c r="AJ14" s="26">
        <v>110</v>
      </c>
      <c r="AK14" s="121" t="str">
        <f t="shared" si="0"/>
        <v>0</v>
      </c>
      <c r="AL14" s="123" t="str">
        <f t="shared" si="1"/>
        <v>14821/고객사 메뉴 관리/project/ProjMenu</v>
      </c>
      <c r="AM14" s="21"/>
      <c r="AN14" s="124" t="s">
        <v>1829</v>
      </c>
      <c r="AO14" s="124"/>
      <c r="AP14" s="124"/>
      <c r="AQ14" s="124"/>
      <c r="AR14" s="124"/>
      <c r="AS14" s="124"/>
      <c r="AT14" s="124"/>
      <c r="AU14" s="124"/>
      <c r="AV14" s="124"/>
      <c r="AW14" s="117"/>
      <c r="AX14" s="138" t="str">
        <f t="shared" si="2"/>
        <v>delete from module_mst where pjt_id = '14821' and menu_id = '120003';</v>
      </c>
      <c r="AY14" s="31" t="str">
        <f>IF(C14&lt;&gt;"",CREATE_QUERY($D$1,C$2:AW$2,C14:AW14),"")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'120003', '고객사 메뉴 관리', '', '', '', '', '1', '1', '1', 'project', 'ProjMenu', '1', '1', '1', '1', '1', '1', '1', '', '0', '0', '0', '', '', '', '', '', '', '', '120000', '4', '110', '0', '14821/고객사 메뉴 관리/project/ProjMenu', '', 'Y', '', '', '', '', '', '', '', '');</v>
      </c>
    </row>
    <row r="15" spans="1:51">
      <c r="A15" s="1">
        <v>14</v>
      </c>
      <c r="B15" s="121" t="str">
        <f t="shared" si="3"/>
        <v xml:space="preserve">    └ 테이블 내역 관리</v>
      </c>
      <c r="C15" s="27" t="str">
        <f t="shared" si="4"/>
        <v>14821</v>
      </c>
      <c r="D15" s="121"/>
      <c r="E15" s="21">
        <v>120004</v>
      </c>
      <c r="F15" s="118" t="s">
        <v>107</v>
      </c>
      <c r="G15" s="118"/>
      <c r="H15" s="118"/>
      <c r="I15" s="118"/>
      <c r="J15" s="118"/>
      <c r="K15" s="21" t="str">
        <f t="shared" si="5"/>
        <v>1</v>
      </c>
      <c r="L15" s="21">
        <v>1</v>
      </c>
      <c r="M15" s="21" t="str">
        <f t="shared" si="6"/>
        <v>1</v>
      </c>
      <c r="N15" s="118" t="s">
        <v>54</v>
      </c>
      <c r="O15" s="118" t="s">
        <v>108</v>
      </c>
      <c r="P15" s="21" t="str">
        <f t="shared" si="7"/>
        <v>1</v>
      </c>
      <c r="Q15" s="21" t="str">
        <f t="shared" si="8"/>
        <v>1</v>
      </c>
      <c r="R15" s="21" t="str">
        <f t="shared" si="9"/>
        <v>1</v>
      </c>
      <c r="S15" s="21" t="str">
        <f t="shared" si="10"/>
        <v>1</v>
      </c>
      <c r="T15" s="21" t="str">
        <f t="shared" si="11"/>
        <v>1</v>
      </c>
      <c r="U15" s="21" t="str">
        <f t="shared" si="12"/>
        <v>1</v>
      </c>
      <c r="V15" s="21" t="str">
        <f t="shared" si="13"/>
        <v>1</v>
      </c>
      <c r="W15" s="21"/>
      <c r="X15" s="21" t="str">
        <f t="shared" si="14"/>
        <v>0</v>
      </c>
      <c r="Y15" s="21" t="str">
        <f t="shared" si="15"/>
        <v>0</v>
      </c>
      <c r="Z15" s="21" t="str">
        <f t="shared" si="16"/>
        <v>0</v>
      </c>
      <c r="AA15" s="118"/>
      <c r="AB15" s="118"/>
      <c r="AC15" s="118"/>
      <c r="AD15" s="118"/>
      <c r="AE15" s="118"/>
      <c r="AF15" s="118"/>
      <c r="AG15" s="118"/>
      <c r="AH15" s="26" t="s">
        <v>116</v>
      </c>
      <c r="AI15" s="26" t="s">
        <v>112</v>
      </c>
      <c r="AJ15" s="26">
        <v>120</v>
      </c>
      <c r="AK15" s="121" t="str">
        <f t="shared" si="0"/>
        <v>0</v>
      </c>
      <c r="AL15" s="123" t="str">
        <f t="shared" si="1"/>
        <v>14821/테이블 내역 관리/project/TableManager</v>
      </c>
      <c r="AM15" s="21"/>
      <c r="AN15" s="124" t="s">
        <v>1829</v>
      </c>
      <c r="AO15" s="124"/>
      <c r="AP15" s="124"/>
      <c r="AQ15" s="124"/>
      <c r="AR15" s="124"/>
      <c r="AS15" s="124"/>
      <c r="AT15" s="124"/>
      <c r="AU15" s="124"/>
      <c r="AV15" s="124"/>
      <c r="AW15" s="117"/>
      <c r="AX15" s="138" t="str">
        <f t="shared" si="2"/>
        <v>delete from module_mst where pjt_id = '14821' and menu_id = '120004';</v>
      </c>
      <c r="AY15" s="31" t="str">
        <f>IF(C15&lt;&gt;"",CREATE_QUERY($D$1,C$2:AW$2,C15:AW15),"")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'120004', '테이블 내역 관리', '', '', '', '', '1', '1', '1', 'project', 'TableManager', '1', '1', '1', '1', '1', '1', '1', '', '0', '0', '0', '', '', '', '', '', '', '', '120000', '4', '120', '0', '14821/테이블 내역 관리/project/TableManager', '', 'Y', '', '', '', '', '', '', '', '');</v>
      </c>
    </row>
    <row r="16" spans="1:51">
      <c r="A16" s="1">
        <v>15</v>
      </c>
      <c r="B16" s="121" t="str">
        <f t="shared" si="3"/>
        <v xml:space="preserve">    └ 스크립트 작성</v>
      </c>
      <c r="C16" s="27" t="str">
        <f t="shared" si="4"/>
        <v>14821</v>
      </c>
      <c r="D16" s="121"/>
      <c r="E16" s="21">
        <v>120005</v>
      </c>
      <c r="F16" s="118" t="s">
        <v>109</v>
      </c>
      <c r="G16" s="118"/>
      <c r="H16" s="118"/>
      <c r="I16" s="118"/>
      <c r="J16" s="118"/>
      <c r="K16" s="21" t="str">
        <f t="shared" si="5"/>
        <v>1</v>
      </c>
      <c r="L16" s="21">
        <v>1</v>
      </c>
      <c r="M16" s="21" t="str">
        <f t="shared" si="6"/>
        <v>1</v>
      </c>
      <c r="N16" s="118" t="s">
        <v>54</v>
      </c>
      <c r="O16" s="118" t="s">
        <v>110</v>
      </c>
      <c r="P16" s="21" t="str">
        <f t="shared" si="7"/>
        <v>1</v>
      </c>
      <c r="Q16" s="21" t="str">
        <f t="shared" si="8"/>
        <v>1</v>
      </c>
      <c r="R16" s="21" t="str">
        <f t="shared" si="9"/>
        <v>1</v>
      </c>
      <c r="S16" s="21" t="str">
        <f t="shared" si="10"/>
        <v>1</v>
      </c>
      <c r="T16" s="21" t="str">
        <f t="shared" si="11"/>
        <v>1</v>
      </c>
      <c r="U16" s="21" t="str">
        <f t="shared" si="12"/>
        <v>1</v>
      </c>
      <c r="V16" s="21" t="str">
        <f t="shared" si="13"/>
        <v>1</v>
      </c>
      <c r="W16" s="21"/>
      <c r="X16" s="21" t="str">
        <f t="shared" si="14"/>
        <v>0</v>
      </c>
      <c r="Y16" s="21" t="str">
        <f t="shared" si="15"/>
        <v>0</v>
      </c>
      <c r="Z16" s="21" t="str">
        <f t="shared" si="16"/>
        <v>0</v>
      </c>
      <c r="AA16" s="118"/>
      <c r="AB16" s="118"/>
      <c r="AC16" s="118"/>
      <c r="AD16" s="118"/>
      <c r="AE16" s="118"/>
      <c r="AF16" s="118"/>
      <c r="AG16" s="118"/>
      <c r="AH16" s="26" t="s">
        <v>116</v>
      </c>
      <c r="AI16" s="26" t="s">
        <v>112</v>
      </c>
      <c r="AJ16" s="26">
        <v>130</v>
      </c>
      <c r="AK16" s="121" t="str">
        <f t="shared" si="0"/>
        <v>0</v>
      </c>
      <c r="AL16" s="123" t="str">
        <f t="shared" si="1"/>
        <v>14821/스크립트 작성/project/RndTool</v>
      </c>
      <c r="AM16" s="21"/>
      <c r="AN16" s="124" t="s">
        <v>1829</v>
      </c>
      <c r="AO16" s="124"/>
      <c r="AP16" s="124"/>
      <c r="AQ16" s="124"/>
      <c r="AR16" s="124"/>
      <c r="AS16" s="124"/>
      <c r="AT16" s="124"/>
      <c r="AU16" s="124"/>
      <c r="AV16" s="124"/>
      <c r="AW16" s="117"/>
      <c r="AX16" s="138" t="str">
        <f t="shared" si="2"/>
        <v>delete from module_mst where pjt_id = '14821' and menu_id = '120005';</v>
      </c>
      <c r="AY16" s="31" t="str">
        <f>IF(C16&lt;&gt;"",CREATE_QUERY($D$1,C$2:AW$2,C16:AW16),"")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'120005', '스크립트 작성', '', '', '', '', '1', '1', '1', 'project', 'RndTool', '1', '1', '1', '1', '1', '1', '1', '', '0', '0', '0', '', '', '', '', '', '', '', '120000', '4', '130', '0', '14821/스크립트 작성/project/RndTool', '', 'Y', '', '', '', '', '', '', '', '');</v>
      </c>
    </row>
    <row r="17" spans="1:51">
      <c r="A17" s="1">
        <v>16</v>
      </c>
      <c r="B17" s="121" t="str">
        <f t="shared" si="3"/>
        <v xml:space="preserve">    └ Domain 관리</v>
      </c>
      <c r="C17" s="27" t="str">
        <f t="shared" si="4"/>
        <v>14821</v>
      </c>
      <c r="D17" s="121"/>
      <c r="E17" s="21">
        <v>120006</v>
      </c>
      <c r="F17" s="118" t="s">
        <v>84</v>
      </c>
      <c r="G17" s="118"/>
      <c r="H17" s="118"/>
      <c r="I17" s="118"/>
      <c r="J17" s="118"/>
      <c r="K17" s="21" t="str">
        <f t="shared" si="5"/>
        <v>1</v>
      </c>
      <c r="L17" s="21">
        <v>1</v>
      </c>
      <c r="M17" s="21" t="str">
        <f t="shared" si="6"/>
        <v>1</v>
      </c>
      <c r="N17" s="118" t="s">
        <v>54</v>
      </c>
      <c r="O17" s="118" t="s">
        <v>85</v>
      </c>
      <c r="P17" s="21" t="str">
        <f t="shared" si="7"/>
        <v>1</v>
      </c>
      <c r="Q17" s="21" t="str">
        <f t="shared" si="8"/>
        <v>1</v>
      </c>
      <c r="R17" s="21" t="str">
        <f t="shared" si="9"/>
        <v>1</v>
      </c>
      <c r="S17" s="21" t="str">
        <f t="shared" si="10"/>
        <v>1</v>
      </c>
      <c r="T17" s="21" t="str">
        <f t="shared" si="11"/>
        <v>1</v>
      </c>
      <c r="U17" s="21" t="str">
        <f t="shared" si="12"/>
        <v>1</v>
      </c>
      <c r="V17" s="21" t="str">
        <f t="shared" si="13"/>
        <v>1</v>
      </c>
      <c r="W17" s="21"/>
      <c r="X17" s="21" t="str">
        <f t="shared" si="14"/>
        <v>0</v>
      </c>
      <c r="Y17" s="21" t="str">
        <f t="shared" si="15"/>
        <v>0</v>
      </c>
      <c r="Z17" s="21" t="str">
        <f t="shared" si="16"/>
        <v>0</v>
      </c>
      <c r="AA17" s="118"/>
      <c r="AB17" s="118"/>
      <c r="AC17" s="118"/>
      <c r="AD17" s="118"/>
      <c r="AE17" s="118" t="s">
        <v>51</v>
      </c>
      <c r="AF17" s="118"/>
      <c r="AG17" s="118"/>
      <c r="AH17" s="26" t="s">
        <v>116</v>
      </c>
      <c r="AI17" s="26" t="s">
        <v>112</v>
      </c>
      <c r="AJ17" s="26">
        <v>140</v>
      </c>
      <c r="AK17" s="121" t="str">
        <f t="shared" si="0"/>
        <v>0</v>
      </c>
      <c r="AL17" s="123" t="str">
        <f t="shared" si="1"/>
        <v>14821/Domain 관리/project/DomainManager</v>
      </c>
      <c r="AM17" s="21"/>
      <c r="AN17" s="124" t="s">
        <v>1829</v>
      </c>
      <c r="AO17" s="124"/>
      <c r="AP17" s="124"/>
      <c r="AQ17" s="124"/>
      <c r="AR17" s="124"/>
      <c r="AS17" s="124"/>
      <c r="AT17" s="124"/>
      <c r="AU17" s="124"/>
      <c r="AV17" s="124"/>
      <c r="AW17" s="117"/>
      <c r="AX17" s="138" t="str">
        <f t="shared" si="2"/>
        <v>delete from module_mst where pjt_id = '14821' and menu_id = '120006';</v>
      </c>
      <c r="AY17" s="31" t="str">
        <f>IF(C17&lt;&gt;"",CREATE_QUERY($D$1,C$2:AW$2,C17:AW17),"")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'120006', 'Domain 관리', '', '', '', '', '1', '1', '1', 'project', 'DomainManager', '1', '1', '1', '1', '1', '1', '1', '', '0', '0', '0', '', '', '', '', 'N', '', '', '120000', '4', '140', '0', '14821/Domain 관리/project/DomainManager', '', 'Y', '', '', '', '', '', '', '', '');</v>
      </c>
    </row>
    <row r="18" spans="1:51">
      <c r="A18" s="1">
        <v>17</v>
      </c>
      <c r="B18" s="121" t="str">
        <f t="shared" si="3"/>
        <v xml:space="preserve">    └ 쿼리 관리자</v>
      </c>
      <c r="C18" s="27" t="str">
        <f t="shared" si="4"/>
        <v>14821</v>
      </c>
      <c r="D18" s="121"/>
      <c r="E18" s="21">
        <v>120007</v>
      </c>
      <c r="F18" s="118" t="s">
        <v>53</v>
      </c>
      <c r="G18" s="118"/>
      <c r="H18" s="118"/>
      <c r="I18" s="118"/>
      <c r="J18" s="118"/>
      <c r="K18" s="21" t="str">
        <f t="shared" si="5"/>
        <v>1</v>
      </c>
      <c r="L18" s="21">
        <v>1</v>
      </c>
      <c r="M18" s="21" t="str">
        <f t="shared" si="6"/>
        <v>1</v>
      </c>
      <c r="N18" s="118" t="s">
        <v>54</v>
      </c>
      <c r="O18" s="118" t="s">
        <v>55</v>
      </c>
      <c r="P18" s="21" t="str">
        <f t="shared" si="7"/>
        <v>1</v>
      </c>
      <c r="Q18" s="21" t="str">
        <f t="shared" si="8"/>
        <v>1</v>
      </c>
      <c r="R18" s="21" t="str">
        <f t="shared" si="9"/>
        <v>1</v>
      </c>
      <c r="S18" s="21" t="str">
        <f t="shared" si="10"/>
        <v>1</v>
      </c>
      <c r="T18" s="21" t="str">
        <f t="shared" si="11"/>
        <v>1</v>
      </c>
      <c r="U18" s="21" t="str">
        <f t="shared" si="12"/>
        <v>1</v>
      </c>
      <c r="V18" s="21" t="str">
        <f t="shared" si="13"/>
        <v>1</v>
      </c>
      <c r="W18" s="21"/>
      <c r="X18" s="21" t="str">
        <f t="shared" si="14"/>
        <v>0</v>
      </c>
      <c r="Y18" s="21" t="str">
        <f t="shared" si="15"/>
        <v>0</v>
      </c>
      <c r="Z18" s="21" t="str">
        <f t="shared" si="16"/>
        <v>0</v>
      </c>
      <c r="AA18" s="118"/>
      <c r="AB18" s="118"/>
      <c r="AC18" s="118"/>
      <c r="AD18" s="118"/>
      <c r="AE18" s="118" t="s">
        <v>56</v>
      </c>
      <c r="AF18" s="118"/>
      <c r="AG18" s="118"/>
      <c r="AH18" s="26" t="s">
        <v>116</v>
      </c>
      <c r="AI18" s="26" t="s">
        <v>112</v>
      </c>
      <c r="AJ18" s="26">
        <v>150</v>
      </c>
      <c r="AK18" s="121" t="str">
        <f t="shared" si="0"/>
        <v>0</v>
      </c>
      <c r="AL18" s="123" t="str">
        <f t="shared" si="1"/>
        <v>14821/쿼리 관리자/project/QueryMaker</v>
      </c>
      <c r="AM18" s="21"/>
      <c r="AN18" s="124" t="s">
        <v>1829</v>
      </c>
      <c r="AO18" s="124"/>
      <c r="AP18" s="124"/>
      <c r="AQ18" s="124"/>
      <c r="AR18" s="124"/>
      <c r="AS18" s="124"/>
      <c r="AT18" s="124"/>
      <c r="AU18" s="124"/>
      <c r="AV18" s="124"/>
      <c r="AW18" s="117"/>
      <c r="AX18" s="138" t="str">
        <f t="shared" si="2"/>
        <v>delete from module_mst where pjt_id = '14821' and menu_id = '120007';</v>
      </c>
      <c r="AY18" s="31" t="str">
        <f>IF(C18&lt;&gt;"",CREATE_QUERY($D$1,C$2:AW$2,C18:AW18),"")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'120007', '쿼리 관리자', '', '', '', '', '1', '1', '1', 'project', 'QueryMaker', '1', '1', '1', '1', '1', '1', '1', '', '0', '0', '0', '', '', '', '', 'Y', '', '', '120000', '4', '150', '0', '14821/쿼리 관리자/project/QueryMaker', '', 'Y', '', '', '', '', '', '', '', '');</v>
      </c>
    </row>
    <row r="19" spans="1:51">
      <c r="A19" s="1">
        <v>17</v>
      </c>
      <c r="B19" s="121" t="str">
        <f t="shared" si="3"/>
        <v xml:space="preserve">    └ 실DB Table 조회</v>
      </c>
      <c r="C19" s="27" t="str">
        <f t="shared" si="4"/>
        <v>14821</v>
      </c>
      <c r="D19" s="121"/>
      <c r="E19" s="21">
        <v>120008</v>
      </c>
      <c r="F19" s="118" t="s">
        <v>2351</v>
      </c>
      <c r="G19" s="118"/>
      <c r="H19" s="118"/>
      <c r="I19" s="118"/>
      <c r="J19" s="118"/>
      <c r="K19" s="21" t="str">
        <f t="shared" si="5"/>
        <v>1</v>
      </c>
      <c r="L19" s="21">
        <v>1</v>
      </c>
      <c r="M19" s="21" t="str">
        <f t="shared" si="6"/>
        <v>1</v>
      </c>
      <c r="N19" s="118" t="s">
        <v>54</v>
      </c>
      <c r="O19" s="118" t="s">
        <v>2352</v>
      </c>
      <c r="P19" s="21" t="str">
        <f t="shared" si="7"/>
        <v>1</v>
      </c>
      <c r="Q19" s="21" t="str">
        <f t="shared" si="8"/>
        <v>1</v>
      </c>
      <c r="R19" s="21" t="str">
        <f t="shared" si="9"/>
        <v>1</v>
      </c>
      <c r="S19" s="21" t="str">
        <f t="shared" si="10"/>
        <v>1</v>
      </c>
      <c r="T19" s="21" t="str">
        <f t="shared" si="11"/>
        <v>1</v>
      </c>
      <c r="U19" s="21" t="str">
        <f t="shared" si="12"/>
        <v>1</v>
      </c>
      <c r="V19" s="21" t="str">
        <f t="shared" si="13"/>
        <v>1</v>
      </c>
      <c r="W19" s="21"/>
      <c r="X19" s="21" t="str">
        <f t="shared" si="14"/>
        <v>0</v>
      </c>
      <c r="Y19" s="21" t="str">
        <f t="shared" si="15"/>
        <v>0</v>
      </c>
      <c r="Z19" s="21" t="str">
        <f t="shared" si="16"/>
        <v>0</v>
      </c>
      <c r="AA19" s="118"/>
      <c r="AB19" s="118"/>
      <c r="AC19" s="118"/>
      <c r="AD19" s="118"/>
      <c r="AE19" s="118" t="s">
        <v>56</v>
      </c>
      <c r="AF19" s="118"/>
      <c r="AG19" s="118"/>
      <c r="AH19" s="26" t="s">
        <v>116</v>
      </c>
      <c r="AI19" s="26" t="s">
        <v>112</v>
      </c>
      <c r="AJ19" s="26">
        <v>151</v>
      </c>
      <c r="AK19" s="121" t="str">
        <f t="shared" si="0"/>
        <v/>
      </c>
      <c r="AL19" s="123" t="str">
        <f t="shared" si="1"/>
        <v>14821/실DB Table 조회/project/TableManagerV2</v>
      </c>
      <c r="AM19" s="21"/>
      <c r="AN19" s="124" t="s">
        <v>1829</v>
      </c>
      <c r="AO19" s="124"/>
      <c r="AP19" s="124"/>
      <c r="AQ19" s="124"/>
      <c r="AR19" s="124"/>
      <c r="AS19" s="124"/>
      <c r="AT19" s="124"/>
      <c r="AU19" s="124"/>
      <c r="AV19" s="124"/>
      <c r="AW19" s="117"/>
      <c r="AX19" s="138" t="str">
        <f t="shared" si="2"/>
        <v>delete from module_mst where pjt_id = '14821' and menu_id = '120008';</v>
      </c>
      <c r="AY19" s="31" t="str">
        <f>IF(C19&lt;&gt;"",CREATE_QUERY($D$1,C$2:AW$2,C19:AW19),"")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'120008', '실DB Table 조회', '', '', '', '', '1', '1', '1', 'project', 'TableManagerV2', '1', '1', '1', '1', '1', '1', '1', '', '0', '0', '0', '', '', '', '', 'Y', '', '', '120000', '4', '151', '', '14821/실DB Table 조회/project/TableManagerV2', '', 'Y', '', '', '', '', '', '', '', '');</v>
      </c>
    </row>
    <row r="20" spans="1:51">
      <c r="A20" s="1">
        <v>18</v>
      </c>
      <c r="B20" s="121" t="str">
        <f t="shared" si="3"/>
        <v/>
      </c>
      <c r="C20" s="27" t="str">
        <f t="shared" si="4"/>
        <v/>
      </c>
      <c r="D20" s="121"/>
      <c r="E20" s="27"/>
      <c r="F20" s="121"/>
      <c r="G20" s="121"/>
      <c r="H20" s="121"/>
      <c r="I20" s="121"/>
      <c r="J20" s="121"/>
      <c r="K20" s="27" t="str">
        <f t="shared" si="5"/>
        <v/>
      </c>
      <c r="L20" s="27">
        <v>1</v>
      </c>
      <c r="M20" s="27" t="str">
        <f t="shared" si="6"/>
        <v>0</v>
      </c>
      <c r="N20" s="121"/>
      <c r="O20" s="121"/>
      <c r="P20" s="27" t="str">
        <f t="shared" si="7"/>
        <v>0</v>
      </c>
      <c r="Q20" s="27" t="str">
        <f t="shared" si="8"/>
        <v>0</v>
      </c>
      <c r="R20" s="27" t="str">
        <f t="shared" si="9"/>
        <v>0</v>
      </c>
      <c r="S20" s="27" t="str">
        <f t="shared" si="10"/>
        <v>0</v>
      </c>
      <c r="T20" s="27" t="str">
        <f t="shared" si="11"/>
        <v>0</v>
      </c>
      <c r="U20" s="27" t="str">
        <f t="shared" si="12"/>
        <v>0</v>
      </c>
      <c r="V20" s="27" t="str">
        <f t="shared" si="13"/>
        <v>1</v>
      </c>
      <c r="W20" s="27"/>
      <c r="X20" s="27" t="str">
        <f t="shared" si="14"/>
        <v/>
      </c>
      <c r="Y20" s="27" t="str">
        <f t="shared" si="15"/>
        <v/>
      </c>
      <c r="Z20" s="27" t="str">
        <f t="shared" si="16"/>
        <v/>
      </c>
      <c r="AA20" s="121"/>
      <c r="AB20" s="121"/>
      <c r="AC20" s="121"/>
      <c r="AD20" s="121"/>
      <c r="AE20" s="121"/>
      <c r="AF20" s="121"/>
      <c r="AG20" s="121"/>
      <c r="AH20" s="27"/>
      <c r="AI20" s="27"/>
      <c r="AJ20" s="27"/>
      <c r="AK20" s="121" t="str">
        <f t="shared" si="0"/>
        <v>0</v>
      </c>
      <c r="AL20" s="123" t="str">
        <f t="shared" si="1"/>
        <v/>
      </c>
      <c r="AM20" s="27"/>
      <c r="AN20" s="124" t="s">
        <v>1829</v>
      </c>
      <c r="AO20" s="124"/>
      <c r="AP20" s="124"/>
      <c r="AQ20" s="124"/>
      <c r="AR20" s="124"/>
      <c r="AS20" s="124"/>
      <c r="AT20" s="124"/>
      <c r="AU20" s="124"/>
      <c r="AV20" s="124"/>
      <c r="AW20" s="117"/>
      <c r="AX20" s="138" t="str">
        <f t="shared" si="2"/>
        <v/>
      </c>
      <c r="AY20" s="31" t="str">
        <f>IF(C20&lt;&gt;"",CREATE_QUERY($D$1,C$2:AW$2,C20:AW20),"")</f>
        <v/>
      </c>
    </row>
    <row r="21" spans="1:51">
      <c r="A21" s="1">
        <v>19</v>
      </c>
      <c r="B21" s="121" t="str">
        <f t="shared" si="3"/>
        <v xml:space="preserve">  └ Server Manage</v>
      </c>
      <c r="C21" s="27" t="str">
        <f t="shared" si="4"/>
        <v>14821</v>
      </c>
      <c r="D21" s="121"/>
      <c r="E21" s="25" t="s">
        <v>117</v>
      </c>
      <c r="F21" s="127" t="s">
        <v>77</v>
      </c>
      <c r="G21" s="127"/>
      <c r="H21" s="127"/>
      <c r="I21" s="127"/>
      <c r="J21" s="127"/>
      <c r="K21" s="25" t="str">
        <f t="shared" si="5"/>
        <v/>
      </c>
      <c r="L21" s="25">
        <v>1</v>
      </c>
      <c r="M21" s="25" t="str">
        <f t="shared" si="6"/>
        <v>0</v>
      </c>
      <c r="N21" s="127"/>
      <c r="O21" s="127"/>
      <c r="P21" s="25" t="str">
        <f t="shared" si="7"/>
        <v>0</v>
      </c>
      <c r="Q21" s="25" t="str">
        <f t="shared" si="8"/>
        <v>0</v>
      </c>
      <c r="R21" s="25" t="str">
        <f t="shared" si="9"/>
        <v>0</v>
      </c>
      <c r="S21" s="25" t="str">
        <f t="shared" si="10"/>
        <v>0</v>
      </c>
      <c r="T21" s="25" t="str">
        <f t="shared" si="11"/>
        <v>0</v>
      </c>
      <c r="U21" s="25" t="str">
        <f t="shared" si="12"/>
        <v>0</v>
      </c>
      <c r="V21" s="25" t="str">
        <f t="shared" si="13"/>
        <v>1</v>
      </c>
      <c r="W21" s="25"/>
      <c r="X21" s="25" t="str">
        <f t="shared" si="14"/>
        <v/>
      </c>
      <c r="Y21" s="25" t="str">
        <f t="shared" si="15"/>
        <v/>
      </c>
      <c r="Z21" s="25" t="str">
        <f t="shared" si="16"/>
        <v/>
      </c>
      <c r="AA21" s="127"/>
      <c r="AB21" s="127"/>
      <c r="AC21" s="127"/>
      <c r="AD21" s="127"/>
      <c r="AE21" s="127"/>
      <c r="AF21" s="127"/>
      <c r="AG21" s="127"/>
      <c r="AH21" s="25" t="s">
        <v>114</v>
      </c>
      <c r="AI21" s="25" t="s">
        <v>111</v>
      </c>
      <c r="AJ21" s="25">
        <v>170</v>
      </c>
      <c r="AK21" s="121" t="str">
        <f t="shared" si="0"/>
        <v>0</v>
      </c>
      <c r="AL21" s="123" t="str">
        <f t="shared" si="1"/>
        <v>14821/Server Manage//</v>
      </c>
      <c r="AM21" s="25"/>
      <c r="AN21" s="124" t="s">
        <v>1829</v>
      </c>
      <c r="AO21" s="124"/>
      <c r="AP21" s="124"/>
      <c r="AQ21" s="124"/>
      <c r="AR21" s="124"/>
      <c r="AS21" s="124"/>
      <c r="AT21" s="124"/>
      <c r="AU21" s="124"/>
      <c r="AV21" s="124"/>
      <c r="AW21" s="117"/>
      <c r="AX21" s="138" t="str">
        <f t="shared" si="2"/>
        <v>delete from module_mst where pjt_id = '14821' and menu_id = '130000';</v>
      </c>
      <c r="AY21" s="31" t="str">
        <f>IF(C21&lt;&gt;"",CREATE_QUERY($D$1,C$2:AW$2,C21:AW21),"")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'130000', 'Server Manage', '', '', '', '', '', '1', '0', '', '', '0', '0', '0', '0', '0', '0', '1', '', '', '', '', '', '', '', '', '', '', '', '100000', '3', '170', '0', '14821/Server Manage//', '', 'Y', '', '', '', '', '', '', '', '');</v>
      </c>
    </row>
    <row r="22" spans="1:51">
      <c r="A22" s="1">
        <v>20</v>
      </c>
      <c r="B22" s="121" t="str">
        <f t="shared" si="3"/>
        <v xml:space="preserve">    └ Server Network </v>
      </c>
      <c r="C22" s="27" t="str">
        <f t="shared" si="4"/>
        <v>14821</v>
      </c>
      <c r="D22" s="121"/>
      <c r="E22" s="21">
        <v>130001</v>
      </c>
      <c r="F22" s="118" t="s">
        <v>78</v>
      </c>
      <c r="G22" s="118"/>
      <c r="H22" s="118"/>
      <c r="I22" s="118"/>
      <c r="J22" s="118"/>
      <c r="K22" s="21" t="str">
        <f t="shared" si="5"/>
        <v>1</v>
      </c>
      <c r="L22" s="21">
        <v>1</v>
      </c>
      <c r="M22" s="21" t="str">
        <f t="shared" si="6"/>
        <v>1</v>
      </c>
      <c r="N22" s="118" t="s">
        <v>54</v>
      </c>
      <c r="O22" s="118" t="s">
        <v>79</v>
      </c>
      <c r="P22" s="21" t="str">
        <f t="shared" si="7"/>
        <v>1</v>
      </c>
      <c r="Q22" s="21" t="str">
        <f t="shared" si="8"/>
        <v>1</v>
      </c>
      <c r="R22" s="21" t="str">
        <f t="shared" si="9"/>
        <v>1</v>
      </c>
      <c r="S22" s="21" t="str">
        <f t="shared" si="10"/>
        <v>1</v>
      </c>
      <c r="T22" s="21" t="str">
        <f t="shared" si="11"/>
        <v>1</v>
      </c>
      <c r="U22" s="21" t="str">
        <f t="shared" si="12"/>
        <v>1</v>
      </c>
      <c r="V22" s="21" t="str">
        <f t="shared" si="13"/>
        <v>1</v>
      </c>
      <c r="W22" s="21"/>
      <c r="X22" s="21" t="str">
        <f t="shared" si="14"/>
        <v>0</v>
      </c>
      <c r="Y22" s="21" t="str">
        <f t="shared" si="15"/>
        <v>0</v>
      </c>
      <c r="Z22" s="21" t="str">
        <f t="shared" si="16"/>
        <v>0</v>
      </c>
      <c r="AA22" s="118"/>
      <c r="AB22" s="118"/>
      <c r="AC22" s="118"/>
      <c r="AD22" s="118"/>
      <c r="AE22" s="118"/>
      <c r="AF22" s="118"/>
      <c r="AG22" s="118"/>
      <c r="AH22" s="26" t="s">
        <v>117</v>
      </c>
      <c r="AI22" s="26" t="s">
        <v>112</v>
      </c>
      <c r="AJ22" s="26">
        <v>180</v>
      </c>
      <c r="AK22" s="121" t="str">
        <f t="shared" si="0"/>
        <v>0</v>
      </c>
      <c r="AL22" s="123" t="str">
        <f t="shared" si="1"/>
        <v>14821/Server Network /project/HostInfo</v>
      </c>
      <c r="AM22" s="21"/>
      <c r="AN22" s="124" t="s">
        <v>1829</v>
      </c>
      <c r="AO22" s="124"/>
      <c r="AP22" s="124"/>
      <c r="AQ22" s="124"/>
      <c r="AR22" s="124"/>
      <c r="AS22" s="124"/>
      <c r="AT22" s="124"/>
      <c r="AU22" s="124"/>
      <c r="AV22" s="124"/>
      <c r="AW22" s="117"/>
      <c r="AX22" s="138" t="str">
        <f t="shared" si="2"/>
        <v>delete from module_mst where pjt_id = '14821' and menu_id = '130001';</v>
      </c>
      <c r="AY22" s="31" t="str">
        <f>IF(C22&lt;&gt;"",CREATE_QUERY($D$1,C$2:AW$2,C22:AW22),"")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'130001', 'Server Network ', '', '', '', '', '1', '1', '1', 'project', 'HostInfo', '1', '1', '1', '1', '1', '1', '1', '', '0', '0', '0', '', '', '', '', '', '', '', '130000', '4', '180', '0', '14821/Server Network /project/HostInfo', '', 'Y', '', '', '', '', '', '', '', '');</v>
      </c>
    </row>
    <row r="23" spans="1:51">
      <c r="A23" s="1">
        <v>21</v>
      </c>
      <c r="B23" s="121" t="str">
        <f t="shared" si="3"/>
        <v xml:space="preserve">    └ Server Daemon</v>
      </c>
      <c r="C23" s="27" t="str">
        <f t="shared" si="4"/>
        <v>14821</v>
      </c>
      <c r="D23" s="121"/>
      <c r="E23" s="21">
        <v>130002</v>
      </c>
      <c r="F23" s="118" t="s">
        <v>80</v>
      </c>
      <c r="G23" s="118"/>
      <c r="H23" s="118"/>
      <c r="I23" s="118"/>
      <c r="J23" s="118"/>
      <c r="K23" s="21" t="str">
        <f t="shared" si="5"/>
        <v>1</v>
      </c>
      <c r="L23" s="21">
        <v>1</v>
      </c>
      <c r="M23" s="21" t="str">
        <f t="shared" si="6"/>
        <v>1</v>
      </c>
      <c r="N23" s="118" t="s">
        <v>54</v>
      </c>
      <c r="O23" s="118" t="s">
        <v>81</v>
      </c>
      <c r="P23" s="21" t="str">
        <f t="shared" si="7"/>
        <v>1</v>
      </c>
      <c r="Q23" s="21" t="str">
        <f t="shared" si="8"/>
        <v>1</v>
      </c>
      <c r="R23" s="21" t="str">
        <f t="shared" si="9"/>
        <v>1</v>
      </c>
      <c r="S23" s="21" t="str">
        <f t="shared" si="10"/>
        <v>1</v>
      </c>
      <c r="T23" s="21" t="str">
        <f t="shared" si="11"/>
        <v>1</v>
      </c>
      <c r="U23" s="21" t="str">
        <f t="shared" si="12"/>
        <v>1</v>
      </c>
      <c r="V23" s="21" t="str">
        <f t="shared" si="13"/>
        <v>1</v>
      </c>
      <c r="W23" s="21"/>
      <c r="X23" s="21" t="str">
        <f t="shared" si="14"/>
        <v>0</v>
      </c>
      <c r="Y23" s="21" t="str">
        <f t="shared" si="15"/>
        <v>0</v>
      </c>
      <c r="Z23" s="21" t="str">
        <f t="shared" si="16"/>
        <v>0</v>
      </c>
      <c r="AA23" s="118"/>
      <c r="AB23" s="118"/>
      <c r="AC23" s="118"/>
      <c r="AD23" s="118"/>
      <c r="AE23" s="118"/>
      <c r="AF23" s="118"/>
      <c r="AG23" s="118"/>
      <c r="AH23" s="26" t="s">
        <v>117</v>
      </c>
      <c r="AI23" s="26" t="s">
        <v>112</v>
      </c>
      <c r="AJ23" s="26">
        <v>190</v>
      </c>
      <c r="AK23" s="121" t="str">
        <f t="shared" si="0"/>
        <v>0</v>
      </c>
      <c r="AL23" s="123" t="str">
        <f t="shared" si="1"/>
        <v>14821/Server Daemon/project/DaemonInfo</v>
      </c>
      <c r="AM23" s="21"/>
      <c r="AN23" s="124" t="s">
        <v>1829</v>
      </c>
      <c r="AO23" s="124"/>
      <c r="AP23" s="124"/>
      <c r="AQ23" s="124"/>
      <c r="AR23" s="124"/>
      <c r="AS23" s="124"/>
      <c r="AT23" s="124"/>
      <c r="AU23" s="124"/>
      <c r="AV23" s="124"/>
      <c r="AW23" s="117"/>
      <c r="AX23" s="138" t="str">
        <f t="shared" si="2"/>
        <v>delete from module_mst where pjt_id = '14821' and menu_id = '130002';</v>
      </c>
      <c r="AY23" s="31" t="str">
        <f>IF(C23&lt;&gt;"",CREATE_QUERY($D$1,C$2:AW$2,C23:AW23),"")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'130002', 'Server Daemon', '', '', '', '', '1', '1', '1', 'project', 'DaemonInfo', '1', '1', '1', '1', '1', '1', '1', '', '0', '0', '0', '', '', '', '', '', '', '', '130000', '4', '190', '0', '14821/Server Daemon/project/DaemonInfo', '', 'Y', '', '', '', '', '', '', '', '');</v>
      </c>
    </row>
    <row r="24" spans="1:51">
      <c r="A24" s="1">
        <v>22</v>
      </c>
      <c r="B24" s="121" t="str">
        <f t="shared" si="3"/>
        <v xml:space="preserve">    └ Data Base Connection</v>
      </c>
      <c r="C24" s="27" t="str">
        <f t="shared" si="4"/>
        <v>14821</v>
      </c>
      <c r="D24" s="121"/>
      <c r="E24" s="21">
        <v>130003</v>
      </c>
      <c r="F24" s="118" t="s">
        <v>82</v>
      </c>
      <c r="G24" s="118"/>
      <c r="H24" s="118"/>
      <c r="I24" s="118"/>
      <c r="J24" s="118"/>
      <c r="K24" s="21" t="str">
        <f t="shared" si="5"/>
        <v>1</v>
      </c>
      <c r="L24" s="21">
        <v>1</v>
      </c>
      <c r="M24" s="21" t="str">
        <f t="shared" si="6"/>
        <v>1</v>
      </c>
      <c r="N24" s="118" t="s">
        <v>54</v>
      </c>
      <c r="O24" s="118" t="s">
        <v>83</v>
      </c>
      <c r="P24" s="21" t="str">
        <f t="shared" si="7"/>
        <v>1</v>
      </c>
      <c r="Q24" s="21" t="str">
        <f t="shared" si="8"/>
        <v>1</v>
      </c>
      <c r="R24" s="21" t="str">
        <f t="shared" si="9"/>
        <v>1</v>
      </c>
      <c r="S24" s="21" t="str">
        <f t="shared" si="10"/>
        <v>1</v>
      </c>
      <c r="T24" s="21" t="str">
        <f t="shared" si="11"/>
        <v>1</v>
      </c>
      <c r="U24" s="21" t="str">
        <f t="shared" si="12"/>
        <v>1</v>
      </c>
      <c r="V24" s="21" t="str">
        <f t="shared" si="13"/>
        <v>1</v>
      </c>
      <c r="W24" s="21"/>
      <c r="X24" s="21" t="str">
        <f t="shared" si="14"/>
        <v>0</v>
      </c>
      <c r="Y24" s="21" t="str">
        <f t="shared" si="15"/>
        <v>0</v>
      </c>
      <c r="Z24" s="21" t="str">
        <f t="shared" si="16"/>
        <v>0</v>
      </c>
      <c r="AA24" s="118"/>
      <c r="AB24" s="118"/>
      <c r="AC24" s="118"/>
      <c r="AD24" s="118"/>
      <c r="AE24" s="118"/>
      <c r="AF24" s="118"/>
      <c r="AG24" s="118"/>
      <c r="AH24" s="26" t="s">
        <v>117</v>
      </c>
      <c r="AI24" s="26" t="s">
        <v>112</v>
      </c>
      <c r="AJ24" s="26">
        <v>200</v>
      </c>
      <c r="AK24" s="121" t="str">
        <f t="shared" si="0"/>
        <v/>
      </c>
      <c r="AL24" s="123" t="str">
        <f t="shared" si="1"/>
        <v>14821/Data Base Connection/project/HostDdns</v>
      </c>
      <c r="AM24" s="21"/>
      <c r="AN24" s="124" t="s">
        <v>1829</v>
      </c>
      <c r="AO24" s="124"/>
      <c r="AP24" s="124"/>
      <c r="AQ24" s="124"/>
      <c r="AR24" s="124"/>
      <c r="AS24" s="124"/>
      <c r="AT24" s="124"/>
      <c r="AU24" s="124"/>
      <c r="AV24" s="124"/>
      <c r="AW24" s="117"/>
      <c r="AX24" s="138" t="str">
        <f t="shared" si="2"/>
        <v>delete from module_mst where pjt_id = '14821' and menu_id = '130003';</v>
      </c>
      <c r="AY24" s="31" t="str">
        <f>IF(C24&lt;&gt;"",CREATE_QUERY($D$1,C$2:AW$2,C24:AW24),"")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'130003', 'Data Base Connection', '', '', '', '', '1', '1', '1', 'project', 'HostDdns', '1', '1', '1', '1', '1', '1', '1', '', '0', '0', '0', '', '', '', '', '', '', '', '130000', '4', '200', '', '14821/Data Base Connection/project/HostDdns', '', 'Y', '', '', '', '', '', '', '', '');</v>
      </c>
    </row>
    <row r="25" spans="1:51">
      <c r="A25" s="1">
        <v>23</v>
      </c>
      <c r="B25" s="121" t="str">
        <f t="shared" si="3"/>
        <v/>
      </c>
      <c r="C25" s="27" t="str">
        <f t="shared" si="4"/>
        <v/>
      </c>
      <c r="D25" s="121"/>
      <c r="E25" s="27"/>
      <c r="F25" s="121"/>
      <c r="G25" s="121"/>
      <c r="H25" s="121"/>
      <c r="I25" s="121"/>
      <c r="J25" s="121"/>
      <c r="K25" s="27" t="str">
        <f t="shared" si="5"/>
        <v/>
      </c>
      <c r="L25" s="27">
        <v>1</v>
      </c>
      <c r="M25" s="27" t="str">
        <f t="shared" si="6"/>
        <v>0</v>
      </c>
      <c r="N25" s="121"/>
      <c r="O25" s="121"/>
      <c r="P25" s="27" t="str">
        <f t="shared" si="7"/>
        <v>0</v>
      </c>
      <c r="Q25" s="27" t="str">
        <f t="shared" si="8"/>
        <v>0</v>
      </c>
      <c r="R25" s="27" t="str">
        <f t="shared" si="9"/>
        <v>0</v>
      </c>
      <c r="S25" s="27" t="str">
        <f t="shared" si="10"/>
        <v>0</v>
      </c>
      <c r="T25" s="27" t="str">
        <f t="shared" si="11"/>
        <v>0</v>
      </c>
      <c r="U25" s="27" t="str">
        <f t="shared" si="12"/>
        <v>0</v>
      </c>
      <c r="V25" s="27" t="str">
        <f t="shared" si="13"/>
        <v>1</v>
      </c>
      <c r="W25" s="27"/>
      <c r="X25" s="27" t="str">
        <f t="shared" si="14"/>
        <v/>
      </c>
      <c r="Y25" s="27" t="str">
        <f t="shared" si="15"/>
        <v/>
      </c>
      <c r="Z25" s="27" t="str">
        <f t="shared" si="16"/>
        <v/>
      </c>
      <c r="AA25" s="121"/>
      <c r="AB25" s="121"/>
      <c r="AC25" s="121"/>
      <c r="AD25" s="121"/>
      <c r="AE25" s="121"/>
      <c r="AF25" s="121"/>
      <c r="AG25" s="121"/>
      <c r="AH25" s="27"/>
      <c r="AI25" s="27"/>
      <c r="AJ25" s="27"/>
      <c r="AK25" s="121" t="str">
        <f t="shared" si="0"/>
        <v>0</v>
      </c>
      <c r="AL25" s="123" t="str">
        <f t="shared" si="1"/>
        <v/>
      </c>
      <c r="AM25" s="27"/>
      <c r="AN25" s="124" t="s">
        <v>1829</v>
      </c>
      <c r="AO25" s="124"/>
      <c r="AP25" s="124"/>
      <c r="AQ25" s="124"/>
      <c r="AR25" s="124"/>
      <c r="AS25" s="124"/>
      <c r="AT25" s="124"/>
      <c r="AU25" s="124"/>
      <c r="AV25" s="124"/>
      <c r="AW25" s="117"/>
      <c r="AX25" s="138" t="str">
        <f t="shared" si="2"/>
        <v/>
      </c>
      <c r="AY25" s="31" t="str">
        <f>IF(C25&lt;&gt;"",CREATE_QUERY($D$1,C$2:AW$2,C25:AW25),"")</f>
        <v/>
      </c>
    </row>
    <row r="26" spans="1:51">
      <c r="A26" s="1">
        <v>24</v>
      </c>
      <c r="B26" s="121" t="str">
        <f t="shared" si="3"/>
        <v xml:space="preserve">  └ 기초 코드 관리(System)</v>
      </c>
      <c r="C26" s="27" t="str">
        <f t="shared" si="4"/>
        <v>14821</v>
      </c>
      <c r="D26" s="121"/>
      <c r="E26" s="25" t="s">
        <v>118</v>
      </c>
      <c r="F26" s="127" t="s">
        <v>98</v>
      </c>
      <c r="G26" s="127"/>
      <c r="H26" s="127"/>
      <c r="I26" s="127"/>
      <c r="J26" s="127"/>
      <c r="K26" s="25" t="str">
        <f t="shared" si="5"/>
        <v>1</v>
      </c>
      <c r="L26" s="25">
        <v>1</v>
      </c>
      <c r="M26" s="25" t="str">
        <f t="shared" si="6"/>
        <v>1</v>
      </c>
      <c r="N26" s="127" t="s">
        <v>54</v>
      </c>
      <c r="O26" s="127" t="s">
        <v>74</v>
      </c>
      <c r="P26" s="25" t="str">
        <f t="shared" si="7"/>
        <v>1</v>
      </c>
      <c r="Q26" s="25" t="str">
        <f t="shared" si="8"/>
        <v>1</v>
      </c>
      <c r="R26" s="25" t="str">
        <f t="shared" si="9"/>
        <v>1</v>
      </c>
      <c r="S26" s="25" t="str">
        <f t="shared" si="10"/>
        <v>1</v>
      </c>
      <c r="T26" s="25" t="str">
        <f t="shared" si="11"/>
        <v>1</v>
      </c>
      <c r="U26" s="25" t="str">
        <f t="shared" si="12"/>
        <v>1</v>
      </c>
      <c r="V26" s="25" t="str">
        <f t="shared" si="13"/>
        <v>1</v>
      </c>
      <c r="W26" s="25"/>
      <c r="X26" s="25" t="str">
        <f t="shared" si="14"/>
        <v>0</v>
      </c>
      <c r="Y26" s="25" t="str">
        <f t="shared" si="15"/>
        <v>0</v>
      </c>
      <c r="Z26" s="25" t="str">
        <f t="shared" si="16"/>
        <v>0</v>
      </c>
      <c r="AA26" s="127"/>
      <c r="AB26" s="127"/>
      <c r="AC26" s="127"/>
      <c r="AD26" s="127"/>
      <c r="AE26" s="127"/>
      <c r="AF26" s="127"/>
      <c r="AG26" s="127"/>
      <c r="AH26" s="25" t="s">
        <v>114</v>
      </c>
      <c r="AI26" s="25" t="s">
        <v>111</v>
      </c>
      <c r="AJ26" s="25">
        <v>220</v>
      </c>
      <c r="AK26" s="121" t="str">
        <f t="shared" si="0"/>
        <v/>
      </c>
      <c r="AL26" s="123" t="str">
        <f t="shared" si="1"/>
        <v>14821/기초 코드 관리(System)/project/SscdMast</v>
      </c>
      <c r="AM26" s="25"/>
      <c r="AN26" s="124" t="s">
        <v>1829</v>
      </c>
      <c r="AO26" s="124"/>
      <c r="AP26" s="124"/>
      <c r="AQ26" s="124"/>
      <c r="AR26" s="124"/>
      <c r="AS26" s="124"/>
      <c r="AT26" s="124"/>
      <c r="AU26" s="124"/>
      <c r="AV26" s="124"/>
      <c r="AW26" s="117"/>
      <c r="AX26" s="138" t="str">
        <f t="shared" si="2"/>
        <v>delete from module_mst where pjt_id = '14821' and menu_id = '140000';</v>
      </c>
      <c r="AY26" s="31" t="str">
        <f>IF(C26&lt;&gt;"",CREATE_QUERY($D$1,C$2:AW$2,C26:AW26),"")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'140000', '기초 코드 관리(System)', '', '', '', '', '1', '1', '1', 'project', 'SscdMast', '1', '1', '1', '1', '1', '1', '1', '', '0', '0', '0', '', '', '', '', '', '', '', '100000', '3', '220', '', '14821/기초 코드 관리(System)/project/SscdMast', '', 'Y', '', '', '', '', '', '', '', '');</v>
      </c>
    </row>
    <row r="27" spans="1:51">
      <c r="A27" s="1">
        <v>25</v>
      </c>
      <c r="B27" s="121" t="str">
        <f t="shared" si="3"/>
        <v/>
      </c>
      <c r="C27" s="27" t="str">
        <f t="shared" si="4"/>
        <v/>
      </c>
      <c r="D27" s="121"/>
      <c r="E27" s="27"/>
      <c r="F27" s="121"/>
      <c r="G27" s="121"/>
      <c r="H27" s="121"/>
      <c r="I27" s="121"/>
      <c r="J27" s="121"/>
      <c r="K27" s="27" t="str">
        <f t="shared" si="5"/>
        <v/>
      </c>
      <c r="L27" s="27">
        <v>1</v>
      </c>
      <c r="M27" s="27" t="str">
        <f t="shared" si="6"/>
        <v>0</v>
      </c>
      <c r="N27" s="121"/>
      <c r="O27" s="121"/>
      <c r="P27" s="27" t="str">
        <f t="shared" si="7"/>
        <v>0</v>
      </c>
      <c r="Q27" s="27" t="str">
        <f t="shared" si="8"/>
        <v>0</v>
      </c>
      <c r="R27" s="27" t="str">
        <f t="shared" si="9"/>
        <v>0</v>
      </c>
      <c r="S27" s="27" t="str">
        <f t="shared" si="10"/>
        <v>0</v>
      </c>
      <c r="T27" s="27" t="str">
        <f t="shared" si="11"/>
        <v>0</v>
      </c>
      <c r="U27" s="27" t="str">
        <f t="shared" si="12"/>
        <v>0</v>
      </c>
      <c r="V27" s="27" t="str">
        <f t="shared" si="13"/>
        <v>1</v>
      </c>
      <c r="W27" s="27"/>
      <c r="X27" s="27" t="str">
        <f t="shared" si="14"/>
        <v/>
      </c>
      <c r="Y27" s="27" t="str">
        <f t="shared" si="15"/>
        <v/>
      </c>
      <c r="Z27" s="27" t="str">
        <f t="shared" si="16"/>
        <v/>
      </c>
      <c r="AA27" s="121"/>
      <c r="AB27" s="121"/>
      <c r="AC27" s="121"/>
      <c r="AD27" s="121"/>
      <c r="AE27" s="121"/>
      <c r="AF27" s="121"/>
      <c r="AG27" s="121"/>
      <c r="AH27" s="27"/>
      <c r="AI27" s="27"/>
      <c r="AJ27" s="27">
        <v>230</v>
      </c>
      <c r="AK27" s="121" t="str">
        <f t="shared" si="0"/>
        <v>0</v>
      </c>
      <c r="AL27" s="123" t="str">
        <f t="shared" si="1"/>
        <v/>
      </c>
      <c r="AM27" s="27"/>
      <c r="AN27" s="124" t="s">
        <v>1829</v>
      </c>
      <c r="AO27" s="124"/>
      <c r="AP27" s="124"/>
      <c r="AQ27" s="124"/>
      <c r="AR27" s="124"/>
      <c r="AS27" s="124"/>
      <c r="AT27" s="124"/>
      <c r="AU27" s="124"/>
      <c r="AV27" s="124"/>
      <c r="AW27" s="117"/>
      <c r="AX27" s="138" t="str">
        <f t="shared" si="2"/>
        <v/>
      </c>
      <c r="AY27" s="31" t="str">
        <f>IF(C27&lt;&gt;"",CREATE_QUERY($D$1,C$2:AW$2,C27:AW27),"")</f>
        <v/>
      </c>
    </row>
    <row r="28" spans="1:51">
      <c r="A28" s="1">
        <v>26</v>
      </c>
      <c r="B28" s="121" t="str">
        <f t="shared" si="3"/>
        <v xml:space="preserve">  └ 계정 관리</v>
      </c>
      <c r="C28" s="27" t="str">
        <f t="shared" si="4"/>
        <v>14821</v>
      </c>
      <c r="D28" s="121"/>
      <c r="E28" s="24" t="s">
        <v>119</v>
      </c>
      <c r="F28" s="127" t="s">
        <v>93</v>
      </c>
      <c r="G28" s="127"/>
      <c r="H28" s="127"/>
      <c r="I28" s="127"/>
      <c r="J28" s="127"/>
      <c r="K28" s="25" t="str">
        <f t="shared" si="5"/>
        <v/>
      </c>
      <c r="L28" s="25">
        <v>1</v>
      </c>
      <c r="M28" s="25" t="str">
        <f t="shared" si="6"/>
        <v>0</v>
      </c>
      <c r="N28" s="127"/>
      <c r="O28" s="127"/>
      <c r="P28" s="25" t="str">
        <f t="shared" si="7"/>
        <v>0</v>
      </c>
      <c r="Q28" s="25" t="str">
        <f t="shared" si="8"/>
        <v>0</v>
      </c>
      <c r="R28" s="25" t="str">
        <f t="shared" si="9"/>
        <v>0</v>
      </c>
      <c r="S28" s="25" t="str">
        <f t="shared" si="10"/>
        <v>0</v>
      </c>
      <c r="T28" s="25" t="str">
        <f t="shared" si="11"/>
        <v>0</v>
      </c>
      <c r="U28" s="25" t="str">
        <f t="shared" si="12"/>
        <v>0</v>
      </c>
      <c r="V28" s="25" t="str">
        <f t="shared" si="13"/>
        <v>1</v>
      </c>
      <c r="W28" s="25"/>
      <c r="X28" s="25" t="str">
        <f t="shared" si="14"/>
        <v/>
      </c>
      <c r="Y28" s="25" t="str">
        <f t="shared" si="15"/>
        <v/>
      </c>
      <c r="Z28" s="25" t="str">
        <f t="shared" si="16"/>
        <v/>
      </c>
      <c r="AA28" s="127"/>
      <c r="AB28" s="127"/>
      <c r="AC28" s="127"/>
      <c r="AD28" s="127"/>
      <c r="AE28" s="127"/>
      <c r="AF28" s="127"/>
      <c r="AG28" s="127"/>
      <c r="AH28" s="24" t="s">
        <v>114</v>
      </c>
      <c r="AI28" s="24" t="s">
        <v>111</v>
      </c>
      <c r="AJ28" s="24">
        <v>240</v>
      </c>
      <c r="AK28" s="121" t="str">
        <f t="shared" si="0"/>
        <v>0</v>
      </c>
      <c r="AL28" s="123" t="str">
        <f t="shared" si="1"/>
        <v>14821/계정 관리//</v>
      </c>
      <c r="AM28" s="24"/>
      <c r="AN28" s="124" t="s">
        <v>1829</v>
      </c>
      <c r="AO28" s="124"/>
      <c r="AP28" s="124"/>
      <c r="AQ28" s="124"/>
      <c r="AR28" s="124"/>
      <c r="AS28" s="124"/>
      <c r="AT28" s="124"/>
      <c r="AU28" s="124"/>
      <c r="AV28" s="124"/>
      <c r="AW28" s="117"/>
      <c r="AX28" s="138" t="str">
        <f t="shared" si="2"/>
        <v>delete from module_mst where pjt_id = '14821' and menu_id = '150000';</v>
      </c>
      <c r="AY28" s="31" t="str">
        <f>IF(C28&lt;&gt;"",CREATE_QUERY($D$1,C$2:AW$2,C28:AW28),"")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'150000', '계정 관리', '', '', '', '', '', '1', '0', '', '', '0', '0', '0', '0', '0', '0', '1', '', '', '', '', '', '', '', '', '', '', '', '100000', '3', '240', '0', '14821/계정 관리//', '', 'Y', '', '', '', '', '', '', '', '');</v>
      </c>
    </row>
    <row r="29" spans="1:51">
      <c r="A29" s="1">
        <v>27</v>
      </c>
      <c r="B29" s="121" t="str">
        <f t="shared" si="3"/>
        <v xml:space="preserve">    └ 사용자 계정 관리</v>
      </c>
      <c r="C29" s="27" t="str">
        <f t="shared" si="4"/>
        <v>14821</v>
      </c>
      <c r="D29" s="121"/>
      <c r="E29" s="21">
        <v>150001</v>
      </c>
      <c r="F29" s="118" t="s">
        <v>94</v>
      </c>
      <c r="G29" s="118"/>
      <c r="H29" s="118"/>
      <c r="I29" s="118"/>
      <c r="J29" s="118"/>
      <c r="K29" s="21" t="str">
        <f t="shared" si="5"/>
        <v>1</v>
      </c>
      <c r="L29" s="21">
        <v>1</v>
      </c>
      <c r="M29" s="21" t="str">
        <f t="shared" si="6"/>
        <v>1</v>
      </c>
      <c r="N29" s="118" t="s">
        <v>87</v>
      </c>
      <c r="O29" s="118" t="s">
        <v>64</v>
      </c>
      <c r="P29" s="21" t="str">
        <f t="shared" si="7"/>
        <v>1</v>
      </c>
      <c r="Q29" s="21" t="str">
        <f t="shared" si="8"/>
        <v>1</v>
      </c>
      <c r="R29" s="21" t="str">
        <f t="shared" si="9"/>
        <v>1</v>
      </c>
      <c r="S29" s="21" t="str">
        <f t="shared" si="10"/>
        <v>1</v>
      </c>
      <c r="T29" s="21" t="str">
        <f t="shared" si="11"/>
        <v>1</v>
      </c>
      <c r="U29" s="21" t="str">
        <f t="shared" si="12"/>
        <v>1</v>
      </c>
      <c r="V29" s="21" t="str">
        <f t="shared" si="13"/>
        <v>1</v>
      </c>
      <c r="W29" s="21"/>
      <c r="X29" s="21" t="str">
        <f t="shared" si="14"/>
        <v>0</v>
      </c>
      <c r="Y29" s="21" t="str">
        <f t="shared" si="15"/>
        <v>0</v>
      </c>
      <c r="Z29" s="21" t="str">
        <f t="shared" si="16"/>
        <v>0</v>
      </c>
      <c r="AA29" s="118"/>
      <c r="AB29" s="118"/>
      <c r="AC29" s="118"/>
      <c r="AD29" s="118"/>
      <c r="AE29" s="118"/>
      <c r="AF29" s="118"/>
      <c r="AG29" s="118"/>
      <c r="AH29" s="26" t="s">
        <v>119</v>
      </c>
      <c r="AI29" s="26" t="s">
        <v>112</v>
      </c>
      <c r="AJ29" s="26">
        <v>250</v>
      </c>
      <c r="AK29" s="121" t="str">
        <f t="shared" si="0"/>
        <v>0</v>
      </c>
      <c r="AL29" s="123" t="str">
        <f t="shared" si="1"/>
        <v>14821/사용자 계정 관리/contr/UserInfo</v>
      </c>
      <c r="AM29" s="21"/>
      <c r="AN29" s="124" t="s">
        <v>1829</v>
      </c>
      <c r="AO29" s="124"/>
      <c r="AP29" s="124"/>
      <c r="AQ29" s="124"/>
      <c r="AR29" s="124"/>
      <c r="AS29" s="124"/>
      <c r="AT29" s="124"/>
      <c r="AU29" s="124"/>
      <c r="AV29" s="124"/>
      <c r="AW29" s="117"/>
      <c r="AX29" s="138" t="str">
        <f t="shared" si="2"/>
        <v>delete from module_mst where pjt_id = '14821' and menu_id = '150001';</v>
      </c>
      <c r="AY29" s="31" t="str">
        <f>IF(C29&lt;&gt;"",CREATE_QUERY($D$1,C$2:AW$2,C29:AW29),"")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'150001', '사용자 계정 관리', '', '', '', '', '1', '1', '1', 'contr', 'UserInfo', '1', '1', '1', '1', '1', '1', '1', '', '0', '0', '0', '', '', '', '', '', '', '', '150000', '4', '250', '0', '14821/사용자 계정 관리/contr/UserInfo', '', 'Y', '', '', '', '', '', '', '', '');</v>
      </c>
    </row>
    <row r="30" spans="1:51">
      <c r="A30" s="1">
        <v>28</v>
      </c>
      <c r="B30" s="121" t="str">
        <f t="shared" si="3"/>
        <v xml:space="preserve">    └ 사용자 부서 관리</v>
      </c>
      <c r="C30" s="27" t="str">
        <f t="shared" si="4"/>
        <v>14821</v>
      </c>
      <c r="D30" s="121"/>
      <c r="E30" s="21">
        <v>150002</v>
      </c>
      <c r="F30" s="118" t="s">
        <v>95</v>
      </c>
      <c r="G30" s="118"/>
      <c r="H30" s="118"/>
      <c r="I30" s="118"/>
      <c r="J30" s="118"/>
      <c r="K30" s="21" t="str">
        <f t="shared" si="5"/>
        <v>1</v>
      </c>
      <c r="L30" s="21">
        <v>1</v>
      </c>
      <c r="M30" s="21" t="str">
        <f t="shared" si="6"/>
        <v>1</v>
      </c>
      <c r="N30" s="118" t="s">
        <v>87</v>
      </c>
      <c r="O30" s="118" t="s">
        <v>62</v>
      </c>
      <c r="P30" s="21" t="str">
        <f t="shared" si="7"/>
        <v>1</v>
      </c>
      <c r="Q30" s="21" t="str">
        <f t="shared" si="8"/>
        <v>1</v>
      </c>
      <c r="R30" s="21" t="str">
        <f t="shared" si="9"/>
        <v>1</v>
      </c>
      <c r="S30" s="21" t="str">
        <f t="shared" si="10"/>
        <v>1</v>
      </c>
      <c r="T30" s="21" t="str">
        <f t="shared" si="11"/>
        <v>1</v>
      </c>
      <c r="U30" s="21" t="str">
        <f t="shared" si="12"/>
        <v>1</v>
      </c>
      <c r="V30" s="21" t="str">
        <f t="shared" si="13"/>
        <v>1</v>
      </c>
      <c r="W30" s="21"/>
      <c r="X30" s="21" t="str">
        <f t="shared" si="14"/>
        <v>0</v>
      </c>
      <c r="Y30" s="21" t="str">
        <f t="shared" si="15"/>
        <v>0</v>
      </c>
      <c r="Z30" s="21" t="str">
        <f t="shared" si="16"/>
        <v>0</v>
      </c>
      <c r="AA30" s="118"/>
      <c r="AB30" s="118"/>
      <c r="AC30" s="118"/>
      <c r="AD30" s="118"/>
      <c r="AE30" s="118"/>
      <c r="AF30" s="118"/>
      <c r="AG30" s="118"/>
      <c r="AH30" s="26" t="s">
        <v>119</v>
      </c>
      <c r="AI30" s="26" t="s">
        <v>112</v>
      </c>
      <c r="AJ30" s="26">
        <v>260</v>
      </c>
      <c r="AK30" s="121" t="str">
        <f t="shared" si="0"/>
        <v>0</v>
      </c>
      <c r="AL30" s="123" t="str">
        <f t="shared" si="1"/>
        <v>14821/사용자 부서 관리/contr/DeptInfo</v>
      </c>
      <c r="AM30" s="21"/>
      <c r="AN30" s="124" t="s">
        <v>1829</v>
      </c>
      <c r="AO30" s="124"/>
      <c r="AP30" s="124"/>
      <c r="AQ30" s="124"/>
      <c r="AR30" s="124"/>
      <c r="AS30" s="124"/>
      <c r="AT30" s="124"/>
      <c r="AU30" s="124"/>
      <c r="AV30" s="124"/>
      <c r="AW30" s="117"/>
      <c r="AX30" s="138" t="str">
        <f t="shared" si="2"/>
        <v>delete from module_mst where pjt_id = '14821' and menu_id = '150002';</v>
      </c>
      <c r="AY30" s="31" t="str">
        <f>IF(C30&lt;&gt;"",CREATE_QUERY($D$1,C$2:AW$2,C30:AW30),"")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'150002', '사용자 부서 관리', '', '', '', '', '1', '1', '1', 'contr', 'DeptInfo', '1', '1', '1', '1', '1', '1', '1', '', '0', '0', '0', '', '', '', '', '', '', '', '150000', '4', '260', '0', '14821/사용자 부서 관리/contr/DeptInfo', '', 'Y', '', '', '', '', '', '', '', '');</v>
      </c>
    </row>
    <row r="31" spans="1:51">
      <c r="A31" s="1">
        <v>29</v>
      </c>
      <c r="B31" s="121" t="str">
        <f t="shared" si="3"/>
        <v xml:space="preserve">    └ 사용자 권한 관리</v>
      </c>
      <c r="C31" s="27" t="str">
        <f t="shared" si="4"/>
        <v>14821</v>
      </c>
      <c r="D31" s="121"/>
      <c r="E31" s="21">
        <v>150003</v>
      </c>
      <c r="F31" s="118" t="s">
        <v>96</v>
      </c>
      <c r="G31" s="118"/>
      <c r="H31" s="118"/>
      <c r="I31" s="118"/>
      <c r="J31" s="118"/>
      <c r="K31" s="21" t="str">
        <f t="shared" si="5"/>
        <v>1</v>
      </c>
      <c r="L31" s="21">
        <v>1</v>
      </c>
      <c r="M31" s="21" t="str">
        <f t="shared" si="6"/>
        <v>1</v>
      </c>
      <c r="N31" s="118" t="s">
        <v>61</v>
      </c>
      <c r="O31" s="118" t="s">
        <v>72</v>
      </c>
      <c r="P31" s="21" t="str">
        <f t="shared" si="7"/>
        <v>1</v>
      </c>
      <c r="Q31" s="21" t="str">
        <f t="shared" si="8"/>
        <v>1</v>
      </c>
      <c r="R31" s="21" t="str">
        <f t="shared" si="9"/>
        <v>1</v>
      </c>
      <c r="S31" s="21" t="str">
        <f t="shared" si="10"/>
        <v>1</v>
      </c>
      <c r="T31" s="21" t="str">
        <f t="shared" si="11"/>
        <v>1</v>
      </c>
      <c r="U31" s="21" t="str">
        <f t="shared" si="12"/>
        <v>1</v>
      </c>
      <c r="V31" s="21" t="str">
        <f t="shared" si="13"/>
        <v>1</v>
      </c>
      <c r="W31" s="21"/>
      <c r="X31" s="21" t="str">
        <f t="shared" si="14"/>
        <v>0</v>
      </c>
      <c r="Y31" s="21" t="str">
        <f t="shared" si="15"/>
        <v>0</v>
      </c>
      <c r="Z31" s="21" t="str">
        <f t="shared" si="16"/>
        <v>0</v>
      </c>
      <c r="AA31" s="118"/>
      <c r="AB31" s="118"/>
      <c r="AC31" s="118"/>
      <c r="AD31" s="118"/>
      <c r="AE31" s="118"/>
      <c r="AF31" s="118"/>
      <c r="AG31" s="118"/>
      <c r="AH31" s="26" t="s">
        <v>119</v>
      </c>
      <c r="AI31" s="26" t="s">
        <v>112</v>
      </c>
      <c r="AJ31" s="26">
        <v>270</v>
      </c>
      <c r="AK31" s="121" t="str">
        <f t="shared" si="0"/>
        <v/>
      </c>
      <c r="AL31" s="123" t="str">
        <f t="shared" si="1"/>
        <v>14821/사용자 권한 관리/user/UserAuth</v>
      </c>
      <c r="AM31" s="21"/>
      <c r="AN31" s="124" t="s">
        <v>1829</v>
      </c>
      <c r="AO31" s="124"/>
      <c r="AP31" s="124"/>
      <c r="AQ31" s="124"/>
      <c r="AR31" s="124"/>
      <c r="AS31" s="124"/>
      <c r="AT31" s="124"/>
      <c r="AU31" s="124"/>
      <c r="AV31" s="124"/>
      <c r="AW31" s="117"/>
      <c r="AX31" s="138" t="str">
        <f t="shared" si="2"/>
        <v>delete from module_mst where pjt_id = '14821' and menu_id = '150003';</v>
      </c>
      <c r="AY31" s="31" t="str">
        <f>IF(C31&lt;&gt;"",CREATE_QUERY($D$1,C$2:AW$2,C31:AW31),"")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'150003', '사용자 권한 관리', '', '', '', '', '1', '1', '1', 'user', 'UserAuth', '1', '1', '1', '1', '1', '1', '1', '', '0', '0', '0', '', '', '', '', '', '', '', '150000', '4', '270', '', '14821/사용자 권한 관리/user/UserAuth', '', 'Y', '', '', '', '', '', '', '', '');</v>
      </c>
    </row>
    <row r="32" spans="1:51">
      <c r="A32" s="1">
        <v>30</v>
      </c>
      <c r="B32" s="121" t="str">
        <f t="shared" si="3"/>
        <v/>
      </c>
      <c r="C32" s="27" t="str">
        <f t="shared" si="4"/>
        <v/>
      </c>
      <c r="D32" s="121"/>
      <c r="E32" s="27"/>
      <c r="F32" s="121"/>
      <c r="G32" s="121"/>
      <c r="H32" s="121"/>
      <c r="I32" s="121"/>
      <c r="J32" s="121"/>
      <c r="K32" s="27" t="str">
        <f t="shared" si="5"/>
        <v/>
      </c>
      <c r="L32" s="27">
        <v>1</v>
      </c>
      <c r="M32" s="27" t="str">
        <f t="shared" si="6"/>
        <v>0</v>
      </c>
      <c r="N32" s="121"/>
      <c r="O32" s="121"/>
      <c r="P32" s="27" t="str">
        <f t="shared" si="7"/>
        <v>0</v>
      </c>
      <c r="Q32" s="27" t="str">
        <f t="shared" si="8"/>
        <v>0</v>
      </c>
      <c r="R32" s="27" t="str">
        <f t="shared" si="9"/>
        <v>0</v>
      </c>
      <c r="S32" s="27" t="str">
        <f t="shared" si="10"/>
        <v>0</v>
      </c>
      <c r="T32" s="27" t="str">
        <f t="shared" si="11"/>
        <v>0</v>
      </c>
      <c r="U32" s="27" t="str">
        <f t="shared" si="12"/>
        <v>0</v>
      </c>
      <c r="V32" s="27" t="str">
        <f t="shared" si="13"/>
        <v>1</v>
      </c>
      <c r="W32" s="27"/>
      <c r="X32" s="27" t="str">
        <f t="shared" si="14"/>
        <v/>
      </c>
      <c r="Y32" s="27" t="str">
        <f t="shared" si="15"/>
        <v/>
      </c>
      <c r="Z32" s="27" t="str">
        <f t="shared" si="16"/>
        <v/>
      </c>
      <c r="AA32" s="121"/>
      <c r="AB32" s="121"/>
      <c r="AC32" s="121"/>
      <c r="AD32" s="121"/>
      <c r="AE32" s="121"/>
      <c r="AF32" s="121"/>
      <c r="AG32" s="121"/>
      <c r="AH32" s="27"/>
      <c r="AI32" s="27"/>
      <c r="AJ32" s="27"/>
      <c r="AK32" s="121" t="str">
        <f t="shared" si="0"/>
        <v>0</v>
      </c>
      <c r="AL32" s="123" t="str">
        <f t="shared" si="1"/>
        <v/>
      </c>
      <c r="AM32" s="27"/>
      <c r="AN32" s="124" t="s">
        <v>1829</v>
      </c>
      <c r="AO32" s="124"/>
      <c r="AP32" s="124"/>
      <c r="AQ32" s="124"/>
      <c r="AR32" s="124"/>
      <c r="AS32" s="124"/>
      <c r="AT32" s="124"/>
      <c r="AU32" s="124"/>
      <c r="AV32" s="124"/>
      <c r="AW32" s="117"/>
      <c r="AX32" s="138" t="str">
        <f t="shared" si="2"/>
        <v/>
      </c>
      <c r="AY32" s="31" t="str">
        <f>IF(C32&lt;&gt;"",CREATE_QUERY($D$1,C$2:AW$2,C32:AW32),"")</f>
        <v/>
      </c>
    </row>
    <row r="33" spans="1:51">
      <c r="A33" s="1">
        <v>31</v>
      </c>
      <c r="B33" s="121" t="str">
        <f t="shared" si="3"/>
        <v>└ WIS MES System</v>
      </c>
      <c r="C33" s="27" t="str">
        <f t="shared" si="4"/>
        <v>14821</v>
      </c>
      <c r="D33" s="125"/>
      <c r="E33" s="126" t="s">
        <v>120</v>
      </c>
      <c r="F33" s="125" t="s">
        <v>86</v>
      </c>
      <c r="G33" s="125"/>
      <c r="H33" s="125"/>
      <c r="I33" s="125"/>
      <c r="J33" s="125"/>
      <c r="K33" s="23" t="str">
        <f t="shared" si="5"/>
        <v/>
      </c>
      <c r="L33" s="23">
        <v>1</v>
      </c>
      <c r="M33" s="23" t="str">
        <f t="shared" si="6"/>
        <v>0</v>
      </c>
      <c r="N33" s="125"/>
      <c r="O33" s="125"/>
      <c r="P33" s="23" t="str">
        <f t="shared" si="7"/>
        <v>0</v>
      </c>
      <c r="Q33" s="23" t="str">
        <f t="shared" si="8"/>
        <v>0</v>
      </c>
      <c r="R33" s="23" t="str">
        <f t="shared" si="9"/>
        <v>0</v>
      </c>
      <c r="S33" s="23" t="str">
        <f t="shared" si="10"/>
        <v>0</v>
      </c>
      <c r="T33" s="23" t="str">
        <f t="shared" si="11"/>
        <v>0</v>
      </c>
      <c r="U33" s="23" t="str">
        <f t="shared" si="12"/>
        <v>0</v>
      </c>
      <c r="V33" s="23" t="str">
        <f t="shared" si="13"/>
        <v>1</v>
      </c>
      <c r="W33" s="23"/>
      <c r="X33" s="23" t="str">
        <f t="shared" si="14"/>
        <v/>
      </c>
      <c r="Y33" s="23" t="str">
        <f t="shared" si="15"/>
        <v/>
      </c>
      <c r="Z33" s="23" t="str">
        <f t="shared" si="16"/>
        <v/>
      </c>
      <c r="AA33" s="125"/>
      <c r="AB33" s="125"/>
      <c r="AC33" s="125"/>
      <c r="AD33" s="125"/>
      <c r="AE33" s="125"/>
      <c r="AF33" s="125"/>
      <c r="AG33" s="125"/>
      <c r="AH33" s="23" t="s">
        <v>47</v>
      </c>
      <c r="AI33" s="23" t="s">
        <v>52</v>
      </c>
      <c r="AJ33" s="23">
        <v>10000</v>
      </c>
      <c r="AK33" s="121" t="str">
        <f t="shared" si="0"/>
        <v>0</v>
      </c>
      <c r="AL33" s="123" t="str">
        <f t="shared" si="1"/>
        <v>14821/WIS MES System//</v>
      </c>
      <c r="AM33" s="126"/>
      <c r="AN33" s="124"/>
      <c r="AO33" s="124"/>
      <c r="AP33" s="124"/>
      <c r="AQ33" s="124"/>
      <c r="AR33" s="124"/>
      <c r="AS33" s="124"/>
      <c r="AT33" s="124"/>
      <c r="AU33" s="124"/>
      <c r="AV33" s="124"/>
      <c r="AW33" s="117"/>
      <c r="AX33" s="138" t="str">
        <f t="shared" si="2"/>
        <v>delete from module_mst where pjt_id = '14821' and menu_id = '200000';</v>
      </c>
      <c r="AY33" s="31" t="str">
        <f>IF(C33&lt;&gt;"",CREATE_QUERY($D$1,C$2:AW$2,C33:AW33),"")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'200000', 'WIS MES System', '', '', '', '', '', '1', '0', '', '', '0', '0', '0', '0', '0', '0', '1', '', '', '', '', '', '', '', '', '', '', '', '14821', '2', '10000', '0', '14821/WIS MES System//', '', '', '', '', '', '', '', '', '', '');</v>
      </c>
    </row>
    <row r="34" spans="1:51">
      <c r="A34" s="1">
        <v>32</v>
      </c>
      <c r="B34" s="121" t="str">
        <f t="shared" si="3"/>
        <v xml:space="preserve">  └ 기준정보관리</v>
      </c>
      <c r="C34" s="27" t="str">
        <f t="shared" si="4"/>
        <v>14821</v>
      </c>
      <c r="D34" s="121"/>
      <c r="E34" s="24" t="s">
        <v>121</v>
      </c>
      <c r="F34" s="127" t="s">
        <v>57</v>
      </c>
      <c r="G34" s="127"/>
      <c r="H34" s="127"/>
      <c r="I34" s="127"/>
      <c r="J34" s="127"/>
      <c r="K34" s="25" t="str">
        <f t="shared" si="5"/>
        <v/>
      </c>
      <c r="L34" s="25">
        <v>1</v>
      </c>
      <c r="M34" s="25" t="str">
        <f t="shared" si="6"/>
        <v>0</v>
      </c>
      <c r="N34" s="127"/>
      <c r="O34" s="127"/>
      <c r="P34" s="25" t="str">
        <f t="shared" si="7"/>
        <v>0</v>
      </c>
      <c r="Q34" s="25" t="str">
        <f t="shared" si="8"/>
        <v>0</v>
      </c>
      <c r="R34" s="25" t="str">
        <f t="shared" si="9"/>
        <v>0</v>
      </c>
      <c r="S34" s="25" t="str">
        <f t="shared" si="10"/>
        <v>0</v>
      </c>
      <c r="T34" s="25" t="str">
        <f t="shared" si="11"/>
        <v>0</v>
      </c>
      <c r="U34" s="25" t="str">
        <f t="shared" si="12"/>
        <v>0</v>
      </c>
      <c r="V34" s="25" t="str">
        <f t="shared" si="13"/>
        <v>1</v>
      </c>
      <c r="W34" s="25"/>
      <c r="X34" s="25" t="str">
        <f t="shared" si="14"/>
        <v/>
      </c>
      <c r="Y34" s="25" t="str">
        <f t="shared" si="15"/>
        <v/>
      </c>
      <c r="Z34" s="25" t="str">
        <f t="shared" si="16"/>
        <v/>
      </c>
      <c r="AA34" s="127"/>
      <c r="AB34" s="127"/>
      <c r="AC34" s="127"/>
      <c r="AD34" s="127"/>
      <c r="AE34" s="127" t="s">
        <v>51</v>
      </c>
      <c r="AF34" s="127"/>
      <c r="AG34" s="127"/>
      <c r="AH34" s="24" t="s">
        <v>120</v>
      </c>
      <c r="AI34" s="24" t="s">
        <v>111</v>
      </c>
      <c r="AJ34" s="24">
        <v>11000</v>
      </c>
      <c r="AK34" s="121" t="str">
        <f t="shared" si="0"/>
        <v>0</v>
      </c>
      <c r="AL34" s="123" t="str">
        <f t="shared" si="1"/>
        <v>14821/기준정보관리//</v>
      </c>
      <c r="AM34" s="24"/>
      <c r="AN34" s="124"/>
      <c r="AO34" s="124" t="s">
        <v>1829</v>
      </c>
      <c r="AP34" s="124" t="s">
        <v>1829</v>
      </c>
      <c r="AQ34" s="124" t="s">
        <v>1829</v>
      </c>
      <c r="AR34" s="124" t="s">
        <v>1829</v>
      </c>
      <c r="AS34" s="124" t="s">
        <v>1829</v>
      </c>
      <c r="AT34" s="124" t="s">
        <v>1937</v>
      </c>
      <c r="AU34" s="124" t="s">
        <v>900</v>
      </c>
      <c r="AV34" s="124" t="s">
        <v>900</v>
      </c>
      <c r="AW34" s="117"/>
      <c r="AX34" s="138" t="str">
        <f t="shared" si="2"/>
        <v>delete from module_mst where pjt_id = '14821' and menu_id = '210000';</v>
      </c>
      <c r="AY34" s="31" t="str">
        <f>IF(C34&lt;&gt;"",CREATE_QUERY($D$1,C$2:AW$2,C34:AW34),"")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'210000', '기준정보관리', '', '', '', '', '', '1', '0', '', '', '0', '0', '0', '0', '0', '0', '1', '', '', '', '', '', '', '', '', 'N', '', '', '200000', '3', '11000', '0', '14821/기준정보관리//', '', '', 'Y', 'Y', 'Y', 'Y', 'Y', 'B', '', '');</v>
      </c>
    </row>
    <row r="35" spans="1:51" ht="26">
      <c r="A35" s="1">
        <v>33</v>
      </c>
      <c r="B35" s="121" t="str">
        <f t="shared" si="3"/>
        <v xml:space="preserve">    └ 기초코드관리</v>
      </c>
      <c r="C35" s="27" t="str">
        <f t="shared" si="4"/>
        <v>14821</v>
      </c>
      <c r="D35" s="121"/>
      <c r="E35" s="21">
        <v>210001</v>
      </c>
      <c r="F35" s="118" t="s">
        <v>58</v>
      </c>
      <c r="G35" s="118"/>
      <c r="H35" s="118"/>
      <c r="I35" s="118"/>
      <c r="J35" s="118"/>
      <c r="K35" s="21" t="str">
        <f t="shared" si="5"/>
        <v>1</v>
      </c>
      <c r="L35" s="21">
        <v>1</v>
      </c>
      <c r="M35" s="21" t="str">
        <f t="shared" si="6"/>
        <v>1</v>
      </c>
      <c r="N35" s="118" t="s">
        <v>59</v>
      </c>
      <c r="O35" s="118" t="s">
        <v>73</v>
      </c>
      <c r="P35" s="21" t="str">
        <f t="shared" si="7"/>
        <v>1</v>
      </c>
      <c r="Q35" s="21" t="str">
        <f t="shared" si="8"/>
        <v>1</v>
      </c>
      <c r="R35" s="21" t="str">
        <f t="shared" si="9"/>
        <v>1</v>
      </c>
      <c r="S35" s="21" t="str">
        <f t="shared" si="10"/>
        <v>1</v>
      </c>
      <c r="T35" s="21" t="str">
        <f t="shared" si="11"/>
        <v>1</v>
      </c>
      <c r="U35" s="21" t="str">
        <f t="shared" si="12"/>
        <v>1</v>
      </c>
      <c r="V35" s="21" t="str">
        <f t="shared" si="13"/>
        <v>1</v>
      </c>
      <c r="W35" s="21"/>
      <c r="X35" s="21" t="str">
        <f t="shared" si="14"/>
        <v>0</v>
      </c>
      <c r="Y35" s="21" t="str">
        <f t="shared" si="15"/>
        <v>0</v>
      </c>
      <c r="Z35" s="21" t="str">
        <f t="shared" si="16"/>
        <v>0</v>
      </c>
      <c r="AA35" s="118"/>
      <c r="AB35" s="118"/>
      <c r="AC35" s="118"/>
      <c r="AD35" s="118"/>
      <c r="AE35" s="118" t="s">
        <v>51</v>
      </c>
      <c r="AF35" s="118"/>
      <c r="AG35" s="118"/>
      <c r="AH35" s="26" t="s">
        <v>121</v>
      </c>
      <c r="AI35" s="26" t="s">
        <v>112</v>
      </c>
      <c r="AJ35" s="26">
        <v>11010</v>
      </c>
      <c r="AK35" s="121" t="str">
        <f t="shared" si="0"/>
        <v>0</v>
      </c>
      <c r="AL35" s="123" t="str">
        <f t="shared" si="1"/>
        <v>14821/기초코드관리/basic/BaseMast</v>
      </c>
      <c r="AM35" s="21"/>
      <c r="AN35" s="124"/>
      <c r="AO35" s="124" t="s">
        <v>1829</v>
      </c>
      <c r="AP35" s="124" t="s">
        <v>1829</v>
      </c>
      <c r="AQ35" s="124" t="s">
        <v>1829</v>
      </c>
      <c r="AR35" s="124" t="s">
        <v>1829</v>
      </c>
      <c r="AS35" s="124" t="s">
        <v>1829</v>
      </c>
      <c r="AT35" s="124" t="s">
        <v>1937</v>
      </c>
      <c r="AU35" s="124" t="str">
        <f t="shared" ref="AU35:AU98" si="17">IF(O35="","",AT35&amp;E35)</f>
        <v>B210001</v>
      </c>
      <c r="AV35" s="124" t="s">
        <v>2452</v>
      </c>
      <c r="AW35" s="117" t="s">
        <v>2304</v>
      </c>
      <c r="AX35" s="138" t="str">
        <f t="shared" si="2"/>
        <v>delete from module_mst where pjt_id = '14821' and menu_id = '210001';</v>
      </c>
      <c r="AY35" s="31" t="str">
        <f>IF(C35&lt;&gt;"",CREATE_QUERY($D$1,C$2:AW$2,C35:AW35),"")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'210001', '기초코드관리', '', '', '', '', '1', '1', '1', 'basic', 'BaseMast', '1', '1', '1', '1', '1', '1', '1', '', '0', '0', '0', '', '', '', '', 'N', '', '', '210000', '4', '11010', '0', '14821/기초코드관리/basic/BaseMast', '', '', 'Y', 'Y', 'Y', 'Y', 'Y', 'B', 'MES-TD3-101', '사용자 지정 각종 코드를 정의한다. (등록할 코드의 종류는 sscd_mast에서 종류를 등록한다)');</v>
      </c>
    </row>
    <row r="36" spans="1:51">
      <c r="A36" s="1">
        <v>34</v>
      </c>
      <c r="B36" s="121" t="str">
        <f t="shared" si="3"/>
        <v xml:space="preserve">    └ 명칭코드 관리</v>
      </c>
      <c r="C36" s="27" t="str">
        <f t="shared" si="4"/>
        <v>14821</v>
      </c>
      <c r="D36" s="121"/>
      <c r="E36" s="21">
        <v>210002</v>
      </c>
      <c r="F36" s="118" t="s">
        <v>60</v>
      </c>
      <c r="G36" s="118"/>
      <c r="H36" s="118"/>
      <c r="I36" s="118"/>
      <c r="J36" s="118"/>
      <c r="K36" s="21" t="str">
        <f t="shared" si="5"/>
        <v>1</v>
      </c>
      <c r="L36" s="21">
        <v>1</v>
      </c>
      <c r="M36" s="21" t="str">
        <f t="shared" si="6"/>
        <v>1</v>
      </c>
      <c r="N36" s="118" t="s">
        <v>59</v>
      </c>
      <c r="O36" s="118" t="s">
        <v>285</v>
      </c>
      <c r="P36" s="21" t="str">
        <f t="shared" si="7"/>
        <v>1</v>
      </c>
      <c r="Q36" s="21" t="str">
        <f t="shared" si="8"/>
        <v>1</v>
      </c>
      <c r="R36" s="21" t="str">
        <f t="shared" si="9"/>
        <v>1</v>
      </c>
      <c r="S36" s="21" t="str">
        <f t="shared" si="10"/>
        <v>1</v>
      </c>
      <c r="T36" s="21" t="str">
        <f t="shared" si="11"/>
        <v>1</v>
      </c>
      <c r="U36" s="21" t="str">
        <f t="shared" si="12"/>
        <v>1</v>
      </c>
      <c r="V36" s="21" t="str">
        <f t="shared" si="13"/>
        <v>1</v>
      </c>
      <c r="W36" s="21"/>
      <c r="X36" s="21" t="str">
        <f t="shared" si="14"/>
        <v>0</v>
      </c>
      <c r="Y36" s="21" t="str">
        <f t="shared" si="15"/>
        <v>0</v>
      </c>
      <c r="Z36" s="21" t="str">
        <f t="shared" si="16"/>
        <v>0</v>
      </c>
      <c r="AA36" s="118"/>
      <c r="AB36" s="118"/>
      <c r="AC36" s="118"/>
      <c r="AD36" s="118"/>
      <c r="AE36" s="118" t="s">
        <v>56</v>
      </c>
      <c r="AF36" s="118"/>
      <c r="AG36" s="118"/>
      <c r="AH36" s="26" t="s">
        <v>121</v>
      </c>
      <c r="AI36" s="26" t="s">
        <v>112</v>
      </c>
      <c r="AJ36" s="21">
        <v>11020</v>
      </c>
      <c r="AK36" s="121" t="str">
        <f t="shared" si="0"/>
        <v>0</v>
      </c>
      <c r="AL36" s="123" t="str">
        <f t="shared" si="1"/>
        <v>14821/명칭코드 관리/basic/CSscdMast</v>
      </c>
      <c r="AM36" s="21"/>
      <c r="AN36" s="124"/>
      <c r="AO36" s="124" t="s">
        <v>1829</v>
      </c>
      <c r="AP36" s="124" t="s">
        <v>1829</v>
      </c>
      <c r="AQ36" s="124" t="s">
        <v>1829</v>
      </c>
      <c r="AR36" s="124" t="s">
        <v>1829</v>
      </c>
      <c r="AS36" s="124" t="s">
        <v>1829</v>
      </c>
      <c r="AT36" s="124" t="s">
        <v>1937</v>
      </c>
      <c r="AU36" s="124" t="str">
        <f t="shared" si="17"/>
        <v>B210002</v>
      </c>
      <c r="AV36" s="124" t="s">
        <v>2453</v>
      </c>
      <c r="AW36" s="117" t="s">
        <v>2305</v>
      </c>
      <c r="AX36" s="138" t="str">
        <f t="shared" si="2"/>
        <v>delete from module_mst where pjt_id = '14821' and menu_id = '210002';</v>
      </c>
      <c r="AY36" s="31" t="str">
        <f>IF(C36&lt;&gt;"",CREATE_QUERY($D$1,C$2:AW$2,C36:AW36),"")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'210002', '명칭코드 관리', '', '', '', '', '1', '1', '1', 'basic', 'CSscdMast', '1', '1', '1', '1', '1', '1', '1', '', '0', '0', '0', '', '', '', '', 'Y', '', '', '210000', '4', '11020', '0', '14821/명칭코드 관리/basic/CSscdMast', '', '', 'Y', 'Y', 'Y', 'Y', 'Y', 'B', 'MES-TD3-102', '시스템 운영을 위한 코드를 등록한다. (구분코드(dvcd)를 정의한다.)');</v>
      </c>
    </row>
    <row r="37" spans="1:51">
      <c r="A37" s="1">
        <v>35</v>
      </c>
      <c r="B37" s="121" t="str">
        <f t="shared" si="3"/>
        <v xml:space="preserve">    └ 창고코드 관리</v>
      </c>
      <c r="C37" s="27" t="str">
        <f t="shared" si="4"/>
        <v>14821</v>
      </c>
      <c r="D37" s="121"/>
      <c r="E37" s="21">
        <v>210003</v>
      </c>
      <c r="F37" s="118" t="s">
        <v>157</v>
      </c>
      <c r="G37" s="118"/>
      <c r="H37" s="118"/>
      <c r="I37" s="118"/>
      <c r="J37" s="118"/>
      <c r="K37" s="21" t="str">
        <f t="shared" si="5"/>
        <v>1</v>
      </c>
      <c r="L37" s="21">
        <v>1</v>
      </c>
      <c r="M37" s="21" t="str">
        <f t="shared" si="6"/>
        <v>1</v>
      </c>
      <c r="N37" s="118" t="s">
        <v>59</v>
      </c>
      <c r="O37" s="118" t="s">
        <v>158</v>
      </c>
      <c r="P37" s="21" t="str">
        <f t="shared" si="7"/>
        <v>1</v>
      </c>
      <c r="Q37" s="21" t="str">
        <f t="shared" si="8"/>
        <v>1</v>
      </c>
      <c r="R37" s="21" t="str">
        <f t="shared" si="9"/>
        <v>1</v>
      </c>
      <c r="S37" s="21" t="str">
        <f t="shared" si="10"/>
        <v>1</v>
      </c>
      <c r="T37" s="21" t="str">
        <f t="shared" si="11"/>
        <v>1</v>
      </c>
      <c r="U37" s="21" t="str">
        <f t="shared" si="12"/>
        <v>1</v>
      </c>
      <c r="V37" s="21" t="str">
        <f t="shared" si="13"/>
        <v>1</v>
      </c>
      <c r="W37" s="21"/>
      <c r="X37" s="21" t="str">
        <f t="shared" si="14"/>
        <v>0</v>
      </c>
      <c r="Y37" s="21" t="str">
        <f t="shared" si="15"/>
        <v>0</v>
      </c>
      <c r="Z37" s="21" t="str">
        <f t="shared" si="16"/>
        <v>0</v>
      </c>
      <c r="AA37" s="118"/>
      <c r="AB37" s="118"/>
      <c r="AC37" s="118"/>
      <c r="AD37" s="118"/>
      <c r="AE37" s="118" t="s">
        <v>56</v>
      </c>
      <c r="AF37" s="118"/>
      <c r="AG37" s="118"/>
      <c r="AH37" s="26" t="s">
        <v>121</v>
      </c>
      <c r="AI37" s="26" t="s">
        <v>112</v>
      </c>
      <c r="AJ37" s="21">
        <v>11030</v>
      </c>
      <c r="AK37" s="121" t="str">
        <f t="shared" si="0"/>
        <v>0</v>
      </c>
      <c r="AL37" s="123" t="str">
        <f t="shared" si="1"/>
        <v>14821/창고코드 관리/basic/WrhsMast</v>
      </c>
      <c r="AM37" s="21"/>
      <c r="AN37" s="124"/>
      <c r="AO37" s="124" t="s">
        <v>1829</v>
      </c>
      <c r="AP37" s="124" t="s">
        <v>1829</v>
      </c>
      <c r="AQ37" s="124" t="s">
        <v>1829</v>
      </c>
      <c r="AR37" s="124" t="s">
        <v>1829</v>
      </c>
      <c r="AS37" s="124"/>
      <c r="AT37" s="124" t="s">
        <v>1937</v>
      </c>
      <c r="AU37" s="124" t="str">
        <f t="shared" si="17"/>
        <v>B210003</v>
      </c>
      <c r="AV37" s="124" t="s">
        <v>2454</v>
      </c>
      <c r="AW37" s="117" t="s">
        <v>2306</v>
      </c>
      <c r="AX37" s="138" t="str">
        <f t="shared" si="2"/>
        <v>delete from module_mst where pjt_id = '14821' and menu_id = '210003';</v>
      </c>
      <c r="AY37" s="31" t="str">
        <f>IF(C37&lt;&gt;"",CREATE_QUERY($D$1,C$2:AW$2,C37:AW37),"")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'210003', '창고코드 관리', '', '', '', '', '1', '1', '1', 'basic', 'WrhsMast', '1', '1', '1', '1', '1', '1', '1', '', '0', '0', '0', '', '', '', '', 'Y', '', '', '210000', '4', '11030', '0', '14821/창고코드 관리/basic/WrhsMast', '', '', 'Y', 'Y', 'Y', 'Y', '', 'B', 'MES-TD3-103', '물리 및 논리 창고를 정의한다.');</v>
      </c>
    </row>
    <row r="38" spans="1:51">
      <c r="A38" s="1">
        <v>36</v>
      </c>
      <c r="B38" s="121" t="str">
        <f t="shared" si="3"/>
        <v xml:space="preserve">    └ 기능창고 관리</v>
      </c>
      <c r="C38" s="27" t="str">
        <f t="shared" si="4"/>
        <v>14821</v>
      </c>
      <c r="D38" s="121"/>
      <c r="E38" s="21">
        <v>210004</v>
      </c>
      <c r="F38" s="118" t="s">
        <v>282</v>
      </c>
      <c r="G38" s="118"/>
      <c r="H38" s="118"/>
      <c r="I38" s="118"/>
      <c r="J38" s="118"/>
      <c r="K38" s="21" t="str">
        <f t="shared" si="5"/>
        <v>1</v>
      </c>
      <c r="L38" s="21">
        <v>1</v>
      </c>
      <c r="M38" s="21" t="str">
        <f t="shared" si="6"/>
        <v>1</v>
      </c>
      <c r="N38" s="118" t="s">
        <v>59</v>
      </c>
      <c r="O38" s="118" t="s">
        <v>159</v>
      </c>
      <c r="P38" s="21" t="str">
        <f t="shared" si="7"/>
        <v>1</v>
      </c>
      <c r="Q38" s="21" t="str">
        <f t="shared" si="8"/>
        <v>1</v>
      </c>
      <c r="R38" s="21" t="str">
        <f t="shared" si="9"/>
        <v>1</v>
      </c>
      <c r="S38" s="21" t="str">
        <f t="shared" si="10"/>
        <v>1</v>
      </c>
      <c r="T38" s="21" t="str">
        <f t="shared" si="11"/>
        <v>1</v>
      </c>
      <c r="U38" s="21" t="str">
        <f t="shared" si="12"/>
        <v>1</v>
      </c>
      <c r="V38" s="21" t="str">
        <f t="shared" si="13"/>
        <v>1</v>
      </c>
      <c r="W38" s="21"/>
      <c r="X38" s="21" t="str">
        <f t="shared" si="14"/>
        <v>0</v>
      </c>
      <c r="Y38" s="21" t="str">
        <f t="shared" si="15"/>
        <v>0</v>
      </c>
      <c r="Z38" s="21" t="str">
        <f t="shared" si="16"/>
        <v>0</v>
      </c>
      <c r="AA38" s="118"/>
      <c r="AB38" s="118"/>
      <c r="AC38" s="118"/>
      <c r="AD38" s="118"/>
      <c r="AE38" s="118" t="s">
        <v>56</v>
      </c>
      <c r="AF38" s="118"/>
      <c r="AG38" s="118"/>
      <c r="AH38" s="26" t="s">
        <v>121</v>
      </c>
      <c r="AI38" s="26" t="s">
        <v>112</v>
      </c>
      <c r="AJ38" s="21">
        <v>11040</v>
      </c>
      <c r="AK38" s="121" t="str">
        <f t="shared" si="0"/>
        <v>0</v>
      </c>
      <c r="AL38" s="123" t="str">
        <f t="shared" si="1"/>
        <v>14821/기능창고 관리/basic/FuncWrhsMast</v>
      </c>
      <c r="AM38" s="21"/>
      <c r="AN38" s="124"/>
      <c r="AO38" s="124" t="s">
        <v>1829</v>
      </c>
      <c r="AP38" s="124" t="s">
        <v>1829</v>
      </c>
      <c r="AQ38" s="124" t="s">
        <v>1829</v>
      </c>
      <c r="AR38" s="124" t="s">
        <v>1829</v>
      </c>
      <c r="AS38" s="124"/>
      <c r="AT38" s="124" t="s">
        <v>1937</v>
      </c>
      <c r="AU38" s="124" t="str">
        <f t="shared" si="17"/>
        <v>B210004</v>
      </c>
      <c r="AV38" s="124" t="s">
        <v>2455</v>
      </c>
      <c r="AW38" s="117" t="s">
        <v>2309</v>
      </c>
      <c r="AX38" s="138" t="str">
        <f t="shared" si="2"/>
        <v>delete from module_mst where pjt_id = '14821' and menu_id = '210004';</v>
      </c>
      <c r="AY38" s="31" t="str">
        <f>IF(C38&lt;&gt;"",CREATE_QUERY($D$1,C$2:AW$2,C38:AW38),"")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'210004', '기능창고 관리', '', '', '', '', '1', '1', '1', 'basic', 'FuncWrhsMast', '1', '1', '1', '1', '1', '1', '1', '', '0', '0', '0', '', '', '', '', 'Y', '', '', '210000', '4', '11040', '0', '14821/기능창고 관리/basic/FuncWrhsMast', '', '', 'Y', 'Y', 'Y', 'Y', '', 'B', 'MES-TD3-104', '기능 창고 목록을 정의한다.');</v>
      </c>
    </row>
    <row r="39" spans="1:51">
      <c r="A39" s="1">
        <v>36</v>
      </c>
      <c r="B39" s="121" t="str">
        <f t="shared" si="3"/>
        <v xml:space="preserve">    └ 보관위치 정보</v>
      </c>
      <c r="C39" s="27" t="str">
        <f t="shared" si="4"/>
        <v>14821</v>
      </c>
      <c r="D39" s="121"/>
      <c r="E39" s="21">
        <v>210005</v>
      </c>
      <c r="F39" s="118" t="s">
        <v>2005</v>
      </c>
      <c r="G39" s="118"/>
      <c r="H39" s="118"/>
      <c r="I39" s="118"/>
      <c r="J39" s="118"/>
      <c r="K39" s="21" t="str">
        <f t="shared" si="5"/>
        <v>1</v>
      </c>
      <c r="L39" s="21">
        <v>1</v>
      </c>
      <c r="M39" s="21" t="str">
        <f t="shared" si="6"/>
        <v>1</v>
      </c>
      <c r="N39" s="118" t="s">
        <v>59</v>
      </c>
      <c r="O39" s="118" t="s">
        <v>2006</v>
      </c>
      <c r="P39" s="21" t="str">
        <f t="shared" si="7"/>
        <v>1</v>
      </c>
      <c r="Q39" s="21" t="str">
        <f t="shared" si="8"/>
        <v>1</v>
      </c>
      <c r="R39" s="21" t="str">
        <f t="shared" si="9"/>
        <v>1</v>
      </c>
      <c r="S39" s="21" t="str">
        <f t="shared" si="10"/>
        <v>1</v>
      </c>
      <c r="T39" s="21" t="str">
        <f t="shared" si="11"/>
        <v>1</v>
      </c>
      <c r="U39" s="21" t="str">
        <f t="shared" si="12"/>
        <v>1</v>
      </c>
      <c r="V39" s="21" t="str">
        <f t="shared" si="13"/>
        <v>1</v>
      </c>
      <c r="W39" s="21"/>
      <c r="X39" s="21" t="str">
        <f t="shared" si="14"/>
        <v>0</v>
      </c>
      <c r="Y39" s="21" t="str">
        <f t="shared" si="15"/>
        <v>0</v>
      </c>
      <c r="Z39" s="21" t="str">
        <f t="shared" si="16"/>
        <v>0</v>
      </c>
      <c r="AA39" s="118"/>
      <c r="AB39" s="118"/>
      <c r="AC39" s="118"/>
      <c r="AD39" s="118"/>
      <c r="AE39" s="118" t="s">
        <v>56</v>
      </c>
      <c r="AF39" s="118"/>
      <c r="AG39" s="118"/>
      <c r="AH39" s="26" t="s">
        <v>121</v>
      </c>
      <c r="AI39" s="26" t="s">
        <v>112</v>
      </c>
      <c r="AJ39" s="21">
        <v>11050</v>
      </c>
      <c r="AK39" s="121" t="str">
        <f t="shared" si="0"/>
        <v>0</v>
      </c>
      <c r="AL39" s="123" t="str">
        <f t="shared" si="1"/>
        <v>14821/보관위치 정보/basic/WrhsZone</v>
      </c>
      <c r="AM39" s="21"/>
      <c r="AN39" s="124"/>
      <c r="AO39" s="124" t="s">
        <v>1829</v>
      </c>
      <c r="AP39" s="124" t="s">
        <v>1829</v>
      </c>
      <c r="AQ39" s="124" t="s">
        <v>1829</v>
      </c>
      <c r="AR39" s="124" t="s">
        <v>1829</v>
      </c>
      <c r="AS39" s="124"/>
      <c r="AT39" s="124" t="s">
        <v>1937</v>
      </c>
      <c r="AU39" s="124" t="str">
        <f t="shared" si="17"/>
        <v>B210005</v>
      </c>
      <c r="AV39" s="124" t="s">
        <v>2456</v>
      </c>
      <c r="AW39" s="117" t="s">
        <v>2310</v>
      </c>
      <c r="AX39" s="138" t="str">
        <f t="shared" si="2"/>
        <v>delete from module_mst where pjt_id = '14821' and menu_id = '210005';</v>
      </c>
      <c r="AY39" s="31" t="str">
        <f>IF(C39&lt;&gt;"",CREATE_QUERY($D$1,C$2:AW$2,C39:AW39),"")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'210005', '보관위치 정보', '', '', '', '', '1', '1', '1', 'basic', 'WrhsZone', '1', '1', '1', '1', '1', '1', '1', '', '0', '0', '0', '', '', '', '', 'Y', '', '', '210000', '4', '11050', '0', '14821/보관위치 정보/basic/WrhsZone', '', '', 'Y', 'Y', 'Y', 'Y', '', 'B', 'MES-TD3-105', '창고별 보관 위치 정의');</v>
      </c>
    </row>
    <row r="40" spans="1:51">
      <c r="A40" s="1">
        <v>37</v>
      </c>
      <c r="B40" s="121" t="str">
        <f t="shared" si="3"/>
        <v xml:space="preserve">    └ 사업장 정보 관리</v>
      </c>
      <c r="C40" s="27" t="str">
        <f t="shared" si="4"/>
        <v>14821</v>
      </c>
      <c r="D40" s="121"/>
      <c r="E40" s="21">
        <v>210006</v>
      </c>
      <c r="F40" s="118" t="s">
        <v>323</v>
      </c>
      <c r="G40" s="118"/>
      <c r="H40" s="118"/>
      <c r="I40" s="118"/>
      <c r="J40" s="118"/>
      <c r="K40" s="21" t="str">
        <f t="shared" si="5"/>
        <v>1</v>
      </c>
      <c r="L40" s="21">
        <v>1</v>
      </c>
      <c r="M40" s="21" t="str">
        <f t="shared" si="6"/>
        <v>1</v>
      </c>
      <c r="N40" s="118" t="s">
        <v>59</v>
      </c>
      <c r="O40" s="118" t="s">
        <v>324</v>
      </c>
      <c r="P40" s="21" t="str">
        <f t="shared" si="7"/>
        <v>1</v>
      </c>
      <c r="Q40" s="21" t="str">
        <f t="shared" si="8"/>
        <v>1</v>
      </c>
      <c r="R40" s="21" t="str">
        <f t="shared" si="9"/>
        <v>1</v>
      </c>
      <c r="S40" s="21" t="str">
        <f t="shared" si="10"/>
        <v>1</v>
      </c>
      <c r="T40" s="21" t="str">
        <f t="shared" si="11"/>
        <v>1</v>
      </c>
      <c r="U40" s="21" t="str">
        <f t="shared" si="12"/>
        <v>1</v>
      </c>
      <c r="V40" s="21" t="str">
        <f t="shared" si="13"/>
        <v>1</v>
      </c>
      <c r="W40" s="21"/>
      <c r="X40" s="21" t="str">
        <f t="shared" si="14"/>
        <v>0</v>
      </c>
      <c r="Y40" s="21" t="str">
        <f t="shared" si="15"/>
        <v>0</v>
      </c>
      <c r="Z40" s="21" t="str">
        <f t="shared" si="16"/>
        <v>0</v>
      </c>
      <c r="AA40" s="118"/>
      <c r="AB40" s="118"/>
      <c r="AC40" s="118"/>
      <c r="AD40" s="118"/>
      <c r="AE40" s="118" t="s">
        <v>56</v>
      </c>
      <c r="AF40" s="118"/>
      <c r="AG40" s="118"/>
      <c r="AH40" s="26" t="s">
        <v>121</v>
      </c>
      <c r="AI40" s="26" t="s">
        <v>112</v>
      </c>
      <c r="AJ40" s="21">
        <v>11060</v>
      </c>
      <c r="AK40" s="121" t="str">
        <f t="shared" si="0"/>
        <v>0</v>
      </c>
      <c r="AL40" s="123" t="str">
        <f t="shared" si="1"/>
        <v>14821/사업장 정보 관리/basic/BzplMast</v>
      </c>
      <c r="AM40" s="21"/>
      <c r="AN40" s="124"/>
      <c r="AO40" s="124" t="s">
        <v>1829</v>
      </c>
      <c r="AP40" s="124" t="s">
        <v>1829</v>
      </c>
      <c r="AQ40" s="124" t="s">
        <v>1829</v>
      </c>
      <c r="AR40" s="124" t="s">
        <v>1829</v>
      </c>
      <c r="AS40" s="124"/>
      <c r="AT40" s="124" t="s">
        <v>1937</v>
      </c>
      <c r="AU40" s="124" t="str">
        <f t="shared" si="17"/>
        <v>B210006</v>
      </c>
      <c r="AV40" s="124" t="s">
        <v>2457</v>
      </c>
      <c r="AW40" s="117" t="s">
        <v>1872</v>
      </c>
      <c r="AX40" s="138" t="str">
        <f t="shared" si="2"/>
        <v>delete from module_mst where pjt_id = '14821' and menu_id = '210006';</v>
      </c>
      <c r="AY40" s="31" t="str">
        <f>IF(C40&lt;&gt;"",CREATE_QUERY($D$1,C$2:AW$2,C40:AW40),"")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'210006', '사업장 정보 관리', '', '', '', '', '1', '1', '1', 'basic', 'BzplMast', '1', '1', '1', '1', '1', '1', '1', '', '0', '0', '0', '', '', '', '', 'Y', '', '', '210000', '4', '11060', '0', '14821/사업장 정보 관리/basic/BzplMast', '', '', 'Y', 'Y', 'Y', 'Y', '', 'B', 'MES-TD3-106', '사업장 정보(명칭, 주소.. 등) 관리');</v>
      </c>
    </row>
    <row r="41" spans="1:51" ht="26">
      <c r="A41" s="1">
        <v>37</v>
      </c>
      <c r="B41" s="121" t="str">
        <f t="shared" si="3"/>
        <v xml:space="preserve">    └ 휴일정보 관리</v>
      </c>
      <c r="C41" s="27" t="str">
        <f t="shared" si="4"/>
        <v>14821</v>
      </c>
      <c r="D41" s="121"/>
      <c r="E41" s="21">
        <v>210007</v>
      </c>
      <c r="F41" s="118" t="s">
        <v>283</v>
      </c>
      <c r="G41" s="118"/>
      <c r="H41" s="118"/>
      <c r="I41" s="118"/>
      <c r="J41" s="118"/>
      <c r="K41" s="21" t="str">
        <f t="shared" si="5"/>
        <v>1</v>
      </c>
      <c r="L41" s="21">
        <v>1</v>
      </c>
      <c r="M41" s="21" t="str">
        <f t="shared" si="6"/>
        <v>1</v>
      </c>
      <c r="N41" s="118" t="s">
        <v>59</v>
      </c>
      <c r="O41" s="118" t="s">
        <v>329</v>
      </c>
      <c r="P41" s="21" t="str">
        <f t="shared" si="7"/>
        <v>1</v>
      </c>
      <c r="Q41" s="21" t="str">
        <f t="shared" si="8"/>
        <v>1</v>
      </c>
      <c r="R41" s="21" t="str">
        <f t="shared" si="9"/>
        <v>1</v>
      </c>
      <c r="S41" s="21" t="str">
        <f t="shared" si="10"/>
        <v>1</v>
      </c>
      <c r="T41" s="21" t="str">
        <f t="shared" si="11"/>
        <v>1</v>
      </c>
      <c r="U41" s="21" t="str">
        <f t="shared" si="12"/>
        <v>1</v>
      </c>
      <c r="V41" s="21" t="str">
        <f t="shared" si="13"/>
        <v>1</v>
      </c>
      <c r="W41" s="21"/>
      <c r="X41" s="21" t="str">
        <f t="shared" si="14"/>
        <v>0</v>
      </c>
      <c r="Y41" s="21" t="str">
        <f t="shared" si="15"/>
        <v>0</v>
      </c>
      <c r="Z41" s="21" t="str">
        <f t="shared" si="16"/>
        <v>0</v>
      </c>
      <c r="AA41" s="118"/>
      <c r="AB41" s="118"/>
      <c r="AC41" s="118"/>
      <c r="AD41" s="118"/>
      <c r="AE41" s="118" t="s">
        <v>56</v>
      </c>
      <c r="AF41" s="118"/>
      <c r="AG41" s="118"/>
      <c r="AH41" s="26" t="s">
        <v>121</v>
      </c>
      <c r="AI41" s="26" t="s">
        <v>112</v>
      </c>
      <c r="AJ41" s="21">
        <v>11070</v>
      </c>
      <c r="AK41" s="121" t="str">
        <f t="shared" si="0"/>
        <v>0</v>
      </c>
      <c r="AL41" s="123" t="str">
        <f t="shared" si="1"/>
        <v>14821/휴일정보 관리/basic/HldyMast</v>
      </c>
      <c r="AM41" s="21"/>
      <c r="AN41" s="124"/>
      <c r="AO41" s="124" t="s">
        <v>1829</v>
      </c>
      <c r="AP41" s="124" t="s">
        <v>1829</v>
      </c>
      <c r="AQ41" s="124" t="s">
        <v>1829</v>
      </c>
      <c r="AR41" s="124" t="s">
        <v>1829</v>
      </c>
      <c r="AS41" s="124"/>
      <c r="AT41" s="124" t="s">
        <v>1937</v>
      </c>
      <c r="AU41" s="124" t="str">
        <f t="shared" si="17"/>
        <v>B210007</v>
      </c>
      <c r="AV41" s="124" t="s">
        <v>2458</v>
      </c>
      <c r="AW41" s="117" t="s">
        <v>2308</v>
      </c>
      <c r="AX41" s="138" t="str">
        <f t="shared" si="2"/>
        <v>delete from module_mst where pjt_id = '14821' and menu_id = '210007';</v>
      </c>
      <c r="AY41" s="31" t="str">
        <f>IF(C41&lt;&gt;"",CREATE_QUERY($D$1,C$2:AW$2,C41:AW41),"")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'210007', '휴일정보 관리', '', '', '', '', '1', '1', '1', 'basic', 'HldyMast', '1', '1', '1', '1', '1', '1', '1', '', '0', '0', '0', '', '', '', '', 'Y', '', '', '210000', '4', '11070', '0', '14821/휴일정보 관리/basic/HldyMast', '', '', 'Y', 'Y', 'Y', 'Y', '', 'B', 'MES-TD3-107', '생산 Schdule 관리를 위해 법정 공휴일 및 회사별 자체 휴일 정보를 정의한다. ');</v>
      </c>
    </row>
    <row r="42" spans="1:51">
      <c r="A42" s="1">
        <v>38</v>
      </c>
      <c r="B42" s="121" t="str">
        <f t="shared" si="3"/>
        <v xml:space="preserve">    └ 시스템환경설정</v>
      </c>
      <c r="C42" s="27" t="str">
        <f t="shared" si="4"/>
        <v>14821</v>
      </c>
      <c r="D42" s="121"/>
      <c r="E42" s="21">
        <v>210008</v>
      </c>
      <c r="F42" s="118" t="s">
        <v>277</v>
      </c>
      <c r="G42" s="118"/>
      <c r="H42" s="118"/>
      <c r="I42" s="118"/>
      <c r="J42" s="118"/>
      <c r="K42" s="21" t="str">
        <f t="shared" si="5"/>
        <v>1</v>
      </c>
      <c r="L42" s="21">
        <v>1</v>
      </c>
      <c r="M42" s="21" t="str">
        <f t="shared" si="6"/>
        <v>1</v>
      </c>
      <c r="N42" s="118" t="s">
        <v>59</v>
      </c>
      <c r="O42" s="118" t="s">
        <v>278</v>
      </c>
      <c r="P42" s="21" t="str">
        <f t="shared" si="7"/>
        <v>1</v>
      </c>
      <c r="Q42" s="21" t="str">
        <f t="shared" si="8"/>
        <v>1</v>
      </c>
      <c r="R42" s="21" t="str">
        <f t="shared" si="9"/>
        <v>1</v>
      </c>
      <c r="S42" s="21" t="str">
        <f t="shared" si="10"/>
        <v>1</v>
      </c>
      <c r="T42" s="21" t="str">
        <f t="shared" si="11"/>
        <v>1</v>
      </c>
      <c r="U42" s="21" t="str">
        <f t="shared" si="12"/>
        <v>1</v>
      </c>
      <c r="V42" s="21" t="str">
        <f t="shared" si="13"/>
        <v>1</v>
      </c>
      <c r="W42" s="21"/>
      <c r="X42" s="21" t="str">
        <f t="shared" si="14"/>
        <v>0</v>
      </c>
      <c r="Y42" s="21" t="str">
        <f t="shared" si="15"/>
        <v>0</v>
      </c>
      <c r="Z42" s="21" t="str">
        <f t="shared" si="16"/>
        <v>0</v>
      </c>
      <c r="AA42" s="118"/>
      <c r="AB42" s="118"/>
      <c r="AC42" s="118"/>
      <c r="AD42" s="118"/>
      <c r="AE42" s="118" t="s">
        <v>56</v>
      </c>
      <c r="AF42" s="118"/>
      <c r="AG42" s="118"/>
      <c r="AH42" s="26" t="s">
        <v>121</v>
      </c>
      <c r="AI42" s="26" t="s">
        <v>112</v>
      </c>
      <c r="AJ42" s="21">
        <v>11080</v>
      </c>
      <c r="AK42" s="121" t="str">
        <f t="shared" si="0"/>
        <v>0</v>
      </c>
      <c r="AL42" s="123" t="str">
        <f t="shared" si="1"/>
        <v>14821/시스템환경설정/basic/SystemOption</v>
      </c>
      <c r="AM42" s="21"/>
      <c r="AN42" s="124" t="s">
        <v>1829</v>
      </c>
      <c r="AO42" s="124"/>
      <c r="AP42" s="124"/>
      <c r="AQ42" s="124"/>
      <c r="AR42" s="124"/>
      <c r="AS42" s="124"/>
      <c r="AT42" s="124" t="s">
        <v>1937</v>
      </c>
      <c r="AU42" s="124" t="str">
        <f t="shared" si="17"/>
        <v>B210008</v>
      </c>
      <c r="AV42" s="124" t="s">
        <v>2459</v>
      </c>
      <c r="AW42" s="117" t="s">
        <v>2307</v>
      </c>
      <c r="AX42" s="138" t="str">
        <f t="shared" si="2"/>
        <v>delete from module_mst where pjt_id = '14821' and menu_id = '210008';</v>
      </c>
      <c r="AY42" s="31" t="str">
        <f>IF(C42&lt;&gt;"",CREATE_QUERY($D$1,C$2:AW$2,C42:AW42),"")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'210008', '시스템환경설정', '', '', '', '', '1', '1', '1', 'basic', 'SystemOption', '1', '1', '1', '1', '1', '1', '1', '', '0', '0', '0', '', '', '', '', 'Y', '', '', '210000', '4', '11080', '0', '14821/시스템환경설정/basic/SystemOption', '', 'Y', '', '', '', '', '', 'B', 'MES-TD3-108', '시스템 적용 회사별 환경 설정을 정의한다. ');</v>
      </c>
    </row>
    <row r="43" spans="1:51">
      <c r="A43" s="1">
        <v>38</v>
      </c>
      <c r="B43" s="121" t="str">
        <f t="shared" si="3"/>
        <v xml:space="preserve">    └ 관리항목 관리</v>
      </c>
      <c r="C43" s="27" t="str">
        <f t="shared" si="4"/>
        <v>14821</v>
      </c>
      <c r="D43" s="121"/>
      <c r="E43" s="21">
        <v>210009</v>
      </c>
      <c r="F43" s="118" t="s">
        <v>2420</v>
      </c>
      <c r="G43" s="118"/>
      <c r="H43" s="118"/>
      <c r="I43" s="118"/>
      <c r="J43" s="118"/>
      <c r="K43" s="21" t="str">
        <f t="shared" si="5"/>
        <v>1</v>
      </c>
      <c r="L43" s="21">
        <v>1</v>
      </c>
      <c r="M43" s="21" t="str">
        <f t="shared" si="6"/>
        <v>1</v>
      </c>
      <c r="N43" s="118" t="s">
        <v>59</v>
      </c>
      <c r="O43" s="118" t="s">
        <v>2422</v>
      </c>
      <c r="P43" s="21" t="str">
        <f t="shared" si="7"/>
        <v>1</v>
      </c>
      <c r="Q43" s="21" t="str">
        <f t="shared" si="8"/>
        <v>1</v>
      </c>
      <c r="R43" s="21" t="str">
        <f t="shared" si="9"/>
        <v>1</v>
      </c>
      <c r="S43" s="21" t="str">
        <f t="shared" si="10"/>
        <v>1</v>
      </c>
      <c r="T43" s="21" t="str">
        <f t="shared" si="11"/>
        <v>1</v>
      </c>
      <c r="U43" s="21" t="str">
        <f t="shared" si="12"/>
        <v>1</v>
      </c>
      <c r="V43" s="21" t="str">
        <f t="shared" si="13"/>
        <v>1</v>
      </c>
      <c r="W43" s="21"/>
      <c r="X43" s="21" t="str">
        <f t="shared" si="14"/>
        <v>0</v>
      </c>
      <c r="Y43" s="21" t="str">
        <f t="shared" si="15"/>
        <v>0</v>
      </c>
      <c r="Z43" s="21" t="str">
        <f t="shared" si="16"/>
        <v>0</v>
      </c>
      <c r="AA43" s="118"/>
      <c r="AB43" s="118"/>
      <c r="AC43" s="118"/>
      <c r="AD43" s="118"/>
      <c r="AE43" s="118" t="s">
        <v>56</v>
      </c>
      <c r="AF43" s="118"/>
      <c r="AG43" s="118"/>
      <c r="AH43" s="26" t="s">
        <v>121</v>
      </c>
      <c r="AI43" s="26" t="s">
        <v>112</v>
      </c>
      <c r="AJ43" s="21">
        <v>11090</v>
      </c>
      <c r="AK43" s="121" t="str">
        <f>IF(B52="","","0")</f>
        <v/>
      </c>
      <c r="AL43" s="123" t="str">
        <f t="shared" si="1"/>
        <v>14821/관리항목 관리/basic/MngtSbscMast</v>
      </c>
      <c r="AM43" s="21"/>
      <c r="AN43" s="124" t="s">
        <v>1829</v>
      </c>
      <c r="AO43" s="124"/>
      <c r="AP43" s="124"/>
      <c r="AQ43" s="124"/>
      <c r="AR43" s="124"/>
      <c r="AS43" s="124"/>
      <c r="AT43" s="124" t="s">
        <v>1937</v>
      </c>
      <c r="AU43" s="124" t="str">
        <f t="shared" si="17"/>
        <v>B210009</v>
      </c>
      <c r="AV43" s="124" t="s">
        <v>2460</v>
      </c>
      <c r="AW43" s="117" t="s">
        <v>2421</v>
      </c>
      <c r="AX43" s="138" t="str">
        <f t="shared" si="2"/>
        <v>delete from module_mst where pjt_id = '14821' and menu_id = '210009';</v>
      </c>
      <c r="AY43" s="31" t="str">
        <f>IF(C43&lt;&gt;"",CREATE_QUERY($D$1,C$2:AW$2,C43:AW43),"")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'210009', '관리항목 관리', '', '', '', '', '1', '1', '1', 'basic', 'MngtSbscMast', '1', '1', '1', '1', '1', '1', '1', '', '0', '0', '0', '', '', '', '', 'Y', '', '', '210000', '4', '11090', '', '14821/관리항목 관리/basic/MngtSbscMast', '', 'Y', '', '', '', '', '', 'B', 'MES-TD3-109', '품목 및 거래처 등 각종 관리 항목을 정의한다.');</v>
      </c>
    </row>
    <row r="44" spans="1:51">
      <c r="A44" s="1">
        <v>37</v>
      </c>
      <c r="B44" s="121" t="str">
        <f t="shared" si="3"/>
        <v xml:space="preserve">    └ 분류기준 관리</v>
      </c>
      <c r="C44" s="27" t="str">
        <f t="shared" si="4"/>
        <v>14821</v>
      </c>
      <c r="D44" s="121"/>
      <c r="E44" s="21">
        <v>210010</v>
      </c>
      <c r="F44" s="118" t="s">
        <v>2930</v>
      </c>
      <c r="G44" s="118"/>
      <c r="H44" s="118"/>
      <c r="I44" s="118"/>
      <c r="J44" s="118"/>
      <c r="K44" s="21" t="str">
        <f t="shared" si="5"/>
        <v>1</v>
      </c>
      <c r="L44" s="21">
        <v>1</v>
      </c>
      <c r="M44" s="21" t="str">
        <f t="shared" si="6"/>
        <v>1</v>
      </c>
      <c r="N44" s="118" t="s">
        <v>203</v>
      </c>
      <c r="O44" s="118" t="s">
        <v>2931</v>
      </c>
      <c r="P44" s="21" t="str">
        <f t="shared" si="7"/>
        <v>1</v>
      </c>
      <c r="Q44" s="21" t="str">
        <f t="shared" si="8"/>
        <v>1</v>
      </c>
      <c r="R44" s="21" t="str">
        <f t="shared" si="9"/>
        <v>1</v>
      </c>
      <c r="S44" s="21" t="str">
        <f t="shared" si="10"/>
        <v>1</v>
      </c>
      <c r="T44" s="21" t="str">
        <f t="shared" si="11"/>
        <v>1</v>
      </c>
      <c r="U44" s="21" t="str">
        <f t="shared" si="12"/>
        <v>1</v>
      </c>
      <c r="V44" s="21" t="str">
        <f t="shared" si="13"/>
        <v>1</v>
      </c>
      <c r="W44" s="21"/>
      <c r="X44" s="21" t="str">
        <f t="shared" si="14"/>
        <v>0</v>
      </c>
      <c r="Y44" s="21" t="str">
        <f t="shared" si="15"/>
        <v>0</v>
      </c>
      <c r="Z44" s="21" t="str">
        <f t="shared" si="16"/>
        <v>0</v>
      </c>
      <c r="AA44" s="118"/>
      <c r="AB44" s="118"/>
      <c r="AC44" s="118"/>
      <c r="AD44" s="118"/>
      <c r="AE44" s="118" t="s">
        <v>56</v>
      </c>
      <c r="AF44" s="118"/>
      <c r="AG44" s="118"/>
      <c r="AH44" s="26" t="s">
        <v>121</v>
      </c>
      <c r="AI44" s="26" t="s">
        <v>112</v>
      </c>
      <c r="AJ44" s="21">
        <v>11100</v>
      </c>
      <c r="AK44" s="121">
        <v>0</v>
      </c>
      <c r="AL44" s="123" t="str">
        <f t="shared" si="1"/>
        <v>14821/분류기준 관리/basic/ClssMast</v>
      </c>
      <c r="AM44" s="21"/>
      <c r="AN44" s="124"/>
      <c r="AO44" s="124"/>
      <c r="AP44" s="124"/>
      <c r="AQ44" s="124"/>
      <c r="AR44" s="124"/>
      <c r="AS44" s="124"/>
      <c r="AT44" s="124" t="s">
        <v>1937</v>
      </c>
      <c r="AU44" s="124" t="str">
        <f t="shared" si="17"/>
        <v>B210010</v>
      </c>
      <c r="AV44" s="124" t="s">
        <v>2461</v>
      </c>
      <c r="AW44" s="117" t="s">
        <v>2932</v>
      </c>
      <c r="AX44" s="138" t="str">
        <f t="shared" si="2"/>
        <v>delete from module_mst where pjt_id = '14821' and menu_id = '210010';</v>
      </c>
      <c r="AY44" s="31" t="str">
        <f>IF(C44&lt;&gt;"",CREATE_QUERY($D$1,C$2:AW$2,C44:AW44),"")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'210010', '분류기준 관리', '', '', '', '', '1', '1', '1', 'basic', 'ClssMast', '1', '1', '1', '1', '1', '1', '1', '', '0', '0', '0', '', '', '', '', 'Y', '', '', '210000', '4', '11100', '0', '14821/분류기준 관리/basic/ClssMast', '', '', '', '', '', '', '', 'B', 'MES-TD3-110', '품목, 거래처, 생산설비 분류기준을 등록 관리한다.');</v>
      </c>
    </row>
    <row r="45" spans="1:51">
      <c r="A45" s="1">
        <v>37</v>
      </c>
      <c r="B45" s="121" t="str">
        <f t="shared" si="3"/>
        <v/>
      </c>
      <c r="C45" s="27" t="str">
        <f t="shared" si="4"/>
        <v/>
      </c>
      <c r="D45" s="121"/>
      <c r="E45" s="21">
        <v>210011</v>
      </c>
      <c r="F45" s="118"/>
      <c r="G45" s="118"/>
      <c r="H45" s="118"/>
      <c r="I45" s="118"/>
      <c r="J45" s="118"/>
      <c r="K45" s="21"/>
      <c r="L45" s="21"/>
      <c r="M45" s="21"/>
      <c r="N45" s="118"/>
      <c r="O45" s="118"/>
      <c r="P45" s="21" t="str">
        <f t="shared" si="7"/>
        <v>0</v>
      </c>
      <c r="Q45" s="21" t="str">
        <f t="shared" si="8"/>
        <v>0</v>
      </c>
      <c r="R45" s="21" t="str">
        <f t="shared" si="9"/>
        <v>0</v>
      </c>
      <c r="S45" s="21" t="str">
        <f t="shared" si="10"/>
        <v>0</v>
      </c>
      <c r="T45" s="21" t="str">
        <f t="shared" si="11"/>
        <v>0</v>
      </c>
      <c r="U45" s="21" t="str">
        <f t="shared" si="12"/>
        <v>0</v>
      </c>
      <c r="V45" s="21" t="str">
        <f t="shared" si="13"/>
        <v>1</v>
      </c>
      <c r="W45" s="21"/>
      <c r="X45" s="21" t="str">
        <f t="shared" si="14"/>
        <v/>
      </c>
      <c r="Y45" s="21" t="str">
        <f t="shared" si="15"/>
        <v/>
      </c>
      <c r="Z45" s="21" t="str">
        <f t="shared" si="16"/>
        <v/>
      </c>
      <c r="AA45" s="118"/>
      <c r="AB45" s="118"/>
      <c r="AC45" s="118"/>
      <c r="AD45" s="118"/>
      <c r="AE45" s="118" t="s">
        <v>56</v>
      </c>
      <c r="AF45" s="118"/>
      <c r="AG45" s="118"/>
      <c r="AH45" s="26" t="s">
        <v>121</v>
      </c>
      <c r="AI45" s="26" t="s">
        <v>112</v>
      </c>
      <c r="AJ45" s="21">
        <v>11110</v>
      </c>
      <c r="AK45" s="121" t="str">
        <f t="shared" ref="AK45:AK46" si="18">IF(B46="","","0")</f>
        <v/>
      </c>
      <c r="AL45" s="123" t="str">
        <f t="shared" si="1"/>
        <v/>
      </c>
      <c r="AM45" s="21"/>
      <c r="AN45" s="124"/>
      <c r="AO45" s="124"/>
      <c r="AP45" s="124"/>
      <c r="AQ45" s="124"/>
      <c r="AR45" s="124"/>
      <c r="AS45" s="124"/>
      <c r="AT45" s="124" t="s">
        <v>1937</v>
      </c>
      <c r="AU45" s="124" t="str">
        <f t="shared" si="17"/>
        <v/>
      </c>
      <c r="AV45" s="124" t="s">
        <v>2462</v>
      </c>
      <c r="AW45" s="117"/>
      <c r="AX45" s="138" t="str">
        <f t="shared" si="2"/>
        <v/>
      </c>
      <c r="AY45" s="31" t="str">
        <f>IF(C45&lt;&gt;"",CREATE_QUERY($D$1,C$2:AW$2,C45:AW45),"")</f>
        <v/>
      </c>
    </row>
    <row r="46" spans="1:51">
      <c r="A46" s="1">
        <v>38</v>
      </c>
      <c r="B46" s="121" t="str">
        <f t="shared" si="3"/>
        <v/>
      </c>
      <c r="C46" s="27" t="str">
        <f t="shared" si="4"/>
        <v/>
      </c>
      <c r="D46" s="121"/>
      <c r="E46" s="21">
        <v>210012</v>
      </c>
      <c r="F46" s="118"/>
      <c r="G46" s="118"/>
      <c r="H46" s="118"/>
      <c r="I46" s="118"/>
      <c r="J46" s="118"/>
      <c r="K46" s="21"/>
      <c r="L46" s="21"/>
      <c r="M46" s="21"/>
      <c r="N46" s="118"/>
      <c r="O46" s="118"/>
      <c r="P46" s="21" t="str">
        <f t="shared" si="7"/>
        <v>0</v>
      </c>
      <c r="Q46" s="21" t="str">
        <f t="shared" si="8"/>
        <v>0</v>
      </c>
      <c r="R46" s="21" t="str">
        <f t="shared" si="9"/>
        <v>0</v>
      </c>
      <c r="S46" s="21" t="str">
        <f t="shared" si="10"/>
        <v>0</v>
      </c>
      <c r="T46" s="21" t="str">
        <f t="shared" si="11"/>
        <v>0</v>
      </c>
      <c r="U46" s="21" t="str">
        <f t="shared" si="12"/>
        <v>0</v>
      </c>
      <c r="V46" s="21" t="str">
        <f t="shared" si="13"/>
        <v>1</v>
      </c>
      <c r="W46" s="21"/>
      <c r="X46" s="21" t="str">
        <f t="shared" si="14"/>
        <v/>
      </c>
      <c r="Y46" s="21" t="str">
        <f t="shared" si="15"/>
        <v/>
      </c>
      <c r="Z46" s="21" t="str">
        <f t="shared" si="16"/>
        <v/>
      </c>
      <c r="AA46" s="118"/>
      <c r="AB46" s="118"/>
      <c r="AC46" s="118"/>
      <c r="AD46" s="118"/>
      <c r="AE46" s="118" t="s">
        <v>56</v>
      </c>
      <c r="AF46" s="118"/>
      <c r="AG46" s="118"/>
      <c r="AH46" s="26" t="s">
        <v>121</v>
      </c>
      <c r="AI46" s="26" t="s">
        <v>112</v>
      </c>
      <c r="AJ46" s="21">
        <v>11120</v>
      </c>
      <c r="AK46" s="121" t="str">
        <f t="shared" si="18"/>
        <v/>
      </c>
      <c r="AL46" s="123" t="str">
        <f t="shared" si="1"/>
        <v/>
      </c>
      <c r="AM46" s="21"/>
      <c r="AN46" s="124"/>
      <c r="AO46" s="124"/>
      <c r="AP46" s="124"/>
      <c r="AQ46" s="124"/>
      <c r="AR46" s="124"/>
      <c r="AS46" s="124"/>
      <c r="AT46" s="124" t="s">
        <v>1937</v>
      </c>
      <c r="AU46" s="124" t="str">
        <f t="shared" si="17"/>
        <v/>
      </c>
      <c r="AV46" s="124" t="s">
        <v>2463</v>
      </c>
      <c r="AW46" s="117"/>
      <c r="AX46" s="138" t="str">
        <f t="shared" si="2"/>
        <v/>
      </c>
      <c r="AY46" s="31" t="str">
        <f>IF(C46&lt;&gt;"",CREATE_QUERY($D$1,C$2:AW$2,C46:AW46),"")</f>
        <v/>
      </c>
    </row>
    <row r="47" spans="1:51">
      <c r="A47" s="1">
        <v>38</v>
      </c>
      <c r="B47" s="121" t="str">
        <f t="shared" si="3"/>
        <v/>
      </c>
      <c r="C47" s="27" t="str">
        <f t="shared" si="4"/>
        <v/>
      </c>
      <c r="D47" s="121"/>
      <c r="E47" s="21">
        <v>210013</v>
      </c>
      <c r="F47" s="118"/>
      <c r="G47" s="118"/>
      <c r="H47" s="118"/>
      <c r="I47" s="118"/>
      <c r="J47" s="118"/>
      <c r="K47" s="21"/>
      <c r="L47" s="21"/>
      <c r="M47" s="21"/>
      <c r="N47" s="118"/>
      <c r="O47" s="118"/>
      <c r="P47" s="21" t="str">
        <f t="shared" si="7"/>
        <v>0</v>
      </c>
      <c r="Q47" s="21" t="str">
        <f t="shared" si="8"/>
        <v>0</v>
      </c>
      <c r="R47" s="21" t="str">
        <f t="shared" si="9"/>
        <v>0</v>
      </c>
      <c r="S47" s="21" t="str">
        <f t="shared" si="10"/>
        <v>0</v>
      </c>
      <c r="T47" s="21" t="str">
        <f t="shared" si="11"/>
        <v>0</v>
      </c>
      <c r="U47" s="21" t="str">
        <f t="shared" si="12"/>
        <v>0</v>
      </c>
      <c r="V47" s="21" t="str">
        <f t="shared" si="13"/>
        <v>1</v>
      </c>
      <c r="W47" s="21"/>
      <c r="X47" s="21" t="str">
        <f t="shared" si="14"/>
        <v/>
      </c>
      <c r="Y47" s="21" t="str">
        <f t="shared" si="15"/>
        <v/>
      </c>
      <c r="Z47" s="21" t="str">
        <f t="shared" si="16"/>
        <v/>
      </c>
      <c r="AA47" s="118"/>
      <c r="AB47" s="118"/>
      <c r="AC47" s="118"/>
      <c r="AD47" s="118"/>
      <c r="AE47" s="118" t="s">
        <v>56</v>
      </c>
      <c r="AF47" s="118"/>
      <c r="AG47" s="118"/>
      <c r="AH47" s="26" t="s">
        <v>121</v>
      </c>
      <c r="AI47" s="26" t="s">
        <v>112</v>
      </c>
      <c r="AJ47" s="21">
        <v>11130</v>
      </c>
      <c r="AK47" s="121" t="str">
        <f>IF(B56="","","0")</f>
        <v>0</v>
      </c>
      <c r="AL47" s="123" t="str">
        <f t="shared" si="1"/>
        <v/>
      </c>
      <c r="AM47" s="21"/>
      <c r="AN47" s="124"/>
      <c r="AO47" s="124"/>
      <c r="AP47" s="124"/>
      <c r="AQ47" s="124"/>
      <c r="AR47" s="124"/>
      <c r="AS47" s="124"/>
      <c r="AT47" s="124" t="s">
        <v>1937</v>
      </c>
      <c r="AU47" s="124" t="str">
        <f t="shared" si="17"/>
        <v/>
      </c>
      <c r="AV47" s="124" t="s">
        <v>2464</v>
      </c>
      <c r="AW47" s="117"/>
      <c r="AX47" s="138" t="str">
        <f t="shared" si="2"/>
        <v/>
      </c>
      <c r="AY47" s="31" t="str">
        <f>IF(C47&lt;&gt;"",CREATE_QUERY($D$1,C$2:AW$2,C47:AW47),"")</f>
        <v/>
      </c>
    </row>
    <row r="48" spans="1:51">
      <c r="A48" s="1">
        <v>37</v>
      </c>
      <c r="B48" s="121" t="str">
        <f t="shared" si="3"/>
        <v/>
      </c>
      <c r="C48" s="27" t="str">
        <f t="shared" si="4"/>
        <v/>
      </c>
      <c r="D48" s="121"/>
      <c r="E48" s="21">
        <v>210014</v>
      </c>
      <c r="F48" s="118"/>
      <c r="G48" s="118"/>
      <c r="H48" s="118"/>
      <c r="I48" s="118"/>
      <c r="J48" s="118"/>
      <c r="K48" s="21"/>
      <c r="L48" s="21"/>
      <c r="M48" s="21"/>
      <c r="N48" s="118"/>
      <c r="O48" s="118"/>
      <c r="P48" s="21" t="str">
        <f t="shared" si="7"/>
        <v>0</v>
      </c>
      <c r="Q48" s="21" t="str">
        <f t="shared" si="8"/>
        <v>0</v>
      </c>
      <c r="R48" s="21" t="str">
        <f t="shared" si="9"/>
        <v>0</v>
      </c>
      <c r="S48" s="21" t="str">
        <f t="shared" si="10"/>
        <v>0</v>
      </c>
      <c r="T48" s="21" t="str">
        <f t="shared" si="11"/>
        <v>0</v>
      </c>
      <c r="U48" s="21" t="str">
        <f t="shared" si="12"/>
        <v>0</v>
      </c>
      <c r="V48" s="21" t="str">
        <f t="shared" si="13"/>
        <v>1</v>
      </c>
      <c r="W48" s="21"/>
      <c r="X48" s="21" t="str">
        <f t="shared" si="14"/>
        <v/>
      </c>
      <c r="Y48" s="21" t="str">
        <f t="shared" si="15"/>
        <v/>
      </c>
      <c r="Z48" s="21" t="str">
        <f t="shared" si="16"/>
        <v/>
      </c>
      <c r="AA48" s="118"/>
      <c r="AB48" s="118"/>
      <c r="AC48" s="118"/>
      <c r="AD48" s="118"/>
      <c r="AE48" s="118" t="s">
        <v>56</v>
      </c>
      <c r="AF48" s="118"/>
      <c r="AG48" s="118"/>
      <c r="AH48" s="26" t="s">
        <v>121</v>
      </c>
      <c r="AI48" s="26" t="s">
        <v>112</v>
      </c>
      <c r="AJ48" s="21">
        <v>11140</v>
      </c>
      <c r="AK48" s="121" t="str">
        <f t="shared" ref="AK48:AK50" si="19">IF(B49="","","0")</f>
        <v/>
      </c>
      <c r="AL48" s="123" t="str">
        <f t="shared" si="1"/>
        <v/>
      </c>
      <c r="AM48" s="21"/>
      <c r="AN48" s="124"/>
      <c r="AO48" s="124"/>
      <c r="AP48" s="124"/>
      <c r="AQ48" s="124"/>
      <c r="AR48" s="124"/>
      <c r="AS48" s="124"/>
      <c r="AT48" s="124" t="s">
        <v>1937</v>
      </c>
      <c r="AU48" s="124" t="str">
        <f t="shared" si="17"/>
        <v/>
      </c>
      <c r="AV48" s="124" t="s">
        <v>2465</v>
      </c>
      <c r="AW48" s="117"/>
      <c r="AX48" s="138" t="str">
        <f t="shared" si="2"/>
        <v/>
      </c>
      <c r="AY48" s="31" t="str">
        <f>IF(C48&lt;&gt;"",CREATE_QUERY($D$1,C$2:AW$2,C48:AW48),"")</f>
        <v/>
      </c>
    </row>
    <row r="49" spans="1:51">
      <c r="A49" s="1">
        <v>37</v>
      </c>
      <c r="B49" s="121" t="str">
        <f t="shared" si="3"/>
        <v/>
      </c>
      <c r="C49" s="27" t="str">
        <f t="shared" si="4"/>
        <v/>
      </c>
      <c r="D49" s="121"/>
      <c r="E49" s="21">
        <v>210015</v>
      </c>
      <c r="F49" s="118"/>
      <c r="G49" s="118"/>
      <c r="H49" s="118"/>
      <c r="I49" s="118"/>
      <c r="J49" s="118"/>
      <c r="K49" s="21"/>
      <c r="L49" s="21"/>
      <c r="M49" s="21"/>
      <c r="N49" s="118"/>
      <c r="O49" s="118"/>
      <c r="P49" s="21" t="str">
        <f t="shared" si="7"/>
        <v>0</v>
      </c>
      <c r="Q49" s="21" t="str">
        <f t="shared" si="8"/>
        <v>0</v>
      </c>
      <c r="R49" s="21" t="str">
        <f t="shared" si="9"/>
        <v>0</v>
      </c>
      <c r="S49" s="21" t="str">
        <f t="shared" si="10"/>
        <v>0</v>
      </c>
      <c r="T49" s="21" t="str">
        <f t="shared" si="11"/>
        <v>0</v>
      </c>
      <c r="U49" s="21" t="str">
        <f t="shared" si="12"/>
        <v>0</v>
      </c>
      <c r="V49" s="21" t="str">
        <f t="shared" si="13"/>
        <v>1</v>
      </c>
      <c r="W49" s="21"/>
      <c r="X49" s="21" t="str">
        <f t="shared" si="14"/>
        <v/>
      </c>
      <c r="Y49" s="21" t="str">
        <f t="shared" si="15"/>
        <v/>
      </c>
      <c r="Z49" s="21" t="str">
        <f t="shared" si="16"/>
        <v/>
      </c>
      <c r="AA49" s="118"/>
      <c r="AB49" s="118"/>
      <c r="AC49" s="118"/>
      <c r="AD49" s="118"/>
      <c r="AE49" s="118" t="s">
        <v>56</v>
      </c>
      <c r="AF49" s="118"/>
      <c r="AG49" s="118"/>
      <c r="AH49" s="26" t="s">
        <v>121</v>
      </c>
      <c r="AI49" s="26" t="s">
        <v>112</v>
      </c>
      <c r="AJ49" s="21">
        <v>11150</v>
      </c>
      <c r="AK49" s="121" t="str">
        <f t="shared" si="19"/>
        <v/>
      </c>
      <c r="AL49" s="123" t="str">
        <f t="shared" si="1"/>
        <v/>
      </c>
      <c r="AM49" s="21"/>
      <c r="AN49" s="124"/>
      <c r="AO49" s="124"/>
      <c r="AP49" s="124"/>
      <c r="AQ49" s="124"/>
      <c r="AR49" s="124"/>
      <c r="AS49" s="124"/>
      <c r="AT49" s="124" t="s">
        <v>1937</v>
      </c>
      <c r="AU49" s="124" t="str">
        <f t="shared" si="17"/>
        <v/>
      </c>
      <c r="AV49" s="124" t="s">
        <v>2466</v>
      </c>
      <c r="AW49" s="117"/>
      <c r="AX49" s="138" t="str">
        <f t="shared" si="2"/>
        <v/>
      </c>
      <c r="AY49" s="31" t="str">
        <f>IF(C49&lt;&gt;"",CREATE_QUERY($D$1,C$2:AW$2,C49:AW49),"")</f>
        <v/>
      </c>
    </row>
    <row r="50" spans="1:51">
      <c r="A50" s="1">
        <v>38</v>
      </c>
      <c r="B50" s="121" t="str">
        <f t="shared" si="3"/>
        <v/>
      </c>
      <c r="C50" s="27" t="str">
        <f t="shared" si="4"/>
        <v/>
      </c>
      <c r="D50" s="121"/>
      <c r="E50" s="21">
        <v>210016</v>
      </c>
      <c r="F50" s="118"/>
      <c r="G50" s="118"/>
      <c r="H50" s="118"/>
      <c r="I50" s="118"/>
      <c r="J50" s="118"/>
      <c r="K50" s="21"/>
      <c r="L50" s="21"/>
      <c r="M50" s="21"/>
      <c r="N50" s="118"/>
      <c r="O50" s="118"/>
      <c r="P50" s="21" t="str">
        <f t="shared" si="7"/>
        <v>0</v>
      </c>
      <c r="Q50" s="21" t="str">
        <f t="shared" si="8"/>
        <v>0</v>
      </c>
      <c r="R50" s="21" t="str">
        <f t="shared" si="9"/>
        <v>0</v>
      </c>
      <c r="S50" s="21" t="str">
        <f t="shared" si="10"/>
        <v>0</v>
      </c>
      <c r="T50" s="21" t="str">
        <f t="shared" si="11"/>
        <v>0</v>
      </c>
      <c r="U50" s="21" t="str">
        <f t="shared" si="12"/>
        <v>0</v>
      </c>
      <c r="V50" s="21" t="str">
        <f t="shared" si="13"/>
        <v>1</v>
      </c>
      <c r="W50" s="21"/>
      <c r="X50" s="21" t="str">
        <f t="shared" si="14"/>
        <v/>
      </c>
      <c r="Y50" s="21" t="str">
        <f t="shared" si="15"/>
        <v/>
      </c>
      <c r="Z50" s="21" t="str">
        <f t="shared" si="16"/>
        <v/>
      </c>
      <c r="AA50" s="118"/>
      <c r="AB50" s="118"/>
      <c r="AC50" s="118"/>
      <c r="AD50" s="118"/>
      <c r="AE50" s="118" t="s">
        <v>56</v>
      </c>
      <c r="AF50" s="118"/>
      <c r="AG50" s="118"/>
      <c r="AH50" s="26" t="s">
        <v>121</v>
      </c>
      <c r="AI50" s="26" t="s">
        <v>112</v>
      </c>
      <c r="AJ50" s="21">
        <v>11160</v>
      </c>
      <c r="AK50" s="121" t="str">
        <f t="shared" si="19"/>
        <v/>
      </c>
      <c r="AL50" s="123" t="str">
        <f t="shared" si="1"/>
        <v/>
      </c>
      <c r="AM50" s="21"/>
      <c r="AN50" s="124"/>
      <c r="AO50" s="124"/>
      <c r="AP50" s="124"/>
      <c r="AQ50" s="124"/>
      <c r="AR50" s="124"/>
      <c r="AS50" s="124"/>
      <c r="AT50" s="124" t="s">
        <v>1937</v>
      </c>
      <c r="AU50" s="124" t="str">
        <f t="shared" si="17"/>
        <v/>
      </c>
      <c r="AV50" s="124" t="s">
        <v>2467</v>
      </c>
      <c r="AW50" s="117"/>
      <c r="AX50" s="138" t="str">
        <f t="shared" si="2"/>
        <v/>
      </c>
      <c r="AY50" s="31" t="str">
        <f>IF(C50&lt;&gt;"",CREATE_QUERY($D$1,C$2:AW$2,C50:AW50),"")</f>
        <v/>
      </c>
    </row>
    <row r="51" spans="1:51">
      <c r="A51" s="1">
        <v>38</v>
      </c>
      <c r="B51" s="121" t="str">
        <f t="shared" si="3"/>
        <v/>
      </c>
      <c r="C51" s="27" t="str">
        <f t="shared" si="4"/>
        <v/>
      </c>
      <c r="D51" s="121"/>
      <c r="E51" s="21">
        <v>210017</v>
      </c>
      <c r="F51" s="118"/>
      <c r="G51" s="118"/>
      <c r="H51" s="118"/>
      <c r="I51" s="118"/>
      <c r="J51" s="118"/>
      <c r="K51" s="21"/>
      <c r="L51" s="21"/>
      <c r="M51" s="21"/>
      <c r="N51" s="118"/>
      <c r="O51" s="118"/>
      <c r="P51" s="21" t="str">
        <f t="shared" si="7"/>
        <v>0</v>
      </c>
      <c r="Q51" s="21" t="str">
        <f t="shared" si="8"/>
        <v>0</v>
      </c>
      <c r="R51" s="21" t="str">
        <f t="shared" si="9"/>
        <v>0</v>
      </c>
      <c r="S51" s="21" t="str">
        <f t="shared" si="10"/>
        <v>0</v>
      </c>
      <c r="T51" s="21" t="str">
        <f t="shared" si="11"/>
        <v>0</v>
      </c>
      <c r="U51" s="21" t="str">
        <f t="shared" si="12"/>
        <v>0</v>
      </c>
      <c r="V51" s="21" t="str">
        <f t="shared" si="13"/>
        <v>1</v>
      </c>
      <c r="W51" s="21"/>
      <c r="X51" s="21" t="str">
        <f t="shared" si="14"/>
        <v/>
      </c>
      <c r="Y51" s="21" t="str">
        <f t="shared" si="15"/>
        <v/>
      </c>
      <c r="Z51" s="21" t="str">
        <f t="shared" si="16"/>
        <v/>
      </c>
      <c r="AA51" s="118"/>
      <c r="AB51" s="118"/>
      <c r="AC51" s="118"/>
      <c r="AD51" s="118"/>
      <c r="AE51" s="118" t="s">
        <v>56</v>
      </c>
      <c r="AF51" s="118"/>
      <c r="AG51" s="118"/>
      <c r="AH51" s="26" t="s">
        <v>121</v>
      </c>
      <c r="AI51" s="26" t="s">
        <v>112</v>
      </c>
      <c r="AJ51" s="21">
        <v>11170</v>
      </c>
      <c r="AK51" s="121" t="str">
        <f>IF(B60="","","0")</f>
        <v>0</v>
      </c>
      <c r="AL51" s="123" t="str">
        <f t="shared" si="1"/>
        <v/>
      </c>
      <c r="AM51" s="21"/>
      <c r="AN51" s="124"/>
      <c r="AO51" s="124"/>
      <c r="AP51" s="124"/>
      <c r="AQ51" s="124"/>
      <c r="AR51" s="124"/>
      <c r="AS51" s="124"/>
      <c r="AT51" s="124" t="s">
        <v>1937</v>
      </c>
      <c r="AU51" s="124" t="str">
        <f t="shared" si="17"/>
        <v/>
      </c>
      <c r="AV51" s="124" t="s">
        <v>2468</v>
      </c>
      <c r="AW51" s="117"/>
      <c r="AX51" s="138" t="str">
        <f t="shared" si="2"/>
        <v/>
      </c>
      <c r="AY51" s="31" t="str">
        <f>IF(C51&lt;&gt;"",CREATE_QUERY($D$1,C$2:AW$2,C51:AW51),"")</f>
        <v/>
      </c>
    </row>
    <row r="52" spans="1:51">
      <c r="A52" s="1">
        <v>39</v>
      </c>
      <c r="B52" s="121" t="str">
        <f t="shared" si="3"/>
        <v/>
      </c>
      <c r="C52" s="27" t="str">
        <f t="shared" si="4"/>
        <v/>
      </c>
      <c r="D52" s="121"/>
      <c r="E52" s="27"/>
      <c r="F52" s="121"/>
      <c r="G52" s="121"/>
      <c r="H52" s="121"/>
      <c r="I52" s="121"/>
      <c r="J52" s="121"/>
      <c r="K52" s="27" t="str">
        <f t="shared" si="5"/>
        <v/>
      </c>
      <c r="L52" s="27">
        <v>1</v>
      </c>
      <c r="M52" s="27" t="str">
        <f t="shared" si="6"/>
        <v>0</v>
      </c>
      <c r="N52" s="121"/>
      <c r="O52" s="121"/>
      <c r="P52" s="27" t="str">
        <f t="shared" si="7"/>
        <v>0</v>
      </c>
      <c r="Q52" s="27" t="str">
        <f t="shared" si="8"/>
        <v>0</v>
      </c>
      <c r="R52" s="27" t="str">
        <f t="shared" si="9"/>
        <v>0</v>
      </c>
      <c r="S52" s="27" t="str">
        <f t="shared" si="10"/>
        <v>0</v>
      </c>
      <c r="T52" s="27" t="str">
        <f t="shared" si="11"/>
        <v>0</v>
      </c>
      <c r="U52" s="27" t="str">
        <f t="shared" si="12"/>
        <v>0</v>
      </c>
      <c r="V52" s="27" t="str">
        <f t="shared" si="13"/>
        <v>1</v>
      </c>
      <c r="W52" s="27"/>
      <c r="X52" s="27" t="str">
        <f t="shared" si="14"/>
        <v/>
      </c>
      <c r="Y52" s="27" t="str">
        <f t="shared" si="15"/>
        <v/>
      </c>
      <c r="Z52" s="27" t="str">
        <f t="shared" si="16"/>
        <v/>
      </c>
      <c r="AA52" s="121"/>
      <c r="AB52" s="121"/>
      <c r="AC52" s="121"/>
      <c r="AD52" s="121"/>
      <c r="AE52" s="121"/>
      <c r="AF52" s="121"/>
      <c r="AG52" s="121"/>
      <c r="AH52" s="27"/>
      <c r="AI52" s="27"/>
      <c r="AJ52" s="27"/>
      <c r="AK52" s="121" t="str">
        <f t="shared" si="0"/>
        <v>0</v>
      </c>
      <c r="AL52" s="123" t="str">
        <f t="shared" si="1"/>
        <v/>
      </c>
      <c r="AM52" s="27"/>
      <c r="AN52" s="124"/>
      <c r="AO52" s="124"/>
      <c r="AP52" s="124"/>
      <c r="AQ52" s="124"/>
      <c r="AR52" s="124"/>
      <c r="AS52" s="124"/>
      <c r="AT52" s="124"/>
      <c r="AU52" s="124" t="str">
        <f t="shared" si="17"/>
        <v/>
      </c>
      <c r="AV52" s="124" t="str">
        <f>IF(P52="","",AU52&amp;F52)</f>
        <v/>
      </c>
      <c r="AW52" s="117"/>
      <c r="AX52" s="138" t="str">
        <f t="shared" si="2"/>
        <v/>
      </c>
      <c r="AY52" s="31" t="str">
        <f>IF(C52&lt;&gt;"",CREATE_QUERY($D$1,C$2:AW$2,C52:AW52),"")</f>
        <v/>
      </c>
    </row>
    <row r="53" spans="1:51">
      <c r="A53" s="1">
        <v>40</v>
      </c>
      <c r="B53" s="121" t="str">
        <f t="shared" si="3"/>
        <v xml:space="preserve">    └ 사용자관리</v>
      </c>
      <c r="C53" s="27" t="str">
        <f t="shared" si="4"/>
        <v>14821</v>
      </c>
      <c r="D53" s="121"/>
      <c r="E53" s="24" t="s">
        <v>122</v>
      </c>
      <c r="F53" s="127" t="s">
        <v>66</v>
      </c>
      <c r="G53" s="127"/>
      <c r="H53" s="127"/>
      <c r="I53" s="127"/>
      <c r="J53" s="127"/>
      <c r="K53" s="25" t="str">
        <f t="shared" si="5"/>
        <v/>
      </c>
      <c r="L53" s="25">
        <v>1</v>
      </c>
      <c r="M53" s="25" t="str">
        <f t="shared" si="6"/>
        <v>0</v>
      </c>
      <c r="N53" s="127"/>
      <c r="O53" s="127"/>
      <c r="P53" s="25" t="str">
        <f t="shared" si="7"/>
        <v>0</v>
      </c>
      <c r="Q53" s="25" t="str">
        <f t="shared" si="8"/>
        <v>0</v>
      </c>
      <c r="R53" s="25" t="str">
        <f t="shared" si="9"/>
        <v>0</v>
      </c>
      <c r="S53" s="25" t="str">
        <f t="shared" si="10"/>
        <v>0</v>
      </c>
      <c r="T53" s="25" t="str">
        <f t="shared" si="11"/>
        <v>0</v>
      </c>
      <c r="U53" s="25" t="str">
        <f t="shared" si="12"/>
        <v>0</v>
      </c>
      <c r="V53" s="25" t="str">
        <f t="shared" si="13"/>
        <v>1</v>
      </c>
      <c r="W53" s="25"/>
      <c r="X53" s="25" t="str">
        <f t="shared" si="14"/>
        <v/>
      </c>
      <c r="Y53" s="25" t="str">
        <f t="shared" si="15"/>
        <v/>
      </c>
      <c r="Z53" s="25" t="str">
        <f t="shared" si="16"/>
        <v/>
      </c>
      <c r="AA53" s="127"/>
      <c r="AB53" s="127"/>
      <c r="AC53" s="127"/>
      <c r="AD53" s="127"/>
      <c r="AE53" s="127" t="s">
        <v>51</v>
      </c>
      <c r="AF53" s="127"/>
      <c r="AG53" s="127"/>
      <c r="AH53" s="24">
        <v>210000</v>
      </c>
      <c r="AI53" s="24" t="s">
        <v>112</v>
      </c>
      <c r="AJ53" s="24">
        <v>11450</v>
      </c>
      <c r="AK53" s="121" t="str">
        <f t="shared" si="0"/>
        <v>0</v>
      </c>
      <c r="AL53" s="123" t="str">
        <f t="shared" si="1"/>
        <v>14821/사용자관리//</v>
      </c>
      <c r="AM53" s="24"/>
      <c r="AN53" s="124"/>
      <c r="AO53" s="124" t="s">
        <v>1829</v>
      </c>
      <c r="AP53" s="124" t="s">
        <v>1829</v>
      </c>
      <c r="AQ53" s="124" t="s">
        <v>1829</v>
      </c>
      <c r="AR53" s="124" t="s">
        <v>1829</v>
      </c>
      <c r="AS53" s="124" t="s">
        <v>1829</v>
      </c>
      <c r="AT53" s="124" t="s">
        <v>1937</v>
      </c>
      <c r="AU53" s="124" t="str">
        <f t="shared" si="17"/>
        <v/>
      </c>
      <c r="AV53" s="124"/>
      <c r="AW53" s="117"/>
      <c r="AX53" s="138" t="str">
        <f t="shared" si="2"/>
        <v>delete from module_mst where pjt_id = '14821' and menu_id = '220000';</v>
      </c>
      <c r="AY53" s="31" t="str">
        <f>IF(C53&lt;&gt;"",CREATE_QUERY($D$1,C$2:AW$2,C53:AW53),"")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'220000', '사용자관리', '', '', '', '', '', '1', '0', '', '', '0', '0', '0', '0', '0', '0', '1', '', '', '', '', '', '', '', '', 'N', '', '', '210000', '4', '11450', '0', '14821/사용자관리//', '', '', 'Y', 'Y', 'Y', 'Y', 'Y', 'B', '', '');</v>
      </c>
    </row>
    <row r="54" spans="1:51">
      <c r="A54" s="1">
        <v>41</v>
      </c>
      <c r="B54" s="121" t="str">
        <f t="shared" si="3"/>
        <v xml:space="preserve">        └ 부서 코드 관리</v>
      </c>
      <c r="C54" s="27" t="str">
        <f t="shared" si="4"/>
        <v>14821</v>
      </c>
      <c r="D54" s="121"/>
      <c r="E54" s="21">
        <v>220001</v>
      </c>
      <c r="F54" s="118" t="s">
        <v>75</v>
      </c>
      <c r="G54" s="118"/>
      <c r="H54" s="118"/>
      <c r="I54" s="118"/>
      <c r="J54" s="118"/>
      <c r="K54" s="21" t="str">
        <f t="shared" si="5"/>
        <v>1</v>
      </c>
      <c r="L54" s="21">
        <v>1</v>
      </c>
      <c r="M54" s="21" t="str">
        <f t="shared" si="6"/>
        <v>1</v>
      </c>
      <c r="N54" s="118" t="s">
        <v>59</v>
      </c>
      <c r="O54" s="118" t="s">
        <v>76</v>
      </c>
      <c r="P54" s="21" t="str">
        <f t="shared" si="7"/>
        <v>1</v>
      </c>
      <c r="Q54" s="21" t="str">
        <f t="shared" si="8"/>
        <v>1</v>
      </c>
      <c r="R54" s="21" t="str">
        <f t="shared" si="9"/>
        <v>1</v>
      </c>
      <c r="S54" s="21" t="str">
        <f t="shared" si="10"/>
        <v>1</v>
      </c>
      <c r="T54" s="21" t="str">
        <f t="shared" si="11"/>
        <v>1</v>
      </c>
      <c r="U54" s="21" t="str">
        <f t="shared" si="12"/>
        <v>1</v>
      </c>
      <c r="V54" s="21" t="str">
        <f t="shared" si="13"/>
        <v>1</v>
      </c>
      <c r="W54" s="21"/>
      <c r="X54" s="21" t="str">
        <f t="shared" si="14"/>
        <v>0</v>
      </c>
      <c r="Y54" s="21" t="str">
        <f t="shared" si="15"/>
        <v>0</v>
      </c>
      <c r="Z54" s="21" t="str">
        <f t="shared" si="16"/>
        <v>0</v>
      </c>
      <c r="AA54" s="118"/>
      <c r="AB54" s="118"/>
      <c r="AC54" s="118"/>
      <c r="AD54" s="118"/>
      <c r="AE54" s="118" t="s">
        <v>51</v>
      </c>
      <c r="AF54" s="118"/>
      <c r="AG54" s="118"/>
      <c r="AH54" s="26" t="s">
        <v>122</v>
      </c>
      <c r="AI54" s="26" t="s">
        <v>113</v>
      </c>
      <c r="AJ54" s="26">
        <v>11500</v>
      </c>
      <c r="AK54" s="121" t="str">
        <f t="shared" si="0"/>
        <v>0</v>
      </c>
      <c r="AL54" s="123" t="str">
        <f t="shared" si="1"/>
        <v>14821/부서 코드 관리/basic/DeptMast</v>
      </c>
      <c r="AM54" s="21"/>
      <c r="AN54" s="124"/>
      <c r="AO54" s="124" t="s">
        <v>1829</v>
      </c>
      <c r="AP54" s="124" t="s">
        <v>1829</v>
      </c>
      <c r="AQ54" s="124" t="s">
        <v>1829</v>
      </c>
      <c r="AR54" s="124" t="s">
        <v>1829</v>
      </c>
      <c r="AS54" s="124" t="s">
        <v>1829</v>
      </c>
      <c r="AT54" s="124" t="s">
        <v>1937</v>
      </c>
      <c r="AU54" s="124" t="str">
        <f t="shared" si="17"/>
        <v>B220001</v>
      </c>
      <c r="AV54" s="124" t="s">
        <v>2484</v>
      </c>
      <c r="AW54" s="117" t="s">
        <v>2311</v>
      </c>
      <c r="AX54" s="138" t="str">
        <f t="shared" si="2"/>
        <v>delete from module_mst where pjt_id = '14821' and menu_id = '220001';</v>
      </c>
      <c r="AY54" s="31" t="str">
        <f>IF(C54&lt;&gt;"",CREATE_QUERY($D$1,C$2:AW$2,C54:AW54),"")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'220001', '부서 코드 관리', '', '', '', '', '1', '1', '1', 'basic', 'DeptMast', '1', '1', '1', '1', '1', '1', '1', '', '0', '0', '0', '', '', '', '', 'N', '', '', '220000', '5', '11500', '0', '14821/부서 코드 관리/basic/DeptMast', '', '', 'Y', 'Y', 'Y', 'Y', 'Y', 'B', 'MES-TD3-120', '부서 편재 코드를 정의하고 부서 목록을 조회');</v>
      </c>
    </row>
    <row r="55" spans="1:51">
      <c r="A55" s="1">
        <v>42</v>
      </c>
      <c r="B55" s="121" t="str">
        <f t="shared" si="3"/>
        <v xml:space="preserve">        └ 직급 코드 관리</v>
      </c>
      <c r="C55" s="27" t="str">
        <f t="shared" si="4"/>
        <v>14821</v>
      </c>
      <c r="D55" s="121"/>
      <c r="E55" s="21">
        <v>220002</v>
      </c>
      <c r="F55" s="118" t="s">
        <v>65</v>
      </c>
      <c r="G55" s="118"/>
      <c r="H55" s="118"/>
      <c r="I55" s="118"/>
      <c r="J55" s="118"/>
      <c r="K55" s="21" t="str">
        <f t="shared" si="5"/>
        <v>1</v>
      </c>
      <c r="L55" s="21">
        <v>1</v>
      </c>
      <c r="M55" s="21" t="str">
        <f t="shared" si="6"/>
        <v>1</v>
      </c>
      <c r="N55" s="118" t="s">
        <v>61</v>
      </c>
      <c r="O55" s="118" t="s">
        <v>68</v>
      </c>
      <c r="P55" s="21" t="str">
        <f t="shared" si="7"/>
        <v>1</v>
      </c>
      <c r="Q55" s="21" t="str">
        <f t="shared" si="8"/>
        <v>1</v>
      </c>
      <c r="R55" s="21" t="str">
        <f t="shared" si="9"/>
        <v>1</v>
      </c>
      <c r="S55" s="21" t="str">
        <f t="shared" si="10"/>
        <v>1</v>
      </c>
      <c r="T55" s="21" t="str">
        <f t="shared" si="11"/>
        <v>1</v>
      </c>
      <c r="U55" s="21" t="str">
        <f t="shared" si="12"/>
        <v>1</v>
      </c>
      <c r="V55" s="21" t="str">
        <f t="shared" si="13"/>
        <v>1</v>
      </c>
      <c r="W55" s="21"/>
      <c r="X55" s="21" t="str">
        <f t="shared" si="14"/>
        <v>0</v>
      </c>
      <c r="Y55" s="21" t="str">
        <f t="shared" si="15"/>
        <v>0</v>
      </c>
      <c r="Z55" s="21" t="str">
        <f t="shared" si="16"/>
        <v>0</v>
      </c>
      <c r="AA55" s="118"/>
      <c r="AB55" s="118"/>
      <c r="AC55" s="118"/>
      <c r="AD55" s="118"/>
      <c r="AE55" s="118" t="s">
        <v>51</v>
      </c>
      <c r="AF55" s="118"/>
      <c r="AG55" s="118"/>
      <c r="AH55" s="26" t="s">
        <v>122</v>
      </c>
      <c r="AI55" s="26" t="s">
        <v>113</v>
      </c>
      <c r="AJ55" s="26">
        <v>11550</v>
      </c>
      <c r="AK55" s="121" t="str">
        <f t="shared" si="0"/>
        <v>0</v>
      </c>
      <c r="AL55" s="123" t="str">
        <f t="shared" si="1"/>
        <v>14821/직급 코드 관리/user/WkrnMast</v>
      </c>
      <c r="AM55" s="21"/>
      <c r="AN55" s="124"/>
      <c r="AO55" s="124" t="s">
        <v>1829</v>
      </c>
      <c r="AP55" s="124" t="s">
        <v>1829</v>
      </c>
      <c r="AQ55" s="124" t="s">
        <v>1829</v>
      </c>
      <c r="AR55" s="124" t="s">
        <v>1829</v>
      </c>
      <c r="AS55" s="124" t="s">
        <v>1829</v>
      </c>
      <c r="AT55" s="124" t="s">
        <v>1937</v>
      </c>
      <c r="AU55" s="124" t="str">
        <f t="shared" si="17"/>
        <v>B220002</v>
      </c>
      <c r="AV55" s="124" t="s">
        <v>2485</v>
      </c>
      <c r="AW55" s="117" t="s">
        <v>2312</v>
      </c>
      <c r="AX55" s="138" t="str">
        <f t="shared" si="2"/>
        <v>delete from module_mst where pjt_id = '14821' and menu_id = '220002';</v>
      </c>
      <c r="AY55" s="31" t="str">
        <f>IF(C55&lt;&gt;"",CREATE_QUERY($D$1,C$2:AW$2,C55:AW55),"")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'220002', '직급 코드 관리', '', '', '', '', '1', '1', '1', 'user', 'WkrnMast', '1', '1', '1', '1', '1', '1', '1', '', '0', '0', '0', '', '', '', '', 'N', '', '', '220000', '5', '11550', '0', '14821/직급 코드 관리/user/WkrnMast', '', '', 'Y', 'Y', 'Y', 'Y', 'Y', 'B', 'MES-TD3-121', '회사 내규상 직급 정보를 정의한다. ');</v>
      </c>
    </row>
    <row r="56" spans="1:51" ht="26">
      <c r="A56" s="1">
        <v>43</v>
      </c>
      <c r="B56" s="121" t="str">
        <f t="shared" si="3"/>
        <v xml:space="preserve">        └ 사용자 코드 관리</v>
      </c>
      <c r="C56" s="27" t="str">
        <f t="shared" si="4"/>
        <v>14821</v>
      </c>
      <c r="D56" s="121"/>
      <c r="E56" s="21">
        <v>220003</v>
      </c>
      <c r="F56" s="118" t="s">
        <v>63</v>
      </c>
      <c r="G56" s="118"/>
      <c r="H56" s="118"/>
      <c r="I56" s="118"/>
      <c r="J56" s="118"/>
      <c r="K56" s="21" t="str">
        <f t="shared" si="5"/>
        <v>1</v>
      </c>
      <c r="L56" s="21">
        <v>1</v>
      </c>
      <c r="M56" s="21" t="str">
        <f t="shared" si="6"/>
        <v>1</v>
      </c>
      <c r="N56" s="118" t="s">
        <v>61</v>
      </c>
      <c r="O56" s="118" t="s">
        <v>67</v>
      </c>
      <c r="P56" s="21" t="str">
        <f t="shared" si="7"/>
        <v>1</v>
      </c>
      <c r="Q56" s="21" t="str">
        <f t="shared" si="8"/>
        <v>1</v>
      </c>
      <c r="R56" s="21" t="str">
        <f t="shared" si="9"/>
        <v>1</v>
      </c>
      <c r="S56" s="21" t="str">
        <f t="shared" si="10"/>
        <v>1</v>
      </c>
      <c r="T56" s="21" t="str">
        <f t="shared" si="11"/>
        <v>1</v>
      </c>
      <c r="U56" s="21" t="str">
        <f t="shared" si="12"/>
        <v>1</v>
      </c>
      <c r="V56" s="21" t="str">
        <f t="shared" si="13"/>
        <v>1</v>
      </c>
      <c r="W56" s="21"/>
      <c r="X56" s="21" t="str">
        <f t="shared" si="14"/>
        <v>0</v>
      </c>
      <c r="Y56" s="21" t="str">
        <f t="shared" si="15"/>
        <v>0</v>
      </c>
      <c r="Z56" s="21" t="str">
        <f t="shared" si="16"/>
        <v>0</v>
      </c>
      <c r="AA56" s="118"/>
      <c r="AB56" s="118"/>
      <c r="AC56" s="118"/>
      <c r="AD56" s="118"/>
      <c r="AE56" s="118" t="s">
        <v>51</v>
      </c>
      <c r="AF56" s="118"/>
      <c r="AG56" s="118"/>
      <c r="AH56" s="26" t="s">
        <v>122</v>
      </c>
      <c r="AI56" s="26" t="s">
        <v>113</v>
      </c>
      <c r="AJ56" s="26">
        <v>11600</v>
      </c>
      <c r="AK56" s="121" t="str">
        <f t="shared" si="0"/>
        <v>0</v>
      </c>
      <c r="AL56" s="123" t="str">
        <f t="shared" si="1"/>
        <v>14821/사용자 코드 관리/user/UserMast</v>
      </c>
      <c r="AM56" s="21"/>
      <c r="AN56" s="124"/>
      <c r="AO56" s="124" t="s">
        <v>1829</v>
      </c>
      <c r="AP56" s="124" t="s">
        <v>1829</v>
      </c>
      <c r="AQ56" s="124" t="s">
        <v>1829</v>
      </c>
      <c r="AR56" s="124" t="s">
        <v>1829</v>
      </c>
      <c r="AS56" s="124" t="s">
        <v>1829</v>
      </c>
      <c r="AT56" s="124" t="s">
        <v>1937</v>
      </c>
      <c r="AU56" s="124" t="str">
        <f t="shared" si="17"/>
        <v>B220003</v>
      </c>
      <c r="AV56" s="124" t="s">
        <v>2469</v>
      </c>
      <c r="AW56" s="117" t="s">
        <v>2361</v>
      </c>
      <c r="AX56" s="138" t="str">
        <f t="shared" si="2"/>
        <v>delete from module_mst where pjt_id = '14821' and menu_id = '220003';</v>
      </c>
      <c r="AY56" s="31" t="str">
        <f>IF(C56&lt;&gt;"",CREATE_QUERY($D$1,C$2:AW$2,C56:AW56),"")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'220003', '사용자 코드 관리', '', '', '', '', '1', '1', '1', 'user', 'UserMast', '1', '1', '1', '1', '1', '1', '1', '', '0', '0', '0', '', '', '', '', 'N', '', '', '220000', '5', '11600', '0', '14821/사용자 코드 관리/user/UserMast', '', '', 'Y', 'Y', 'Y', 'Y', 'Y', 'B', 'MES-TD3-122', '사원정보 및 log In 정보, 개인별 임율 정보, 국적… 등 관리 사원별 업무 권한 등록');</v>
      </c>
    </row>
    <row r="57" spans="1:51" ht="26">
      <c r="A57" s="1">
        <v>44</v>
      </c>
      <c r="B57" s="121" t="str">
        <f t="shared" si="3"/>
        <v xml:space="preserve">        └ 메뉴별 사용 권한 관리</v>
      </c>
      <c r="C57" s="27" t="str">
        <f t="shared" si="4"/>
        <v>14821</v>
      </c>
      <c r="D57" s="121"/>
      <c r="E57" s="21">
        <v>220004</v>
      </c>
      <c r="F57" s="118" t="s">
        <v>69</v>
      </c>
      <c r="G57" s="118"/>
      <c r="H57" s="118"/>
      <c r="I57" s="118"/>
      <c r="J57" s="118"/>
      <c r="K57" s="21" t="str">
        <f t="shared" si="5"/>
        <v>1</v>
      </c>
      <c r="L57" s="21">
        <v>1</v>
      </c>
      <c r="M57" s="21" t="str">
        <f t="shared" si="6"/>
        <v>1</v>
      </c>
      <c r="N57" s="118" t="s">
        <v>61</v>
      </c>
      <c r="O57" s="118" t="s">
        <v>70</v>
      </c>
      <c r="P57" s="21" t="str">
        <f t="shared" si="7"/>
        <v>1</v>
      </c>
      <c r="Q57" s="21" t="str">
        <f t="shared" si="8"/>
        <v>1</v>
      </c>
      <c r="R57" s="21" t="str">
        <f t="shared" si="9"/>
        <v>1</v>
      </c>
      <c r="S57" s="21" t="str">
        <f t="shared" si="10"/>
        <v>1</v>
      </c>
      <c r="T57" s="21" t="str">
        <f t="shared" si="11"/>
        <v>1</v>
      </c>
      <c r="U57" s="21" t="str">
        <f t="shared" si="12"/>
        <v>1</v>
      </c>
      <c r="V57" s="21" t="str">
        <f t="shared" si="13"/>
        <v>1</v>
      </c>
      <c r="W57" s="21"/>
      <c r="X57" s="21" t="str">
        <f t="shared" si="14"/>
        <v>0</v>
      </c>
      <c r="Y57" s="21" t="str">
        <f t="shared" si="15"/>
        <v>0</v>
      </c>
      <c r="Z57" s="21" t="str">
        <f t="shared" si="16"/>
        <v>0</v>
      </c>
      <c r="AA57" s="118"/>
      <c r="AB57" s="118"/>
      <c r="AC57" s="118"/>
      <c r="AD57" s="118"/>
      <c r="AE57" s="118" t="s">
        <v>51</v>
      </c>
      <c r="AF57" s="118"/>
      <c r="AG57" s="118"/>
      <c r="AH57" s="26" t="s">
        <v>122</v>
      </c>
      <c r="AI57" s="26" t="s">
        <v>113</v>
      </c>
      <c r="AJ57" s="26">
        <v>11650</v>
      </c>
      <c r="AK57" s="121" t="str">
        <f t="shared" si="0"/>
        <v>0</v>
      </c>
      <c r="AL57" s="123" t="str">
        <f t="shared" si="1"/>
        <v>14821/메뉴별 사용 권한 관리/user/MenuAuth</v>
      </c>
      <c r="AM57" s="21"/>
      <c r="AN57" s="124"/>
      <c r="AO57" s="124" t="s">
        <v>1829</v>
      </c>
      <c r="AP57" s="124" t="s">
        <v>1829</v>
      </c>
      <c r="AQ57" s="124" t="s">
        <v>1829</v>
      </c>
      <c r="AR57" s="124" t="s">
        <v>1829</v>
      </c>
      <c r="AS57" s="124" t="s">
        <v>1829</v>
      </c>
      <c r="AT57" s="124" t="s">
        <v>1937</v>
      </c>
      <c r="AU57" s="124" t="str">
        <f t="shared" si="17"/>
        <v>B220004</v>
      </c>
      <c r="AV57" s="124" t="s">
        <v>2470</v>
      </c>
      <c r="AW57" s="117" t="s">
        <v>1865</v>
      </c>
      <c r="AX57" s="138" t="str">
        <f t="shared" si="2"/>
        <v>delete from module_mst where pjt_id = '14821' and menu_id = '220004';</v>
      </c>
      <c r="AY57" s="31" t="str">
        <f>IF(C57&lt;&gt;"",CREATE_QUERY($D$1,C$2:AW$2,C57:AW57),"")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'220004', '메뉴별 사용 권한 관리', '', '', '', '', '1', '1', '1', 'user', 'MenuAuth', '1', '1', '1', '1', '1', '1', '1', '', '0', '0', '0', '', '', '', '', 'N', '', '', '220000', '5', '11650', '0', '14821/메뉴별 사용 권한 관리/user/MenuAuth', '', '', 'Y', 'Y', 'Y', 'Y', 'Y', 'B', 'MES-TD3-123', '메뉴별 사용자 사용권한 등록(사용자별 메뉴권한 관리와 동일 테이블 사용)');</v>
      </c>
    </row>
    <row r="58" spans="1:51">
      <c r="A58" s="1">
        <v>45</v>
      </c>
      <c r="B58" s="121" t="str">
        <f t="shared" si="3"/>
        <v xml:space="preserve">        └ 사용자 메뉴 권한 관리</v>
      </c>
      <c r="C58" s="27" t="str">
        <f t="shared" si="4"/>
        <v>14821</v>
      </c>
      <c r="D58" s="121"/>
      <c r="E58" s="21">
        <v>220005</v>
      </c>
      <c r="F58" s="118" t="s">
        <v>71</v>
      </c>
      <c r="G58" s="118"/>
      <c r="H58" s="118"/>
      <c r="I58" s="118"/>
      <c r="J58" s="118"/>
      <c r="K58" s="21" t="str">
        <f t="shared" si="5"/>
        <v>1</v>
      </c>
      <c r="L58" s="21">
        <v>1</v>
      </c>
      <c r="M58" s="21" t="str">
        <f t="shared" si="6"/>
        <v>1</v>
      </c>
      <c r="N58" s="118" t="s">
        <v>61</v>
      </c>
      <c r="O58" s="118" t="s">
        <v>72</v>
      </c>
      <c r="P58" s="21" t="str">
        <f t="shared" si="7"/>
        <v>1</v>
      </c>
      <c r="Q58" s="21" t="str">
        <f t="shared" si="8"/>
        <v>1</v>
      </c>
      <c r="R58" s="21" t="str">
        <f t="shared" si="9"/>
        <v>1</v>
      </c>
      <c r="S58" s="21" t="str">
        <f t="shared" si="10"/>
        <v>1</v>
      </c>
      <c r="T58" s="21" t="str">
        <f t="shared" si="11"/>
        <v>1</v>
      </c>
      <c r="U58" s="21" t="str">
        <f t="shared" si="12"/>
        <v>1</v>
      </c>
      <c r="V58" s="21" t="str">
        <f t="shared" si="13"/>
        <v>1</v>
      </c>
      <c r="W58" s="21"/>
      <c r="X58" s="21" t="str">
        <f t="shared" si="14"/>
        <v>0</v>
      </c>
      <c r="Y58" s="21" t="str">
        <f t="shared" si="15"/>
        <v>0</v>
      </c>
      <c r="Z58" s="21" t="str">
        <f t="shared" si="16"/>
        <v>0</v>
      </c>
      <c r="AA58" s="118"/>
      <c r="AB58" s="118"/>
      <c r="AC58" s="118"/>
      <c r="AD58" s="118"/>
      <c r="AE58" s="118" t="s">
        <v>51</v>
      </c>
      <c r="AF58" s="118"/>
      <c r="AG58" s="118"/>
      <c r="AH58" s="26" t="s">
        <v>122</v>
      </c>
      <c r="AI58" s="26" t="s">
        <v>113</v>
      </c>
      <c r="AJ58" s="26">
        <v>11700</v>
      </c>
      <c r="AK58" s="121" t="str">
        <f t="shared" si="0"/>
        <v>0</v>
      </c>
      <c r="AL58" s="123" t="str">
        <f t="shared" si="1"/>
        <v>14821/사용자 메뉴 권한 관리/user/UserAuth</v>
      </c>
      <c r="AM58" s="21"/>
      <c r="AN58" s="124"/>
      <c r="AO58" s="124" t="s">
        <v>1829</v>
      </c>
      <c r="AP58" s="124" t="s">
        <v>1829</v>
      </c>
      <c r="AQ58" s="124" t="s">
        <v>1829</v>
      </c>
      <c r="AR58" s="124" t="s">
        <v>1829</v>
      </c>
      <c r="AS58" s="124" t="s">
        <v>1829</v>
      </c>
      <c r="AT58" s="124" t="s">
        <v>1937</v>
      </c>
      <c r="AU58" s="124" t="str">
        <f t="shared" si="17"/>
        <v>B220005</v>
      </c>
      <c r="AV58" s="124" t="s">
        <v>2471</v>
      </c>
      <c r="AW58" s="117" t="s">
        <v>1864</v>
      </c>
      <c r="AX58" s="138" t="str">
        <f t="shared" si="2"/>
        <v>delete from module_mst where pjt_id = '14821' and menu_id = '220005';</v>
      </c>
      <c r="AY58" s="31" t="str">
        <f>IF(C58&lt;&gt;"",CREATE_QUERY($D$1,C$2:AW$2,C58:AW58),"")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'220005', '사용자 메뉴 권한 관리', '', '', '', '', '1', '1', '1', 'user', 'UserAuth', '1', '1', '1', '1', '1', '1', '1', '', '0', '0', '0', '', '', '', '', 'N', '', '', '220000', '5', '11700', '0', '14821/사용자 메뉴 권한 관리/user/UserAuth', '', '', 'Y', 'Y', 'Y', 'Y', 'Y', 'B', 'MES-TD3-124', '사원별 메뉴 권한 등록(메뉴별 사용 권한 관리와 동일 테이블 사용)');</v>
      </c>
    </row>
    <row r="59" spans="1:51" ht="26">
      <c r="A59" s="1">
        <v>45</v>
      </c>
      <c r="B59" s="121" t="str">
        <f t="shared" si="3"/>
        <v xml:space="preserve">        └ 임율정보 관리</v>
      </c>
      <c r="C59" s="27" t="str">
        <f t="shared" si="4"/>
        <v>14821</v>
      </c>
      <c r="D59" s="121"/>
      <c r="E59" s="21">
        <v>220006</v>
      </c>
      <c r="F59" s="118" t="s">
        <v>394</v>
      </c>
      <c r="G59" s="118"/>
      <c r="H59" s="118"/>
      <c r="I59" s="118"/>
      <c r="J59" s="118"/>
      <c r="K59" s="21" t="str">
        <f t="shared" si="5"/>
        <v>1</v>
      </c>
      <c r="L59" s="21">
        <v>1</v>
      </c>
      <c r="M59" s="21" t="str">
        <f t="shared" si="6"/>
        <v>1</v>
      </c>
      <c r="N59" s="118" t="s">
        <v>61</v>
      </c>
      <c r="O59" s="118" t="s">
        <v>395</v>
      </c>
      <c r="P59" s="21" t="str">
        <f t="shared" si="7"/>
        <v>1</v>
      </c>
      <c r="Q59" s="21" t="str">
        <f t="shared" si="8"/>
        <v>1</v>
      </c>
      <c r="R59" s="21" t="str">
        <f t="shared" si="9"/>
        <v>1</v>
      </c>
      <c r="S59" s="21" t="str">
        <f t="shared" si="10"/>
        <v>1</v>
      </c>
      <c r="T59" s="21" t="str">
        <f t="shared" si="11"/>
        <v>1</v>
      </c>
      <c r="U59" s="21" t="str">
        <f t="shared" si="12"/>
        <v>1</v>
      </c>
      <c r="V59" s="21" t="str">
        <f t="shared" si="13"/>
        <v>1</v>
      </c>
      <c r="W59" s="21"/>
      <c r="X59" s="21" t="str">
        <f t="shared" si="14"/>
        <v>0</v>
      </c>
      <c r="Y59" s="21" t="str">
        <f t="shared" si="15"/>
        <v>0</v>
      </c>
      <c r="Z59" s="21" t="str">
        <f t="shared" si="16"/>
        <v>0</v>
      </c>
      <c r="AA59" s="118"/>
      <c r="AB59" s="118"/>
      <c r="AC59" s="118"/>
      <c r="AD59" s="118"/>
      <c r="AE59" s="118" t="s">
        <v>51</v>
      </c>
      <c r="AF59" s="118"/>
      <c r="AG59" s="118"/>
      <c r="AH59" s="26" t="s">
        <v>122</v>
      </c>
      <c r="AI59" s="26" t="s">
        <v>113</v>
      </c>
      <c r="AJ59" s="26">
        <v>11702</v>
      </c>
      <c r="AK59" s="121" t="str">
        <f t="shared" si="0"/>
        <v>0</v>
      </c>
      <c r="AL59" s="123" t="str">
        <f t="shared" si="1"/>
        <v>14821/임율정보 관리/user/LaboRate</v>
      </c>
      <c r="AM59" s="21"/>
      <c r="AN59" s="124"/>
      <c r="AO59" s="124" t="s">
        <v>1829</v>
      </c>
      <c r="AP59" s="124" t="s">
        <v>1829</v>
      </c>
      <c r="AQ59" s="124" t="s">
        <v>1829</v>
      </c>
      <c r="AR59" s="124" t="s">
        <v>1829</v>
      </c>
      <c r="AS59" s="124"/>
      <c r="AT59" s="124" t="s">
        <v>1937</v>
      </c>
      <c r="AU59" s="124" t="str">
        <f t="shared" si="17"/>
        <v>B220006</v>
      </c>
      <c r="AV59" s="124" t="s">
        <v>2472</v>
      </c>
      <c r="AW59" s="117" t="s">
        <v>2313</v>
      </c>
      <c r="AX59" s="138" t="str">
        <f t="shared" si="2"/>
        <v>delete from module_mst where pjt_id = '14821' and menu_id = '220006';</v>
      </c>
      <c r="AY59" s="31" t="str">
        <f>IF(C59&lt;&gt;"",CREATE_QUERY($D$1,C$2:AW$2,C59:AW59),"")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'220006', '임율정보 관리', '', '', '', '', '1', '1', '1', 'user', 'LaboRate', '1', '1', '1', '1', '1', '1', '1', '', '0', '0', '0', '', '', '', '', 'N', '', '', '220000', '5', '11702', '0', '14821/임율정보 관리/user/LaboRate', '', '', 'Y', 'Y', 'Y', 'Y', '', 'B', 'MES-TD3-125', '사원 직급, 설비코드, 공정별 임율을 정의한다. 등록된 임율 정보는 원가계산 작업에 활용된다. ');</v>
      </c>
    </row>
    <row r="60" spans="1:51">
      <c r="A60" s="1">
        <v>45</v>
      </c>
      <c r="B60" s="121" t="str">
        <f t="shared" si="3"/>
        <v xml:space="preserve">        └ 설치코드 관리</v>
      </c>
      <c r="C60" s="27" t="str">
        <f t="shared" si="4"/>
        <v>14821</v>
      </c>
      <c r="D60" s="121"/>
      <c r="E60" s="21">
        <v>220007</v>
      </c>
      <c r="F60" s="118" t="s">
        <v>2317</v>
      </c>
      <c r="G60" s="118"/>
      <c r="H60" s="118"/>
      <c r="I60" s="118"/>
      <c r="J60" s="118"/>
      <c r="K60" s="21" t="str">
        <f t="shared" si="5"/>
        <v>1</v>
      </c>
      <c r="L60" s="21">
        <v>1</v>
      </c>
      <c r="M60" s="21" t="str">
        <f t="shared" si="6"/>
        <v>1</v>
      </c>
      <c r="N60" s="118" t="s">
        <v>2318</v>
      </c>
      <c r="O60" s="118" t="s">
        <v>2319</v>
      </c>
      <c r="P60" s="21" t="str">
        <f t="shared" si="7"/>
        <v>1</v>
      </c>
      <c r="Q60" s="21" t="str">
        <f t="shared" si="8"/>
        <v>1</v>
      </c>
      <c r="R60" s="21" t="str">
        <f t="shared" si="9"/>
        <v>1</v>
      </c>
      <c r="S60" s="21" t="str">
        <f t="shared" si="10"/>
        <v>1</v>
      </c>
      <c r="T60" s="21" t="str">
        <f t="shared" si="11"/>
        <v>1</v>
      </c>
      <c r="U60" s="21" t="str">
        <f t="shared" si="12"/>
        <v>1</v>
      </c>
      <c r="V60" s="21" t="str">
        <f t="shared" si="13"/>
        <v>1</v>
      </c>
      <c r="W60" s="21"/>
      <c r="X60" s="21" t="str">
        <f t="shared" si="14"/>
        <v>0</v>
      </c>
      <c r="Y60" s="21" t="str">
        <f t="shared" si="15"/>
        <v>0</v>
      </c>
      <c r="Z60" s="21" t="str">
        <f t="shared" si="16"/>
        <v>0</v>
      </c>
      <c r="AA60" s="118"/>
      <c r="AB60" s="118"/>
      <c r="AC60" s="118"/>
      <c r="AD60" s="118"/>
      <c r="AE60" s="118" t="s">
        <v>51</v>
      </c>
      <c r="AF60" s="118"/>
      <c r="AG60" s="118"/>
      <c r="AH60" s="26" t="s">
        <v>122</v>
      </c>
      <c r="AI60" s="26" t="s">
        <v>113</v>
      </c>
      <c r="AJ60" s="26">
        <v>11704</v>
      </c>
      <c r="AK60" s="121" t="str">
        <f>IF(B68="","","0")</f>
        <v/>
      </c>
      <c r="AL60" s="123" t="str">
        <f t="shared" si="1"/>
        <v>14821/설치코드 관리/project/CertMast</v>
      </c>
      <c r="AM60" s="21"/>
      <c r="AN60" s="124"/>
      <c r="AO60" s="124" t="s">
        <v>1829</v>
      </c>
      <c r="AP60" s="124" t="s">
        <v>1829</v>
      </c>
      <c r="AQ60" s="124" t="s">
        <v>1829</v>
      </c>
      <c r="AR60" s="124" t="s">
        <v>1829</v>
      </c>
      <c r="AS60" s="124"/>
      <c r="AT60" s="124" t="s">
        <v>1937</v>
      </c>
      <c r="AU60" s="124" t="str">
        <f t="shared" si="17"/>
        <v>B220007</v>
      </c>
      <c r="AV60" s="124" t="s">
        <v>2473</v>
      </c>
      <c r="AW60" s="117" t="s">
        <v>2320</v>
      </c>
      <c r="AX60" s="138" t="str">
        <f t="shared" si="2"/>
        <v>delete from module_mst where pjt_id = '14821' and menu_id = '220007';</v>
      </c>
      <c r="AY60" s="31" t="str">
        <f>IF(C60&lt;&gt;"",CREATE_QUERY($D$1,C$2:AW$2,C60:AW60),"")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'220007', '설치코드 관리', '', '', '', '', '1', '1', '1', 'project', 'CertMast', '1', '1', '1', '1', '1', '1', '1', '', '0', '0', '0', '', '', '', '', 'N', '', '', '220000', '5', '11704', '', '14821/설치코드 관리/project/CertMast', '', '', 'Y', 'Y', 'Y', 'Y', '', 'B', 'MES-TD3-126', '사용자별 설치 코드 부여 등록');</v>
      </c>
    </row>
    <row r="61" spans="1:51">
      <c r="A61" s="1">
        <v>41</v>
      </c>
      <c r="B61" s="121" t="str">
        <f t="shared" si="3"/>
        <v/>
      </c>
      <c r="C61" s="27" t="str">
        <f t="shared" si="4"/>
        <v/>
      </c>
      <c r="D61" s="121"/>
      <c r="E61" s="21">
        <v>220008</v>
      </c>
      <c r="F61" s="118"/>
      <c r="G61" s="118"/>
      <c r="H61" s="118"/>
      <c r="I61" s="118"/>
      <c r="J61" s="118"/>
      <c r="K61" s="21"/>
      <c r="L61" s="21"/>
      <c r="M61" s="21"/>
      <c r="N61" s="118"/>
      <c r="O61" s="118"/>
      <c r="P61" s="21" t="str">
        <f t="shared" si="7"/>
        <v>0</v>
      </c>
      <c r="Q61" s="21" t="str">
        <f t="shared" si="8"/>
        <v>0</v>
      </c>
      <c r="R61" s="21" t="str">
        <f t="shared" si="9"/>
        <v>0</v>
      </c>
      <c r="S61" s="21" t="str">
        <f t="shared" si="10"/>
        <v>0</v>
      </c>
      <c r="T61" s="21" t="str">
        <f t="shared" si="11"/>
        <v>0</v>
      </c>
      <c r="U61" s="21" t="str">
        <f t="shared" si="12"/>
        <v>0</v>
      </c>
      <c r="V61" s="21" t="str">
        <f t="shared" si="13"/>
        <v>1</v>
      </c>
      <c r="W61" s="21"/>
      <c r="X61" s="21" t="str">
        <f t="shared" si="14"/>
        <v/>
      </c>
      <c r="Y61" s="21" t="str">
        <f t="shared" si="15"/>
        <v/>
      </c>
      <c r="Z61" s="21" t="str">
        <f t="shared" si="16"/>
        <v/>
      </c>
      <c r="AA61" s="118"/>
      <c r="AB61" s="118"/>
      <c r="AC61" s="118"/>
      <c r="AD61" s="118"/>
      <c r="AE61" s="118" t="s">
        <v>51</v>
      </c>
      <c r="AF61" s="118"/>
      <c r="AG61" s="118"/>
      <c r="AH61" s="26" t="s">
        <v>122</v>
      </c>
      <c r="AI61" s="26" t="s">
        <v>113</v>
      </c>
      <c r="AJ61" s="26">
        <v>11706</v>
      </c>
      <c r="AK61" s="121" t="str">
        <f t="shared" ref="AK61:AK66" si="20">IF(B62="","","0")</f>
        <v/>
      </c>
      <c r="AL61" s="123" t="str">
        <f t="shared" si="1"/>
        <v/>
      </c>
      <c r="AM61" s="21"/>
      <c r="AN61" s="124"/>
      <c r="AO61" s="124" t="s">
        <v>1829</v>
      </c>
      <c r="AP61" s="124" t="s">
        <v>1829</v>
      </c>
      <c r="AQ61" s="124" t="s">
        <v>1829</v>
      </c>
      <c r="AR61" s="124" t="s">
        <v>1829</v>
      </c>
      <c r="AS61" s="124" t="s">
        <v>1829</v>
      </c>
      <c r="AT61" s="124" t="s">
        <v>1937</v>
      </c>
      <c r="AU61" s="124" t="str">
        <f t="shared" si="17"/>
        <v/>
      </c>
      <c r="AV61" s="124" t="s">
        <v>2474</v>
      </c>
      <c r="AW61" s="117"/>
      <c r="AX61" s="138" t="str">
        <f t="shared" si="2"/>
        <v/>
      </c>
      <c r="AY61" s="31" t="str">
        <f>IF(C61&lt;&gt;"",CREATE_QUERY($D$1,C$2:AW$2,C61:AW61),"")</f>
        <v/>
      </c>
    </row>
    <row r="62" spans="1:51">
      <c r="A62" s="1">
        <v>42</v>
      </c>
      <c r="B62" s="121" t="str">
        <f t="shared" si="3"/>
        <v/>
      </c>
      <c r="C62" s="27" t="str">
        <f t="shared" si="4"/>
        <v/>
      </c>
      <c r="D62" s="121"/>
      <c r="E62" s="21">
        <v>220009</v>
      </c>
      <c r="F62" s="118"/>
      <c r="G62" s="118"/>
      <c r="H62" s="118"/>
      <c r="I62" s="118"/>
      <c r="J62" s="118"/>
      <c r="K62" s="21"/>
      <c r="L62" s="21"/>
      <c r="M62" s="21"/>
      <c r="N62" s="118"/>
      <c r="O62" s="118"/>
      <c r="P62" s="21" t="str">
        <f t="shared" si="7"/>
        <v>0</v>
      </c>
      <c r="Q62" s="21" t="str">
        <f t="shared" si="8"/>
        <v>0</v>
      </c>
      <c r="R62" s="21" t="str">
        <f t="shared" si="9"/>
        <v>0</v>
      </c>
      <c r="S62" s="21" t="str">
        <f t="shared" si="10"/>
        <v>0</v>
      </c>
      <c r="T62" s="21" t="str">
        <f t="shared" si="11"/>
        <v>0</v>
      </c>
      <c r="U62" s="21" t="str">
        <f t="shared" si="12"/>
        <v>0</v>
      </c>
      <c r="V62" s="21" t="str">
        <f t="shared" si="13"/>
        <v>1</v>
      </c>
      <c r="W62" s="21"/>
      <c r="X62" s="21" t="str">
        <f t="shared" si="14"/>
        <v/>
      </c>
      <c r="Y62" s="21" t="str">
        <f t="shared" si="15"/>
        <v/>
      </c>
      <c r="Z62" s="21" t="str">
        <f t="shared" si="16"/>
        <v/>
      </c>
      <c r="AA62" s="118"/>
      <c r="AB62" s="118"/>
      <c r="AC62" s="118"/>
      <c r="AD62" s="118"/>
      <c r="AE62" s="118" t="s">
        <v>51</v>
      </c>
      <c r="AF62" s="118"/>
      <c r="AG62" s="118"/>
      <c r="AH62" s="26" t="s">
        <v>122</v>
      </c>
      <c r="AI62" s="26" t="s">
        <v>113</v>
      </c>
      <c r="AJ62" s="26">
        <v>11708</v>
      </c>
      <c r="AK62" s="121" t="str">
        <f t="shared" si="20"/>
        <v/>
      </c>
      <c r="AL62" s="123" t="str">
        <f t="shared" si="1"/>
        <v/>
      </c>
      <c r="AM62" s="21"/>
      <c r="AN62" s="124"/>
      <c r="AO62" s="124" t="s">
        <v>1829</v>
      </c>
      <c r="AP62" s="124" t="s">
        <v>1829</v>
      </c>
      <c r="AQ62" s="124" t="s">
        <v>1829</v>
      </c>
      <c r="AR62" s="124" t="s">
        <v>1829</v>
      </c>
      <c r="AS62" s="124" t="s">
        <v>1829</v>
      </c>
      <c r="AT62" s="124" t="s">
        <v>1937</v>
      </c>
      <c r="AU62" s="124" t="str">
        <f t="shared" si="17"/>
        <v/>
      </c>
      <c r="AV62" s="124" t="s">
        <v>2475</v>
      </c>
      <c r="AW62" s="117"/>
      <c r="AX62" s="138" t="str">
        <f t="shared" si="2"/>
        <v/>
      </c>
      <c r="AY62" s="31" t="str">
        <f>IF(C62&lt;&gt;"",CREATE_QUERY($D$1,C$2:AW$2,C62:AW62),"")</f>
        <v/>
      </c>
    </row>
    <row r="63" spans="1:51">
      <c r="A63" s="1">
        <v>43</v>
      </c>
      <c r="B63" s="121" t="str">
        <f t="shared" si="3"/>
        <v/>
      </c>
      <c r="C63" s="27" t="str">
        <f t="shared" si="4"/>
        <v/>
      </c>
      <c r="D63" s="121"/>
      <c r="E63" s="21">
        <v>220010</v>
      </c>
      <c r="F63" s="118"/>
      <c r="G63" s="118"/>
      <c r="H63" s="118"/>
      <c r="I63" s="118"/>
      <c r="J63" s="118"/>
      <c r="K63" s="21"/>
      <c r="L63" s="21"/>
      <c r="M63" s="21"/>
      <c r="N63" s="118"/>
      <c r="O63" s="118"/>
      <c r="P63" s="21" t="str">
        <f t="shared" si="7"/>
        <v>0</v>
      </c>
      <c r="Q63" s="21" t="str">
        <f t="shared" si="8"/>
        <v>0</v>
      </c>
      <c r="R63" s="21" t="str">
        <f t="shared" si="9"/>
        <v>0</v>
      </c>
      <c r="S63" s="21" t="str">
        <f t="shared" si="10"/>
        <v>0</v>
      </c>
      <c r="T63" s="21" t="str">
        <f t="shared" si="11"/>
        <v>0</v>
      </c>
      <c r="U63" s="21" t="str">
        <f t="shared" si="12"/>
        <v>0</v>
      </c>
      <c r="V63" s="21" t="str">
        <f t="shared" si="13"/>
        <v>1</v>
      </c>
      <c r="W63" s="21"/>
      <c r="X63" s="21" t="str">
        <f t="shared" si="14"/>
        <v/>
      </c>
      <c r="Y63" s="21" t="str">
        <f t="shared" si="15"/>
        <v/>
      </c>
      <c r="Z63" s="21" t="str">
        <f t="shared" si="16"/>
        <v/>
      </c>
      <c r="AA63" s="118"/>
      <c r="AB63" s="118"/>
      <c r="AC63" s="118"/>
      <c r="AD63" s="118"/>
      <c r="AE63" s="118" t="s">
        <v>51</v>
      </c>
      <c r="AF63" s="118"/>
      <c r="AG63" s="118"/>
      <c r="AH63" s="26" t="s">
        <v>122</v>
      </c>
      <c r="AI63" s="26" t="s">
        <v>113</v>
      </c>
      <c r="AJ63" s="26">
        <v>11710</v>
      </c>
      <c r="AK63" s="121" t="str">
        <f t="shared" si="20"/>
        <v/>
      </c>
      <c r="AL63" s="123" t="str">
        <f t="shared" si="1"/>
        <v/>
      </c>
      <c r="AM63" s="21"/>
      <c r="AN63" s="124"/>
      <c r="AO63" s="124" t="s">
        <v>1829</v>
      </c>
      <c r="AP63" s="124" t="s">
        <v>1829</v>
      </c>
      <c r="AQ63" s="124" t="s">
        <v>1829</v>
      </c>
      <c r="AR63" s="124" t="s">
        <v>1829</v>
      </c>
      <c r="AS63" s="124" t="s">
        <v>1829</v>
      </c>
      <c r="AT63" s="124" t="s">
        <v>1937</v>
      </c>
      <c r="AU63" s="124" t="str">
        <f t="shared" si="17"/>
        <v/>
      </c>
      <c r="AV63" s="124" t="s">
        <v>2476</v>
      </c>
      <c r="AW63" s="117"/>
      <c r="AX63" s="138" t="str">
        <f t="shared" si="2"/>
        <v/>
      </c>
      <c r="AY63" s="31" t="str">
        <f>IF(C63&lt;&gt;"",CREATE_QUERY($D$1,C$2:AW$2,C63:AW63),"")</f>
        <v/>
      </c>
    </row>
    <row r="64" spans="1:51">
      <c r="A64" s="1">
        <v>44</v>
      </c>
      <c r="B64" s="121" t="str">
        <f t="shared" si="3"/>
        <v/>
      </c>
      <c r="C64" s="27" t="str">
        <f t="shared" si="4"/>
        <v/>
      </c>
      <c r="D64" s="121"/>
      <c r="E64" s="21">
        <v>220011</v>
      </c>
      <c r="F64" s="118"/>
      <c r="G64" s="118"/>
      <c r="H64" s="118"/>
      <c r="I64" s="118"/>
      <c r="J64" s="118"/>
      <c r="K64" s="21"/>
      <c r="L64" s="21"/>
      <c r="M64" s="21"/>
      <c r="N64" s="118"/>
      <c r="O64" s="118"/>
      <c r="P64" s="21" t="str">
        <f t="shared" si="7"/>
        <v>0</v>
      </c>
      <c r="Q64" s="21" t="str">
        <f t="shared" si="8"/>
        <v>0</v>
      </c>
      <c r="R64" s="21" t="str">
        <f t="shared" si="9"/>
        <v>0</v>
      </c>
      <c r="S64" s="21" t="str">
        <f t="shared" si="10"/>
        <v>0</v>
      </c>
      <c r="T64" s="21" t="str">
        <f t="shared" si="11"/>
        <v>0</v>
      </c>
      <c r="U64" s="21" t="str">
        <f t="shared" si="12"/>
        <v>0</v>
      </c>
      <c r="V64" s="21" t="str">
        <f t="shared" si="13"/>
        <v>1</v>
      </c>
      <c r="W64" s="21"/>
      <c r="X64" s="21" t="str">
        <f t="shared" si="14"/>
        <v/>
      </c>
      <c r="Y64" s="21" t="str">
        <f t="shared" si="15"/>
        <v/>
      </c>
      <c r="Z64" s="21" t="str">
        <f t="shared" si="16"/>
        <v/>
      </c>
      <c r="AA64" s="118"/>
      <c r="AB64" s="118"/>
      <c r="AC64" s="118"/>
      <c r="AD64" s="118"/>
      <c r="AE64" s="118" t="s">
        <v>51</v>
      </c>
      <c r="AF64" s="118"/>
      <c r="AG64" s="118"/>
      <c r="AH64" s="26" t="s">
        <v>122</v>
      </c>
      <c r="AI64" s="26" t="s">
        <v>113</v>
      </c>
      <c r="AJ64" s="26">
        <v>11712</v>
      </c>
      <c r="AK64" s="121" t="str">
        <f t="shared" si="20"/>
        <v/>
      </c>
      <c r="AL64" s="123" t="str">
        <f t="shared" si="1"/>
        <v/>
      </c>
      <c r="AM64" s="21"/>
      <c r="AN64" s="124"/>
      <c r="AO64" s="124" t="s">
        <v>1829</v>
      </c>
      <c r="AP64" s="124" t="s">
        <v>1829</v>
      </c>
      <c r="AQ64" s="124" t="s">
        <v>1829</v>
      </c>
      <c r="AR64" s="124" t="s">
        <v>1829</v>
      </c>
      <c r="AS64" s="124" t="s">
        <v>1829</v>
      </c>
      <c r="AT64" s="124" t="s">
        <v>1937</v>
      </c>
      <c r="AU64" s="124" t="str">
        <f t="shared" si="17"/>
        <v/>
      </c>
      <c r="AV64" s="124" t="s">
        <v>2477</v>
      </c>
      <c r="AW64" s="117"/>
      <c r="AX64" s="138" t="str">
        <f t="shared" si="2"/>
        <v/>
      </c>
      <c r="AY64" s="31" t="str">
        <f>IF(C64&lt;&gt;"",CREATE_QUERY($D$1,C$2:AW$2,C64:AW64),"")</f>
        <v/>
      </c>
    </row>
    <row r="65" spans="1:51">
      <c r="A65" s="1">
        <v>45</v>
      </c>
      <c r="B65" s="121" t="str">
        <f t="shared" si="3"/>
        <v/>
      </c>
      <c r="C65" s="27" t="str">
        <f t="shared" si="4"/>
        <v/>
      </c>
      <c r="D65" s="121"/>
      <c r="E65" s="21">
        <v>220012</v>
      </c>
      <c r="F65" s="118"/>
      <c r="G65" s="118"/>
      <c r="H65" s="118"/>
      <c r="I65" s="118"/>
      <c r="J65" s="118"/>
      <c r="K65" s="21"/>
      <c r="L65" s="21"/>
      <c r="M65" s="21"/>
      <c r="N65" s="118"/>
      <c r="O65" s="118"/>
      <c r="P65" s="21" t="str">
        <f t="shared" si="7"/>
        <v>0</v>
      </c>
      <c r="Q65" s="21" t="str">
        <f t="shared" si="8"/>
        <v>0</v>
      </c>
      <c r="R65" s="21" t="str">
        <f t="shared" si="9"/>
        <v>0</v>
      </c>
      <c r="S65" s="21" t="str">
        <f t="shared" si="10"/>
        <v>0</v>
      </c>
      <c r="T65" s="21" t="str">
        <f t="shared" si="11"/>
        <v>0</v>
      </c>
      <c r="U65" s="21" t="str">
        <f t="shared" si="12"/>
        <v>0</v>
      </c>
      <c r="V65" s="21" t="str">
        <f t="shared" si="13"/>
        <v>1</v>
      </c>
      <c r="W65" s="21"/>
      <c r="X65" s="21" t="str">
        <f t="shared" si="14"/>
        <v/>
      </c>
      <c r="Y65" s="21" t="str">
        <f t="shared" si="15"/>
        <v/>
      </c>
      <c r="Z65" s="21" t="str">
        <f t="shared" si="16"/>
        <v/>
      </c>
      <c r="AA65" s="118"/>
      <c r="AB65" s="118"/>
      <c r="AC65" s="118"/>
      <c r="AD65" s="118"/>
      <c r="AE65" s="118" t="s">
        <v>51</v>
      </c>
      <c r="AF65" s="118"/>
      <c r="AG65" s="118"/>
      <c r="AH65" s="26" t="s">
        <v>122</v>
      </c>
      <c r="AI65" s="26" t="s">
        <v>113</v>
      </c>
      <c r="AJ65" s="26">
        <v>11714</v>
      </c>
      <c r="AK65" s="121" t="str">
        <f t="shared" si="20"/>
        <v/>
      </c>
      <c r="AL65" s="123" t="str">
        <f t="shared" si="1"/>
        <v/>
      </c>
      <c r="AM65" s="21"/>
      <c r="AN65" s="124"/>
      <c r="AO65" s="124" t="s">
        <v>1829</v>
      </c>
      <c r="AP65" s="124" t="s">
        <v>1829</v>
      </c>
      <c r="AQ65" s="124" t="s">
        <v>1829</v>
      </c>
      <c r="AR65" s="124" t="s">
        <v>1829</v>
      </c>
      <c r="AS65" s="124" t="s">
        <v>1829</v>
      </c>
      <c r="AT65" s="124" t="s">
        <v>1937</v>
      </c>
      <c r="AU65" s="124" t="str">
        <f t="shared" si="17"/>
        <v/>
      </c>
      <c r="AV65" s="124" t="s">
        <v>2478</v>
      </c>
      <c r="AW65" s="117"/>
      <c r="AX65" s="138" t="str">
        <f t="shared" si="2"/>
        <v/>
      </c>
      <c r="AY65" s="31" t="str">
        <f>IF(C65&lt;&gt;"",CREATE_QUERY($D$1,C$2:AW$2,C65:AW65),"")</f>
        <v/>
      </c>
    </row>
    <row r="66" spans="1:51">
      <c r="A66" s="1">
        <v>45</v>
      </c>
      <c r="B66" s="121" t="str">
        <f t="shared" si="3"/>
        <v/>
      </c>
      <c r="C66" s="27" t="str">
        <f t="shared" si="4"/>
        <v/>
      </c>
      <c r="D66" s="121"/>
      <c r="E66" s="21">
        <v>220013</v>
      </c>
      <c r="F66" s="118"/>
      <c r="G66" s="118"/>
      <c r="H66" s="118"/>
      <c r="I66" s="118"/>
      <c r="J66" s="118"/>
      <c r="K66" s="21"/>
      <c r="L66" s="21"/>
      <c r="M66" s="21"/>
      <c r="N66" s="118"/>
      <c r="O66" s="118"/>
      <c r="P66" s="21" t="str">
        <f t="shared" si="7"/>
        <v>0</v>
      </c>
      <c r="Q66" s="21" t="str">
        <f t="shared" si="8"/>
        <v>0</v>
      </c>
      <c r="R66" s="21" t="str">
        <f t="shared" si="9"/>
        <v>0</v>
      </c>
      <c r="S66" s="21" t="str">
        <f t="shared" si="10"/>
        <v>0</v>
      </c>
      <c r="T66" s="21" t="str">
        <f t="shared" si="11"/>
        <v>0</v>
      </c>
      <c r="U66" s="21" t="str">
        <f t="shared" si="12"/>
        <v>0</v>
      </c>
      <c r="V66" s="21" t="str">
        <f t="shared" si="13"/>
        <v>1</v>
      </c>
      <c r="W66" s="21"/>
      <c r="X66" s="21" t="str">
        <f t="shared" si="14"/>
        <v/>
      </c>
      <c r="Y66" s="21" t="str">
        <f t="shared" si="15"/>
        <v/>
      </c>
      <c r="Z66" s="21" t="str">
        <f t="shared" si="16"/>
        <v/>
      </c>
      <c r="AA66" s="118"/>
      <c r="AB66" s="118"/>
      <c r="AC66" s="118"/>
      <c r="AD66" s="118"/>
      <c r="AE66" s="118" t="s">
        <v>51</v>
      </c>
      <c r="AF66" s="118"/>
      <c r="AG66" s="118"/>
      <c r="AH66" s="26" t="s">
        <v>122</v>
      </c>
      <c r="AI66" s="26" t="s">
        <v>113</v>
      </c>
      <c r="AJ66" s="26">
        <v>11716</v>
      </c>
      <c r="AK66" s="121" t="str">
        <f t="shared" si="20"/>
        <v/>
      </c>
      <c r="AL66" s="123" t="str">
        <f t="shared" si="1"/>
        <v/>
      </c>
      <c r="AM66" s="21"/>
      <c r="AN66" s="124"/>
      <c r="AO66" s="124" t="s">
        <v>1829</v>
      </c>
      <c r="AP66" s="124" t="s">
        <v>1829</v>
      </c>
      <c r="AQ66" s="124" t="s">
        <v>1829</v>
      </c>
      <c r="AR66" s="124" t="s">
        <v>1829</v>
      </c>
      <c r="AS66" s="124"/>
      <c r="AT66" s="124" t="s">
        <v>1937</v>
      </c>
      <c r="AU66" s="124" t="str">
        <f t="shared" si="17"/>
        <v/>
      </c>
      <c r="AV66" s="124" t="s">
        <v>2479</v>
      </c>
      <c r="AW66" s="117"/>
      <c r="AX66" s="138" t="str">
        <f t="shared" si="2"/>
        <v/>
      </c>
      <c r="AY66" s="31" t="str">
        <f>IF(C66&lt;&gt;"",CREATE_QUERY($D$1,C$2:AW$2,C66:AW66),"")</f>
        <v/>
      </c>
    </row>
    <row r="67" spans="1:51">
      <c r="A67" s="1">
        <v>45</v>
      </c>
      <c r="B67" s="121" t="str">
        <f t="shared" si="3"/>
        <v/>
      </c>
      <c r="C67" s="27" t="str">
        <f t="shared" si="4"/>
        <v/>
      </c>
      <c r="D67" s="121"/>
      <c r="E67" s="21">
        <v>220014</v>
      </c>
      <c r="F67" s="118"/>
      <c r="G67" s="118"/>
      <c r="H67" s="118"/>
      <c r="I67" s="118"/>
      <c r="J67" s="118"/>
      <c r="K67" s="21"/>
      <c r="L67" s="21"/>
      <c r="M67" s="21"/>
      <c r="N67" s="118"/>
      <c r="O67" s="118"/>
      <c r="P67" s="21" t="str">
        <f t="shared" si="7"/>
        <v>0</v>
      </c>
      <c r="Q67" s="21" t="str">
        <f t="shared" si="8"/>
        <v>0</v>
      </c>
      <c r="R67" s="21" t="str">
        <f t="shared" si="9"/>
        <v>0</v>
      </c>
      <c r="S67" s="21" t="str">
        <f t="shared" si="10"/>
        <v>0</v>
      </c>
      <c r="T67" s="21" t="str">
        <f t="shared" si="11"/>
        <v>0</v>
      </c>
      <c r="U67" s="21" t="str">
        <f t="shared" si="12"/>
        <v>0</v>
      </c>
      <c r="V67" s="21" t="str">
        <f t="shared" si="13"/>
        <v>1</v>
      </c>
      <c r="W67" s="21"/>
      <c r="X67" s="21" t="str">
        <f t="shared" si="14"/>
        <v/>
      </c>
      <c r="Y67" s="21" t="str">
        <f t="shared" si="15"/>
        <v/>
      </c>
      <c r="Z67" s="21" t="str">
        <f t="shared" si="16"/>
        <v/>
      </c>
      <c r="AA67" s="118"/>
      <c r="AB67" s="118"/>
      <c r="AC67" s="118"/>
      <c r="AD67" s="118"/>
      <c r="AE67" s="118" t="s">
        <v>51</v>
      </c>
      <c r="AF67" s="118"/>
      <c r="AG67" s="118"/>
      <c r="AH67" s="26" t="s">
        <v>122</v>
      </c>
      <c r="AI67" s="26" t="s">
        <v>113</v>
      </c>
      <c r="AJ67" s="26">
        <v>11718</v>
      </c>
      <c r="AK67" s="121" t="str">
        <f>IF(B75="","","0")</f>
        <v>0</v>
      </c>
      <c r="AL67" s="123" t="str">
        <f t="shared" si="1"/>
        <v/>
      </c>
      <c r="AM67" s="21"/>
      <c r="AN67" s="124"/>
      <c r="AO67" s="124" t="s">
        <v>1829</v>
      </c>
      <c r="AP67" s="124" t="s">
        <v>1829</v>
      </c>
      <c r="AQ67" s="124" t="s">
        <v>1829</v>
      </c>
      <c r="AR67" s="124" t="s">
        <v>1829</v>
      </c>
      <c r="AS67" s="124"/>
      <c r="AT67" s="124" t="s">
        <v>1937</v>
      </c>
      <c r="AU67" s="124" t="str">
        <f t="shared" si="17"/>
        <v/>
      </c>
      <c r="AV67" s="124" t="s">
        <v>2480</v>
      </c>
      <c r="AW67" s="117"/>
      <c r="AX67" s="138" t="str">
        <f t="shared" si="2"/>
        <v/>
      </c>
      <c r="AY67" s="31" t="str">
        <f>IF(C67&lt;&gt;"",CREATE_QUERY($D$1,C$2:AW$2,C67:AW67),"")</f>
        <v/>
      </c>
    </row>
    <row r="68" spans="1:51">
      <c r="A68" s="1">
        <v>46</v>
      </c>
      <c r="B68" s="121" t="str">
        <f t="shared" si="3"/>
        <v/>
      </c>
      <c r="C68" s="27" t="str">
        <f t="shared" si="4"/>
        <v/>
      </c>
      <c r="D68" s="121"/>
      <c r="E68" s="27"/>
      <c r="F68" s="121"/>
      <c r="G68" s="121"/>
      <c r="H68" s="121"/>
      <c r="I68" s="121"/>
      <c r="J68" s="121"/>
      <c r="K68" s="27" t="str">
        <f t="shared" si="5"/>
        <v/>
      </c>
      <c r="L68" s="27">
        <v>1</v>
      </c>
      <c r="M68" s="27" t="str">
        <f t="shared" si="6"/>
        <v>0</v>
      </c>
      <c r="N68" s="121"/>
      <c r="O68" s="121"/>
      <c r="P68" s="27" t="str">
        <f t="shared" si="7"/>
        <v>0</v>
      </c>
      <c r="Q68" s="27" t="str">
        <f t="shared" si="8"/>
        <v>0</v>
      </c>
      <c r="R68" s="27" t="str">
        <f t="shared" si="9"/>
        <v>0</v>
      </c>
      <c r="S68" s="27" t="str">
        <f t="shared" si="10"/>
        <v>0</v>
      </c>
      <c r="T68" s="27" t="str">
        <f t="shared" si="11"/>
        <v>0</v>
      </c>
      <c r="U68" s="27" t="str">
        <f t="shared" si="12"/>
        <v>0</v>
      </c>
      <c r="V68" s="27" t="str">
        <f t="shared" si="13"/>
        <v>1</v>
      </c>
      <c r="W68" s="27"/>
      <c r="X68" s="27" t="str">
        <f t="shared" si="14"/>
        <v/>
      </c>
      <c r="Y68" s="27" t="str">
        <f t="shared" si="15"/>
        <v/>
      </c>
      <c r="Z68" s="27" t="str">
        <f t="shared" si="16"/>
        <v/>
      </c>
      <c r="AA68" s="121"/>
      <c r="AB68" s="121"/>
      <c r="AC68" s="121"/>
      <c r="AD68" s="121"/>
      <c r="AE68" s="121"/>
      <c r="AF68" s="121"/>
      <c r="AG68" s="121"/>
      <c r="AH68" s="27"/>
      <c r="AI68" s="27"/>
      <c r="AJ68" s="27"/>
      <c r="AK68" s="121" t="str">
        <f t="shared" si="0"/>
        <v>0</v>
      </c>
      <c r="AL68" s="123" t="str">
        <f t="shared" si="1"/>
        <v/>
      </c>
      <c r="AM68" s="27"/>
      <c r="AN68" s="124"/>
      <c r="AO68" s="124" t="s">
        <v>1829</v>
      </c>
      <c r="AP68" s="124" t="s">
        <v>1829</v>
      </c>
      <c r="AQ68" s="124" t="s">
        <v>1829</v>
      </c>
      <c r="AR68" s="124" t="s">
        <v>1829</v>
      </c>
      <c r="AS68" s="124"/>
      <c r="AT68" s="124"/>
      <c r="AU68" s="124" t="str">
        <f t="shared" si="17"/>
        <v/>
      </c>
      <c r="AV68" s="124" t="str">
        <f>IF(P68="","",AU68&amp;F68)</f>
        <v/>
      </c>
      <c r="AW68" s="117"/>
      <c r="AX68" s="138" t="str">
        <f t="shared" ref="AX68:AX131" si="21">IF(C68="","","delete from module_mst where pjt_id = '"&amp;C68&amp;"' and menu_id = '"&amp;E68&amp;"';")</f>
        <v/>
      </c>
      <c r="AY68" s="31" t="str">
        <f>IF(C68&lt;&gt;"",CREATE_QUERY($D$1,C$2:AW$2,C68:AW68),"")</f>
        <v/>
      </c>
    </row>
    <row r="69" spans="1:51">
      <c r="A69" s="1">
        <v>47</v>
      </c>
      <c r="B69" s="121" t="str">
        <f t="shared" ref="B69:B132" si="22">IF(F69="","",IF(AI69="1","",IF(AI69="2","└ ",IF(AI69="3","  └ ",IF(AI69="4","    └ ",IF(AI69="5","        └ ",IF(AI69="6","         └ ",IF(AI69="7"="            └ ",""))))))))&amp;AM69&amp;F69</f>
        <v xml:space="preserve">    └ 품목정보관리</v>
      </c>
      <c r="C69" s="27" t="str">
        <f t="shared" si="4"/>
        <v>14821</v>
      </c>
      <c r="D69" s="121"/>
      <c r="E69" s="24" t="s">
        <v>124</v>
      </c>
      <c r="F69" s="127" t="s">
        <v>143</v>
      </c>
      <c r="G69" s="127"/>
      <c r="H69" s="127"/>
      <c r="I69" s="127"/>
      <c r="J69" s="127"/>
      <c r="K69" s="25" t="str">
        <f t="shared" si="5"/>
        <v/>
      </c>
      <c r="L69" s="25">
        <v>1</v>
      </c>
      <c r="M69" s="25" t="str">
        <f t="shared" si="6"/>
        <v>0</v>
      </c>
      <c r="N69" s="127"/>
      <c r="O69" s="127"/>
      <c r="P69" s="25" t="str">
        <f t="shared" si="7"/>
        <v>0</v>
      </c>
      <c r="Q69" s="25" t="str">
        <f t="shared" si="8"/>
        <v>0</v>
      </c>
      <c r="R69" s="25" t="str">
        <f t="shared" si="9"/>
        <v>0</v>
      </c>
      <c r="S69" s="25" t="str">
        <f t="shared" si="10"/>
        <v>0</v>
      </c>
      <c r="T69" s="25" t="str">
        <f t="shared" si="11"/>
        <v>0</v>
      </c>
      <c r="U69" s="25" t="str">
        <f t="shared" si="12"/>
        <v>0</v>
      </c>
      <c r="V69" s="25" t="str">
        <f t="shared" si="13"/>
        <v>1</v>
      </c>
      <c r="W69" s="25"/>
      <c r="X69" s="25" t="str">
        <f t="shared" si="14"/>
        <v/>
      </c>
      <c r="Y69" s="25" t="str">
        <f t="shared" si="15"/>
        <v/>
      </c>
      <c r="Z69" s="25" t="str">
        <f t="shared" si="16"/>
        <v/>
      </c>
      <c r="AA69" s="127"/>
      <c r="AB69" s="127"/>
      <c r="AC69" s="127"/>
      <c r="AD69" s="127"/>
      <c r="AE69" s="127" t="s">
        <v>51</v>
      </c>
      <c r="AF69" s="127"/>
      <c r="AG69" s="127"/>
      <c r="AH69" s="24" t="s">
        <v>121</v>
      </c>
      <c r="AI69" s="24" t="s">
        <v>112</v>
      </c>
      <c r="AJ69" s="24">
        <v>11850</v>
      </c>
      <c r="AK69" s="121" t="str">
        <f t="shared" si="0"/>
        <v>0</v>
      </c>
      <c r="AL69" s="123" t="str">
        <f t="shared" si="1"/>
        <v>14821/품목정보관리//</v>
      </c>
      <c r="AM69" s="24"/>
      <c r="AN69" s="124"/>
      <c r="AO69" s="124" t="s">
        <v>1829</v>
      </c>
      <c r="AP69" s="124" t="s">
        <v>1829</v>
      </c>
      <c r="AQ69" s="124" t="s">
        <v>1829</v>
      </c>
      <c r="AR69" s="124" t="s">
        <v>1829</v>
      </c>
      <c r="AS69" s="124" t="s">
        <v>1829</v>
      </c>
      <c r="AT69" s="124" t="s">
        <v>1937</v>
      </c>
      <c r="AU69" s="124" t="str">
        <f t="shared" si="17"/>
        <v/>
      </c>
      <c r="AV69" s="124"/>
      <c r="AW69" s="117"/>
      <c r="AX69" s="138" t="str">
        <f t="shared" si="21"/>
        <v>delete from module_mst where pjt_id = '14821' and menu_id = '230000';</v>
      </c>
      <c r="AY69" s="31" t="str">
        <f>IF(C69&lt;&gt;"",CREATE_QUERY($D$1,C$2:AW$2,C69:AW69),"")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'230000', '품목정보관리', '', '', '', '', '', '1', '0', '', '', '0', '0', '0', '0', '0', '0', '1', '', '', '', '', '', '', '', '', 'N', '', '', '210000', '4', '11850', '0', '14821/품목정보관리//', '', '', 'Y', 'Y', 'Y', 'Y', 'Y', 'B', '', '');</v>
      </c>
    </row>
    <row r="70" spans="1:51">
      <c r="A70" s="1">
        <v>48</v>
      </c>
      <c r="B70" s="121" t="str">
        <f t="shared" si="22"/>
        <v xml:space="preserve">        └ 단위코드관리</v>
      </c>
      <c r="C70" s="27" t="str">
        <f t="shared" si="4"/>
        <v>14821</v>
      </c>
      <c r="D70" s="121"/>
      <c r="E70" s="21">
        <v>230001</v>
      </c>
      <c r="F70" s="118" t="s">
        <v>147</v>
      </c>
      <c r="G70" s="118"/>
      <c r="H70" s="118"/>
      <c r="I70" s="118"/>
      <c r="J70" s="118"/>
      <c r="K70" s="21" t="str">
        <f t="shared" si="5"/>
        <v>1</v>
      </c>
      <c r="L70" s="21">
        <v>1</v>
      </c>
      <c r="M70" s="21" t="str">
        <f t="shared" si="6"/>
        <v>1</v>
      </c>
      <c r="N70" s="118" t="s">
        <v>203</v>
      </c>
      <c r="O70" s="118" t="s">
        <v>151</v>
      </c>
      <c r="P70" s="21" t="str">
        <f t="shared" si="7"/>
        <v>1</v>
      </c>
      <c r="Q70" s="21" t="str">
        <f t="shared" si="8"/>
        <v>1</v>
      </c>
      <c r="R70" s="21" t="str">
        <f t="shared" si="9"/>
        <v>1</v>
      </c>
      <c r="S70" s="21" t="str">
        <f t="shared" si="10"/>
        <v>1</v>
      </c>
      <c r="T70" s="21" t="str">
        <f t="shared" si="11"/>
        <v>1</v>
      </c>
      <c r="U70" s="21" t="str">
        <f t="shared" si="12"/>
        <v>1</v>
      </c>
      <c r="V70" s="21" t="str">
        <f t="shared" si="13"/>
        <v>1</v>
      </c>
      <c r="W70" s="21"/>
      <c r="X70" s="21" t="str">
        <f t="shared" si="14"/>
        <v>0</v>
      </c>
      <c r="Y70" s="21" t="str">
        <f t="shared" si="15"/>
        <v>0</v>
      </c>
      <c r="Z70" s="21" t="str">
        <f t="shared" si="16"/>
        <v>0</v>
      </c>
      <c r="AA70" s="118"/>
      <c r="AB70" s="118"/>
      <c r="AC70" s="118"/>
      <c r="AD70" s="118"/>
      <c r="AE70" s="118" t="s">
        <v>51</v>
      </c>
      <c r="AF70" s="118"/>
      <c r="AG70" s="118"/>
      <c r="AH70" s="26" t="s">
        <v>124</v>
      </c>
      <c r="AI70" s="26" t="s">
        <v>113</v>
      </c>
      <c r="AJ70" s="26">
        <v>11900</v>
      </c>
      <c r="AK70" s="121" t="str">
        <f t="shared" si="0"/>
        <v>0</v>
      </c>
      <c r="AL70" s="123" t="str">
        <f t="shared" si="1"/>
        <v>14821/단위코드관리/basic/UnitMast</v>
      </c>
      <c r="AM70" s="21"/>
      <c r="AN70" s="124"/>
      <c r="AO70" s="124" t="s">
        <v>1829</v>
      </c>
      <c r="AP70" s="124" t="s">
        <v>1829</v>
      </c>
      <c r="AQ70" s="124" t="s">
        <v>1829</v>
      </c>
      <c r="AR70" s="124" t="s">
        <v>1829</v>
      </c>
      <c r="AS70" s="124" t="s">
        <v>1829</v>
      </c>
      <c r="AT70" s="124" t="s">
        <v>1937</v>
      </c>
      <c r="AU70" s="124" t="str">
        <f t="shared" si="17"/>
        <v>B230001</v>
      </c>
      <c r="AV70" s="124" t="s">
        <v>2840</v>
      </c>
      <c r="AW70" s="117" t="s">
        <v>1875</v>
      </c>
      <c r="AX70" s="138" t="str">
        <f t="shared" si="21"/>
        <v>delete from module_mst where pjt_id = '14821' and menu_id = '230001';</v>
      </c>
      <c r="AY70" s="31" t="str">
        <f>IF(C70&lt;&gt;"",CREATE_QUERY($D$1,C$2:AW$2,C70:AW70),"")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'230001', '단위코드관리', '', '', '', '', '1', '1', '1', 'basic', 'UnitMast', '1', '1', '1', '1', '1', '1', '1', '', '0', '0', '0', '', '', '', '', 'N', '', '', '230000', '5', '11900', '0', '14821/단위코드관리/basic/UnitMast', '', '', 'Y', 'Y', 'Y', 'Y', 'Y', 'B', 'MES-TD3-140', '수불 단위코드 정보 관리');</v>
      </c>
    </row>
    <row r="71" spans="1:51">
      <c r="A71" s="1">
        <v>49</v>
      </c>
      <c r="B71" s="121" t="str">
        <f t="shared" si="22"/>
        <v xml:space="preserve">        └ 품목분류코드관리</v>
      </c>
      <c r="C71" s="27" t="str">
        <f t="shared" si="4"/>
        <v>14821</v>
      </c>
      <c r="D71" s="121"/>
      <c r="E71" s="21">
        <v>230002</v>
      </c>
      <c r="F71" s="118" t="s">
        <v>148</v>
      </c>
      <c r="G71" s="118"/>
      <c r="H71" s="118"/>
      <c r="I71" s="118"/>
      <c r="J71" s="118"/>
      <c r="K71" s="21" t="str">
        <f t="shared" si="5"/>
        <v>1</v>
      </c>
      <c r="L71" s="21">
        <v>1</v>
      </c>
      <c r="M71" s="21" t="str">
        <f t="shared" si="6"/>
        <v>1</v>
      </c>
      <c r="N71" s="118" t="s">
        <v>145</v>
      </c>
      <c r="O71" s="118" t="s">
        <v>152</v>
      </c>
      <c r="P71" s="21" t="str">
        <f t="shared" si="7"/>
        <v>1</v>
      </c>
      <c r="Q71" s="21" t="str">
        <f t="shared" si="8"/>
        <v>1</v>
      </c>
      <c r="R71" s="21" t="str">
        <f t="shared" si="9"/>
        <v>1</v>
      </c>
      <c r="S71" s="21" t="str">
        <f t="shared" si="10"/>
        <v>1</v>
      </c>
      <c r="T71" s="21" t="str">
        <f t="shared" si="11"/>
        <v>1</v>
      </c>
      <c r="U71" s="21" t="str">
        <f t="shared" si="12"/>
        <v>1</v>
      </c>
      <c r="V71" s="21" t="str">
        <f t="shared" si="13"/>
        <v>1</v>
      </c>
      <c r="W71" s="21"/>
      <c r="X71" s="21" t="str">
        <f t="shared" si="14"/>
        <v>0</v>
      </c>
      <c r="Y71" s="21" t="str">
        <f t="shared" si="15"/>
        <v>0</v>
      </c>
      <c r="Z71" s="21" t="str">
        <f t="shared" si="16"/>
        <v>0</v>
      </c>
      <c r="AA71" s="118"/>
      <c r="AB71" s="118"/>
      <c r="AC71" s="118"/>
      <c r="AD71" s="118"/>
      <c r="AE71" s="118" t="s">
        <v>51</v>
      </c>
      <c r="AF71" s="118"/>
      <c r="AG71" s="118"/>
      <c r="AH71" s="26" t="s">
        <v>124</v>
      </c>
      <c r="AI71" s="26" t="s">
        <v>113</v>
      </c>
      <c r="AJ71" s="26">
        <v>12000</v>
      </c>
      <c r="AK71" s="121" t="str">
        <f t="shared" si="0"/>
        <v>0</v>
      </c>
      <c r="AL71" s="123" t="str">
        <f t="shared" si="1"/>
        <v>14821/품목분류코드관리/item/ItemClass</v>
      </c>
      <c r="AM71" s="21"/>
      <c r="AN71" s="124"/>
      <c r="AO71" s="124" t="s">
        <v>1829</v>
      </c>
      <c r="AP71" s="124" t="s">
        <v>1829</v>
      </c>
      <c r="AQ71" s="124" t="s">
        <v>1829</v>
      </c>
      <c r="AR71" s="124" t="s">
        <v>1829</v>
      </c>
      <c r="AS71" s="124" t="s">
        <v>1829</v>
      </c>
      <c r="AT71" s="124" t="s">
        <v>1937</v>
      </c>
      <c r="AU71" s="124" t="str">
        <f t="shared" si="17"/>
        <v>B230002</v>
      </c>
      <c r="AV71" s="124" t="s">
        <v>2481</v>
      </c>
      <c r="AW71" s="117" t="s">
        <v>1876</v>
      </c>
      <c r="AX71" s="138" t="str">
        <f t="shared" si="21"/>
        <v>delete from module_mst where pjt_id = '14821' and menu_id = '230002';</v>
      </c>
      <c r="AY71" s="31" t="str">
        <f>IF(C71&lt;&gt;"",CREATE_QUERY($D$1,C$2:AW$2,C71:AW71),"")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'230002', '품목분류코드관리', '', '', '', '', '1', '1', '1', 'item', 'ItemClass', '1', '1', '1', '1', '1', '1', '1', '', '0', '0', '0', '', '', '', '', 'N', '', '', '230000', '5', '12000', '0', '14821/품목분류코드관리/item/ItemClass', '', '', 'Y', 'Y', 'Y', 'Y', 'Y', 'B', 'MES-TD3-141', '품목의 대중소 분류 코드 관리');</v>
      </c>
    </row>
    <row r="72" spans="1:51" ht="26">
      <c r="A72" s="1">
        <v>50</v>
      </c>
      <c r="B72" s="121" t="str">
        <f t="shared" si="22"/>
        <v xml:space="preserve">        └ 품목코드관리</v>
      </c>
      <c r="C72" s="27" t="str">
        <f t="shared" si="4"/>
        <v>14821</v>
      </c>
      <c r="D72" s="121"/>
      <c r="E72" s="21">
        <v>230003</v>
      </c>
      <c r="F72" s="118" t="s">
        <v>144</v>
      </c>
      <c r="G72" s="118"/>
      <c r="H72" s="118"/>
      <c r="I72" s="118"/>
      <c r="J72" s="118"/>
      <c r="K72" s="21" t="str">
        <f t="shared" si="5"/>
        <v>1</v>
      </c>
      <c r="L72" s="21">
        <v>1</v>
      </c>
      <c r="M72" s="21" t="str">
        <f t="shared" si="6"/>
        <v>1</v>
      </c>
      <c r="N72" s="118" t="s">
        <v>145</v>
      </c>
      <c r="O72" s="118" t="s">
        <v>146</v>
      </c>
      <c r="P72" s="21" t="str">
        <f t="shared" si="7"/>
        <v>1</v>
      </c>
      <c r="Q72" s="21" t="str">
        <f t="shared" si="8"/>
        <v>1</v>
      </c>
      <c r="R72" s="21" t="str">
        <f t="shared" si="9"/>
        <v>1</v>
      </c>
      <c r="S72" s="21" t="str">
        <f t="shared" si="10"/>
        <v>1</v>
      </c>
      <c r="T72" s="21" t="str">
        <f t="shared" si="11"/>
        <v>1</v>
      </c>
      <c r="U72" s="21" t="str">
        <f t="shared" si="12"/>
        <v>1</v>
      </c>
      <c r="V72" s="21" t="str">
        <f t="shared" si="13"/>
        <v>1</v>
      </c>
      <c r="W72" s="21"/>
      <c r="X72" s="21" t="str">
        <f t="shared" si="14"/>
        <v>0</v>
      </c>
      <c r="Y72" s="21" t="str">
        <f t="shared" si="15"/>
        <v>0</v>
      </c>
      <c r="Z72" s="21" t="str">
        <f t="shared" si="16"/>
        <v>0</v>
      </c>
      <c r="AA72" s="118"/>
      <c r="AB72" s="118"/>
      <c r="AC72" s="118"/>
      <c r="AD72" s="118"/>
      <c r="AE72" s="118" t="s">
        <v>51</v>
      </c>
      <c r="AF72" s="118"/>
      <c r="AG72" s="118"/>
      <c r="AH72" s="26" t="s">
        <v>124</v>
      </c>
      <c r="AI72" s="26" t="s">
        <v>113</v>
      </c>
      <c r="AJ72" s="26">
        <v>12050</v>
      </c>
      <c r="AK72" s="121" t="str">
        <f t="shared" si="0"/>
        <v>0</v>
      </c>
      <c r="AL72" s="123" t="str">
        <f t="shared" si="1"/>
        <v>14821/품목코드관리/item/ItemMast</v>
      </c>
      <c r="AM72" s="21"/>
      <c r="AN72" s="124"/>
      <c r="AO72" s="124" t="s">
        <v>1829</v>
      </c>
      <c r="AP72" s="124" t="s">
        <v>1829</v>
      </c>
      <c r="AQ72" s="124" t="s">
        <v>1829</v>
      </c>
      <c r="AR72" s="124" t="s">
        <v>1829</v>
      </c>
      <c r="AS72" s="124" t="s">
        <v>1829</v>
      </c>
      <c r="AT72" s="124" t="s">
        <v>1937</v>
      </c>
      <c r="AU72" s="124" t="str">
        <f t="shared" si="17"/>
        <v>B230003</v>
      </c>
      <c r="AV72" s="124" t="s">
        <v>2841</v>
      </c>
      <c r="AW72" s="117" t="s">
        <v>1877</v>
      </c>
      <c r="AX72" s="138" t="str">
        <f t="shared" si="21"/>
        <v>delete from module_mst where pjt_id = '14821' and menu_id = '230003';</v>
      </c>
      <c r="AY72" s="31" t="str">
        <f>IF(C72&lt;&gt;"",CREATE_QUERY($D$1,C$2:AW$2,C72:AW72),"")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'230003', '품목코드관리', '', '', '', '', '1', '1', '1', 'item', 'ItemMast', '1', '1', '1', '1', '1', '1', '1', '', '0', '0', '0', '', '', '', '', 'N', '', '', '230000', '5', '12050', '0', '14821/품목코드관리/item/ItemMast', '', '', 'Y', 'Y', 'Y', 'Y', 'Y', 'B', 'MES-TD3-142', '제품, 자재, 공정 재공품 정보를 등록(기본 정보와 추가 정보 등으로 구분하여 관리 함)');</v>
      </c>
    </row>
    <row r="73" spans="1:51">
      <c r="A73" s="1">
        <v>51</v>
      </c>
      <c r="B73" s="121" t="str">
        <f t="shared" si="22"/>
        <v xml:space="preserve">        └ 품목리스트</v>
      </c>
      <c r="C73" s="27" t="str">
        <f t="shared" si="4"/>
        <v>14821</v>
      </c>
      <c r="D73" s="121"/>
      <c r="E73" s="21">
        <v>230004</v>
      </c>
      <c r="F73" s="118" t="s">
        <v>149</v>
      </c>
      <c r="G73" s="118"/>
      <c r="H73" s="118"/>
      <c r="I73" s="118"/>
      <c r="J73" s="118"/>
      <c r="K73" s="21" t="str">
        <f t="shared" si="5"/>
        <v>1</v>
      </c>
      <c r="L73" s="21">
        <v>1</v>
      </c>
      <c r="M73" s="21" t="str">
        <f t="shared" si="6"/>
        <v>1</v>
      </c>
      <c r="N73" s="118" t="s">
        <v>145</v>
      </c>
      <c r="O73" s="118" t="s">
        <v>150</v>
      </c>
      <c r="P73" s="21" t="str">
        <f t="shared" si="7"/>
        <v>1</v>
      </c>
      <c r="Q73" s="21" t="str">
        <f t="shared" si="8"/>
        <v>1</v>
      </c>
      <c r="R73" s="21" t="str">
        <f t="shared" si="9"/>
        <v>1</v>
      </c>
      <c r="S73" s="21" t="str">
        <f t="shared" si="10"/>
        <v>1</v>
      </c>
      <c r="T73" s="21" t="str">
        <f t="shared" si="11"/>
        <v>1</v>
      </c>
      <c r="U73" s="21" t="str">
        <f t="shared" si="12"/>
        <v>1</v>
      </c>
      <c r="V73" s="21" t="str">
        <f t="shared" si="13"/>
        <v>1</v>
      </c>
      <c r="W73" s="21"/>
      <c r="X73" s="21" t="str">
        <f t="shared" si="14"/>
        <v>0</v>
      </c>
      <c r="Y73" s="21" t="str">
        <f t="shared" si="15"/>
        <v>0</v>
      </c>
      <c r="Z73" s="21" t="str">
        <f t="shared" si="16"/>
        <v>0</v>
      </c>
      <c r="AA73" s="118"/>
      <c r="AB73" s="118"/>
      <c r="AC73" s="118"/>
      <c r="AD73" s="118"/>
      <c r="AE73" s="118" t="s">
        <v>51</v>
      </c>
      <c r="AF73" s="118"/>
      <c r="AG73" s="118"/>
      <c r="AH73" s="26" t="s">
        <v>124</v>
      </c>
      <c r="AI73" s="26" t="s">
        <v>113</v>
      </c>
      <c r="AJ73" s="26">
        <v>12100</v>
      </c>
      <c r="AK73" s="121" t="str">
        <f t="shared" si="0"/>
        <v>0</v>
      </c>
      <c r="AL73" s="123" t="str">
        <f t="shared" si="1"/>
        <v>14821/품목리스트/item/ItemList</v>
      </c>
      <c r="AM73" s="21"/>
      <c r="AN73" s="124"/>
      <c r="AO73" s="124" t="s">
        <v>1829</v>
      </c>
      <c r="AP73" s="124" t="s">
        <v>1829</v>
      </c>
      <c r="AQ73" s="124" t="s">
        <v>1829</v>
      </c>
      <c r="AR73" s="124" t="s">
        <v>1829</v>
      </c>
      <c r="AS73" s="124" t="s">
        <v>1829</v>
      </c>
      <c r="AT73" s="124" t="s">
        <v>1937</v>
      </c>
      <c r="AU73" s="124" t="str">
        <f t="shared" si="17"/>
        <v>B230004</v>
      </c>
      <c r="AV73" s="124" t="s">
        <v>2482</v>
      </c>
      <c r="AW73" s="117" t="s">
        <v>2078</v>
      </c>
      <c r="AX73" s="138" t="str">
        <f t="shared" si="21"/>
        <v>delete from module_mst where pjt_id = '14821' and menu_id = '230004';</v>
      </c>
      <c r="AY73" s="31" t="str">
        <f>IF(C73&lt;&gt;"",CREATE_QUERY($D$1,C$2:AW$2,C73:AW73),"")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'230004', '품목리스트', '', '', '', '', '1', '1', '1', 'item', 'ItemList', '1', '1', '1', '1', '1', '1', '1', '', '0', '0', '0', '', '', '', '', 'N', '', '', '230000', '5', '12100', '0', '14821/품목리스트/item/ItemList', '', '', 'Y', 'Y', 'Y', 'Y', 'Y', 'B', 'MES-TD3-143', '등록 또는 수정 권한이 없는 사용자의 품목코드 조회');</v>
      </c>
    </row>
    <row r="74" spans="1:51">
      <c r="A74" s="1">
        <v>52</v>
      </c>
      <c r="B74" s="121" t="str">
        <f t="shared" si="22"/>
        <v xml:space="preserve">        └ BOM 변경 관리</v>
      </c>
      <c r="C74" s="27" t="str">
        <f t="shared" si="4"/>
        <v>14821</v>
      </c>
      <c r="D74" s="121"/>
      <c r="E74" s="21">
        <v>230005</v>
      </c>
      <c r="F74" s="118" t="s">
        <v>2929</v>
      </c>
      <c r="G74" s="118"/>
      <c r="H74" s="118"/>
      <c r="I74" s="118"/>
      <c r="J74" s="118"/>
      <c r="K74" s="21" t="str">
        <f t="shared" si="5"/>
        <v>1</v>
      </c>
      <c r="L74" s="21">
        <v>1</v>
      </c>
      <c r="M74" s="21" t="str">
        <f t="shared" si="6"/>
        <v>1</v>
      </c>
      <c r="N74" s="118" t="s">
        <v>145</v>
      </c>
      <c r="O74" s="118" t="s">
        <v>160</v>
      </c>
      <c r="P74" s="21" t="str">
        <f t="shared" si="7"/>
        <v>1</v>
      </c>
      <c r="Q74" s="21" t="str">
        <f t="shared" si="8"/>
        <v>1</v>
      </c>
      <c r="R74" s="21" t="str">
        <f t="shared" si="9"/>
        <v>1</v>
      </c>
      <c r="S74" s="21" t="str">
        <f t="shared" si="10"/>
        <v>1</v>
      </c>
      <c r="T74" s="21" t="str">
        <f t="shared" si="11"/>
        <v>1</v>
      </c>
      <c r="U74" s="21" t="str">
        <f t="shared" si="12"/>
        <v>1</v>
      </c>
      <c r="V74" s="21" t="str">
        <f t="shared" si="13"/>
        <v>1</v>
      </c>
      <c r="W74" s="21"/>
      <c r="X74" s="21" t="str">
        <f t="shared" si="14"/>
        <v>0</v>
      </c>
      <c r="Y74" s="21" t="str">
        <f t="shared" si="15"/>
        <v>0</v>
      </c>
      <c r="Z74" s="21" t="str">
        <f t="shared" si="16"/>
        <v>0</v>
      </c>
      <c r="AA74" s="118"/>
      <c r="AB74" s="118"/>
      <c r="AC74" s="118"/>
      <c r="AD74" s="118"/>
      <c r="AE74" s="118" t="s">
        <v>51</v>
      </c>
      <c r="AF74" s="118"/>
      <c r="AG74" s="118"/>
      <c r="AH74" s="26" t="s">
        <v>124</v>
      </c>
      <c r="AI74" s="26" t="s">
        <v>113</v>
      </c>
      <c r="AJ74" s="26">
        <v>12150</v>
      </c>
      <c r="AK74" s="121" t="str">
        <f t="shared" si="0"/>
        <v>0</v>
      </c>
      <c r="AL74" s="123" t="str">
        <f t="shared" si="1"/>
        <v>14821/BOM 변경 관리/item/EcoMast</v>
      </c>
      <c r="AM74" s="21"/>
      <c r="AN74" s="124"/>
      <c r="AO74" s="124" t="s">
        <v>1829</v>
      </c>
      <c r="AP74" s="124" t="s">
        <v>1829</v>
      </c>
      <c r="AQ74" s="124"/>
      <c r="AR74" s="124" t="s">
        <v>1829</v>
      </c>
      <c r="AS74" s="124"/>
      <c r="AT74" s="124" t="s">
        <v>1937</v>
      </c>
      <c r="AU74" s="124" t="str">
        <f t="shared" si="17"/>
        <v>B230005</v>
      </c>
      <c r="AV74" s="124" t="s">
        <v>2487</v>
      </c>
      <c r="AW74" s="117" t="s">
        <v>1879</v>
      </c>
      <c r="AX74" s="138" t="str">
        <f t="shared" si="21"/>
        <v>delete from module_mst where pjt_id = '14821' and menu_id = '230005';</v>
      </c>
      <c r="AY74" s="31" t="str">
        <f>IF(C74&lt;&gt;"",CREATE_QUERY($D$1,C$2:AW$2,C74:AW74),"")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'230005', 'BOM 변경 관리', '', '', '', '', '1', '1', '1', 'item', 'EcoMast', '1', '1', '1', '1', '1', '1', '1', '', '0', '0', '0', '', '', '', '', 'N', '', '', '230000', '5', '12150', '0', '14821/BOM 변경 관리/item/EcoMast', '', '', 'Y', 'Y', '', 'Y', '', 'B', 'MES-TD3-144', 'BOM 수정 자료 등록 및 승인 입력');</v>
      </c>
    </row>
    <row r="75" spans="1:51">
      <c r="A75" s="1">
        <v>53</v>
      </c>
      <c r="B75" s="121" t="str">
        <f t="shared" si="22"/>
        <v xml:space="preserve">        └ BOM List</v>
      </c>
      <c r="C75" s="27" t="str">
        <f t="shared" si="4"/>
        <v>14821</v>
      </c>
      <c r="D75" s="121"/>
      <c r="E75" s="21">
        <v>230006</v>
      </c>
      <c r="F75" s="118" t="s">
        <v>161</v>
      </c>
      <c r="G75" s="118"/>
      <c r="H75" s="118"/>
      <c r="I75" s="118"/>
      <c r="J75" s="118"/>
      <c r="K75" s="21" t="str">
        <f t="shared" si="5"/>
        <v>1</v>
      </c>
      <c r="L75" s="21">
        <v>1</v>
      </c>
      <c r="M75" s="21" t="str">
        <f t="shared" si="6"/>
        <v>1</v>
      </c>
      <c r="N75" s="118" t="s">
        <v>145</v>
      </c>
      <c r="O75" s="118" t="s">
        <v>162</v>
      </c>
      <c r="P75" s="21" t="str">
        <f t="shared" si="7"/>
        <v>1</v>
      </c>
      <c r="Q75" s="21" t="str">
        <f t="shared" si="8"/>
        <v>1</v>
      </c>
      <c r="R75" s="21" t="str">
        <f t="shared" si="9"/>
        <v>1</v>
      </c>
      <c r="S75" s="21" t="str">
        <f t="shared" si="10"/>
        <v>1</v>
      </c>
      <c r="T75" s="21" t="str">
        <f t="shared" si="11"/>
        <v>1</v>
      </c>
      <c r="U75" s="21" t="str">
        <f t="shared" si="12"/>
        <v>1</v>
      </c>
      <c r="V75" s="21" t="str">
        <f t="shared" si="13"/>
        <v>1</v>
      </c>
      <c r="W75" s="21"/>
      <c r="X75" s="21" t="str">
        <f t="shared" si="14"/>
        <v>0</v>
      </c>
      <c r="Y75" s="21" t="str">
        <f t="shared" si="15"/>
        <v>0</v>
      </c>
      <c r="Z75" s="21" t="str">
        <f t="shared" si="16"/>
        <v>0</v>
      </c>
      <c r="AA75" s="118"/>
      <c r="AB75" s="118"/>
      <c r="AC75" s="118"/>
      <c r="AD75" s="118"/>
      <c r="AE75" s="118" t="s">
        <v>51</v>
      </c>
      <c r="AF75" s="118"/>
      <c r="AG75" s="118"/>
      <c r="AH75" s="26" t="s">
        <v>124</v>
      </c>
      <c r="AI75" s="26" t="s">
        <v>113</v>
      </c>
      <c r="AJ75" s="26">
        <v>12200</v>
      </c>
      <c r="AK75" s="121" t="str">
        <f>IF(B76="","","0")</f>
        <v>0</v>
      </c>
      <c r="AL75" s="123" t="str">
        <f t="shared" si="1"/>
        <v>14821/BOM List/item/BomList</v>
      </c>
      <c r="AM75" s="21"/>
      <c r="AN75" s="124"/>
      <c r="AO75" s="124" t="s">
        <v>1829</v>
      </c>
      <c r="AP75" s="124" t="s">
        <v>1829</v>
      </c>
      <c r="AQ75" s="124"/>
      <c r="AR75" s="124" t="s">
        <v>1829</v>
      </c>
      <c r="AS75" s="124"/>
      <c r="AT75" s="124" t="s">
        <v>1937</v>
      </c>
      <c r="AU75" s="124" t="str">
        <f t="shared" si="17"/>
        <v>B230006</v>
      </c>
      <c r="AV75" s="124" t="s">
        <v>2488</v>
      </c>
      <c r="AW75" s="117" t="s">
        <v>1880</v>
      </c>
      <c r="AX75" s="138" t="str">
        <f t="shared" si="21"/>
        <v>delete from module_mst where pjt_id = '14821' and menu_id = '230006';</v>
      </c>
      <c r="AY75" s="31" t="str">
        <f>IF(C75&lt;&gt;"",CREATE_QUERY($D$1,C$2:AW$2,C75:AW75),"")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'230006', 'BOM List', '', '', '', '', '1', '1', '1', 'item', 'BomList', '1', '1', '1', '1', '1', '1', '1', '', '0', '0', '0', '', '', '', '', 'N', '', '', '230000', '5', '12200', '0', '14821/BOM List/item/BomList', '', '', 'Y', 'Y', '', 'Y', '', 'B', 'MES-TD3-145', 'BOM List 조회');</v>
      </c>
    </row>
    <row r="76" spans="1:51" hidden="1">
      <c r="A76" s="1">
        <v>53</v>
      </c>
      <c r="B76" s="121" t="str">
        <f t="shared" si="22"/>
        <v xml:space="preserve">        └ (두인)BOM List</v>
      </c>
      <c r="C76" s="27" t="str">
        <f t="shared" si="4"/>
        <v>14821</v>
      </c>
      <c r="D76" s="121"/>
      <c r="E76" s="21">
        <v>230007</v>
      </c>
      <c r="F76" s="118" t="s">
        <v>161</v>
      </c>
      <c r="G76" s="118"/>
      <c r="H76" s="118"/>
      <c r="I76" s="118"/>
      <c r="J76" s="118"/>
      <c r="K76" s="21" t="str">
        <f t="shared" si="5"/>
        <v>1</v>
      </c>
      <c r="L76" s="21">
        <v>1</v>
      </c>
      <c r="M76" s="21" t="str">
        <f t="shared" si="6"/>
        <v>1</v>
      </c>
      <c r="N76" s="118" t="s">
        <v>145</v>
      </c>
      <c r="O76" s="118" t="s">
        <v>2047</v>
      </c>
      <c r="P76" s="21" t="str">
        <f t="shared" si="7"/>
        <v>1</v>
      </c>
      <c r="Q76" s="21" t="str">
        <f t="shared" si="8"/>
        <v>1</v>
      </c>
      <c r="R76" s="21" t="str">
        <f t="shared" si="9"/>
        <v>1</v>
      </c>
      <c r="S76" s="21" t="str">
        <f t="shared" si="10"/>
        <v>1</v>
      </c>
      <c r="T76" s="21" t="str">
        <f t="shared" si="11"/>
        <v>1</v>
      </c>
      <c r="U76" s="21" t="str">
        <f t="shared" si="12"/>
        <v>1</v>
      </c>
      <c r="V76" s="21" t="str">
        <f t="shared" si="13"/>
        <v>1</v>
      </c>
      <c r="W76" s="21"/>
      <c r="X76" s="21" t="str">
        <f t="shared" si="14"/>
        <v>0</v>
      </c>
      <c r="Y76" s="21" t="str">
        <f t="shared" si="15"/>
        <v>0</v>
      </c>
      <c r="Z76" s="21" t="str">
        <f t="shared" si="16"/>
        <v>0</v>
      </c>
      <c r="AA76" s="118"/>
      <c r="AB76" s="118"/>
      <c r="AC76" s="118"/>
      <c r="AD76" s="118"/>
      <c r="AE76" s="118" t="s">
        <v>51</v>
      </c>
      <c r="AF76" s="118"/>
      <c r="AG76" s="118"/>
      <c r="AH76" s="26" t="s">
        <v>124</v>
      </c>
      <c r="AI76" s="26" t="s">
        <v>113</v>
      </c>
      <c r="AJ76" s="26">
        <v>12250</v>
      </c>
      <c r="AK76" s="121" t="str">
        <f t="shared" si="0"/>
        <v>0</v>
      </c>
      <c r="AL76" s="123" t="str">
        <f t="shared" si="1"/>
        <v>14821/BOM List/item/BomListV2</v>
      </c>
      <c r="AM76" s="21" t="s">
        <v>1886</v>
      </c>
      <c r="AN76" s="124"/>
      <c r="AO76" s="124" t="s">
        <v>1829</v>
      </c>
      <c r="AP76" s="124" t="s">
        <v>1829</v>
      </c>
      <c r="AQ76" s="124"/>
      <c r="AR76" s="124" t="s">
        <v>1829</v>
      </c>
      <c r="AS76" s="124"/>
      <c r="AT76" s="124" t="s">
        <v>1937</v>
      </c>
      <c r="AU76" s="124" t="str">
        <f t="shared" si="17"/>
        <v>B230007</v>
      </c>
      <c r="AV76" s="124" t="s">
        <v>2489</v>
      </c>
      <c r="AW76" s="117" t="s">
        <v>1880</v>
      </c>
      <c r="AX76" s="138" t="str">
        <f t="shared" si="21"/>
        <v>delete from module_mst where pjt_id = '14821' and menu_id = '230007';</v>
      </c>
      <c r="AY76" s="31" t="str">
        <f>IF(C76&lt;&gt;"",CREATE_QUERY($D$1,C$2:AW$2,C76:AW76),"")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'230007', 'BOM List', '', '', '', '', '1', '1', '1', 'item', 'BomListV2', '1', '1', '1', '1', '1', '1', '1', '', '0', '0', '0', '', '', '', '', 'N', '', '', '230000', '5', '12250', '0', '14821/BOM List/item/BomListV2', '(두인)', '', 'Y', 'Y', '', 'Y', '', 'B', 'MES-TD3-146', 'BOM List 조회');</v>
      </c>
    </row>
    <row r="77" spans="1:51" hidden="1">
      <c r="A77" s="1">
        <v>53</v>
      </c>
      <c r="B77" s="121" t="str">
        <f t="shared" si="22"/>
        <v xml:space="preserve">        └ (두인)착색정보 관리</v>
      </c>
      <c r="C77" s="27" t="str">
        <f t="shared" si="4"/>
        <v>14821</v>
      </c>
      <c r="D77" s="121"/>
      <c r="E77" s="21">
        <v>230008</v>
      </c>
      <c r="F77" s="118" t="s">
        <v>2301</v>
      </c>
      <c r="G77" s="118"/>
      <c r="H77" s="118"/>
      <c r="I77" s="118"/>
      <c r="J77" s="118"/>
      <c r="K77" s="21" t="str">
        <f t="shared" si="5"/>
        <v>1</v>
      </c>
      <c r="L77" s="21">
        <v>1</v>
      </c>
      <c r="M77" s="21" t="str">
        <f t="shared" si="6"/>
        <v>1</v>
      </c>
      <c r="N77" s="118" t="s">
        <v>145</v>
      </c>
      <c r="O77" s="118" t="s">
        <v>2302</v>
      </c>
      <c r="P77" s="21" t="str">
        <f t="shared" si="7"/>
        <v>1</v>
      </c>
      <c r="Q77" s="21" t="str">
        <f t="shared" si="8"/>
        <v>1</v>
      </c>
      <c r="R77" s="21" t="str">
        <f t="shared" si="9"/>
        <v>1</v>
      </c>
      <c r="S77" s="21" t="str">
        <f t="shared" si="10"/>
        <v>1</v>
      </c>
      <c r="T77" s="21" t="str">
        <f t="shared" si="11"/>
        <v>1</v>
      </c>
      <c r="U77" s="21" t="str">
        <f t="shared" si="12"/>
        <v>1</v>
      </c>
      <c r="V77" s="21" t="str">
        <f t="shared" si="13"/>
        <v>1</v>
      </c>
      <c r="W77" s="21"/>
      <c r="X77" s="21" t="str">
        <f t="shared" si="14"/>
        <v>0</v>
      </c>
      <c r="Y77" s="21" t="str">
        <f t="shared" si="15"/>
        <v>0</v>
      </c>
      <c r="Z77" s="21" t="str">
        <f t="shared" si="16"/>
        <v>0</v>
      </c>
      <c r="AA77" s="118"/>
      <c r="AB77" s="118"/>
      <c r="AC77" s="118"/>
      <c r="AD77" s="118"/>
      <c r="AE77" s="118" t="s">
        <v>51</v>
      </c>
      <c r="AF77" s="118"/>
      <c r="AG77" s="118"/>
      <c r="AH77" s="26" t="s">
        <v>124</v>
      </c>
      <c r="AI77" s="26" t="s">
        <v>113</v>
      </c>
      <c r="AJ77" s="26">
        <v>12300</v>
      </c>
      <c r="AK77" s="121" t="str">
        <f t="shared" si="0"/>
        <v>0</v>
      </c>
      <c r="AL77" s="123" t="str">
        <f t="shared" si="1"/>
        <v>14821/착색정보 관리/item/ColorMix</v>
      </c>
      <c r="AM77" s="21" t="s">
        <v>1886</v>
      </c>
      <c r="AN77" s="124"/>
      <c r="AO77" s="124" t="s">
        <v>1829</v>
      </c>
      <c r="AP77" s="124" t="s">
        <v>1829</v>
      </c>
      <c r="AQ77" s="124"/>
      <c r="AR77" s="124" t="s">
        <v>1829</v>
      </c>
      <c r="AS77" s="124"/>
      <c r="AT77" s="124" t="s">
        <v>1937</v>
      </c>
      <c r="AU77" s="124" t="str">
        <f t="shared" si="17"/>
        <v>B230008</v>
      </c>
      <c r="AV77" s="124" t="s">
        <v>2490</v>
      </c>
      <c r="AW77" s="117" t="s">
        <v>2303</v>
      </c>
      <c r="AX77" s="138" t="str">
        <f t="shared" si="21"/>
        <v>delete from module_mst where pjt_id = '14821' and menu_id = '230008';</v>
      </c>
      <c r="AY77" s="31" t="str">
        <f>IF(C77&lt;&gt;"",CREATE_QUERY($D$1,C$2:AW$2,C77:AW77),"")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'230008', '착색정보 관리', '', '', '', '', '1', '1', '1', 'item', 'ColorMix', '1', '1', '1', '1', '1', '1', '1', '', '0', '0', '0', '', '', '', '', 'N', '', '', '230000', '5', '12300', '0', '14821/착색정보 관리/item/ColorMix', '(두인)', '', 'Y', 'Y', '', 'Y', '', 'B', 'MES-TD3-147', 'for 두인 품목별 착색정보 관리');</v>
      </c>
    </row>
    <row r="78" spans="1:51" hidden="1">
      <c r="A78" s="1">
        <v>49</v>
      </c>
      <c r="B78" s="121" t="str">
        <f t="shared" si="22"/>
        <v xml:space="preserve">        └ (뉴볼텍)볼트호칭관리</v>
      </c>
      <c r="C78" s="27" t="str">
        <f>IF(F78="","","14821")</f>
        <v>14821</v>
      </c>
      <c r="D78" s="121"/>
      <c r="E78" s="21">
        <v>230009</v>
      </c>
      <c r="F78" s="118" t="s">
        <v>2336</v>
      </c>
      <c r="G78" s="118"/>
      <c r="H78" s="118"/>
      <c r="I78" s="118"/>
      <c r="J78" s="118"/>
      <c r="K78" s="21" t="str">
        <f t="shared" si="5"/>
        <v>1</v>
      </c>
      <c r="L78" s="21">
        <v>1</v>
      </c>
      <c r="M78" s="21" t="str">
        <f t="shared" si="6"/>
        <v>1</v>
      </c>
      <c r="N78" s="118" t="s">
        <v>145</v>
      </c>
      <c r="O78" s="118" t="s">
        <v>2337</v>
      </c>
      <c r="P78" s="21" t="str">
        <f t="shared" si="7"/>
        <v>1</v>
      </c>
      <c r="Q78" s="21" t="str">
        <f t="shared" si="8"/>
        <v>1</v>
      </c>
      <c r="R78" s="21" t="str">
        <f t="shared" si="9"/>
        <v>1</v>
      </c>
      <c r="S78" s="21" t="str">
        <f t="shared" si="10"/>
        <v>1</v>
      </c>
      <c r="T78" s="21" t="str">
        <f t="shared" si="11"/>
        <v>1</v>
      </c>
      <c r="U78" s="21" t="str">
        <f t="shared" si="12"/>
        <v>1</v>
      </c>
      <c r="V78" s="21" t="str">
        <f t="shared" si="13"/>
        <v>1</v>
      </c>
      <c r="W78" s="21"/>
      <c r="X78" s="21" t="str">
        <f t="shared" si="14"/>
        <v>0</v>
      </c>
      <c r="Y78" s="21" t="str">
        <f t="shared" si="15"/>
        <v>0</v>
      </c>
      <c r="Z78" s="21" t="str">
        <f t="shared" si="16"/>
        <v>0</v>
      </c>
      <c r="AA78" s="118"/>
      <c r="AB78" s="118"/>
      <c r="AC78" s="118"/>
      <c r="AD78" s="118"/>
      <c r="AE78" s="118" t="s">
        <v>51</v>
      </c>
      <c r="AF78" s="118"/>
      <c r="AG78" s="118"/>
      <c r="AH78" s="26" t="s">
        <v>124</v>
      </c>
      <c r="AI78" s="26" t="s">
        <v>113</v>
      </c>
      <c r="AJ78" s="26">
        <v>11950</v>
      </c>
      <c r="AK78" s="121" t="str">
        <f t="shared" si="0"/>
        <v>0</v>
      </c>
      <c r="AL78" s="123" t="str">
        <f t="shared" si="1"/>
        <v>14821/볼트호칭관리/item/BoltNumb</v>
      </c>
      <c r="AM78" s="21" t="s">
        <v>2073</v>
      </c>
      <c r="AN78" s="124"/>
      <c r="AO78" s="124" t="s">
        <v>1829</v>
      </c>
      <c r="AP78" s="124" t="s">
        <v>1829</v>
      </c>
      <c r="AQ78" s="124" t="s">
        <v>1829</v>
      </c>
      <c r="AR78" s="124" t="s">
        <v>1829</v>
      </c>
      <c r="AS78" s="124" t="s">
        <v>1829</v>
      </c>
      <c r="AT78" s="124" t="s">
        <v>1937</v>
      </c>
      <c r="AU78" s="124" t="str">
        <f t="shared" si="17"/>
        <v>B230009</v>
      </c>
      <c r="AV78" s="124" t="s">
        <v>2491</v>
      </c>
      <c r="AW78" s="117" t="s">
        <v>2338</v>
      </c>
      <c r="AX78" s="138" t="str">
        <f t="shared" si="21"/>
        <v>delete from module_mst where pjt_id = '14821' and menu_id = '230009';</v>
      </c>
      <c r="AY78" s="31" t="str">
        <f>IF(C78&lt;&gt;"",CREATE_QUERY($D$1,C$2:AW$2,C78:AW78),"")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'230009', '볼트호칭관리', '', '', '', '', '1', '1', '1', 'item', 'BoltNumb', '1', '1', '1', '1', '1', '1', '1', '', '0', '0', '0', '', '', '', '', 'N', '', '', '230000', '5', '11950', '0', '14821/볼트호칭관리/item/BoltNumb', '(뉴볼텍)', '', 'Y', 'Y', 'Y', 'Y', 'Y', 'B', 'MES-TD3-148', '볼트 금형 제작업체에서 사용하는 볼트 호칭 관리');</v>
      </c>
    </row>
    <row r="79" spans="1:51" hidden="1">
      <c r="A79" s="1">
        <v>49</v>
      </c>
      <c r="B79" s="121" t="str">
        <f t="shared" si="22"/>
        <v xml:space="preserve">        └ (인코팩)제조사양관리</v>
      </c>
      <c r="C79" s="27" t="str">
        <f t="shared" si="4"/>
        <v>14821</v>
      </c>
      <c r="D79" s="121"/>
      <c r="E79" s="21">
        <v>230010</v>
      </c>
      <c r="F79" s="118" t="s">
        <v>2387</v>
      </c>
      <c r="G79" s="118"/>
      <c r="H79" s="118"/>
      <c r="I79" s="118"/>
      <c r="J79" s="118"/>
      <c r="K79" s="21" t="str">
        <f t="shared" si="5"/>
        <v>1</v>
      </c>
      <c r="L79" s="21">
        <v>1</v>
      </c>
      <c r="M79" s="21" t="str">
        <f t="shared" si="6"/>
        <v>1</v>
      </c>
      <c r="N79" s="118" t="s">
        <v>2400</v>
      </c>
      <c r="O79" s="118" t="s">
        <v>2388</v>
      </c>
      <c r="P79" s="21" t="str">
        <f t="shared" si="7"/>
        <v>1</v>
      </c>
      <c r="Q79" s="21" t="str">
        <f t="shared" si="8"/>
        <v>1</v>
      </c>
      <c r="R79" s="21" t="str">
        <f t="shared" si="9"/>
        <v>1</v>
      </c>
      <c r="S79" s="21" t="str">
        <f t="shared" si="10"/>
        <v>1</v>
      </c>
      <c r="T79" s="21" t="str">
        <f t="shared" si="11"/>
        <v>1</v>
      </c>
      <c r="U79" s="21" t="str">
        <f t="shared" si="12"/>
        <v>1</v>
      </c>
      <c r="V79" s="21" t="str">
        <f t="shared" si="13"/>
        <v>1</v>
      </c>
      <c r="W79" s="21"/>
      <c r="X79" s="21" t="str">
        <f t="shared" si="14"/>
        <v>0</v>
      </c>
      <c r="Y79" s="21" t="str">
        <f t="shared" si="15"/>
        <v>0</v>
      </c>
      <c r="Z79" s="21" t="str">
        <f t="shared" si="16"/>
        <v>0</v>
      </c>
      <c r="AA79" s="118"/>
      <c r="AB79" s="118"/>
      <c r="AC79" s="118"/>
      <c r="AD79" s="118"/>
      <c r="AE79" s="118" t="s">
        <v>51</v>
      </c>
      <c r="AF79" s="118"/>
      <c r="AG79" s="118"/>
      <c r="AH79" s="26" t="s">
        <v>124</v>
      </c>
      <c r="AI79" s="26" t="s">
        <v>113</v>
      </c>
      <c r="AJ79" s="26">
        <v>12350</v>
      </c>
      <c r="AK79" s="121" t="str">
        <f t="shared" si="0"/>
        <v>0</v>
      </c>
      <c r="AL79" s="123" t="str">
        <f t="shared" si="1"/>
        <v>14821/제조사양관리/custom.inkopack.basic/MadeStnd</v>
      </c>
      <c r="AM79" s="21" t="s">
        <v>2386</v>
      </c>
      <c r="AN79" s="124"/>
      <c r="AO79" s="124"/>
      <c r="AP79" s="124"/>
      <c r="AQ79" s="124"/>
      <c r="AR79" s="124"/>
      <c r="AS79" s="124"/>
      <c r="AT79" s="124" t="s">
        <v>1937</v>
      </c>
      <c r="AU79" s="124" t="str">
        <f t="shared" si="17"/>
        <v>B230010</v>
      </c>
      <c r="AV79" s="124" t="s">
        <v>2492</v>
      </c>
      <c r="AW79" s="117" t="s">
        <v>2389</v>
      </c>
      <c r="AX79" s="138" t="str">
        <f t="shared" si="21"/>
        <v>delete from module_mst where pjt_id = '14821' and menu_id = '230010';</v>
      </c>
      <c r="AY79" s="31" t="str">
        <f>IF(C79&lt;&gt;"",CREATE_QUERY($D$1,C$2:AW$2,C79:AW79),"")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'230010', '제조사양관리', '', '', '', '', '1', '1', '1', 'custom.inkopack.basic', 'MadeStnd', '1', '1', '1', '1', '1', '1', '1', '', '0', '0', '0', '', '', '', '', 'N', '', '', '230000', '5', '12350', '0', '14821/제조사양관리/custom.inkopack.basic/MadeStnd', '(인코팩)', '', '', '', '', '', '', 'B', 'MES-TD3-149', 'for 인코팩 완제품 제품 사양을 등록하고 조회한다. ');</v>
      </c>
    </row>
    <row r="80" spans="1:51">
      <c r="A80" s="1">
        <v>49</v>
      </c>
      <c r="B80" s="121" t="str">
        <f t="shared" si="22"/>
        <v xml:space="preserve">        └ 품목단가관리</v>
      </c>
      <c r="C80" s="27" t="str">
        <f t="shared" si="4"/>
        <v>14821</v>
      </c>
      <c r="D80" s="121"/>
      <c r="E80" s="21">
        <v>230011</v>
      </c>
      <c r="F80" s="118" t="s">
        <v>2934</v>
      </c>
      <c r="G80" s="118"/>
      <c r="H80" s="118"/>
      <c r="I80" s="118"/>
      <c r="J80" s="118"/>
      <c r="K80" s="21" t="str">
        <f t="shared" si="5"/>
        <v>1</v>
      </c>
      <c r="L80" s="21">
        <v>1</v>
      </c>
      <c r="M80" s="21" t="str">
        <f t="shared" si="6"/>
        <v>1</v>
      </c>
      <c r="N80" s="118" t="s">
        <v>145</v>
      </c>
      <c r="O80" s="118" t="s">
        <v>2933</v>
      </c>
      <c r="P80" s="21" t="str">
        <f t="shared" si="7"/>
        <v>1</v>
      </c>
      <c r="Q80" s="21" t="str">
        <f t="shared" si="8"/>
        <v>1</v>
      </c>
      <c r="R80" s="21" t="str">
        <f t="shared" si="9"/>
        <v>1</v>
      </c>
      <c r="S80" s="21" t="str">
        <f t="shared" si="10"/>
        <v>1</v>
      </c>
      <c r="T80" s="21" t="str">
        <f t="shared" si="11"/>
        <v>1</v>
      </c>
      <c r="U80" s="21" t="str">
        <f t="shared" si="12"/>
        <v>1</v>
      </c>
      <c r="V80" s="21" t="str">
        <f t="shared" si="13"/>
        <v>1</v>
      </c>
      <c r="W80" s="21"/>
      <c r="X80" s="21" t="str">
        <f t="shared" si="14"/>
        <v>0</v>
      </c>
      <c r="Y80" s="21" t="str">
        <f t="shared" si="15"/>
        <v>0</v>
      </c>
      <c r="Z80" s="21" t="str">
        <f t="shared" si="16"/>
        <v>0</v>
      </c>
      <c r="AA80" s="118"/>
      <c r="AB80" s="118"/>
      <c r="AC80" s="118"/>
      <c r="AD80" s="118"/>
      <c r="AE80" s="118" t="s">
        <v>51</v>
      </c>
      <c r="AF80" s="118"/>
      <c r="AG80" s="118"/>
      <c r="AH80" s="26" t="s">
        <v>124</v>
      </c>
      <c r="AI80" s="26" t="s">
        <v>113</v>
      </c>
      <c r="AJ80" s="26">
        <v>12102</v>
      </c>
      <c r="AK80" s="121" t="str">
        <f t="shared" si="0"/>
        <v/>
      </c>
      <c r="AL80" s="123" t="str">
        <f t="shared" si="1"/>
        <v>14821/품목단가관리/item/ItemPrice</v>
      </c>
      <c r="AM80" s="21"/>
      <c r="AN80" s="124"/>
      <c r="AO80" s="124"/>
      <c r="AP80" s="124"/>
      <c r="AQ80" s="124"/>
      <c r="AR80" s="124"/>
      <c r="AS80" s="124"/>
      <c r="AT80" s="124" t="s">
        <v>1937</v>
      </c>
      <c r="AU80" s="124" t="str">
        <f t="shared" si="17"/>
        <v>B230011</v>
      </c>
      <c r="AV80" s="124" t="s">
        <v>2493</v>
      </c>
      <c r="AW80" s="117" t="s">
        <v>2935</v>
      </c>
      <c r="AX80" s="138" t="str">
        <f t="shared" si="21"/>
        <v>delete from module_mst where pjt_id = '14821' and menu_id = '230011';</v>
      </c>
      <c r="AY80" s="31" t="str">
        <f>IF(C80&lt;&gt;"",CREATE_QUERY($D$1,C$2:AW$2,C80:AW80),"")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'230011', '품목단가관리', '', '', '', '', '1', '1', '1', 'item', 'ItemPrice', '1', '1', '1', '1', '1', '1', '1', '', '0', '0', '0', '', '', '', '', 'N', '', '', '230000', '5', '12102', '', '14821/품목단가관리/item/ItemPrice', '', '', '', '', '', '', '', 'B', 'MES-TD3-150', '품목별 구매 및 판매단가를 등록한다. ');</v>
      </c>
    </row>
    <row r="81" spans="1:51">
      <c r="A81" s="1">
        <v>50</v>
      </c>
      <c r="B81" s="121" t="str">
        <f t="shared" si="22"/>
        <v/>
      </c>
      <c r="C81" s="27" t="str">
        <f t="shared" si="4"/>
        <v/>
      </c>
      <c r="D81" s="121"/>
      <c r="E81" s="21">
        <v>230012</v>
      </c>
      <c r="F81" s="118"/>
      <c r="G81" s="118"/>
      <c r="H81" s="118"/>
      <c r="I81" s="118"/>
      <c r="J81" s="118"/>
      <c r="K81" s="21" t="str">
        <f t="shared" si="5"/>
        <v/>
      </c>
      <c r="L81" s="21">
        <v>1</v>
      </c>
      <c r="M81" s="21" t="str">
        <f t="shared" si="6"/>
        <v>0</v>
      </c>
      <c r="N81" s="118"/>
      <c r="O81" s="118"/>
      <c r="P81" s="21" t="str">
        <f t="shared" si="7"/>
        <v>0</v>
      </c>
      <c r="Q81" s="21" t="str">
        <f t="shared" si="8"/>
        <v>0</v>
      </c>
      <c r="R81" s="21" t="str">
        <f t="shared" si="9"/>
        <v>0</v>
      </c>
      <c r="S81" s="21" t="str">
        <f t="shared" si="10"/>
        <v>0</v>
      </c>
      <c r="T81" s="21" t="str">
        <f t="shared" si="11"/>
        <v>0</v>
      </c>
      <c r="U81" s="21" t="str">
        <f t="shared" si="12"/>
        <v>0</v>
      </c>
      <c r="V81" s="21" t="str">
        <f t="shared" si="13"/>
        <v>1</v>
      </c>
      <c r="W81" s="21"/>
      <c r="X81" s="21" t="str">
        <f t="shared" si="14"/>
        <v/>
      </c>
      <c r="Y81" s="21" t="str">
        <f t="shared" si="15"/>
        <v/>
      </c>
      <c r="Z81" s="21" t="str">
        <f t="shared" si="16"/>
        <v/>
      </c>
      <c r="AA81" s="118"/>
      <c r="AB81" s="118"/>
      <c r="AC81" s="118"/>
      <c r="AD81" s="118"/>
      <c r="AE81" s="118" t="s">
        <v>51</v>
      </c>
      <c r="AF81" s="118"/>
      <c r="AG81" s="118"/>
      <c r="AH81" s="26" t="s">
        <v>124</v>
      </c>
      <c r="AI81" s="26" t="s">
        <v>113</v>
      </c>
      <c r="AJ81" s="26">
        <v>12450</v>
      </c>
      <c r="AK81" s="121" t="str">
        <f t="shared" si="0"/>
        <v/>
      </c>
      <c r="AL81" s="123" t="str">
        <f t="shared" si="1"/>
        <v/>
      </c>
      <c r="AM81" s="21"/>
      <c r="AN81" s="124"/>
      <c r="AO81" s="124"/>
      <c r="AP81" s="124"/>
      <c r="AQ81" s="124"/>
      <c r="AR81" s="124"/>
      <c r="AS81" s="124"/>
      <c r="AT81" s="124" t="s">
        <v>1937</v>
      </c>
      <c r="AU81" s="124" t="str">
        <f t="shared" si="17"/>
        <v/>
      </c>
      <c r="AV81" s="124" t="s">
        <v>2494</v>
      </c>
      <c r="AW81" s="117"/>
      <c r="AX81" s="138" t="str">
        <f t="shared" si="21"/>
        <v/>
      </c>
      <c r="AY81" s="31" t="str">
        <f>IF(C81&lt;&gt;"",CREATE_QUERY($D$1,C$2:AW$2,C81:AW81),"")</f>
        <v/>
      </c>
    </row>
    <row r="82" spans="1:51">
      <c r="A82" s="1">
        <v>51</v>
      </c>
      <c r="B82" s="121" t="str">
        <f t="shared" si="22"/>
        <v/>
      </c>
      <c r="C82" s="27" t="str">
        <f t="shared" si="4"/>
        <v/>
      </c>
      <c r="D82" s="121"/>
      <c r="E82" s="21">
        <v>230013</v>
      </c>
      <c r="F82" s="118"/>
      <c r="G82" s="118"/>
      <c r="H82" s="118"/>
      <c r="I82" s="118"/>
      <c r="J82" s="118"/>
      <c r="K82" s="21" t="str">
        <f t="shared" si="5"/>
        <v/>
      </c>
      <c r="L82" s="21">
        <v>1</v>
      </c>
      <c r="M82" s="21" t="str">
        <f t="shared" si="6"/>
        <v>0</v>
      </c>
      <c r="N82" s="118"/>
      <c r="O82" s="118"/>
      <c r="P82" s="21" t="str">
        <f t="shared" si="7"/>
        <v>0</v>
      </c>
      <c r="Q82" s="21" t="str">
        <f t="shared" si="8"/>
        <v>0</v>
      </c>
      <c r="R82" s="21" t="str">
        <f t="shared" si="9"/>
        <v>0</v>
      </c>
      <c r="S82" s="21" t="str">
        <f t="shared" si="10"/>
        <v>0</v>
      </c>
      <c r="T82" s="21" t="str">
        <f t="shared" si="11"/>
        <v>0</v>
      </c>
      <c r="U82" s="21" t="str">
        <f t="shared" si="12"/>
        <v>0</v>
      </c>
      <c r="V82" s="21" t="str">
        <f t="shared" si="13"/>
        <v>1</v>
      </c>
      <c r="W82" s="21"/>
      <c r="X82" s="21" t="str">
        <f t="shared" si="14"/>
        <v/>
      </c>
      <c r="Y82" s="21" t="str">
        <f t="shared" si="15"/>
        <v/>
      </c>
      <c r="Z82" s="21" t="str">
        <f t="shared" si="16"/>
        <v/>
      </c>
      <c r="AA82" s="118"/>
      <c r="AB82" s="118"/>
      <c r="AC82" s="118"/>
      <c r="AD82" s="118"/>
      <c r="AE82" s="118" t="s">
        <v>51</v>
      </c>
      <c r="AF82" s="118"/>
      <c r="AG82" s="118"/>
      <c r="AH82" s="26" t="s">
        <v>124</v>
      </c>
      <c r="AI82" s="26" t="s">
        <v>113</v>
      </c>
      <c r="AJ82" s="26">
        <v>12500</v>
      </c>
      <c r="AK82" s="121" t="str">
        <f t="shared" si="0"/>
        <v/>
      </c>
      <c r="AL82" s="123" t="str">
        <f t="shared" si="1"/>
        <v/>
      </c>
      <c r="AM82" s="21"/>
      <c r="AN82" s="124"/>
      <c r="AO82" s="124"/>
      <c r="AP82" s="124"/>
      <c r="AQ82" s="124"/>
      <c r="AR82" s="124"/>
      <c r="AS82" s="124"/>
      <c r="AT82" s="124" t="s">
        <v>1937</v>
      </c>
      <c r="AU82" s="124" t="str">
        <f t="shared" si="17"/>
        <v/>
      </c>
      <c r="AV82" s="124" t="s">
        <v>2495</v>
      </c>
      <c r="AW82" s="117"/>
      <c r="AX82" s="138" t="str">
        <f t="shared" si="21"/>
        <v/>
      </c>
      <c r="AY82" s="31" t="str">
        <f>IF(C82&lt;&gt;"",CREATE_QUERY($D$1,C$2:AW$2,C82:AW82),"")</f>
        <v/>
      </c>
    </row>
    <row r="83" spans="1:51">
      <c r="A83" s="1">
        <v>52</v>
      </c>
      <c r="B83" s="121" t="str">
        <f t="shared" si="22"/>
        <v/>
      </c>
      <c r="C83" s="27" t="str">
        <f t="shared" si="4"/>
        <v/>
      </c>
      <c r="D83" s="121"/>
      <c r="E83" s="21">
        <v>230014</v>
      </c>
      <c r="F83" s="118"/>
      <c r="G83" s="118"/>
      <c r="H83" s="118"/>
      <c r="I83" s="118"/>
      <c r="J83" s="118"/>
      <c r="K83" s="21" t="str">
        <f t="shared" si="5"/>
        <v/>
      </c>
      <c r="L83" s="21">
        <v>1</v>
      </c>
      <c r="M83" s="21" t="str">
        <f t="shared" si="6"/>
        <v>0</v>
      </c>
      <c r="N83" s="118"/>
      <c r="O83" s="118"/>
      <c r="P83" s="21" t="str">
        <f t="shared" si="7"/>
        <v>0</v>
      </c>
      <c r="Q83" s="21" t="str">
        <f t="shared" si="8"/>
        <v>0</v>
      </c>
      <c r="R83" s="21" t="str">
        <f t="shared" si="9"/>
        <v>0</v>
      </c>
      <c r="S83" s="21" t="str">
        <f t="shared" si="10"/>
        <v>0</v>
      </c>
      <c r="T83" s="21" t="str">
        <f t="shared" si="11"/>
        <v>0</v>
      </c>
      <c r="U83" s="21" t="str">
        <f t="shared" si="12"/>
        <v>0</v>
      </c>
      <c r="V83" s="21" t="str">
        <f t="shared" si="13"/>
        <v>1</v>
      </c>
      <c r="W83" s="21"/>
      <c r="X83" s="21" t="str">
        <f t="shared" si="14"/>
        <v/>
      </c>
      <c r="Y83" s="21" t="str">
        <f t="shared" si="15"/>
        <v/>
      </c>
      <c r="Z83" s="21" t="str">
        <f t="shared" si="16"/>
        <v/>
      </c>
      <c r="AA83" s="118"/>
      <c r="AB83" s="118"/>
      <c r="AC83" s="118"/>
      <c r="AD83" s="118"/>
      <c r="AE83" s="118" t="s">
        <v>51</v>
      </c>
      <c r="AF83" s="118"/>
      <c r="AG83" s="118"/>
      <c r="AH83" s="26" t="s">
        <v>124</v>
      </c>
      <c r="AI83" s="26" t="s">
        <v>113</v>
      </c>
      <c r="AJ83" s="26">
        <v>12550</v>
      </c>
      <c r="AK83" s="121" t="str">
        <f t="shared" ref="AK83:AK165" si="23">IF(B84="","","0")</f>
        <v/>
      </c>
      <c r="AL83" s="123" t="str">
        <f t="shared" si="1"/>
        <v/>
      </c>
      <c r="AM83" s="21"/>
      <c r="AN83" s="124"/>
      <c r="AO83" s="124"/>
      <c r="AP83" s="124"/>
      <c r="AQ83" s="124"/>
      <c r="AR83" s="124"/>
      <c r="AS83" s="124"/>
      <c r="AT83" s="124" t="s">
        <v>1937</v>
      </c>
      <c r="AU83" s="124" t="str">
        <f t="shared" si="17"/>
        <v/>
      </c>
      <c r="AV83" s="124" t="s">
        <v>2496</v>
      </c>
      <c r="AW83" s="117"/>
      <c r="AX83" s="138" t="str">
        <f t="shared" si="21"/>
        <v/>
      </c>
      <c r="AY83" s="31" t="str">
        <f>IF(C83&lt;&gt;"",CREATE_QUERY($D$1,C$2:AW$2,C83:AW83),"")</f>
        <v/>
      </c>
    </row>
    <row r="84" spans="1:51">
      <c r="A84" s="1">
        <v>53</v>
      </c>
      <c r="B84" s="121" t="str">
        <f t="shared" si="22"/>
        <v/>
      </c>
      <c r="C84" s="27" t="str">
        <f t="shared" si="4"/>
        <v/>
      </c>
      <c r="D84" s="121"/>
      <c r="E84" s="21">
        <v>230015</v>
      </c>
      <c r="F84" s="118"/>
      <c r="G84" s="118"/>
      <c r="H84" s="118"/>
      <c r="I84" s="118"/>
      <c r="J84" s="118"/>
      <c r="K84" s="21" t="str">
        <f t="shared" ref="K84:K166" si="24">IF(O84="","","1")</f>
        <v/>
      </c>
      <c r="L84" s="21">
        <v>1</v>
      </c>
      <c r="M84" s="21" t="str">
        <f t="shared" ref="M84:M166" si="25">IF(O84="","0","1")</f>
        <v>0</v>
      </c>
      <c r="N84" s="118"/>
      <c r="O84" s="118"/>
      <c r="P84" s="21" t="str">
        <f t="shared" ref="P84:P166" si="26">IF(O84="","0","1")</f>
        <v>0</v>
      </c>
      <c r="Q84" s="21" t="str">
        <f t="shared" ref="Q84:Q166" si="27">IF(O84="","0","1")</f>
        <v>0</v>
      </c>
      <c r="R84" s="21" t="str">
        <f t="shared" ref="R84:R166" si="28">IF(O84="","0","1")</f>
        <v>0</v>
      </c>
      <c r="S84" s="21" t="str">
        <f t="shared" ref="S84:S166" si="29">IF(O84="","0","1")</f>
        <v>0</v>
      </c>
      <c r="T84" s="21" t="str">
        <f t="shared" ref="T84:T166" si="30">IF(O84="","0","1")</f>
        <v>0</v>
      </c>
      <c r="U84" s="21" t="str">
        <f t="shared" ref="U84:U166" si="31">IF(O84="","0","1")</f>
        <v>0</v>
      </c>
      <c r="V84" s="21" t="str">
        <f t="shared" ref="V84:V166" si="32">IF(O84="","1","1")</f>
        <v>1</v>
      </c>
      <c r="W84" s="21"/>
      <c r="X84" s="21" t="str">
        <f t="shared" ref="X84:X166" si="33">IF(O84="","","0")</f>
        <v/>
      </c>
      <c r="Y84" s="21" t="str">
        <f t="shared" ref="Y84:Y166" si="34">IF(O84="","","0")</f>
        <v/>
      </c>
      <c r="Z84" s="21" t="str">
        <f t="shared" ref="Z84:Z166" si="35">IF(O84="","","0")</f>
        <v/>
      </c>
      <c r="AA84" s="118"/>
      <c r="AB84" s="118"/>
      <c r="AC84" s="118"/>
      <c r="AD84" s="118"/>
      <c r="AE84" s="118" t="s">
        <v>51</v>
      </c>
      <c r="AF84" s="118"/>
      <c r="AG84" s="118"/>
      <c r="AH84" s="26" t="s">
        <v>124</v>
      </c>
      <c r="AI84" s="26" t="s">
        <v>113</v>
      </c>
      <c r="AJ84" s="26">
        <v>12600</v>
      </c>
      <c r="AK84" s="121" t="str">
        <f t="shared" si="23"/>
        <v/>
      </c>
      <c r="AL84" s="123" t="str">
        <f t="shared" si="1"/>
        <v/>
      </c>
      <c r="AM84" s="21"/>
      <c r="AN84" s="124"/>
      <c r="AO84" s="124"/>
      <c r="AP84" s="124"/>
      <c r="AQ84" s="124"/>
      <c r="AR84" s="124"/>
      <c r="AS84" s="124"/>
      <c r="AT84" s="124" t="s">
        <v>1937</v>
      </c>
      <c r="AU84" s="124" t="str">
        <f t="shared" si="17"/>
        <v/>
      </c>
      <c r="AV84" s="124" t="s">
        <v>2497</v>
      </c>
      <c r="AW84" s="117"/>
      <c r="AX84" s="138" t="str">
        <f t="shared" si="21"/>
        <v/>
      </c>
      <c r="AY84" s="31" t="str">
        <f>IF(C84&lt;&gt;"",CREATE_QUERY($D$1,C$2:AW$2,C84:AW84),"")</f>
        <v/>
      </c>
    </row>
    <row r="85" spans="1:51">
      <c r="A85" s="1">
        <v>53</v>
      </c>
      <c r="B85" s="121" t="str">
        <f t="shared" si="22"/>
        <v/>
      </c>
      <c r="C85" s="27" t="str">
        <f t="shared" si="4"/>
        <v/>
      </c>
      <c r="D85" s="121"/>
      <c r="E85" s="21">
        <v>230016</v>
      </c>
      <c r="F85" s="118"/>
      <c r="G85" s="118"/>
      <c r="H85" s="118"/>
      <c r="I85" s="118"/>
      <c r="J85" s="118"/>
      <c r="K85" s="21" t="str">
        <f t="shared" si="24"/>
        <v/>
      </c>
      <c r="L85" s="21">
        <v>1</v>
      </c>
      <c r="M85" s="21" t="str">
        <f t="shared" si="25"/>
        <v>0</v>
      </c>
      <c r="N85" s="118"/>
      <c r="O85" s="118"/>
      <c r="P85" s="21" t="str">
        <f t="shared" si="26"/>
        <v>0</v>
      </c>
      <c r="Q85" s="21" t="str">
        <f t="shared" si="27"/>
        <v>0</v>
      </c>
      <c r="R85" s="21" t="str">
        <f t="shared" si="28"/>
        <v>0</v>
      </c>
      <c r="S85" s="21" t="str">
        <f t="shared" si="29"/>
        <v>0</v>
      </c>
      <c r="T85" s="21" t="str">
        <f t="shared" si="30"/>
        <v>0</v>
      </c>
      <c r="U85" s="21" t="str">
        <f t="shared" si="31"/>
        <v>0</v>
      </c>
      <c r="V85" s="21" t="str">
        <f t="shared" si="32"/>
        <v>1</v>
      </c>
      <c r="W85" s="21"/>
      <c r="X85" s="21" t="str">
        <f t="shared" si="33"/>
        <v/>
      </c>
      <c r="Y85" s="21" t="str">
        <f t="shared" si="34"/>
        <v/>
      </c>
      <c r="Z85" s="21" t="str">
        <f t="shared" si="35"/>
        <v/>
      </c>
      <c r="AA85" s="118"/>
      <c r="AB85" s="118"/>
      <c r="AC85" s="118"/>
      <c r="AD85" s="118"/>
      <c r="AE85" s="118" t="s">
        <v>51</v>
      </c>
      <c r="AF85" s="118"/>
      <c r="AG85" s="118"/>
      <c r="AH85" s="26" t="s">
        <v>124</v>
      </c>
      <c r="AI85" s="26" t="s">
        <v>113</v>
      </c>
      <c r="AJ85" s="26">
        <v>12650</v>
      </c>
      <c r="AK85" s="121" t="str">
        <f t="shared" si="23"/>
        <v/>
      </c>
      <c r="AL85" s="123" t="str">
        <f t="shared" si="1"/>
        <v/>
      </c>
      <c r="AM85" s="21"/>
      <c r="AN85" s="124"/>
      <c r="AO85" s="124"/>
      <c r="AP85" s="124"/>
      <c r="AQ85" s="124"/>
      <c r="AR85" s="124"/>
      <c r="AS85" s="124"/>
      <c r="AT85" s="124" t="s">
        <v>1937</v>
      </c>
      <c r="AU85" s="124" t="str">
        <f t="shared" si="17"/>
        <v/>
      </c>
      <c r="AV85" s="124" t="s">
        <v>2842</v>
      </c>
      <c r="AW85" s="117"/>
      <c r="AX85" s="138" t="str">
        <f t="shared" si="21"/>
        <v/>
      </c>
      <c r="AY85" s="31" t="str">
        <f>IF(C85&lt;&gt;"",CREATE_QUERY($D$1,C$2:AW$2,C85:AW85),"")</f>
        <v/>
      </c>
    </row>
    <row r="86" spans="1:51">
      <c r="A86" s="1">
        <v>53</v>
      </c>
      <c r="B86" s="121" t="str">
        <f t="shared" si="22"/>
        <v/>
      </c>
      <c r="C86" s="27" t="str">
        <f t="shared" ref="C86:C192" si="36">IF(F86="","","14821")</f>
        <v/>
      </c>
      <c r="D86" s="121"/>
      <c r="E86" s="21">
        <v>230017</v>
      </c>
      <c r="F86" s="118"/>
      <c r="G86" s="118"/>
      <c r="H86" s="118"/>
      <c r="I86" s="118"/>
      <c r="J86" s="118"/>
      <c r="K86" s="21" t="str">
        <f t="shared" si="24"/>
        <v/>
      </c>
      <c r="L86" s="21">
        <v>1</v>
      </c>
      <c r="M86" s="21" t="str">
        <f t="shared" si="25"/>
        <v>0</v>
      </c>
      <c r="N86" s="118"/>
      <c r="O86" s="118"/>
      <c r="P86" s="21" t="str">
        <f t="shared" si="26"/>
        <v>0</v>
      </c>
      <c r="Q86" s="21" t="str">
        <f t="shared" si="27"/>
        <v>0</v>
      </c>
      <c r="R86" s="21" t="str">
        <f t="shared" si="28"/>
        <v>0</v>
      </c>
      <c r="S86" s="21" t="str">
        <f t="shared" si="29"/>
        <v>0</v>
      </c>
      <c r="T86" s="21" t="str">
        <f t="shared" si="30"/>
        <v>0</v>
      </c>
      <c r="U86" s="21" t="str">
        <f t="shared" si="31"/>
        <v>0</v>
      </c>
      <c r="V86" s="21" t="str">
        <f t="shared" si="32"/>
        <v>1</v>
      </c>
      <c r="W86" s="21"/>
      <c r="X86" s="21" t="str">
        <f t="shared" si="33"/>
        <v/>
      </c>
      <c r="Y86" s="21" t="str">
        <f t="shared" si="34"/>
        <v/>
      </c>
      <c r="Z86" s="21" t="str">
        <f t="shared" si="35"/>
        <v/>
      </c>
      <c r="AA86" s="118"/>
      <c r="AB86" s="118"/>
      <c r="AC86" s="118"/>
      <c r="AD86" s="118"/>
      <c r="AE86" s="118" t="s">
        <v>51</v>
      </c>
      <c r="AF86" s="118"/>
      <c r="AG86" s="118"/>
      <c r="AH86" s="26" t="s">
        <v>124</v>
      </c>
      <c r="AI86" s="26" t="s">
        <v>113</v>
      </c>
      <c r="AJ86" s="26">
        <v>12700</v>
      </c>
      <c r="AK86" s="121" t="str">
        <f t="shared" si="23"/>
        <v/>
      </c>
      <c r="AL86" s="123" t="str">
        <f t="shared" si="1"/>
        <v/>
      </c>
      <c r="AM86" s="21"/>
      <c r="AN86" s="124"/>
      <c r="AO86" s="124"/>
      <c r="AP86" s="124"/>
      <c r="AQ86" s="124"/>
      <c r="AR86" s="124"/>
      <c r="AS86" s="124"/>
      <c r="AT86" s="124" t="s">
        <v>1937</v>
      </c>
      <c r="AU86" s="124" t="str">
        <f t="shared" si="17"/>
        <v/>
      </c>
      <c r="AV86" s="124" t="s">
        <v>2843</v>
      </c>
      <c r="AW86" s="117"/>
      <c r="AX86" s="138" t="str">
        <f t="shared" si="21"/>
        <v/>
      </c>
      <c r="AY86" s="31" t="str">
        <f>IF(C86&lt;&gt;"",CREATE_QUERY($D$1,C$2:AW$2,C86:AW86),"")</f>
        <v/>
      </c>
    </row>
    <row r="87" spans="1:51">
      <c r="A87" s="1">
        <v>49</v>
      </c>
      <c r="B87" s="121" t="str">
        <f t="shared" si="22"/>
        <v/>
      </c>
      <c r="C87" s="27" t="str">
        <f t="shared" si="36"/>
        <v/>
      </c>
      <c r="D87" s="121"/>
      <c r="E87" s="21">
        <v>230018</v>
      </c>
      <c r="F87" s="118"/>
      <c r="G87" s="118"/>
      <c r="H87" s="118"/>
      <c r="I87" s="118"/>
      <c r="J87" s="118"/>
      <c r="K87" s="21" t="str">
        <f t="shared" si="24"/>
        <v/>
      </c>
      <c r="L87" s="21">
        <v>1</v>
      </c>
      <c r="M87" s="21" t="str">
        <f t="shared" si="25"/>
        <v>0</v>
      </c>
      <c r="N87" s="118"/>
      <c r="O87" s="118"/>
      <c r="P87" s="21" t="str">
        <f t="shared" si="26"/>
        <v>0</v>
      </c>
      <c r="Q87" s="21" t="str">
        <f t="shared" si="27"/>
        <v>0</v>
      </c>
      <c r="R87" s="21" t="str">
        <f t="shared" si="28"/>
        <v>0</v>
      </c>
      <c r="S87" s="21" t="str">
        <f t="shared" si="29"/>
        <v>0</v>
      </c>
      <c r="T87" s="21" t="str">
        <f t="shared" si="30"/>
        <v>0</v>
      </c>
      <c r="U87" s="21" t="str">
        <f t="shared" si="31"/>
        <v>0</v>
      </c>
      <c r="V87" s="21" t="str">
        <f t="shared" si="32"/>
        <v>1</v>
      </c>
      <c r="W87" s="21"/>
      <c r="X87" s="21" t="str">
        <f t="shared" si="33"/>
        <v/>
      </c>
      <c r="Y87" s="21" t="str">
        <f t="shared" si="34"/>
        <v/>
      </c>
      <c r="Z87" s="21" t="str">
        <f t="shared" si="35"/>
        <v/>
      </c>
      <c r="AA87" s="118"/>
      <c r="AB87" s="118"/>
      <c r="AC87" s="118"/>
      <c r="AD87" s="118"/>
      <c r="AE87" s="118" t="s">
        <v>51</v>
      </c>
      <c r="AF87" s="118"/>
      <c r="AG87" s="118"/>
      <c r="AH87" s="26" t="s">
        <v>124</v>
      </c>
      <c r="AI87" s="26" t="s">
        <v>113</v>
      </c>
      <c r="AJ87" s="26">
        <v>12750</v>
      </c>
      <c r="AK87" s="121" t="str">
        <f t="shared" si="23"/>
        <v/>
      </c>
      <c r="AL87" s="123" t="str">
        <f t="shared" si="1"/>
        <v/>
      </c>
      <c r="AM87" s="21"/>
      <c r="AN87" s="124"/>
      <c r="AO87" s="124"/>
      <c r="AP87" s="124"/>
      <c r="AQ87" s="124"/>
      <c r="AR87" s="124"/>
      <c r="AS87" s="124"/>
      <c r="AT87" s="124" t="s">
        <v>1937</v>
      </c>
      <c r="AU87" s="124" t="str">
        <f t="shared" si="17"/>
        <v/>
      </c>
      <c r="AV87" s="124" t="s">
        <v>2844</v>
      </c>
      <c r="AW87" s="117"/>
      <c r="AX87" s="138" t="str">
        <f t="shared" si="21"/>
        <v/>
      </c>
      <c r="AY87" s="31" t="str">
        <f>IF(C87&lt;&gt;"",CREATE_QUERY($D$1,C$2:AW$2,C87:AW87),"")</f>
        <v/>
      </c>
    </row>
    <row r="88" spans="1:51">
      <c r="A88" s="1">
        <v>50</v>
      </c>
      <c r="B88" s="121" t="str">
        <f t="shared" si="22"/>
        <v/>
      </c>
      <c r="C88" s="27" t="str">
        <f t="shared" si="36"/>
        <v/>
      </c>
      <c r="D88" s="121"/>
      <c r="E88" s="21">
        <v>230019</v>
      </c>
      <c r="F88" s="118"/>
      <c r="G88" s="118"/>
      <c r="H88" s="118"/>
      <c r="I88" s="118"/>
      <c r="J88" s="118"/>
      <c r="K88" s="21" t="str">
        <f t="shared" si="24"/>
        <v/>
      </c>
      <c r="L88" s="21">
        <v>1</v>
      </c>
      <c r="M88" s="21" t="str">
        <f t="shared" si="25"/>
        <v>0</v>
      </c>
      <c r="N88" s="118"/>
      <c r="O88" s="118"/>
      <c r="P88" s="21" t="str">
        <f t="shared" si="26"/>
        <v>0</v>
      </c>
      <c r="Q88" s="21" t="str">
        <f t="shared" si="27"/>
        <v>0</v>
      </c>
      <c r="R88" s="21" t="str">
        <f t="shared" si="28"/>
        <v>0</v>
      </c>
      <c r="S88" s="21" t="str">
        <f t="shared" si="29"/>
        <v>0</v>
      </c>
      <c r="T88" s="21" t="str">
        <f t="shared" si="30"/>
        <v>0</v>
      </c>
      <c r="U88" s="21" t="str">
        <f t="shared" si="31"/>
        <v>0</v>
      </c>
      <c r="V88" s="21" t="str">
        <f t="shared" si="32"/>
        <v>1</v>
      </c>
      <c r="W88" s="21"/>
      <c r="X88" s="21" t="str">
        <f t="shared" si="33"/>
        <v/>
      </c>
      <c r="Y88" s="21" t="str">
        <f t="shared" si="34"/>
        <v/>
      </c>
      <c r="Z88" s="21" t="str">
        <f t="shared" si="35"/>
        <v/>
      </c>
      <c r="AA88" s="118"/>
      <c r="AB88" s="118"/>
      <c r="AC88" s="118"/>
      <c r="AD88" s="118"/>
      <c r="AE88" s="118" t="s">
        <v>51</v>
      </c>
      <c r="AF88" s="118"/>
      <c r="AG88" s="118"/>
      <c r="AH88" s="26" t="s">
        <v>124</v>
      </c>
      <c r="AI88" s="26" t="s">
        <v>113</v>
      </c>
      <c r="AJ88" s="26">
        <v>12800</v>
      </c>
      <c r="AK88" s="121" t="str">
        <f t="shared" si="23"/>
        <v/>
      </c>
      <c r="AL88" s="123" t="str">
        <f t="shared" si="1"/>
        <v/>
      </c>
      <c r="AM88" s="21"/>
      <c r="AN88" s="124"/>
      <c r="AO88" s="124"/>
      <c r="AP88" s="124"/>
      <c r="AQ88" s="124"/>
      <c r="AR88" s="124"/>
      <c r="AS88" s="124"/>
      <c r="AT88" s="124" t="s">
        <v>1937</v>
      </c>
      <c r="AU88" s="124" t="str">
        <f t="shared" si="17"/>
        <v/>
      </c>
      <c r="AV88" s="124" t="s">
        <v>2845</v>
      </c>
      <c r="AW88" s="117"/>
      <c r="AX88" s="138" t="str">
        <f t="shared" si="21"/>
        <v/>
      </c>
      <c r="AY88" s="31" t="str">
        <f>IF(C88&lt;&gt;"",CREATE_QUERY($D$1,C$2:AW$2,C88:AW88),"")</f>
        <v/>
      </c>
    </row>
    <row r="89" spans="1:51">
      <c r="A89" s="1">
        <v>51</v>
      </c>
      <c r="B89" s="121" t="str">
        <f t="shared" si="22"/>
        <v/>
      </c>
      <c r="C89" s="27" t="str">
        <f t="shared" si="36"/>
        <v/>
      </c>
      <c r="D89" s="121"/>
      <c r="E89" s="21">
        <v>230020</v>
      </c>
      <c r="F89" s="118"/>
      <c r="G89" s="118"/>
      <c r="H89" s="118"/>
      <c r="I89" s="118"/>
      <c r="J89" s="118"/>
      <c r="K89" s="21" t="str">
        <f t="shared" si="24"/>
        <v/>
      </c>
      <c r="L89" s="21">
        <v>1</v>
      </c>
      <c r="M89" s="21" t="str">
        <f t="shared" si="25"/>
        <v>0</v>
      </c>
      <c r="N89" s="118"/>
      <c r="O89" s="118"/>
      <c r="P89" s="21" t="str">
        <f t="shared" si="26"/>
        <v>0</v>
      </c>
      <c r="Q89" s="21" t="str">
        <f t="shared" si="27"/>
        <v>0</v>
      </c>
      <c r="R89" s="21" t="str">
        <f t="shared" si="28"/>
        <v>0</v>
      </c>
      <c r="S89" s="21" t="str">
        <f t="shared" si="29"/>
        <v>0</v>
      </c>
      <c r="T89" s="21" t="str">
        <f t="shared" si="30"/>
        <v>0</v>
      </c>
      <c r="U89" s="21" t="str">
        <f t="shared" si="31"/>
        <v>0</v>
      </c>
      <c r="V89" s="21" t="str">
        <f t="shared" si="32"/>
        <v>1</v>
      </c>
      <c r="W89" s="21"/>
      <c r="X89" s="21" t="str">
        <f t="shared" si="33"/>
        <v/>
      </c>
      <c r="Y89" s="21" t="str">
        <f t="shared" si="34"/>
        <v/>
      </c>
      <c r="Z89" s="21" t="str">
        <f t="shared" si="35"/>
        <v/>
      </c>
      <c r="AA89" s="118"/>
      <c r="AB89" s="118"/>
      <c r="AC89" s="118"/>
      <c r="AD89" s="118"/>
      <c r="AE89" s="118" t="s">
        <v>51</v>
      </c>
      <c r="AF89" s="118"/>
      <c r="AG89" s="118"/>
      <c r="AH89" s="26" t="s">
        <v>124</v>
      </c>
      <c r="AI89" s="26" t="s">
        <v>113</v>
      </c>
      <c r="AJ89" s="26">
        <v>12850</v>
      </c>
      <c r="AK89" s="121" t="str">
        <f t="shared" si="23"/>
        <v/>
      </c>
      <c r="AL89" s="123" t="str">
        <f t="shared" si="1"/>
        <v/>
      </c>
      <c r="AM89" s="21"/>
      <c r="AN89" s="124"/>
      <c r="AO89" s="124"/>
      <c r="AP89" s="124"/>
      <c r="AQ89" s="124"/>
      <c r="AR89" s="124"/>
      <c r="AS89" s="124"/>
      <c r="AT89" s="124" t="s">
        <v>1937</v>
      </c>
      <c r="AU89" s="124" t="str">
        <f t="shared" si="17"/>
        <v/>
      </c>
      <c r="AV89" s="124" t="s">
        <v>2846</v>
      </c>
      <c r="AW89" s="117"/>
      <c r="AX89" s="138" t="str">
        <f t="shared" si="21"/>
        <v/>
      </c>
      <c r="AY89" s="31" t="str">
        <f>IF(C89&lt;&gt;"",CREATE_QUERY($D$1,C$2:AW$2,C89:AW89),"")</f>
        <v/>
      </c>
    </row>
    <row r="90" spans="1:51">
      <c r="A90" s="1">
        <v>52</v>
      </c>
      <c r="B90" s="121" t="str">
        <f t="shared" si="22"/>
        <v/>
      </c>
      <c r="C90" s="27" t="str">
        <f t="shared" si="36"/>
        <v/>
      </c>
      <c r="D90" s="121"/>
      <c r="E90" s="21">
        <v>230021</v>
      </c>
      <c r="F90" s="118"/>
      <c r="G90" s="118"/>
      <c r="H90" s="118"/>
      <c r="I90" s="118"/>
      <c r="J90" s="118"/>
      <c r="K90" s="21" t="str">
        <f t="shared" si="24"/>
        <v/>
      </c>
      <c r="L90" s="21">
        <v>1</v>
      </c>
      <c r="M90" s="21" t="str">
        <f t="shared" si="25"/>
        <v>0</v>
      </c>
      <c r="N90" s="118"/>
      <c r="O90" s="118"/>
      <c r="P90" s="21" t="str">
        <f t="shared" si="26"/>
        <v>0</v>
      </c>
      <c r="Q90" s="21" t="str">
        <f t="shared" si="27"/>
        <v>0</v>
      </c>
      <c r="R90" s="21" t="str">
        <f t="shared" si="28"/>
        <v>0</v>
      </c>
      <c r="S90" s="21" t="str">
        <f t="shared" si="29"/>
        <v>0</v>
      </c>
      <c r="T90" s="21" t="str">
        <f t="shared" si="30"/>
        <v>0</v>
      </c>
      <c r="U90" s="21" t="str">
        <f t="shared" si="31"/>
        <v>0</v>
      </c>
      <c r="V90" s="21" t="str">
        <f t="shared" si="32"/>
        <v>1</v>
      </c>
      <c r="W90" s="21"/>
      <c r="X90" s="21" t="str">
        <f t="shared" si="33"/>
        <v/>
      </c>
      <c r="Y90" s="21" t="str">
        <f t="shared" si="34"/>
        <v/>
      </c>
      <c r="Z90" s="21" t="str">
        <f t="shared" si="35"/>
        <v/>
      </c>
      <c r="AA90" s="118"/>
      <c r="AB90" s="118"/>
      <c r="AC90" s="118"/>
      <c r="AD90" s="118"/>
      <c r="AE90" s="118" t="s">
        <v>51</v>
      </c>
      <c r="AF90" s="118"/>
      <c r="AG90" s="118"/>
      <c r="AH90" s="26" t="s">
        <v>124</v>
      </c>
      <c r="AI90" s="26" t="s">
        <v>113</v>
      </c>
      <c r="AJ90" s="26">
        <v>12900</v>
      </c>
      <c r="AK90" s="121" t="str">
        <f t="shared" si="23"/>
        <v/>
      </c>
      <c r="AL90" s="123" t="str">
        <f t="shared" si="1"/>
        <v/>
      </c>
      <c r="AM90" s="21"/>
      <c r="AN90" s="124"/>
      <c r="AO90" s="124"/>
      <c r="AP90" s="124"/>
      <c r="AQ90" s="124"/>
      <c r="AR90" s="124"/>
      <c r="AS90" s="124"/>
      <c r="AT90" s="124" t="s">
        <v>1937</v>
      </c>
      <c r="AU90" s="124" t="str">
        <f t="shared" si="17"/>
        <v/>
      </c>
      <c r="AV90" s="124" t="s">
        <v>2847</v>
      </c>
      <c r="AW90" s="117"/>
      <c r="AX90" s="138" t="str">
        <f t="shared" si="21"/>
        <v/>
      </c>
      <c r="AY90" s="31" t="str">
        <f>IF(C90&lt;&gt;"",CREATE_QUERY($D$1,C$2:AW$2,C90:AW90),"")</f>
        <v/>
      </c>
    </row>
    <row r="91" spans="1:51">
      <c r="A91" s="1">
        <v>53</v>
      </c>
      <c r="B91" s="121" t="str">
        <f t="shared" si="22"/>
        <v/>
      </c>
      <c r="C91" s="27" t="str">
        <f t="shared" si="36"/>
        <v/>
      </c>
      <c r="D91" s="121"/>
      <c r="E91" s="21">
        <v>230022</v>
      </c>
      <c r="F91" s="118"/>
      <c r="G91" s="118"/>
      <c r="H91" s="118"/>
      <c r="I91" s="118"/>
      <c r="J91" s="118"/>
      <c r="K91" s="21" t="str">
        <f t="shared" si="24"/>
        <v/>
      </c>
      <c r="L91" s="21">
        <v>1</v>
      </c>
      <c r="M91" s="21" t="str">
        <f t="shared" si="25"/>
        <v>0</v>
      </c>
      <c r="N91" s="118"/>
      <c r="O91" s="118"/>
      <c r="P91" s="21" t="str">
        <f t="shared" si="26"/>
        <v>0</v>
      </c>
      <c r="Q91" s="21" t="str">
        <f t="shared" si="27"/>
        <v>0</v>
      </c>
      <c r="R91" s="21" t="str">
        <f t="shared" si="28"/>
        <v>0</v>
      </c>
      <c r="S91" s="21" t="str">
        <f t="shared" si="29"/>
        <v>0</v>
      </c>
      <c r="T91" s="21" t="str">
        <f t="shared" si="30"/>
        <v>0</v>
      </c>
      <c r="U91" s="21" t="str">
        <f t="shared" si="31"/>
        <v>0</v>
      </c>
      <c r="V91" s="21" t="str">
        <f t="shared" si="32"/>
        <v>1</v>
      </c>
      <c r="W91" s="21"/>
      <c r="X91" s="21" t="str">
        <f t="shared" si="33"/>
        <v/>
      </c>
      <c r="Y91" s="21" t="str">
        <f t="shared" si="34"/>
        <v/>
      </c>
      <c r="Z91" s="21" t="str">
        <f t="shared" si="35"/>
        <v/>
      </c>
      <c r="AA91" s="118"/>
      <c r="AB91" s="118"/>
      <c r="AC91" s="118"/>
      <c r="AD91" s="118"/>
      <c r="AE91" s="118" t="s">
        <v>51</v>
      </c>
      <c r="AF91" s="118"/>
      <c r="AG91" s="118"/>
      <c r="AH91" s="26" t="s">
        <v>124</v>
      </c>
      <c r="AI91" s="26" t="s">
        <v>113</v>
      </c>
      <c r="AJ91" s="26">
        <v>12950</v>
      </c>
      <c r="AK91" s="121" t="str">
        <f t="shared" si="23"/>
        <v/>
      </c>
      <c r="AL91" s="123" t="str">
        <f t="shared" si="1"/>
        <v/>
      </c>
      <c r="AM91" s="21"/>
      <c r="AN91" s="124"/>
      <c r="AO91" s="124"/>
      <c r="AP91" s="124"/>
      <c r="AQ91" s="124"/>
      <c r="AR91" s="124"/>
      <c r="AS91" s="124"/>
      <c r="AT91" s="124" t="s">
        <v>1937</v>
      </c>
      <c r="AU91" s="124" t="str">
        <f t="shared" si="17"/>
        <v/>
      </c>
      <c r="AV91" s="124" t="s">
        <v>2848</v>
      </c>
      <c r="AW91" s="117"/>
      <c r="AX91" s="138" t="str">
        <f t="shared" si="21"/>
        <v/>
      </c>
      <c r="AY91" s="31" t="str">
        <f>IF(C91&lt;&gt;"",CREATE_QUERY($D$1,C$2:AW$2,C91:AW91),"")</f>
        <v/>
      </c>
    </row>
    <row r="92" spans="1:51">
      <c r="A92" s="1">
        <v>53</v>
      </c>
      <c r="B92" s="121" t="str">
        <f t="shared" si="22"/>
        <v/>
      </c>
      <c r="C92" s="27" t="str">
        <f t="shared" si="36"/>
        <v/>
      </c>
      <c r="D92" s="121"/>
      <c r="E92" s="21">
        <v>230023</v>
      </c>
      <c r="F92" s="118"/>
      <c r="G92" s="118"/>
      <c r="H92" s="118"/>
      <c r="I92" s="118"/>
      <c r="J92" s="118"/>
      <c r="K92" s="21" t="str">
        <f t="shared" si="24"/>
        <v/>
      </c>
      <c r="L92" s="21">
        <v>1</v>
      </c>
      <c r="M92" s="21" t="str">
        <f t="shared" si="25"/>
        <v>0</v>
      </c>
      <c r="N92" s="118"/>
      <c r="O92" s="118"/>
      <c r="P92" s="21" t="str">
        <f t="shared" si="26"/>
        <v>0</v>
      </c>
      <c r="Q92" s="21" t="str">
        <f t="shared" si="27"/>
        <v>0</v>
      </c>
      <c r="R92" s="21" t="str">
        <f t="shared" si="28"/>
        <v>0</v>
      </c>
      <c r="S92" s="21" t="str">
        <f t="shared" si="29"/>
        <v>0</v>
      </c>
      <c r="T92" s="21" t="str">
        <f t="shared" si="30"/>
        <v>0</v>
      </c>
      <c r="U92" s="21" t="str">
        <f t="shared" si="31"/>
        <v>0</v>
      </c>
      <c r="V92" s="21" t="str">
        <f t="shared" si="32"/>
        <v>1</v>
      </c>
      <c r="W92" s="21"/>
      <c r="X92" s="21" t="str">
        <f t="shared" si="33"/>
        <v/>
      </c>
      <c r="Y92" s="21" t="str">
        <f t="shared" si="34"/>
        <v/>
      </c>
      <c r="Z92" s="21" t="str">
        <f t="shared" si="35"/>
        <v/>
      </c>
      <c r="AA92" s="118"/>
      <c r="AB92" s="118"/>
      <c r="AC92" s="118"/>
      <c r="AD92" s="118"/>
      <c r="AE92" s="118" t="s">
        <v>51</v>
      </c>
      <c r="AF92" s="118"/>
      <c r="AG92" s="118"/>
      <c r="AH92" s="26" t="s">
        <v>124</v>
      </c>
      <c r="AI92" s="26" t="s">
        <v>113</v>
      </c>
      <c r="AJ92" s="26">
        <v>13000</v>
      </c>
      <c r="AK92" s="121" t="str">
        <f t="shared" si="23"/>
        <v/>
      </c>
      <c r="AL92" s="123" t="str">
        <f t="shared" si="1"/>
        <v/>
      </c>
      <c r="AM92" s="21"/>
      <c r="AN92" s="124"/>
      <c r="AO92" s="124"/>
      <c r="AP92" s="124"/>
      <c r="AQ92" s="124"/>
      <c r="AR92" s="124"/>
      <c r="AS92" s="124"/>
      <c r="AT92" s="124" t="s">
        <v>1937</v>
      </c>
      <c r="AU92" s="124" t="str">
        <f t="shared" si="17"/>
        <v/>
      </c>
      <c r="AV92" s="124" t="s">
        <v>2849</v>
      </c>
      <c r="AW92" s="117"/>
      <c r="AX92" s="138" t="str">
        <f t="shared" si="21"/>
        <v/>
      </c>
      <c r="AY92" s="31" t="str">
        <f>IF(C92&lt;&gt;"",CREATE_QUERY($D$1,C$2:AW$2,C92:AW92),"")</f>
        <v/>
      </c>
    </row>
    <row r="93" spans="1:51">
      <c r="A93" s="1">
        <v>53</v>
      </c>
      <c r="B93" s="121" t="str">
        <f t="shared" si="22"/>
        <v/>
      </c>
      <c r="C93" s="27" t="str">
        <f t="shared" si="36"/>
        <v/>
      </c>
      <c r="D93" s="121"/>
      <c r="E93" s="21">
        <v>230024</v>
      </c>
      <c r="F93" s="118"/>
      <c r="G93" s="118"/>
      <c r="H93" s="118"/>
      <c r="I93" s="118"/>
      <c r="J93" s="118"/>
      <c r="K93" s="21" t="str">
        <f t="shared" si="24"/>
        <v/>
      </c>
      <c r="L93" s="21">
        <v>1</v>
      </c>
      <c r="M93" s="21" t="str">
        <f t="shared" si="25"/>
        <v>0</v>
      </c>
      <c r="N93" s="118"/>
      <c r="O93" s="118"/>
      <c r="P93" s="21" t="str">
        <f t="shared" si="26"/>
        <v>0</v>
      </c>
      <c r="Q93" s="21" t="str">
        <f t="shared" si="27"/>
        <v>0</v>
      </c>
      <c r="R93" s="21" t="str">
        <f t="shared" si="28"/>
        <v>0</v>
      </c>
      <c r="S93" s="21" t="str">
        <f t="shared" si="29"/>
        <v>0</v>
      </c>
      <c r="T93" s="21" t="str">
        <f t="shared" si="30"/>
        <v>0</v>
      </c>
      <c r="U93" s="21" t="str">
        <f t="shared" si="31"/>
        <v>0</v>
      </c>
      <c r="V93" s="21" t="str">
        <f t="shared" si="32"/>
        <v>1</v>
      </c>
      <c r="W93" s="21"/>
      <c r="X93" s="21" t="str">
        <f t="shared" si="33"/>
        <v/>
      </c>
      <c r="Y93" s="21" t="str">
        <f t="shared" si="34"/>
        <v/>
      </c>
      <c r="Z93" s="21" t="str">
        <f t="shared" si="35"/>
        <v/>
      </c>
      <c r="AA93" s="118"/>
      <c r="AB93" s="118"/>
      <c r="AC93" s="118"/>
      <c r="AD93" s="118"/>
      <c r="AE93" s="118" t="s">
        <v>51</v>
      </c>
      <c r="AF93" s="118"/>
      <c r="AG93" s="118"/>
      <c r="AH93" s="26" t="s">
        <v>124</v>
      </c>
      <c r="AI93" s="26" t="s">
        <v>113</v>
      </c>
      <c r="AJ93" s="26">
        <v>13050</v>
      </c>
      <c r="AK93" s="121" t="str">
        <f t="shared" si="23"/>
        <v/>
      </c>
      <c r="AL93" s="123" t="str">
        <f t="shared" si="1"/>
        <v/>
      </c>
      <c r="AM93" s="21"/>
      <c r="AN93" s="124"/>
      <c r="AO93" s="124"/>
      <c r="AP93" s="124"/>
      <c r="AQ93" s="124"/>
      <c r="AR93" s="124"/>
      <c r="AS93" s="124"/>
      <c r="AT93" s="124" t="s">
        <v>1937</v>
      </c>
      <c r="AU93" s="124" t="str">
        <f t="shared" si="17"/>
        <v/>
      </c>
      <c r="AV93" s="124" t="s">
        <v>2850</v>
      </c>
      <c r="AW93" s="117"/>
      <c r="AX93" s="138" t="str">
        <f t="shared" si="21"/>
        <v/>
      </c>
      <c r="AY93" s="31" t="str">
        <f>IF(C93&lt;&gt;"",CREATE_QUERY($D$1,C$2:AW$2,C93:AW93),"")</f>
        <v/>
      </c>
    </row>
    <row r="94" spans="1:51">
      <c r="A94" s="1">
        <v>54</v>
      </c>
      <c r="B94" s="121" t="str">
        <f t="shared" si="22"/>
        <v/>
      </c>
      <c r="C94" s="27" t="str">
        <f t="shared" si="36"/>
        <v/>
      </c>
      <c r="D94" s="121"/>
      <c r="E94" s="27"/>
      <c r="F94" s="121"/>
      <c r="G94" s="121"/>
      <c r="H94" s="121"/>
      <c r="I94" s="121"/>
      <c r="J94" s="121"/>
      <c r="K94" s="27" t="str">
        <f t="shared" si="24"/>
        <v/>
      </c>
      <c r="L94" s="27">
        <v>1</v>
      </c>
      <c r="M94" s="27" t="str">
        <f t="shared" si="25"/>
        <v>0</v>
      </c>
      <c r="N94" s="121"/>
      <c r="O94" s="121"/>
      <c r="P94" s="27" t="str">
        <f t="shared" si="26"/>
        <v>0</v>
      </c>
      <c r="Q94" s="27" t="str">
        <f t="shared" si="27"/>
        <v>0</v>
      </c>
      <c r="R94" s="27" t="str">
        <f t="shared" si="28"/>
        <v>0</v>
      </c>
      <c r="S94" s="27" t="str">
        <f t="shared" si="29"/>
        <v>0</v>
      </c>
      <c r="T94" s="27" t="str">
        <f t="shared" si="30"/>
        <v>0</v>
      </c>
      <c r="U94" s="27" t="str">
        <f t="shared" si="31"/>
        <v>0</v>
      </c>
      <c r="V94" s="27" t="str">
        <f t="shared" si="32"/>
        <v>1</v>
      </c>
      <c r="W94" s="27"/>
      <c r="X94" s="27" t="str">
        <f t="shared" si="33"/>
        <v/>
      </c>
      <c r="Y94" s="27" t="str">
        <f t="shared" si="34"/>
        <v/>
      </c>
      <c r="Z94" s="27" t="str">
        <f t="shared" si="35"/>
        <v/>
      </c>
      <c r="AA94" s="121"/>
      <c r="AB94" s="121"/>
      <c r="AC94" s="121"/>
      <c r="AD94" s="121"/>
      <c r="AE94" s="121"/>
      <c r="AF94" s="121"/>
      <c r="AG94" s="121"/>
      <c r="AH94" s="27"/>
      <c r="AI94" s="27"/>
      <c r="AJ94" s="27"/>
      <c r="AK94" s="121" t="str">
        <f t="shared" si="23"/>
        <v>0</v>
      </c>
      <c r="AL94" s="123" t="str">
        <f t="shared" si="1"/>
        <v/>
      </c>
      <c r="AM94" s="27"/>
      <c r="AN94" s="124"/>
      <c r="AO94" s="124"/>
      <c r="AP94" s="124"/>
      <c r="AQ94" s="124"/>
      <c r="AR94" s="124"/>
      <c r="AS94" s="124"/>
      <c r="AT94" s="124"/>
      <c r="AU94" s="124" t="str">
        <f t="shared" si="17"/>
        <v/>
      </c>
      <c r="AV94" s="124" t="str">
        <f>IF(P94="","",AU94&amp;F94)</f>
        <v/>
      </c>
      <c r="AW94" s="117"/>
      <c r="AX94" s="138" t="str">
        <f t="shared" si="21"/>
        <v/>
      </c>
      <c r="AY94" s="31" t="str">
        <f>IF(C94&lt;&gt;"",CREATE_QUERY($D$1,C$2:AW$2,C94:AW94),"")</f>
        <v/>
      </c>
    </row>
    <row r="95" spans="1:51">
      <c r="A95" s="1">
        <v>55</v>
      </c>
      <c r="B95" s="121" t="str">
        <f t="shared" si="22"/>
        <v xml:space="preserve">    └ 거래처정보관리</v>
      </c>
      <c r="C95" s="27" t="str">
        <f t="shared" si="36"/>
        <v>14821</v>
      </c>
      <c r="D95" s="121"/>
      <c r="E95" s="24" t="s">
        <v>136</v>
      </c>
      <c r="F95" s="127" t="s">
        <v>153</v>
      </c>
      <c r="G95" s="127"/>
      <c r="H95" s="127"/>
      <c r="I95" s="127"/>
      <c r="J95" s="127"/>
      <c r="K95" s="25" t="str">
        <f t="shared" si="24"/>
        <v/>
      </c>
      <c r="L95" s="25">
        <v>1</v>
      </c>
      <c r="M95" s="25" t="str">
        <f t="shared" si="25"/>
        <v>0</v>
      </c>
      <c r="N95" s="127"/>
      <c r="O95" s="127"/>
      <c r="P95" s="25" t="str">
        <f t="shared" si="26"/>
        <v>0</v>
      </c>
      <c r="Q95" s="25" t="str">
        <f t="shared" si="27"/>
        <v>0</v>
      </c>
      <c r="R95" s="25" t="str">
        <f t="shared" si="28"/>
        <v>0</v>
      </c>
      <c r="S95" s="25" t="str">
        <f t="shared" si="29"/>
        <v>0</v>
      </c>
      <c r="T95" s="25" t="str">
        <f t="shared" si="30"/>
        <v>0</v>
      </c>
      <c r="U95" s="25" t="str">
        <f t="shared" si="31"/>
        <v>0</v>
      </c>
      <c r="V95" s="25" t="str">
        <f t="shared" si="32"/>
        <v>1</v>
      </c>
      <c r="W95" s="25"/>
      <c r="X95" s="25" t="str">
        <f t="shared" si="33"/>
        <v/>
      </c>
      <c r="Y95" s="25" t="str">
        <f t="shared" si="34"/>
        <v/>
      </c>
      <c r="Z95" s="25" t="str">
        <f t="shared" si="35"/>
        <v/>
      </c>
      <c r="AA95" s="127"/>
      <c r="AB95" s="127"/>
      <c r="AC95" s="127"/>
      <c r="AD95" s="127"/>
      <c r="AE95" s="127" t="s">
        <v>51</v>
      </c>
      <c r="AF95" s="127"/>
      <c r="AG95" s="127"/>
      <c r="AH95" s="24" t="s">
        <v>121</v>
      </c>
      <c r="AI95" s="24" t="s">
        <v>112</v>
      </c>
      <c r="AJ95" s="24">
        <v>13100</v>
      </c>
      <c r="AK95" s="121" t="str">
        <f t="shared" si="23"/>
        <v>0</v>
      </c>
      <c r="AL95" s="123" t="str">
        <f t="shared" si="1"/>
        <v>14821/거래처정보관리//</v>
      </c>
      <c r="AM95" s="24"/>
      <c r="AN95" s="124"/>
      <c r="AO95" s="124" t="s">
        <v>1829</v>
      </c>
      <c r="AP95" s="124" t="s">
        <v>1829</v>
      </c>
      <c r="AQ95" s="124" t="s">
        <v>1829</v>
      </c>
      <c r="AR95" s="124" t="s">
        <v>1829</v>
      </c>
      <c r="AS95" s="124" t="s">
        <v>1829</v>
      </c>
      <c r="AT95" s="124" t="s">
        <v>1937</v>
      </c>
      <c r="AU95" s="124" t="str">
        <f t="shared" si="17"/>
        <v/>
      </c>
      <c r="AV95" s="124"/>
      <c r="AW95" s="117"/>
      <c r="AX95" s="138" t="str">
        <f t="shared" si="21"/>
        <v>delete from module_mst where pjt_id = '14821' and menu_id = '240000';</v>
      </c>
      <c r="AY95" s="31" t="str">
        <f>IF(C95&lt;&gt;"",CREATE_QUERY($D$1,C$2:AW$2,C95:AW95),"")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'240000', '거래처정보관리', '', '', '', '', '', '1', '0', '', '', '0', '0', '0', '0', '0', '0', '1', '', '', '', '', '', '', '', '', 'N', '', '', '210000', '4', '13100', '0', '14821/거래처정보관리//', '', '', 'Y', 'Y', 'Y', 'Y', 'Y', 'B', '', '');</v>
      </c>
    </row>
    <row r="96" spans="1:51">
      <c r="A96" s="1">
        <v>56</v>
      </c>
      <c r="B96" s="121" t="str">
        <f t="shared" si="22"/>
        <v xml:space="preserve">        └ 거래처분류기준</v>
      </c>
      <c r="C96" s="27" t="str">
        <f t="shared" si="36"/>
        <v>14821</v>
      </c>
      <c r="D96" s="121"/>
      <c r="E96" s="21">
        <v>240001</v>
      </c>
      <c r="F96" s="118" t="s">
        <v>2025</v>
      </c>
      <c r="G96" s="118"/>
      <c r="H96" s="118"/>
      <c r="I96" s="118"/>
      <c r="J96" s="118"/>
      <c r="K96" s="21" t="str">
        <f t="shared" si="24"/>
        <v>1</v>
      </c>
      <c r="L96" s="21">
        <v>1</v>
      </c>
      <c r="M96" s="21" t="str">
        <f t="shared" si="25"/>
        <v>1</v>
      </c>
      <c r="N96" s="118" t="s">
        <v>156</v>
      </c>
      <c r="O96" s="118" t="s">
        <v>2026</v>
      </c>
      <c r="P96" s="21" t="str">
        <f t="shared" si="26"/>
        <v>1</v>
      </c>
      <c r="Q96" s="21" t="str">
        <f t="shared" si="27"/>
        <v>1</v>
      </c>
      <c r="R96" s="21" t="str">
        <f t="shared" si="28"/>
        <v>1</v>
      </c>
      <c r="S96" s="21" t="str">
        <f t="shared" si="29"/>
        <v>1</v>
      </c>
      <c r="T96" s="21" t="str">
        <f t="shared" si="30"/>
        <v>1</v>
      </c>
      <c r="U96" s="21" t="str">
        <f t="shared" si="31"/>
        <v>1</v>
      </c>
      <c r="V96" s="21" t="str">
        <f t="shared" si="32"/>
        <v>1</v>
      </c>
      <c r="W96" s="21"/>
      <c r="X96" s="21" t="str">
        <f t="shared" si="33"/>
        <v>0</v>
      </c>
      <c r="Y96" s="21" t="str">
        <f t="shared" si="34"/>
        <v>0</v>
      </c>
      <c r="Z96" s="21" t="str">
        <f t="shared" si="35"/>
        <v>0</v>
      </c>
      <c r="AA96" s="118"/>
      <c r="AB96" s="118"/>
      <c r="AC96" s="118"/>
      <c r="AD96" s="118"/>
      <c r="AE96" s="118" t="s">
        <v>51</v>
      </c>
      <c r="AF96" s="118"/>
      <c r="AG96" s="118"/>
      <c r="AH96" s="26" t="s">
        <v>136</v>
      </c>
      <c r="AI96" s="26" t="s">
        <v>113</v>
      </c>
      <c r="AJ96" s="26">
        <v>13150</v>
      </c>
      <c r="AK96" s="121" t="str">
        <f t="shared" si="23"/>
        <v>0</v>
      </c>
      <c r="AL96" s="123" t="str">
        <f t="shared" si="1"/>
        <v>14821/거래처분류기준/cust/CstmClass</v>
      </c>
      <c r="AM96" s="21"/>
      <c r="AN96" s="124"/>
      <c r="AO96" s="124" t="s">
        <v>1829</v>
      </c>
      <c r="AP96" s="124" t="s">
        <v>1829</v>
      </c>
      <c r="AQ96" s="124" t="s">
        <v>1829</v>
      </c>
      <c r="AR96" s="124" t="s">
        <v>1829</v>
      </c>
      <c r="AS96" s="124" t="s">
        <v>1829</v>
      </c>
      <c r="AT96" s="124" t="s">
        <v>1937</v>
      </c>
      <c r="AU96" s="124" t="str">
        <f t="shared" si="17"/>
        <v>B240001</v>
      </c>
      <c r="AV96" s="124" t="s">
        <v>2851</v>
      </c>
      <c r="AW96" s="117" t="s">
        <v>2080</v>
      </c>
      <c r="AX96" s="138" t="str">
        <f t="shared" si="21"/>
        <v>delete from module_mst where pjt_id = '14821' and menu_id = '240001';</v>
      </c>
      <c r="AY96" s="31" t="str">
        <f>IF(C96&lt;&gt;"",CREATE_QUERY($D$1,C$2:AW$2,C96:AW96),"")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'240001', '거래처분류기준', '', '', '', '', '1', '1', '1', 'cust', 'CstmClass', '1', '1', '1', '1', '1', '1', '1', '', '0', '0', '0', '', '', '', '', 'N', '', '', '240000', '5', '13150', '0', '14821/거래처분류기준/cust/CstmClass', '', '', 'Y', 'Y', 'Y', 'Y', 'Y', 'B', 'MES-TD3-165', '거래처 분류 기준을 등록');</v>
      </c>
    </row>
    <row r="97" spans="1:51">
      <c r="A97" s="1">
        <v>56</v>
      </c>
      <c r="B97" s="121" t="str">
        <f t="shared" si="22"/>
        <v xml:space="preserve">        └ 거래처코드관리</v>
      </c>
      <c r="C97" s="27" t="str">
        <f t="shared" si="36"/>
        <v>14821</v>
      </c>
      <c r="D97" s="121"/>
      <c r="E97" s="21">
        <v>240002</v>
      </c>
      <c r="F97" s="118" t="s">
        <v>154</v>
      </c>
      <c r="G97" s="118"/>
      <c r="H97" s="118"/>
      <c r="I97" s="118"/>
      <c r="J97" s="118"/>
      <c r="K97" s="21" t="str">
        <f t="shared" si="24"/>
        <v>1</v>
      </c>
      <c r="L97" s="21">
        <v>1</v>
      </c>
      <c r="M97" s="21" t="str">
        <f t="shared" si="25"/>
        <v>1</v>
      </c>
      <c r="N97" s="118" t="s">
        <v>156</v>
      </c>
      <c r="O97" s="118" t="s">
        <v>325</v>
      </c>
      <c r="P97" s="21" t="str">
        <f t="shared" si="26"/>
        <v>1</v>
      </c>
      <c r="Q97" s="21" t="str">
        <f t="shared" si="27"/>
        <v>1</v>
      </c>
      <c r="R97" s="21" t="str">
        <f t="shared" si="28"/>
        <v>1</v>
      </c>
      <c r="S97" s="21" t="str">
        <f t="shared" si="29"/>
        <v>1</v>
      </c>
      <c r="T97" s="21" t="str">
        <f t="shared" si="30"/>
        <v>1</v>
      </c>
      <c r="U97" s="21" t="str">
        <f t="shared" si="31"/>
        <v>1</v>
      </c>
      <c r="V97" s="21" t="str">
        <f t="shared" si="32"/>
        <v>1</v>
      </c>
      <c r="W97" s="21"/>
      <c r="X97" s="21" t="str">
        <f t="shared" si="33"/>
        <v>0</v>
      </c>
      <c r="Y97" s="21" t="str">
        <f t="shared" si="34"/>
        <v>0</v>
      </c>
      <c r="Z97" s="21" t="str">
        <f t="shared" si="35"/>
        <v>0</v>
      </c>
      <c r="AA97" s="118"/>
      <c r="AB97" s="118"/>
      <c r="AC97" s="118"/>
      <c r="AD97" s="118"/>
      <c r="AE97" s="118" t="s">
        <v>51</v>
      </c>
      <c r="AF97" s="118"/>
      <c r="AG97" s="118"/>
      <c r="AH97" s="26" t="s">
        <v>136</v>
      </c>
      <c r="AI97" s="26" t="s">
        <v>113</v>
      </c>
      <c r="AJ97" s="26">
        <v>13152</v>
      </c>
      <c r="AK97" s="121" t="str">
        <f t="shared" si="23"/>
        <v>0</v>
      </c>
      <c r="AL97" s="123" t="str">
        <f t="shared" si="1"/>
        <v>14821/거래처코드관리/cust/CstmMast</v>
      </c>
      <c r="AM97" s="21"/>
      <c r="AN97" s="124"/>
      <c r="AO97" s="124" t="s">
        <v>1829</v>
      </c>
      <c r="AP97" s="124" t="s">
        <v>1829</v>
      </c>
      <c r="AQ97" s="124" t="s">
        <v>1829</v>
      </c>
      <c r="AR97" s="124" t="s">
        <v>1829</v>
      </c>
      <c r="AS97" s="124" t="s">
        <v>1829</v>
      </c>
      <c r="AT97" s="124" t="s">
        <v>1937</v>
      </c>
      <c r="AU97" s="124" t="str">
        <f t="shared" si="17"/>
        <v>B240002</v>
      </c>
      <c r="AV97" s="124" t="s">
        <v>2852</v>
      </c>
      <c r="AW97" s="117" t="s">
        <v>1861</v>
      </c>
      <c r="AX97" s="138" t="str">
        <f t="shared" si="21"/>
        <v>delete from module_mst where pjt_id = '14821' and menu_id = '240002';</v>
      </c>
      <c r="AY97" s="31" t="str">
        <f>IF(C97&lt;&gt;"",CREATE_QUERY($D$1,C$2:AW$2,C97:AW97),"")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'240002', '거래처코드관리', '', '', '', '', '1', '1', '1', 'cust', 'CstmMast', '1', '1', '1', '1', '1', '1', '1', '', '0', '0', '0', '', '', '', '', 'N', '', '', '240000', '5', '13152', '0', '14821/거래처코드관리/cust/CstmMast', '', '', 'Y', 'Y', 'Y', 'Y', 'Y', 'B', 'MES-TD3-166', '판매, 구매, 수출, 외주 등 각종 거래처 정보를 등록');</v>
      </c>
    </row>
    <row r="98" spans="1:51">
      <c r="A98" s="1">
        <v>57</v>
      </c>
      <c r="B98" s="121" t="str">
        <f t="shared" si="22"/>
        <v xml:space="preserve">        └ 거래처리스트</v>
      </c>
      <c r="C98" s="27" t="str">
        <f t="shared" si="36"/>
        <v>14821</v>
      </c>
      <c r="D98" s="121"/>
      <c r="E98" s="21">
        <v>240003</v>
      </c>
      <c r="F98" s="118" t="s">
        <v>155</v>
      </c>
      <c r="G98" s="118"/>
      <c r="H98" s="118"/>
      <c r="I98" s="118"/>
      <c r="J98" s="118"/>
      <c r="K98" s="21" t="str">
        <f t="shared" si="24"/>
        <v>1</v>
      </c>
      <c r="L98" s="21">
        <v>1</v>
      </c>
      <c r="M98" s="21" t="str">
        <f t="shared" si="25"/>
        <v>1</v>
      </c>
      <c r="N98" s="118" t="s">
        <v>156</v>
      </c>
      <c r="O98" s="118" t="s">
        <v>326</v>
      </c>
      <c r="P98" s="21" t="str">
        <f t="shared" si="26"/>
        <v>1</v>
      </c>
      <c r="Q98" s="21" t="str">
        <f t="shared" si="27"/>
        <v>1</v>
      </c>
      <c r="R98" s="21" t="str">
        <f t="shared" si="28"/>
        <v>1</v>
      </c>
      <c r="S98" s="21" t="str">
        <f t="shared" si="29"/>
        <v>1</v>
      </c>
      <c r="T98" s="21" t="str">
        <f t="shared" si="30"/>
        <v>1</v>
      </c>
      <c r="U98" s="21" t="str">
        <f t="shared" si="31"/>
        <v>1</v>
      </c>
      <c r="V98" s="21" t="str">
        <f t="shared" si="32"/>
        <v>1</v>
      </c>
      <c r="W98" s="21"/>
      <c r="X98" s="21" t="str">
        <f t="shared" si="33"/>
        <v>0</v>
      </c>
      <c r="Y98" s="21" t="str">
        <f t="shared" si="34"/>
        <v>0</v>
      </c>
      <c r="Z98" s="21" t="str">
        <f t="shared" si="35"/>
        <v>0</v>
      </c>
      <c r="AA98" s="118"/>
      <c r="AB98" s="118"/>
      <c r="AC98" s="118"/>
      <c r="AD98" s="118"/>
      <c r="AE98" s="118" t="s">
        <v>51</v>
      </c>
      <c r="AF98" s="118"/>
      <c r="AG98" s="118"/>
      <c r="AH98" s="26" t="s">
        <v>136</v>
      </c>
      <c r="AI98" s="26" t="s">
        <v>113</v>
      </c>
      <c r="AJ98" s="26">
        <v>13154</v>
      </c>
      <c r="AK98" s="121" t="str">
        <f>IF(B110="","","0")</f>
        <v/>
      </c>
      <c r="AL98" s="123" t="str">
        <f t="shared" si="1"/>
        <v>14821/거래처리스트/cust/CstmList</v>
      </c>
      <c r="AM98" s="21"/>
      <c r="AN98" s="124"/>
      <c r="AO98" s="124" t="s">
        <v>1829</v>
      </c>
      <c r="AP98" s="124" t="s">
        <v>1829</v>
      </c>
      <c r="AQ98" s="124" t="s">
        <v>1829</v>
      </c>
      <c r="AR98" s="124" t="s">
        <v>1829</v>
      </c>
      <c r="AS98" s="124" t="s">
        <v>1829</v>
      </c>
      <c r="AT98" s="124" t="s">
        <v>1937</v>
      </c>
      <c r="AU98" s="124" t="str">
        <f t="shared" si="17"/>
        <v>B240003</v>
      </c>
      <c r="AV98" s="124" t="s">
        <v>2853</v>
      </c>
      <c r="AW98" s="117" t="s">
        <v>1862</v>
      </c>
      <c r="AX98" s="138" t="str">
        <f t="shared" si="21"/>
        <v>delete from module_mst where pjt_id = '14821' and menu_id = '240003';</v>
      </c>
      <c r="AY98" s="31" t="str">
        <f>IF(C98&lt;&gt;"",CREATE_QUERY($D$1,C$2:AW$2,C98:AW98),"")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'240003', '거래처리스트', '', '', '', '', '1', '1', '1', 'cust', 'CstmList', '1', '1', '1', '1', '1', '1', '1', '', '0', '0', '0', '', '', '', '', 'N', '', '', '240000', '5', '13154', '', '14821/거래처리스트/cust/CstmList', '', '', 'Y', 'Y', 'Y', 'Y', 'Y', 'B', 'MES-TD3-167', '거래처 리스트 조회');</v>
      </c>
    </row>
    <row r="99" spans="1:51">
      <c r="A99" s="1">
        <v>56</v>
      </c>
      <c r="B99" s="121" t="str">
        <f t="shared" si="22"/>
        <v/>
      </c>
      <c r="C99" s="27" t="str">
        <f t="shared" si="36"/>
        <v/>
      </c>
      <c r="D99" s="121"/>
      <c r="E99" s="21">
        <v>240004</v>
      </c>
      <c r="F99" s="118"/>
      <c r="G99" s="118"/>
      <c r="H99" s="118"/>
      <c r="I99" s="118"/>
      <c r="J99" s="118"/>
      <c r="K99" s="21"/>
      <c r="L99" s="21"/>
      <c r="M99" s="21"/>
      <c r="N99" s="118"/>
      <c r="O99" s="118"/>
      <c r="P99" s="21" t="str">
        <f t="shared" si="26"/>
        <v>0</v>
      </c>
      <c r="Q99" s="21" t="str">
        <f t="shared" si="27"/>
        <v>0</v>
      </c>
      <c r="R99" s="21" t="str">
        <f t="shared" si="28"/>
        <v>0</v>
      </c>
      <c r="S99" s="21" t="str">
        <f t="shared" si="29"/>
        <v>0</v>
      </c>
      <c r="T99" s="21" t="str">
        <f t="shared" si="30"/>
        <v>0</v>
      </c>
      <c r="U99" s="21" t="str">
        <f t="shared" si="31"/>
        <v>0</v>
      </c>
      <c r="V99" s="21" t="str">
        <f t="shared" si="32"/>
        <v>1</v>
      </c>
      <c r="W99" s="21"/>
      <c r="X99" s="21" t="str">
        <f t="shared" si="33"/>
        <v/>
      </c>
      <c r="Y99" s="21" t="str">
        <f t="shared" si="34"/>
        <v/>
      </c>
      <c r="Z99" s="21" t="str">
        <f t="shared" si="35"/>
        <v/>
      </c>
      <c r="AA99" s="118"/>
      <c r="AB99" s="118"/>
      <c r="AC99" s="118"/>
      <c r="AD99" s="118"/>
      <c r="AE99" s="118" t="s">
        <v>51</v>
      </c>
      <c r="AF99" s="118"/>
      <c r="AG99" s="118"/>
      <c r="AH99" s="26" t="s">
        <v>136</v>
      </c>
      <c r="AI99" s="26" t="s">
        <v>113</v>
      </c>
      <c r="AJ99" s="26">
        <v>13156</v>
      </c>
      <c r="AK99" s="121" t="str">
        <f t="shared" ref="AK99:AK100" si="37">IF(B100="","","0")</f>
        <v/>
      </c>
      <c r="AL99" s="123" t="str">
        <f t="shared" si="1"/>
        <v/>
      </c>
      <c r="AM99" s="21"/>
      <c r="AN99" s="124"/>
      <c r="AO99" s="124" t="s">
        <v>1829</v>
      </c>
      <c r="AP99" s="124" t="s">
        <v>1829</v>
      </c>
      <c r="AQ99" s="124" t="s">
        <v>1829</v>
      </c>
      <c r="AR99" s="124" t="s">
        <v>1829</v>
      </c>
      <c r="AS99" s="124" t="s">
        <v>1829</v>
      </c>
      <c r="AT99" s="124" t="s">
        <v>1937</v>
      </c>
      <c r="AU99" s="124" t="str">
        <f t="shared" ref="AU99:AU163" si="38">IF(O99="","",AT99&amp;E99)</f>
        <v/>
      </c>
      <c r="AV99" s="124" t="s">
        <v>2854</v>
      </c>
      <c r="AW99" s="117"/>
      <c r="AX99" s="138" t="str">
        <f t="shared" si="21"/>
        <v/>
      </c>
      <c r="AY99" s="31" t="str">
        <f>IF(C99&lt;&gt;"",CREATE_QUERY($D$1,C$2:AW$2,C99:AW99),"")</f>
        <v/>
      </c>
    </row>
    <row r="100" spans="1:51">
      <c r="A100" s="1">
        <v>56</v>
      </c>
      <c r="B100" s="121" t="str">
        <f t="shared" si="22"/>
        <v/>
      </c>
      <c r="C100" s="27" t="str">
        <f t="shared" si="36"/>
        <v/>
      </c>
      <c r="D100" s="121"/>
      <c r="E100" s="21">
        <v>240005</v>
      </c>
      <c r="F100" s="118"/>
      <c r="G100" s="118"/>
      <c r="H100" s="118"/>
      <c r="I100" s="118"/>
      <c r="J100" s="118"/>
      <c r="K100" s="21"/>
      <c r="L100" s="21"/>
      <c r="M100" s="21"/>
      <c r="N100" s="118"/>
      <c r="O100" s="118"/>
      <c r="P100" s="21" t="str">
        <f t="shared" si="26"/>
        <v>0</v>
      </c>
      <c r="Q100" s="21" t="str">
        <f t="shared" si="27"/>
        <v>0</v>
      </c>
      <c r="R100" s="21" t="str">
        <f t="shared" si="28"/>
        <v>0</v>
      </c>
      <c r="S100" s="21" t="str">
        <f t="shared" si="29"/>
        <v>0</v>
      </c>
      <c r="T100" s="21" t="str">
        <f t="shared" si="30"/>
        <v>0</v>
      </c>
      <c r="U100" s="21" t="str">
        <f t="shared" si="31"/>
        <v>0</v>
      </c>
      <c r="V100" s="21" t="str">
        <f t="shared" si="32"/>
        <v>1</v>
      </c>
      <c r="W100" s="21"/>
      <c r="X100" s="21" t="str">
        <f t="shared" si="33"/>
        <v/>
      </c>
      <c r="Y100" s="21" t="str">
        <f t="shared" si="34"/>
        <v/>
      </c>
      <c r="Z100" s="21" t="str">
        <f t="shared" si="35"/>
        <v/>
      </c>
      <c r="AA100" s="118"/>
      <c r="AB100" s="118"/>
      <c r="AC100" s="118"/>
      <c r="AD100" s="118"/>
      <c r="AE100" s="118" t="s">
        <v>51</v>
      </c>
      <c r="AF100" s="118"/>
      <c r="AG100" s="118"/>
      <c r="AH100" s="26" t="s">
        <v>136</v>
      </c>
      <c r="AI100" s="26" t="s">
        <v>113</v>
      </c>
      <c r="AJ100" s="26">
        <v>13158</v>
      </c>
      <c r="AK100" s="121" t="str">
        <f t="shared" si="37"/>
        <v/>
      </c>
      <c r="AL100" s="123" t="str">
        <f t="shared" si="1"/>
        <v/>
      </c>
      <c r="AM100" s="21"/>
      <c r="AN100" s="124"/>
      <c r="AO100" s="124" t="s">
        <v>1829</v>
      </c>
      <c r="AP100" s="124" t="s">
        <v>1829</v>
      </c>
      <c r="AQ100" s="124" t="s">
        <v>1829</v>
      </c>
      <c r="AR100" s="124" t="s">
        <v>1829</v>
      </c>
      <c r="AS100" s="124" t="s">
        <v>1829</v>
      </c>
      <c r="AT100" s="124" t="s">
        <v>1937</v>
      </c>
      <c r="AU100" s="124" t="str">
        <f t="shared" si="38"/>
        <v/>
      </c>
      <c r="AV100" s="124" t="s">
        <v>2855</v>
      </c>
      <c r="AW100" s="117"/>
      <c r="AX100" s="138" t="str">
        <f t="shared" si="21"/>
        <v/>
      </c>
      <c r="AY100" s="31" t="str">
        <f>IF(C100&lt;&gt;"",CREATE_QUERY($D$1,C$2:AW$2,C100:AW100),"")</f>
        <v/>
      </c>
    </row>
    <row r="101" spans="1:51">
      <c r="A101" s="1">
        <v>57</v>
      </c>
      <c r="B101" s="121" t="str">
        <f t="shared" si="22"/>
        <v/>
      </c>
      <c r="C101" s="27" t="str">
        <f t="shared" si="36"/>
        <v/>
      </c>
      <c r="D101" s="121"/>
      <c r="E101" s="21">
        <v>240006</v>
      </c>
      <c r="F101" s="118"/>
      <c r="G101" s="118"/>
      <c r="H101" s="118"/>
      <c r="I101" s="118"/>
      <c r="J101" s="118"/>
      <c r="K101" s="21"/>
      <c r="L101" s="21"/>
      <c r="M101" s="21"/>
      <c r="N101" s="118"/>
      <c r="O101" s="118"/>
      <c r="P101" s="21" t="str">
        <f t="shared" si="26"/>
        <v>0</v>
      </c>
      <c r="Q101" s="21" t="str">
        <f t="shared" si="27"/>
        <v>0</v>
      </c>
      <c r="R101" s="21" t="str">
        <f t="shared" si="28"/>
        <v>0</v>
      </c>
      <c r="S101" s="21" t="str">
        <f t="shared" si="29"/>
        <v>0</v>
      </c>
      <c r="T101" s="21" t="str">
        <f t="shared" si="30"/>
        <v>0</v>
      </c>
      <c r="U101" s="21" t="str">
        <f t="shared" si="31"/>
        <v>0</v>
      </c>
      <c r="V101" s="21" t="str">
        <f t="shared" si="32"/>
        <v>1</v>
      </c>
      <c r="W101" s="21"/>
      <c r="X101" s="21" t="str">
        <f t="shared" si="33"/>
        <v/>
      </c>
      <c r="Y101" s="21" t="str">
        <f t="shared" si="34"/>
        <v/>
      </c>
      <c r="Z101" s="21" t="str">
        <f t="shared" si="35"/>
        <v/>
      </c>
      <c r="AA101" s="118"/>
      <c r="AB101" s="118"/>
      <c r="AC101" s="118"/>
      <c r="AD101" s="118"/>
      <c r="AE101" s="118" t="s">
        <v>51</v>
      </c>
      <c r="AF101" s="118"/>
      <c r="AG101" s="118"/>
      <c r="AH101" s="26" t="s">
        <v>136</v>
      </c>
      <c r="AI101" s="26" t="s">
        <v>113</v>
      </c>
      <c r="AJ101" s="26">
        <v>13160</v>
      </c>
      <c r="AK101" s="121" t="str">
        <f>IF(B113="","","0")</f>
        <v>0</v>
      </c>
      <c r="AL101" s="123" t="str">
        <f t="shared" si="1"/>
        <v/>
      </c>
      <c r="AM101" s="21"/>
      <c r="AN101" s="124"/>
      <c r="AO101" s="124" t="s">
        <v>1829</v>
      </c>
      <c r="AP101" s="124" t="s">
        <v>1829</v>
      </c>
      <c r="AQ101" s="124" t="s">
        <v>1829</v>
      </c>
      <c r="AR101" s="124" t="s">
        <v>1829</v>
      </c>
      <c r="AS101" s="124" t="s">
        <v>1829</v>
      </c>
      <c r="AT101" s="124" t="s">
        <v>1937</v>
      </c>
      <c r="AU101" s="124" t="str">
        <f t="shared" si="38"/>
        <v/>
      </c>
      <c r="AV101" s="124" t="s">
        <v>2856</v>
      </c>
      <c r="AW101" s="117"/>
      <c r="AX101" s="138" t="str">
        <f t="shared" si="21"/>
        <v/>
      </c>
      <c r="AY101" s="31" t="str">
        <f>IF(C101&lt;&gt;"",CREATE_QUERY($D$1,C$2:AW$2,C101:AW101),"")</f>
        <v/>
      </c>
    </row>
    <row r="102" spans="1:51">
      <c r="A102" s="1">
        <v>56</v>
      </c>
      <c r="B102" s="121" t="str">
        <f t="shared" si="22"/>
        <v/>
      </c>
      <c r="C102" s="27" t="str">
        <f t="shared" si="36"/>
        <v/>
      </c>
      <c r="D102" s="121"/>
      <c r="E102" s="21">
        <v>240007</v>
      </c>
      <c r="F102" s="118"/>
      <c r="G102" s="118"/>
      <c r="H102" s="118"/>
      <c r="I102" s="118"/>
      <c r="J102" s="118"/>
      <c r="K102" s="21"/>
      <c r="L102" s="21"/>
      <c r="M102" s="21"/>
      <c r="N102" s="118"/>
      <c r="O102" s="118"/>
      <c r="P102" s="21" t="str">
        <f t="shared" si="26"/>
        <v>0</v>
      </c>
      <c r="Q102" s="21" t="str">
        <f t="shared" si="27"/>
        <v>0</v>
      </c>
      <c r="R102" s="21" t="str">
        <f t="shared" si="28"/>
        <v>0</v>
      </c>
      <c r="S102" s="21" t="str">
        <f t="shared" si="29"/>
        <v>0</v>
      </c>
      <c r="T102" s="21" t="str">
        <f t="shared" si="30"/>
        <v>0</v>
      </c>
      <c r="U102" s="21" t="str">
        <f t="shared" si="31"/>
        <v>0</v>
      </c>
      <c r="V102" s="21" t="str">
        <f t="shared" si="32"/>
        <v>1</v>
      </c>
      <c r="W102" s="21"/>
      <c r="X102" s="21" t="str">
        <f t="shared" si="33"/>
        <v/>
      </c>
      <c r="Y102" s="21" t="str">
        <f t="shared" si="34"/>
        <v/>
      </c>
      <c r="Z102" s="21" t="str">
        <f t="shared" si="35"/>
        <v/>
      </c>
      <c r="AA102" s="118"/>
      <c r="AB102" s="118"/>
      <c r="AC102" s="118"/>
      <c r="AD102" s="118"/>
      <c r="AE102" s="118" t="s">
        <v>51</v>
      </c>
      <c r="AF102" s="118"/>
      <c r="AG102" s="118"/>
      <c r="AH102" s="26" t="s">
        <v>136</v>
      </c>
      <c r="AI102" s="26" t="s">
        <v>113</v>
      </c>
      <c r="AJ102" s="26">
        <v>13162</v>
      </c>
      <c r="AK102" s="121" t="str">
        <f t="shared" ref="AK102:AK103" si="39">IF(B103="","","0")</f>
        <v/>
      </c>
      <c r="AL102" s="123" t="str">
        <f t="shared" si="1"/>
        <v/>
      </c>
      <c r="AM102" s="21"/>
      <c r="AN102" s="124"/>
      <c r="AO102" s="124" t="s">
        <v>1829</v>
      </c>
      <c r="AP102" s="124" t="s">
        <v>1829</v>
      </c>
      <c r="AQ102" s="124" t="s">
        <v>1829</v>
      </c>
      <c r="AR102" s="124" t="s">
        <v>1829</v>
      </c>
      <c r="AS102" s="124" t="s">
        <v>1829</v>
      </c>
      <c r="AT102" s="124" t="s">
        <v>1937</v>
      </c>
      <c r="AU102" s="124" t="str">
        <f t="shared" si="38"/>
        <v/>
      </c>
      <c r="AV102" s="124" t="s">
        <v>2857</v>
      </c>
      <c r="AW102" s="117"/>
      <c r="AX102" s="138" t="str">
        <f t="shared" si="21"/>
        <v/>
      </c>
      <c r="AY102" s="31" t="str">
        <f>IF(C102&lt;&gt;"",CREATE_QUERY($D$1,C$2:AW$2,C102:AW102),"")</f>
        <v/>
      </c>
    </row>
    <row r="103" spans="1:51">
      <c r="A103" s="1">
        <v>56</v>
      </c>
      <c r="B103" s="121" t="str">
        <f t="shared" si="22"/>
        <v/>
      </c>
      <c r="C103" s="27" t="str">
        <f t="shared" si="36"/>
        <v/>
      </c>
      <c r="D103" s="121"/>
      <c r="E103" s="21">
        <v>240008</v>
      </c>
      <c r="F103" s="118"/>
      <c r="G103" s="118"/>
      <c r="H103" s="118"/>
      <c r="I103" s="118"/>
      <c r="J103" s="118"/>
      <c r="K103" s="21"/>
      <c r="L103" s="21"/>
      <c r="M103" s="21"/>
      <c r="N103" s="118"/>
      <c r="O103" s="118"/>
      <c r="P103" s="21" t="str">
        <f t="shared" si="26"/>
        <v>0</v>
      </c>
      <c r="Q103" s="21" t="str">
        <f t="shared" si="27"/>
        <v>0</v>
      </c>
      <c r="R103" s="21" t="str">
        <f t="shared" si="28"/>
        <v>0</v>
      </c>
      <c r="S103" s="21" t="str">
        <f t="shared" si="29"/>
        <v>0</v>
      </c>
      <c r="T103" s="21" t="str">
        <f t="shared" si="30"/>
        <v>0</v>
      </c>
      <c r="U103" s="21" t="str">
        <f t="shared" si="31"/>
        <v>0</v>
      </c>
      <c r="V103" s="21" t="str">
        <f t="shared" si="32"/>
        <v>1</v>
      </c>
      <c r="W103" s="21"/>
      <c r="X103" s="21" t="str">
        <f t="shared" si="33"/>
        <v/>
      </c>
      <c r="Y103" s="21" t="str">
        <f t="shared" si="34"/>
        <v/>
      </c>
      <c r="Z103" s="21" t="str">
        <f t="shared" si="35"/>
        <v/>
      </c>
      <c r="AA103" s="118"/>
      <c r="AB103" s="118"/>
      <c r="AC103" s="118"/>
      <c r="AD103" s="118"/>
      <c r="AE103" s="118" t="s">
        <v>51</v>
      </c>
      <c r="AF103" s="118"/>
      <c r="AG103" s="118"/>
      <c r="AH103" s="26" t="s">
        <v>136</v>
      </c>
      <c r="AI103" s="26" t="s">
        <v>113</v>
      </c>
      <c r="AJ103" s="26">
        <v>13164</v>
      </c>
      <c r="AK103" s="121" t="str">
        <f t="shared" si="39"/>
        <v/>
      </c>
      <c r="AL103" s="123" t="str">
        <f t="shared" si="1"/>
        <v/>
      </c>
      <c r="AM103" s="21"/>
      <c r="AN103" s="124"/>
      <c r="AO103" s="124" t="s">
        <v>1829</v>
      </c>
      <c r="AP103" s="124" t="s">
        <v>1829</v>
      </c>
      <c r="AQ103" s="124" t="s">
        <v>1829</v>
      </c>
      <c r="AR103" s="124" t="s">
        <v>1829</v>
      </c>
      <c r="AS103" s="124" t="s">
        <v>1829</v>
      </c>
      <c r="AT103" s="124" t="s">
        <v>1937</v>
      </c>
      <c r="AU103" s="124" t="str">
        <f t="shared" si="38"/>
        <v/>
      </c>
      <c r="AV103" s="124" t="s">
        <v>2858</v>
      </c>
      <c r="AW103" s="117"/>
      <c r="AX103" s="138" t="str">
        <f t="shared" si="21"/>
        <v/>
      </c>
      <c r="AY103" s="31" t="str">
        <f>IF(C103&lt;&gt;"",CREATE_QUERY($D$1,C$2:AW$2,C103:AW103),"")</f>
        <v/>
      </c>
    </row>
    <row r="104" spans="1:51">
      <c r="A104" s="1">
        <v>57</v>
      </c>
      <c r="B104" s="121" t="str">
        <f t="shared" si="22"/>
        <v/>
      </c>
      <c r="C104" s="27" t="str">
        <f t="shared" si="36"/>
        <v/>
      </c>
      <c r="D104" s="121"/>
      <c r="E104" s="21">
        <v>240009</v>
      </c>
      <c r="F104" s="118"/>
      <c r="G104" s="118"/>
      <c r="H104" s="118"/>
      <c r="I104" s="118"/>
      <c r="J104" s="118"/>
      <c r="K104" s="21"/>
      <c r="L104" s="21"/>
      <c r="M104" s="21"/>
      <c r="N104" s="118"/>
      <c r="O104" s="118"/>
      <c r="P104" s="21" t="str">
        <f t="shared" si="26"/>
        <v>0</v>
      </c>
      <c r="Q104" s="21" t="str">
        <f t="shared" si="27"/>
        <v>0</v>
      </c>
      <c r="R104" s="21" t="str">
        <f t="shared" si="28"/>
        <v>0</v>
      </c>
      <c r="S104" s="21" t="str">
        <f t="shared" si="29"/>
        <v>0</v>
      </c>
      <c r="T104" s="21" t="str">
        <f t="shared" si="30"/>
        <v>0</v>
      </c>
      <c r="U104" s="21" t="str">
        <f t="shared" si="31"/>
        <v>0</v>
      </c>
      <c r="V104" s="21" t="str">
        <f t="shared" si="32"/>
        <v>1</v>
      </c>
      <c r="W104" s="21"/>
      <c r="X104" s="21" t="str">
        <f t="shared" si="33"/>
        <v/>
      </c>
      <c r="Y104" s="21" t="str">
        <f t="shared" si="34"/>
        <v/>
      </c>
      <c r="Z104" s="21" t="str">
        <f t="shared" si="35"/>
        <v/>
      </c>
      <c r="AA104" s="118"/>
      <c r="AB104" s="118"/>
      <c r="AC104" s="118"/>
      <c r="AD104" s="118"/>
      <c r="AE104" s="118" t="s">
        <v>51</v>
      </c>
      <c r="AF104" s="118"/>
      <c r="AG104" s="118"/>
      <c r="AH104" s="26" t="s">
        <v>136</v>
      </c>
      <c r="AI104" s="26" t="s">
        <v>113</v>
      </c>
      <c r="AJ104" s="26">
        <v>13166</v>
      </c>
      <c r="AK104" s="121" t="str">
        <f>IF(B122="","","0")</f>
        <v>0</v>
      </c>
      <c r="AL104" s="123" t="str">
        <f t="shared" si="1"/>
        <v/>
      </c>
      <c r="AM104" s="21"/>
      <c r="AN104" s="124"/>
      <c r="AO104" s="124" t="s">
        <v>1829</v>
      </c>
      <c r="AP104" s="124" t="s">
        <v>1829</v>
      </c>
      <c r="AQ104" s="124" t="s">
        <v>1829</v>
      </c>
      <c r="AR104" s="124" t="s">
        <v>1829</v>
      </c>
      <c r="AS104" s="124" t="s">
        <v>1829</v>
      </c>
      <c r="AT104" s="124" t="s">
        <v>1937</v>
      </c>
      <c r="AU104" s="124" t="str">
        <f t="shared" si="38"/>
        <v/>
      </c>
      <c r="AV104" s="124" t="s">
        <v>2859</v>
      </c>
      <c r="AW104" s="117"/>
      <c r="AX104" s="138" t="str">
        <f t="shared" si="21"/>
        <v/>
      </c>
      <c r="AY104" s="31" t="str">
        <f>IF(C104&lt;&gt;"",CREATE_QUERY($D$1,C$2:AW$2,C104:AW104),"")</f>
        <v/>
      </c>
    </row>
    <row r="105" spans="1:51">
      <c r="A105" s="1">
        <v>56</v>
      </c>
      <c r="B105" s="121" t="str">
        <f t="shared" si="22"/>
        <v/>
      </c>
      <c r="C105" s="27" t="str">
        <f t="shared" si="36"/>
        <v/>
      </c>
      <c r="D105" s="121"/>
      <c r="E105" s="21">
        <v>240010</v>
      </c>
      <c r="F105" s="118"/>
      <c r="G105" s="118"/>
      <c r="H105" s="118"/>
      <c r="I105" s="118"/>
      <c r="J105" s="118"/>
      <c r="K105" s="21"/>
      <c r="L105" s="21"/>
      <c r="M105" s="21"/>
      <c r="N105" s="118"/>
      <c r="O105" s="118"/>
      <c r="P105" s="21" t="str">
        <f t="shared" si="26"/>
        <v>0</v>
      </c>
      <c r="Q105" s="21" t="str">
        <f t="shared" si="27"/>
        <v>0</v>
      </c>
      <c r="R105" s="21" t="str">
        <f t="shared" si="28"/>
        <v>0</v>
      </c>
      <c r="S105" s="21" t="str">
        <f t="shared" si="29"/>
        <v>0</v>
      </c>
      <c r="T105" s="21" t="str">
        <f t="shared" si="30"/>
        <v>0</v>
      </c>
      <c r="U105" s="21" t="str">
        <f t="shared" si="31"/>
        <v>0</v>
      </c>
      <c r="V105" s="21" t="str">
        <f t="shared" si="32"/>
        <v>1</v>
      </c>
      <c r="W105" s="21"/>
      <c r="X105" s="21" t="str">
        <f t="shared" si="33"/>
        <v/>
      </c>
      <c r="Y105" s="21" t="str">
        <f t="shared" si="34"/>
        <v/>
      </c>
      <c r="Z105" s="21" t="str">
        <f t="shared" si="35"/>
        <v/>
      </c>
      <c r="AA105" s="118"/>
      <c r="AB105" s="118"/>
      <c r="AC105" s="118"/>
      <c r="AD105" s="118"/>
      <c r="AE105" s="118" t="s">
        <v>51</v>
      </c>
      <c r="AF105" s="118"/>
      <c r="AG105" s="118"/>
      <c r="AH105" s="26" t="s">
        <v>136</v>
      </c>
      <c r="AI105" s="26" t="s">
        <v>113</v>
      </c>
      <c r="AJ105" s="26">
        <v>13168</v>
      </c>
      <c r="AK105" s="121" t="str">
        <f t="shared" ref="AK105" si="40">IF(B106="","","0")</f>
        <v/>
      </c>
      <c r="AL105" s="123" t="str">
        <f t="shared" si="1"/>
        <v/>
      </c>
      <c r="AM105" s="21"/>
      <c r="AN105" s="124"/>
      <c r="AO105" s="124" t="s">
        <v>1829</v>
      </c>
      <c r="AP105" s="124" t="s">
        <v>1829</v>
      </c>
      <c r="AQ105" s="124" t="s">
        <v>1829</v>
      </c>
      <c r="AR105" s="124" t="s">
        <v>1829</v>
      </c>
      <c r="AS105" s="124" t="s">
        <v>1829</v>
      </c>
      <c r="AT105" s="124" t="s">
        <v>1937</v>
      </c>
      <c r="AU105" s="124" t="str">
        <f t="shared" si="38"/>
        <v/>
      </c>
      <c r="AV105" s="124" t="s">
        <v>2860</v>
      </c>
      <c r="AW105" s="117"/>
      <c r="AX105" s="138" t="str">
        <f t="shared" si="21"/>
        <v/>
      </c>
      <c r="AY105" s="31" t="str">
        <f>IF(C105&lt;&gt;"",CREATE_QUERY($D$1,C$2:AW$2,C105:AW105),"")</f>
        <v/>
      </c>
    </row>
    <row r="106" spans="1:51">
      <c r="A106" s="1">
        <v>57</v>
      </c>
      <c r="B106" s="121" t="str">
        <f t="shared" si="22"/>
        <v/>
      </c>
      <c r="C106" s="27" t="str">
        <f t="shared" si="36"/>
        <v/>
      </c>
      <c r="D106" s="121"/>
      <c r="E106" s="21">
        <v>240011</v>
      </c>
      <c r="F106" s="118"/>
      <c r="G106" s="118"/>
      <c r="H106" s="118"/>
      <c r="I106" s="118"/>
      <c r="J106" s="118"/>
      <c r="K106" s="21"/>
      <c r="L106" s="21"/>
      <c r="M106" s="21"/>
      <c r="N106" s="118"/>
      <c r="O106" s="118"/>
      <c r="P106" s="21" t="str">
        <f t="shared" si="26"/>
        <v>0</v>
      </c>
      <c r="Q106" s="21" t="str">
        <f t="shared" si="27"/>
        <v>0</v>
      </c>
      <c r="R106" s="21" t="str">
        <f t="shared" si="28"/>
        <v>0</v>
      </c>
      <c r="S106" s="21" t="str">
        <f t="shared" si="29"/>
        <v>0</v>
      </c>
      <c r="T106" s="21" t="str">
        <f t="shared" si="30"/>
        <v>0</v>
      </c>
      <c r="U106" s="21" t="str">
        <f t="shared" si="31"/>
        <v>0</v>
      </c>
      <c r="V106" s="21" t="str">
        <f t="shared" si="32"/>
        <v>1</v>
      </c>
      <c r="W106" s="21"/>
      <c r="X106" s="21" t="str">
        <f t="shared" si="33"/>
        <v/>
      </c>
      <c r="Y106" s="21" t="str">
        <f t="shared" si="34"/>
        <v/>
      </c>
      <c r="Z106" s="21" t="str">
        <f t="shared" si="35"/>
        <v/>
      </c>
      <c r="AA106" s="118"/>
      <c r="AB106" s="118"/>
      <c r="AC106" s="118"/>
      <c r="AD106" s="118"/>
      <c r="AE106" s="118" t="s">
        <v>51</v>
      </c>
      <c r="AF106" s="118"/>
      <c r="AG106" s="118"/>
      <c r="AH106" s="26" t="s">
        <v>136</v>
      </c>
      <c r="AI106" s="26" t="s">
        <v>113</v>
      </c>
      <c r="AJ106" s="26">
        <v>13170</v>
      </c>
      <c r="AK106" s="121" t="str">
        <f>IF(B124="","","0")</f>
        <v>0</v>
      </c>
      <c r="AL106" s="123" t="str">
        <f t="shared" si="1"/>
        <v/>
      </c>
      <c r="AM106" s="21"/>
      <c r="AN106" s="124"/>
      <c r="AO106" s="124" t="s">
        <v>1829</v>
      </c>
      <c r="AP106" s="124" t="s">
        <v>1829</v>
      </c>
      <c r="AQ106" s="124" t="s">
        <v>1829</v>
      </c>
      <c r="AR106" s="124" t="s">
        <v>1829</v>
      </c>
      <c r="AS106" s="124" t="s">
        <v>1829</v>
      </c>
      <c r="AT106" s="124" t="s">
        <v>1937</v>
      </c>
      <c r="AU106" s="124" t="str">
        <f t="shared" si="38"/>
        <v/>
      </c>
      <c r="AV106" s="124" t="s">
        <v>2861</v>
      </c>
      <c r="AW106" s="117"/>
      <c r="AX106" s="138" t="str">
        <f t="shared" si="21"/>
        <v/>
      </c>
      <c r="AY106" s="31" t="str">
        <f>IF(C106&lt;&gt;"",CREATE_QUERY($D$1,C$2:AW$2,C106:AW106),"")</f>
        <v/>
      </c>
    </row>
    <row r="107" spans="1:51">
      <c r="A107" s="1">
        <v>56</v>
      </c>
      <c r="B107" s="121" t="str">
        <f t="shared" si="22"/>
        <v/>
      </c>
      <c r="C107" s="27" t="str">
        <f t="shared" si="36"/>
        <v/>
      </c>
      <c r="D107" s="121"/>
      <c r="E107" s="21">
        <v>240012</v>
      </c>
      <c r="F107" s="118"/>
      <c r="G107" s="118"/>
      <c r="H107" s="118"/>
      <c r="I107" s="118"/>
      <c r="J107" s="118"/>
      <c r="K107" s="21"/>
      <c r="L107" s="21"/>
      <c r="M107" s="21"/>
      <c r="N107" s="118"/>
      <c r="O107" s="118"/>
      <c r="P107" s="21" t="str">
        <f t="shared" si="26"/>
        <v>0</v>
      </c>
      <c r="Q107" s="21" t="str">
        <f t="shared" si="27"/>
        <v>0</v>
      </c>
      <c r="R107" s="21" t="str">
        <f t="shared" si="28"/>
        <v>0</v>
      </c>
      <c r="S107" s="21" t="str">
        <f t="shared" si="29"/>
        <v>0</v>
      </c>
      <c r="T107" s="21" t="str">
        <f t="shared" si="30"/>
        <v>0</v>
      </c>
      <c r="U107" s="21" t="str">
        <f t="shared" si="31"/>
        <v>0</v>
      </c>
      <c r="V107" s="21" t="str">
        <f t="shared" si="32"/>
        <v>1</v>
      </c>
      <c r="W107" s="21"/>
      <c r="X107" s="21" t="str">
        <f t="shared" si="33"/>
        <v/>
      </c>
      <c r="Y107" s="21" t="str">
        <f t="shared" si="34"/>
        <v/>
      </c>
      <c r="Z107" s="21" t="str">
        <f t="shared" si="35"/>
        <v/>
      </c>
      <c r="AA107" s="118"/>
      <c r="AB107" s="118"/>
      <c r="AC107" s="118"/>
      <c r="AD107" s="118"/>
      <c r="AE107" s="118" t="s">
        <v>51</v>
      </c>
      <c r="AF107" s="118"/>
      <c r="AG107" s="118"/>
      <c r="AH107" s="26" t="s">
        <v>136</v>
      </c>
      <c r="AI107" s="26" t="s">
        <v>113</v>
      </c>
      <c r="AJ107" s="26">
        <v>13172</v>
      </c>
      <c r="AK107" s="121" t="str">
        <f t="shared" ref="AK107:AK108" si="41">IF(B108="","","0")</f>
        <v/>
      </c>
      <c r="AL107" s="123" t="str">
        <f t="shared" si="1"/>
        <v/>
      </c>
      <c r="AM107" s="21"/>
      <c r="AN107" s="124"/>
      <c r="AO107" s="124" t="s">
        <v>1829</v>
      </c>
      <c r="AP107" s="124" t="s">
        <v>1829</v>
      </c>
      <c r="AQ107" s="124" t="s">
        <v>1829</v>
      </c>
      <c r="AR107" s="124" t="s">
        <v>1829</v>
      </c>
      <c r="AS107" s="124" t="s">
        <v>1829</v>
      </c>
      <c r="AT107" s="124" t="s">
        <v>1937</v>
      </c>
      <c r="AU107" s="124" t="str">
        <f t="shared" si="38"/>
        <v/>
      </c>
      <c r="AV107" s="124" t="s">
        <v>2862</v>
      </c>
      <c r="AW107" s="117"/>
      <c r="AX107" s="138" t="str">
        <f t="shared" si="21"/>
        <v/>
      </c>
      <c r="AY107" s="31" t="str">
        <f>IF(C107&lt;&gt;"",CREATE_QUERY($D$1,C$2:AW$2,C107:AW107),"")</f>
        <v/>
      </c>
    </row>
    <row r="108" spans="1:51">
      <c r="A108" s="1">
        <v>56</v>
      </c>
      <c r="B108" s="121" t="str">
        <f t="shared" si="22"/>
        <v/>
      </c>
      <c r="C108" s="27" t="str">
        <f t="shared" si="36"/>
        <v/>
      </c>
      <c r="D108" s="121"/>
      <c r="E108" s="21">
        <v>240013</v>
      </c>
      <c r="F108" s="118"/>
      <c r="G108" s="118"/>
      <c r="H108" s="118"/>
      <c r="I108" s="118"/>
      <c r="J108" s="118"/>
      <c r="K108" s="21"/>
      <c r="L108" s="21"/>
      <c r="M108" s="21"/>
      <c r="N108" s="118"/>
      <c r="O108" s="118"/>
      <c r="P108" s="21" t="str">
        <f t="shared" si="26"/>
        <v>0</v>
      </c>
      <c r="Q108" s="21" t="str">
        <f t="shared" si="27"/>
        <v>0</v>
      </c>
      <c r="R108" s="21" t="str">
        <f t="shared" si="28"/>
        <v>0</v>
      </c>
      <c r="S108" s="21" t="str">
        <f t="shared" si="29"/>
        <v>0</v>
      </c>
      <c r="T108" s="21" t="str">
        <f t="shared" si="30"/>
        <v>0</v>
      </c>
      <c r="U108" s="21" t="str">
        <f t="shared" si="31"/>
        <v>0</v>
      </c>
      <c r="V108" s="21" t="str">
        <f t="shared" si="32"/>
        <v>1</v>
      </c>
      <c r="W108" s="21"/>
      <c r="X108" s="21" t="str">
        <f t="shared" si="33"/>
        <v/>
      </c>
      <c r="Y108" s="21" t="str">
        <f t="shared" si="34"/>
        <v/>
      </c>
      <c r="Z108" s="21" t="str">
        <f t="shared" si="35"/>
        <v/>
      </c>
      <c r="AA108" s="118"/>
      <c r="AB108" s="118"/>
      <c r="AC108" s="118"/>
      <c r="AD108" s="118"/>
      <c r="AE108" s="118" t="s">
        <v>51</v>
      </c>
      <c r="AF108" s="118"/>
      <c r="AG108" s="118"/>
      <c r="AH108" s="26" t="s">
        <v>136</v>
      </c>
      <c r="AI108" s="26" t="s">
        <v>113</v>
      </c>
      <c r="AJ108" s="26">
        <v>13174</v>
      </c>
      <c r="AK108" s="121" t="str">
        <f t="shared" si="41"/>
        <v/>
      </c>
      <c r="AL108" s="123" t="str">
        <f t="shared" si="1"/>
        <v/>
      </c>
      <c r="AM108" s="21"/>
      <c r="AN108" s="124"/>
      <c r="AO108" s="124" t="s">
        <v>1829</v>
      </c>
      <c r="AP108" s="124" t="s">
        <v>1829</v>
      </c>
      <c r="AQ108" s="124" t="s">
        <v>1829</v>
      </c>
      <c r="AR108" s="124" t="s">
        <v>1829</v>
      </c>
      <c r="AS108" s="124" t="s">
        <v>1829</v>
      </c>
      <c r="AT108" s="124" t="s">
        <v>1937</v>
      </c>
      <c r="AU108" s="124" t="str">
        <f t="shared" si="38"/>
        <v/>
      </c>
      <c r="AV108" s="124" t="s">
        <v>2863</v>
      </c>
      <c r="AW108" s="117"/>
      <c r="AX108" s="138" t="str">
        <f t="shared" si="21"/>
        <v/>
      </c>
      <c r="AY108" s="31" t="str">
        <f>IF(C108&lt;&gt;"",CREATE_QUERY($D$1,C$2:AW$2,C108:AW108),"")</f>
        <v/>
      </c>
    </row>
    <row r="109" spans="1:51">
      <c r="A109" s="1">
        <v>57</v>
      </c>
      <c r="B109" s="121" t="str">
        <f t="shared" si="22"/>
        <v/>
      </c>
      <c r="C109" s="27" t="str">
        <f t="shared" si="36"/>
        <v/>
      </c>
      <c r="D109" s="121"/>
      <c r="E109" s="21">
        <v>240014</v>
      </c>
      <c r="F109" s="118"/>
      <c r="G109" s="118"/>
      <c r="H109" s="118"/>
      <c r="I109" s="118"/>
      <c r="J109" s="118"/>
      <c r="K109" s="21"/>
      <c r="L109" s="21"/>
      <c r="M109" s="21"/>
      <c r="N109" s="118"/>
      <c r="O109" s="118"/>
      <c r="P109" s="21" t="str">
        <f t="shared" si="26"/>
        <v>0</v>
      </c>
      <c r="Q109" s="21" t="str">
        <f t="shared" si="27"/>
        <v>0</v>
      </c>
      <c r="R109" s="21" t="str">
        <f t="shared" si="28"/>
        <v>0</v>
      </c>
      <c r="S109" s="21" t="str">
        <f t="shared" si="29"/>
        <v>0</v>
      </c>
      <c r="T109" s="21" t="str">
        <f t="shared" si="30"/>
        <v>0</v>
      </c>
      <c r="U109" s="21" t="str">
        <f t="shared" si="31"/>
        <v>0</v>
      </c>
      <c r="V109" s="21" t="str">
        <f t="shared" si="32"/>
        <v>1</v>
      </c>
      <c r="W109" s="21"/>
      <c r="X109" s="21" t="str">
        <f t="shared" si="33"/>
        <v/>
      </c>
      <c r="Y109" s="21" t="str">
        <f t="shared" si="34"/>
        <v/>
      </c>
      <c r="Z109" s="21" t="str">
        <f t="shared" si="35"/>
        <v/>
      </c>
      <c r="AA109" s="118"/>
      <c r="AB109" s="118"/>
      <c r="AC109" s="118"/>
      <c r="AD109" s="118"/>
      <c r="AE109" s="118" t="s">
        <v>51</v>
      </c>
      <c r="AF109" s="118"/>
      <c r="AG109" s="118"/>
      <c r="AH109" s="26" t="s">
        <v>136</v>
      </c>
      <c r="AI109" s="26" t="s">
        <v>113</v>
      </c>
      <c r="AJ109" s="26">
        <v>13176</v>
      </c>
      <c r="AK109" s="121" t="str">
        <f>IF(B127="","","0")</f>
        <v>0</v>
      </c>
      <c r="AL109" s="123" t="str">
        <f t="shared" si="1"/>
        <v/>
      </c>
      <c r="AM109" s="21"/>
      <c r="AN109" s="124"/>
      <c r="AO109" s="124" t="s">
        <v>1829</v>
      </c>
      <c r="AP109" s="124" t="s">
        <v>1829</v>
      </c>
      <c r="AQ109" s="124" t="s">
        <v>1829</v>
      </c>
      <c r="AR109" s="124" t="s">
        <v>1829</v>
      </c>
      <c r="AS109" s="124" t="s">
        <v>1829</v>
      </c>
      <c r="AT109" s="124" t="s">
        <v>1937</v>
      </c>
      <c r="AU109" s="124" t="str">
        <f t="shared" si="38"/>
        <v/>
      </c>
      <c r="AV109" s="124" t="s">
        <v>2864</v>
      </c>
      <c r="AW109" s="117"/>
      <c r="AX109" s="138" t="str">
        <f t="shared" si="21"/>
        <v/>
      </c>
      <c r="AY109" s="31" t="str">
        <f>IF(C109&lt;&gt;"",CREATE_QUERY($D$1,C$2:AW$2,C109:AW109),"")</f>
        <v/>
      </c>
    </row>
    <row r="110" spans="1:51">
      <c r="A110" s="1">
        <v>58</v>
      </c>
      <c r="B110" s="121" t="str">
        <f t="shared" si="22"/>
        <v/>
      </c>
      <c r="C110" s="27" t="str">
        <f t="shared" si="36"/>
        <v/>
      </c>
      <c r="D110" s="121"/>
      <c r="E110" s="27"/>
      <c r="F110" s="121"/>
      <c r="G110" s="121"/>
      <c r="H110" s="121"/>
      <c r="I110" s="121"/>
      <c r="J110" s="121"/>
      <c r="K110" s="27" t="str">
        <f t="shared" si="24"/>
        <v/>
      </c>
      <c r="L110" s="27">
        <v>1</v>
      </c>
      <c r="M110" s="27" t="str">
        <f t="shared" si="25"/>
        <v>0</v>
      </c>
      <c r="N110" s="121"/>
      <c r="O110" s="121"/>
      <c r="P110" s="27" t="str">
        <f t="shared" si="26"/>
        <v>0</v>
      </c>
      <c r="Q110" s="27" t="str">
        <f t="shared" si="27"/>
        <v>0</v>
      </c>
      <c r="R110" s="27" t="str">
        <f t="shared" si="28"/>
        <v>0</v>
      </c>
      <c r="S110" s="27" t="str">
        <f t="shared" si="29"/>
        <v>0</v>
      </c>
      <c r="T110" s="27" t="str">
        <f t="shared" si="30"/>
        <v>0</v>
      </c>
      <c r="U110" s="27" t="str">
        <f t="shared" si="31"/>
        <v>0</v>
      </c>
      <c r="V110" s="27" t="str">
        <f t="shared" si="32"/>
        <v>1</v>
      </c>
      <c r="W110" s="27"/>
      <c r="X110" s="27" t="str">
        <f t="shared" si="33"/>
        <v/>
      </c>
      <c r="Y110" s="27" t="str">
        <f t="shared" si="34"/>
        <v/>
      </c>
      <c r="Z110" s="27" t="str">
        <f t="shared" si="35"/>
        <v/>
      </c>
      <c r="AA110" s="121"/>
      <c r="AB110" s="121"/>
      <c r="AC110" s="121"/>
      <c r="AD110" s="121"/>
      <c r="AE110" s="121"/>
      <c r="AF110" s="121"/>
      <c r="AG110" s="121"/>
      <c r="AH110" s="27"/>
      <c r="AI110" s="27"/>
      <c r="AJ110" s="27"/>
      <c r="AK110" s="121" t="str">
        <f t="shared" si="23"/>
        <v>0</v>
      </c>
      <c r="AL110" s="123" t="str">
        <f t="shared" si="1"/>
        <v/>
      </c>
      <c r="AM110" s="27"/>
      <c r="AN110" s="124"/>
      <c r="AO110" s="124" t="s">
        <v>1829</v>
      </c>
      <c r="AP110" s="124" t="s">
        <v>1829</v>
      </c>
      <c r="AQ110" s="124" t="s">
        <v>1829</v>
      </c>
      <c r="AR110" s="124" t="s">
        <v>1829</v>
      </c>
      <c r="AS110" s="124"/>
      <c r="AT110" s="124"/>
      <c r="AU110" s="124" t="str">
        <f t="shared" si="38"/>
        <v/>
      </c>
      <c r="AV110" s="124" t="str">
        <f>IF(P110="","",AU110&amp;F110)</f>
        <v/>
      </c>
      <c r="AW110" s="117"/>
      <c r="AX110" s="138" t="str">
        <f t="shared" si="21"/>
        <v/>
      </c>
      <c r="AY110" s="31" t="str">
        <f>IF(C110&lt;&gt;"",CREATE_QUERY($D$1,C$2:AW$2,C110:AW110),"")</f>
        <v/>
      </c>
    </row>
    <row r="111" spans="1:51">
      <c r="A111" s="1">
        <v>59</v>
      </c>
      <c r="B111" s="121" t="str">
        <f t="shared" si="22"/>
        <v xml:space="preserve">  └ 영업관리</v>
      </c>
      <c r="C111" s="27" t="str">
        <f t="shared" si="36"/>
        <v>14821</v>
      </c>
      <c r="D111" s="121"/>
      <c r="E111" s="24" t="s">
        <v>163</v>
      </c>
      <c r="F111" s="127" t="s">
        <v>123</v>
      </c>
      <c r="G111" s="127"/>
      <c r="H111" s="127"/>
      <c r="I111" s="127"/>
      <c r="J111" s="127"/>
      <c r="K111" s="25" t="str">
        <f t="shared" si="24"/>
        <v/>
      </c>
      <c r="L111" s="25">
        <v>1</v>
      </c>
      <c r="M111" s="25" t="str">
        <f t="shared" si="25"/>
        <v>0</v>
      </c>
      <c r="N111" s="127"/>
      <c r="O111" s="127"/>
      <c r="P111" s="25" t="str">
        <f t="shared" si="26"/>
        <v>0</v>
      </c>
      <c r="Q111" s="25" t="str">
        <f t="shared" si="27"/>
        <v>0</v>
      </c>
      <c r="R111" s="25" t="str">
        <f t="shared" si="28"/>
        <v>0</v>
      </c>
      <c r="S111" s="25" t="str">
        <f t="shared" si="29"/>
        <v>0</v>
      </c>
      <c r="T111" s="25" t="str">
        <f t="shared" si="30"/>
        <v>0</v>
      </c>
      <c r="U111" s="25" t="str">
        <f t="shared" si="31"/>
        <v>0</v>
      </c>
      <c r="V111" s="25" t="str">
        <f t="shared" si="32"/>
        <v>1</v>
      </c>
      <c r="W111" s="25"/>
      <c r="X111" s="25" t="str">
        <f t="shared" si="33"/>
        <v/>
      </c>
      <c r="Y111" s="25" t="str">
        <f t="shared" si="34"/>
        <v/>
      </c>
      <c r="Z111" s="25" t="str">
        <f t="shared" si="35"/>
        <v/>
      </c>
      <c r="AA111" s="127"/>
      <c r="AB111" s="127"/>
      <c r="AC111" s="127"/>
      <c r="AD111" s="127"/>
      <c r="AE111" s="127" t="s">
        <v>51</v>
      </c>
      <c r="AF111" s="127"/>
      <c r="AG111" s="127"/>
      <c r="AH111" s="24" t="s">
        <v>120</v>
      </c>
      <c r="AI111" s="24" t="s">
        <v>111</v>
      </c>
      <c r="AJ111" s="24">
        <v>20000</v>
      </c>
      <c r="AK111" s="121" t="str">
        <f t="shared" si="23"/>
        <v>0</v>
      </c>
      <c r="AL111" s="123" t="str">
        <f t="shared" si="1"/>
        <v>14821/영업관리//</v>
      </c>
      <c r="AM111" s="24"/>
      <c r="AN111" s="124"/>
      <c r="AO111" s="124" t="s">
        <v>1829</v>
      </c>
      <c r="AP111" s="124" t="s">
        <v>1829</v>
      </c>
      <c r="AQ111" s="124" t="s">
        <v>1829</v>
      </c>
      <c r="AR111" s="124" t="s">
        <v>1829</v>
      </c>
      <c r="AS111" s="124"/>
      <c r="AT111" s="124" t="s">
        <v>1938</v>
      </c>
      <c r="AU111" s="124" t="str">
        <f t="shared" si="38"/>
        <v/>
      </c>
      <c r="AV111" s="124"/>
      <c r="AW111" s="117"/>
      <c r="AX111" s="138" t="str">
        <f t="shared" si="21"/>
        <v>delete from module_mst where pjt_id = '14821' and menu_id = '250000';</v>
      </c>
      <c r="AY111" s="31" t="str">
        <f>IF(C111&lt;&gt;"",CREATE_QUERY($D$1,C$2:AW$2,C111:AW111),"")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'250000', '영업관리', '', '', '', '', '', '1', '0', '', '', '0', '0', '0', '0', '0', '0', '1', '', '', '', '', '', '', '', '', 'N', '', '', '200000', '3', '20000', '0', '14821/영업관리//', '', '', 'Y', 'Y', 'Y', 'Y', '', 'S', '', '');</v>
      </c>
    </row>
    <row r="112" spans="1:51">
      <c r="A112" s="1">
        <v>60</v>
      </c>
      <c r="B112" s="121" t="str">
        <f t="shared" si="22"/>
        <v xml:space="preserve">    └ 영업기초</v>
      </c>
      <c r="C112" s="27" t="str">
        <f t="shared" si="36"/>
        <v>14821</v>
      </c>
      <c r="D112" s="121"/>
      <c r="E112" s="21">
        <v>251000</v>
      </c>
      <c r="F112" s="118" t="s">
        <v>165</v>
      </c>
      <c r="G112" s="118"/>
      <c r="H112" s="118"/>
      <c r="I112" s="118"/>
      <c r="J112" s="118"/>
      <c r="K112" s="21" t="str">
        <f t="shared" si="24"/>
        <v/>
      </c>
      <c r="L112" s="21">
        <v>1</v>
      </c>
      <c r="M112" s="21" t="str">
        <f t="shared" si="25"/>
        <v>0</v>
      </c>
      <c r="N112" s="118"/>
      <c r="O112" s="118"/>
      <c r="P112" s="21" t="str">
        <f t="shared" si="26"/>
        <v>0</v>
      </c>
      <c r="Q112" s="21" t="str">
        <f t="shared" si="27"/>
        <v>0</v>
      </c>
      <c r="R112" s="21" t="str">
        <f t="shared" si="28"/>
        <v>0</v>
      </c>
      <c r="S112" s="21" t="str">
        <f t="shared" si="29"/>
        <v>0</v>
      </c>
      <c r="T112" s="21" t="str">
        <f t="shared" si="30"/>
        <v>0</v>
      </c>
      <c r="U112" s="21" t="str">
        <f t="shared" si="31"/>
        <v>0</v>
      </c>
      <c r="V112" s="21" t="str">
        <f t="shared" si="32"/>
        <v>1</v>
      </c>
      <c r="W112" s="21"/>
      <c r="X112" s="21" t="str">
        <f t="shared" si="33"/>
        <v/>
      </c>
      <c r="Y112" s="21" t="str">
        <f t="shared" si="34"/>
        <v/>
      </c>
      <c r="Z112" s="21" t="str">
        <f t="shared" si="35"/>
        <v/>
      </c>
      <c r="AA112" s="118"/>
      <c r="AB112" s="118"/>
      <c r="AC112" s="118"/>
      <c r="AD112" s="118"/>
      <c r="AE112" s="118" t="s">
        <v>51</v>
      </c>
      <c r="AF112" s="118"/>
      <c r="AG112" s="118"/>
      <c r="AH112" s="26" t="s">
        <v>163</v>
      </c>
      <c r="AI112" s="26" t="s">
        <v>112</v>
      </c>
      <c r="AJ112" s="26">
        <v>20050</v>
      </c>
      <c r="AK112" s="121" t="str">
        <f t="shared" si="23"/>
        <v>0</v>
      </c>
      <c r="AL112" s="123" t="str">
        <f t="shared" si="1"/>
        <v>14821/영업기초//</v>
      </c>
      <c r="AM112" s="21"/>
      <c r="AN112" s="124"/>
      <c r="AO112" s="124"/>
      <c r="AP112" s="124" t="s">
        <v>1829</v>
      </c>
      <c r="AQ112" s="124"/>
      <c r="AR112" s="124" t="s">
        <v>1829</v>
      </c>
      <c r="AS112" s="124"/>
      <c r="AT112" s="124" t="s">
        <v>1938</v>
      </c>
      <c r="AU112" s="124" t="str">
        <f t="shared" si="38"/>
        <v/>
      </c>
      <c r="AV112" s="124"/>
      <c r="AW112" s="117"/>
      <c r="AX112" s="138" t="str">
        <f t="shared" si="21"/>
        <v>delete from module_mst where pjt_id = '14821' and menu_id = '251000';</v>
      </c>
      <c r="AY112" s="31" t="str">
        <f>IF(C112&lt;&gt;"",CREATE_QUERY($D$1,C$2:AW$2,C112:AW112),"")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'251000', '영업기초', '', '', '', '', '', '1', '0', '', '', '0', '0', '0', '0', '0', '0', '1', '', '', '', '', '', '', '', '', 'N', '', '', '250000', '4', '20050', '0', '14821/영업기초//', '', '', '', 'Y', '', 'Y', '', 'S', '', '');</v>
      </c>
    </row>
    <row r="113" spans="1:51">
      <c r="A113" s="1">
        <v>61</v>
      </c>
      <c r="B113" s="121" t="str">
        <f t="shared" si="22"/>
        <v xml:space="preserve">        └ 계약사항 관리</v>
      </c>
      <c r="C113" s="27" t="str">
        <f t="shared" si="36"/>
        <v>14821</v>
      </c>
      <c r="D113" s="121"/>
      <c r="E113" s="27">
        <v>250001</v>
      </c>
      <c r="F113" s="121" t="s">
        <v>166</v>
      </c>
      <c r="G113" s="121"/>
      <c r="H113" s="121"/>
      <c r="I113" s="121"/>
      <c r="J113" s="121"/>
      <c r="K113" s="27" t="str">
        <f t="shared" si="24"/>
        <v>1</v>
      </c>
      <c r="L113" s="27">
        <v>1</v>
      </c>
      <c r="M113" s="27" t="str">
        <f t="shared" si="25"/>
        <v>1</v>
      </c>
      <c r="N113" s="121" t="s">
        <v>304</v>
      </c>
      <c r="O113" s="121" t="s">
        <v>291</v>
      </c>
      <c r="P113" s="27" t="str">
        <f t="shared" si="26"/>
        <v>1</v>
      </c>
      <c r="Q113" s="27" t="str">
        <f t="shared" si="27"/>
        <v>1</v>
      </c>
      <c r="R113" s="27" t="str">
        <f t="shared" si="28"/>
        <v>1</v>
      </c>
      <c r="S113" s="27" t="str">
        <f t="shared" si="29"/>
        <v>1</v>
      </c>
      <c r="T113" s="27" t="str">
        <f t="shared" si="30"/>
        <v>1</v>
      </c>
      <c r="U113" s="27" t="str">
        <f t="shared" si="31"/>
        <v>1</v>
      </c>
      <c r="V113" s="27" t="str">
        <f t="shared" si="32"/>
        <v>1</v>
      </c>
      <c r="W113" s="27"/>
      <c r="X113" s="27" t="str">
        <f t="shared" si="33"/>
        <v>0</v>
      </c>
      <c r="Y113" s="27" t="str">
        <f t="shared" si="34"/>
        <v>0</v>
      </c>
      <c r="Z113" s="27" t="str">
        <f t="shared" si="35"/>
        <v>0</v>
      </c>
      <c r="AA113" s="121"/>
      <c r="AB113" s="121"/>
      <c r="AC113" s="121"/>
      <c r="AD113" s="121"/>
      <c r="AE113" s="121" t="s">
        <v>51</v>
      </c>
      <c r="AF113" s="121"/>
      <c r="AG113" s="121"/>
      <c r="AH113" s="28" t="s">
        <v>164</v>
      </c>
      <c r="AI113" s="28" t="s">
        <v>113</v>
      </c>
      <c r="AJ113" s="28">
        <v>20100</v>
      </c>
      <c r="AK113" s="121" t="str">
        <f t="shared" si="23"/>
        <v>0</v>
      </c>
      <c r="AL113" s="123" t="str">
        <f t="shared" si="1"/>
        <v>14821/계약사항 관리/sale.basic/ItemSales</v>
      </c>
      <c r="AM113" s="27"/>
      <c r="AN113" s="124"/>
      <c r="AO113" s="124"/>
      <c r="AP113" s="124" t="s">
        <v>1829</v>
      </c>
      <c r="AQ113" s="124"/>
      <c r="AR113" s="124" t="s">
        <v>1829</v>
      </c>
      <c r="AS113" s="124"/>
      <c r="AT113" s="124" t="s">
        <v>1938</v>
      </c>
      <c r="AU113" s="124" t="str">
        <f t="shared" si="38"/>
        <v>S250001</v>
      </c>
      <c r="AV113" s="124" t="s">
        <v>2483</v>
      </c>
      <c r="AW113" s="117" t="s">
        <v>1881</v>
      </c>
      <c r="AX113" s="138" t="str">
        <f t="shared" si="21"/>
        <v>delete from module_mst where pjt_id = '14821' and menu_id = '250001';</v>
      </c>
      <c r="AY113" s="31" t="str">
        <f>IF(C113&lt;&gt;"",CREATE_QUERY($D$1,C$2:AW$2,C113:AW113),"")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'250001', '계약사항 관리', '', '', '', '', '1', '1', '1', 'sale.basic', 'ItemSales', '1', '1', '1', '1', '1', '1', '1', '', '0', '0', '0', '', '', '', '', 'N', '', '', '251000', '5', '20100', '0', '14821/계약사항 관리/sale.basic/ItemSales', '', '', '', 'Y', '', 'Y', '', 'S', 'MES-TD3-201', '업체별 판매 조건 , 담보사항 등을 관리');</v>
      </c>
    </row>
    <row r="114" spans="1:51">
      <c r="A114" s="1">
        <v>61</v>
      </c>
      <c r="B114" s="121" t="str">
        <f t="shared" si="22"/>
        <v xml:space="preserve">        └ 거래처 방문일지</v>
      </c>
      <c r="C114" s="27" t="str">
        <f t="shared" si="36"/>
        <v>14821</v>
      </c>
      <c r="D114" s="121"/>
      <c r="E114" s="27">
        <v>250002</v>
      </c>
      <c r="F114" s="121" t="s">
        <v>1901</v>
      </c>
      <c r="G114" s="121"/>
      <c r="H114" s="121"/>
      <c r="I114" s="121"/>
      <c r="J114" s="121"/>
      <c r="K114" s="27" t="str">
        <f t="shared" si="24"/>
        <v>1</v>
      </c>
      <c r="L114" s="27">
        <v>1</v>
      </c>
      <c r="M114" s="27" t="str">
        <f t="shared" si="25"/>
        <v>1</v>
      </c>
      <c r="N114" s="121" t="s">
        <v>156</v>
      </c>
      <c r="O114" s="121" t="s">
        <v>1902</v>
      </c>
      <c r="P114" s="27" t="str">
        <f t="shared" si="26"/>
        <v>1</v>
      </c>
      <c r="Q114" s="27" t="str">
        <f t="shared" si="27"/>
        <v>1</v>
      </c>
      <c r="R114" s="27" t="str">
        <f t="shared" si="28"/>
        <v>1</v>
      </c>
      <c r="S114" s="27" t="str">
        <f t="shared" si="29"/>
        <v>1</v>
      </c>
      <c r="T114" s="27" t="str">
        <f t="shared" si="30"/>
        <v>1</v>
      </c>
      <c r="U114" s="27" t="str">
        <f t="shared" si="31"/>
        <v>1</v>
      </c>
      <c r="V114" s="27" t="str">
        <f t="shared" si="32"/>
        <v>1</v>
      </c>
      <c r="W114" s="27"/>
      <c r="X114" s="27" t="str">
        <f t="shared" si="33"/>
        <v>0</v>
      </c>
      <c r="Y114" s="27" t="str">
        <f t="shared" si="34"/>
        <v>0</v>
      </c>
      <c r="Z114" s="27" t="str">
        <f t="shared" si="35"/>
        <v>0</v>
      </c>
      <c r="AA114" s="121"/>
      <c r="AB114" s="121"/>
      <c r="AC114" s="121"/>
      <c r="AD114" s="121"/>
      <c r="AE114" s="121" t="s">
        <v>51</v>
      </c>
      <c r="AF114" s="121"/>
      <c r="AG114" s="121"/>
      <c r="AH114" s="28" t="s">
        <v>164</v>
      </c>
      <c r="AI114" s="28" t="s">
        <v>113</v>
      </c>
      <c r="AJ114" s="28">
        <v>20102</v>
      </c>
      <c r="AK114" s="121" t="str">
        <f>IF(B121="","","0")</f>
        <v/>
      </c>
      <c r="AL114" s="123" t="str">
        <f t="shared" si="1"/>
        <v>14821/거래처 방문일지/cust/CstmVist</v>
      </c>
      <c r="AM114" s="27"/>
      <c r="AN114" s="124"/>
      <c r="AO114" s="124" t="s">
        <v>1829</v>
      </c>
      <c r="AP114" s="124" t="s">
        <v>1829</v>
      </c>
      <c r="AQ114" s="124"/>
      <c r="AR114" s="124" t="s">
        <v>1829</v>
      </c>
      <c r="AS114" s="124"/>
      <c r="AT114" s="124" t="s">
        <v>1938</v>
      </c>
      <c r="AU114" s="124" t="str">
        <f t="shared" si="38"/>
        <v>S250002</v>
      </c>
      <c r="AV114" s="124" t="s">
        <v>2498</v>
      </c>
      <c r="AW114" s="117" t="s">
        <v>2081</v>
      </c>
      <c r="AX114" s="138" t="str">
        <f t="shared" si="21"/>
        <v>delete from module_mst where pjt_id = '14821' and menu_id = '250002';</v>
      </c>
      <c r="AY114" s="31" t="str">
        <f>IF(C114&lt;&gt;"",CREATE_QUERY($D$1,C$2:AW$2,C114:AW114),"")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'250002', '거래처 방문일지', '', '', '', '', '1', '1', '1', 'cust', 'CstmVist', '1', '1', '1', '1', '1', '1', '1', '', '0', '0', '0', '', '', '', '', 'N', '', '', '251000', '5', '20102', '', '14821/거래처 방문일지/cust/CstmVist', '', '', 'Y', 'Y', '', 'Y', '', 'S', 'MES-TD3-202', '영업 담당자의 거래처 방문일지를 보고 등록');</v>
      </c>
    </row>
    <row r="115" spans="1:51">
      <c r="A115" s="1">
        <v>61</v>
      </c>
      <c r="B115" s="121" t="str">
        <f t="shared" si="22"/>
        <v/>
      </c>
      <c r="C115" s="27" t="str">
        <f t="shared" si="36"/>
        <v/>
      </c>
      <c r="D115" s="121"/>
      <c r="E115" s="27">
        <v>250003</v>
      </c>
      <c r="F115" s="121"/>
      <c r="G115" s="121"/>
      <c r="H115" s="121"/>
      <c r="I115" s="121"/>
      <c r="J115" s="121"/>
      <c r="K115" s="27"/>
      <c r="L115" s="27"/>
      <c r="M115" s="27"/>
      <c r="N115" s="121"/>
      <c r="O115" s="121"/>
      <c r="P115" s="27" t="str">
        <f t="shared" si="26"/>
        <v>0</v>
      </c>
      <c r="Q115" s="27" t="str">
        <f t="shared" si="27"/>
        <v>0</v>
      </c>
      <c r="R115" s="27" t="str">
        <f t="shared" si="28"/>
        <v>0</v>
      </c>
      <c r="S115" s="27" t="str">
        <f t="shared" si="29"/>
        <v>0</v>
      </c>
      <c r="T115" s="27" t="str">
        <f t="shared" si="30"/>
        <v>0</v>
      </c>
      <c r="U115" s="27" t="str">
        <f t="shared" si="31"/>
        <v>0</v>
      </c>
      <c r="V115" s="27" t="str">
        <f t="shared" si="32"/>
        <v>1</v>
      </c>
      <c r="W115" s="27"/>
      <c r="X115" s="27" t="str">
        <f t="shared" si="33"/>
        <v/>
      </c>
      <c r="Y115" s="27" t="str">
        <f t="shared" si="34"/>
        <v/>
      </c>
      <c r="Z115" s="27" t="str">
        <f t="shared" si="35"/>
        <v/>
      </c>
      <c r="AA115" s="121"/>
      <c r="AB115" s="121"/>
      <c r="AC115" s="121"/>
      <c r="AD115" s="121"/>
      <c r="AE115" s="121" t="s">
        <v>51</v>
      </c>
      <c r="AF115" s="121"/>
      <c r="AG115" s="121"/>
      <c r="AH115" s="28" t="s">
        <v>164</v>
      </c>
      <c r="AI115" s="28" t="s">
        <v>113</v>
      </c>
      <c r="AJ115" s="28">
        <v>20104</v>
      </c>
      <c r="AK115" s="121" t="str">
        <f t="shared" ref="AK115" si="42">IF(B116="","","0")</f>
        <v/>
      </c>
      <c r="AL115" s="123" t="str">
        <f t="shared" si="1"/>
        <v/>
      </c>
      <c r="AM115" s="27"/>
      <c r="AN115" s="124"/>
      <c r="AO115" s="124"/>
      <c r="AP115" s="124" t="s">
        <v>1829</v>
      </c>
      <c r="AQ115" s="124"/>
      <c r="AR115" s="124" t="s">
        <v>1829</v>
      </c>
      <c r="AS115" s="124"/>
      <c r="AT115" s="124" t="s">
        <v>1938</v>
      </c>
      <c r="AU115" s="124" t="str">
        <f t="shared" si="38"/>
        <v/>
      </c>
      <c r="AV115" s="124" t="s">
        <v>2499</v>
      </c>
      <c r="AW115" s="117"/>
      <c r="AX115" s="138" t="str">
        <f t="shared" si="21"/>
        <v/>
      </c>
      <c r="AY115" s="31" t="str">
        <f>IF(C115&lt;&gt;"",CREATE_QUERY($D$1,C$2:AW$2,C115:AW115),"")</f>
        <v/>
      </c>
    </row>
    <row r="116" spans="1:51">
      <c r="A116" s="1">
        <v>61</v>
      </c>
      <c r="B116" s="121" t="str">
        <f t="shared" si="22"/>
        <v/>
      </c>
      <c r="C116" s="27" t="str">
        <f t="shared" si="36"/>
        <v/>
      </c>
      <c r="D116" s="121"/>
      <c r="E116" s="27">
        <v>250004</v>
      </c>
      <c r="F116" s="121"/>
      <c r="G116" s="121"/>
      <c r="H116" s="121"/>
      <c r="I116" s="121"/>
      <c r="J116" s="121"/>
      <c r="K116" s="27"/>
      <c r="L116" s="27"/>
      <c r="M116" s="27"/>
      <c r="N116" s="121"/>
      <c r="O116" s="121"/>
      <c r="P116" s="27" t="str">
        <f t="shared" si="26"/>
        <v>0</v>
      </c>
      <c r="Q116" s="27" t="str">
        <f t="shared" si="27"/>
        <v>0</v>
      </c>
      <c r="R116" s="27" t="str">
        <f t="shared" si="28"/>
        <v>0</v>
      </c>
      <c r="S116" s="27" t="str">
        <f t="shared" si="29"/>
        <v>0</v>
      </c>
      <c r="T116" s="27" t="str">
        <f t="shared" si="30"/>
        <v>0</v>
      </c>
      <c r="U116" s="27" t="str">
        <f t="shared" si="31"/>
        <v>0</v>
      </c>
      <c r="V116" s="27" t="str">
        <f t="shared" si="32"/>
        <v>1</v>
      </c>
      <c r="W116" s="27"/>
      <c r="X116" s="27" t="str">
        <f t="shared" si="33"/>
        <v/>
      </c>
      <c r="Y116" s="27" t="str">
        <f t="shared" si="34"/>
        <v/>
      </c>
      <c r="Z116" s="27" t="str">
        <f t="shared" si="35"/>
        <v/>
      </c>
      <c r="AA116" s="121"/>
      <c r="AB116" s="121"/>
      <c r="AC116" s="121"/>
      <c r="AD116" s="121"/>
      <c r="AE116" s="121" t="s">
        <v>51</v>
      </c>
      <c r="AF116" s="121"/>
      <c r="AG116" s="121"/>
      <c r="AH116" s="28" t="s">
        <v>164</v>
      </c>
      <c r="AI116" s="28" t="s">
        <v>113</v>
      </c>
      <c r="AJ116" s="28">
        <v>20106</v>
      </c>
      <c r="AK116" s="121" t="str">
        <f>IF(B123="","","0")</f>
        <v>0</v>
      </c>
      <c r="AL116" s="123" t="str">
        <f t="shared" si="1"/>
        <v/>
      </c>
      <c r="AM116" s="27"/>
      <c r="AN116" s="124"/>
      <c r="AO116" s="124" t="s">
        <v>1829</v>
      </c>
      <c r="AP116" s="124" t="s">
        <v>1829</v>
      </c>
      <c r="AQ116" s="124"/>
      <c r="AR116" s="124" t="s">
        <v>1829</v>
      </c>
      <c r="AS116" s="124"/>
      <c r="AT116" s="124" t="s">
        <v>1938</v>
      </c>
      <c r="AU116" s="124" t="str">
        <f t="shared" si="38"/>
        <v/>
      </c>
      <c r="AV116" s="124" t="s">
        <v>2500</v>
      </c>
      <c r="AW116" s="117"/>
      <c r="AX116" s="138" t="str">
        <f t="shared" si="21"/>
        <v/>
      </c>
      <c r="AY116" s="31" t="str">
        <f>IF(C116&lt;&gt;"",CREATE_QUERY($D$1,C$2:AW$2,C116:AW116),"")</f>
        <v/>
      </c>
    </row>
    <row r="117" spans="1:51">
      <c r="A117" s="1">
        <v>61</v>
      </c>
      <c r="B117" s="121" t="str">
        <f t="shared" si="22"/>
        <v/>
      </c>
      <c r="C117" s="27" t="str">
        <f t="shared" si="36"/>
        <v/>
      </c>
      <c r="D117" s="121"/>
      <c r="E117" s="27">
        <v>250005</v>
      </c>
      <c r="F117" s="121"/>
      <c r="G117" s="121"/>
      <c r="H117" s="121"/>
      <c r="I117" s="121"/>
      <c r="J117" s="121"/>
      <c r="K117" s="27"/>
      <c r="L117" s="27"/>
      <c r="M117" s="27"/>
      <c r="N117" s="121"/>
      <c r="O117" s="121"/>
      <c r="P117" s="27" t="str">
        <f t="shared" si="26"/>
        <v>0</v>
      </c>
      <c r="Q117" s="27" t="str">
        <f t="shared" si="27"/>
        <v>0</v>
      </c>
      <c r="R117" s="27" t="str">
        <f t="shared" si="28"/>
        <v>0</v>
      </c>
      <c r="S117" s="27" t="str">
        <f t="shared" si="29"/>
        <v>0</v>
      </c>
      <c r="T117" s="27" t="str">
        <f t="shared" si="30"/>
        <v>0</v>
      </c>
      <c r="U117" s="27" t="str">
        <f t="shared" si="31"/>
        <v>0</v>
      </c>
      <c r="V117" s="27" t="str">
        <f t="shared" si="32"/>
        <v>1</v>
      </c>
      <c r="W117" s="27"/>
      <c r="X117" s="27" t="str">
        <f t="shared" si="33"/>
        <v/>
      </c>
      <c r="Y117" s="27" t="str">
        <f t="shared" si="34"/>
        <v/>
      </c>
      <c r="Z117" s="27" t="str">
        <f t="shared" si="35"/>
        <v/>
      </c>
      <c r="AA117" s="121"/>
      <c r="AB117" s="121"/>
      <c r="AC117" s="121"/>
      <c r="AD117" s="121"/>
      <c r="AE117" s="121" t="s">
        <v>51</v>
      </c>
      <c r="AF117" s="121"/>
      <c r="AG117" s="121"/>
      <c r="AH117" s="28" t="s">
        <v>164</v>
      </c>
      <c r="AI117" s="28" t="s">
        <v>113</v>
      </c>
      <c r="AJ117" s="28">
        <v>20108</v>
      </c>
      <c r="AK117" s="121" t="str">
        <f t="shared" ref="AK117" si="43">IF(B118="","","0")</f>
        <v/>
      </c>
      <c r="AL117" s="123" t="str">
        <f t="shared" si="1"/>
        <v/>
      </c>
      <c r="AM117" s="27"/>
      <c r="AN117" s="124"/>
      <c r="AO117" s="124"/>
      <c r="AP117" s="124" t="s">
        <v>1829</v>
      </c>
      <c r="AQ117" s="124"/>
      <c r="AR117" s="124" t="s">
        <v>1829</v>
      </c>
      <c r="AS117" s="124"/>
      <c r="AT117" s="124" t="s">
        <v>1938</v>
      </c>
      <c r="AU117" s="124" t="str">
        <f t="shared" si="38"/>
        <v/>
      </c>
      <c r="AV117" s="124" t="s">
        <v>2501</v>
      </c>
      <c r="AW117" s="117"/>
      <c r="AX117" s="138" t="str">
        <f t="shared" si="21"/>
        <v/>
      </c>
      <c r="AY117" s="31" t="str">
        <f>IF(C117&lt;&gt;"",CREATE_QUERY($D$1,C$2:AW$2,C117:AW117),"")</f>
        <v/>
      </c>
    </row>
    <row r="118" spans="1:51">
      <c r="A118" s="1">
        <v>61</v>
      </c>
      <c r="B118" s="121" t="str">
        <f t="shared" si="22"/>
        <v/>
      </c>
      <c r="C118" s="27" t="str">
        <f t="shared" si="36"/>
        <v/>
      </c>
      <c r="D118" s="121"/>
      <c r="E118" s="27">
        <v>250006</v>
      </c>
      <c r="F118" s="121"/>
      <c r="G118" s="121"/>
      <c r="H118" s="121"/>
      <c r="I118" s="121"/>
      <c r="J118" s="121"/>
      <c r="K118" s="27"/>
      <c r="L118" s="27"/>
      <c r="M118" s="27"/>
      <c r="N118" s="121"/>
      <c r="O118" s="121"/>
      <c r="P118" s="27" t="str">
        <f t="shared" si="26"/>
        <v>0</v>
      </c>
      <c r="Q118" s="27" t="str">
        <f t="shared" si="27"/>
        <v>0</v>
      </c>
      <c r="R118" s="27" t="str">
        <f t="shared" si="28"/>
        <v>0</v>
      </c>
      <c r="S118" s="27" t="str">
        <f t="shared" si="29"/>
        <v>0</v>
      </c>
      <c r="T118" s="27" t="str">
        <f t="shared" si="30"/>
        <v>0</v>
      </c>
      <c r="U118" s="27" t="str">
        <f t="shared" si="31"/>
        <v>0</v>
      </c>
      <c r="V118" s="27" t="str">
        <f t="shared" si="32"/>
        <v>1</v>
      </c>
      <c r="W118" s="27"/>
      <c r="X118" s="27" t="str">
        <f t="shared" si="33"/>
        <v/>
      </c>
      <c r="Y118" s="27" t="str">
        <f t="shared" si="34"/>
        <v/>
      </c>
      <c r="Z118" s="27" t="str">
        <f t="shared" si="35"/>
        <v/>
      </c>
      <c r="AA118" s="121"/>
      <c r="AB118" s="121"/>
      <c r="AC118" s="121"/>
      <c r="AD118" s="121"/>
      <c r="AE118" s="121" t="s">
        <v>51</v>
      </c>
      <c r="AF118" s="121"/>
      <c r="AG118" s="121"/>
      <c r="AH118" s="28" t="s">
        <v>164</v>
      </c>
      <c r="AI118" s="28" t="s">
        <v>113</v>
      </c>
      <c r="AJ118" s="28">
        <v>20110</v>
      </c>
      <c r="AK118" s="121" t="str">
        <f>IF(B125="","","0")</f>
        <v>0</v>
      </c>
      <c r="AL118" s="123" t="str">
        <f t="shared" si="1"/>
        <v/>
      </c>
      <c r="AM118" s="27"/>
      <c r="AN118" s="124"/>
      <c r="AO118" s="124" t="s">
        <v>1829</v>
      </c>
      <c r="AP118" s="124" t="s">
        <v>1829</v>
      </c>
      <c r="AQ118" s="124"/>
      <c r="AR118" s="124" t="s">
        <v>1829</v>
      </c>
      <c r="AS118" s="124"/>
      <c r="AT118" s="124" t="s">
        <v>1938</v>
      </c>
      <c r="AU118" s="124" t="str">
        <f t="shared" si="38"/>
        <v/>
      </c>
      <c r="AV118" s="124" t="s">
        <v>2502</v>
      </c>
      <c r="AW118" s="117"/>
      <c r="AX118" s="138" t="str">
        <f t="shared" si="21"/>
        <v/>
      </c>
      <c r="AY118" s="31" t="str">
        <f>IF(C118&lt;&gt;"",CREATE_QUERY($D$1,C$2:AW$2,C118:AW118),"")</f>
        <v/>
      </c>
    </row>
    <row r="119" spans="1:51">
      <c r="A119" s="1">
        <v>61</v>
      </c>
      <c r="B119" s="121" t="str">
        <f t="shared" si="22"/>
        <v/>
      </c>
      <c r="C119" s="27" t="str">
        <f t="shared" si="36"/>
        <v/>
      </c>
      <c r="D119" s="121"/>
      <c r="E119" s="27">
        <v>250007</v>
      </c>
      <c r="F119" s="121"/>
      <c r="G119" s="121"/>
      <c r="H119" s="121"/>
      <c r="I119" s="121"/>
      <c r="J119" s="121"/>
      <c r="K119" s="27"/>
      <c r="L119" s="27"/>
      <c r="M119" s="27"/>
      <c r="N119" s="121"/>
      <c r="O119" s="121"/>
      <c r="P119" s="27" t="str">
        <f t="shared" si="26"/>
        <v>0</v>
      </c>
      <c r="Q119" s="27" t="str">
        <f t="shared" si="27"/>
        <v>0</v>
      </c>
      <c r="R119" s="27" t="str">
        <f t="shared" si="28"/>
        <v>0</v>
      </c>
      <c r="S119" s="27" t="str">
        <f t="shared" si="29"/>
        <v>0</v>
      </c>
      <c r="T119" s="27" t="str">
        <f t="shared" si="30"/>
        <v>0</v>
      </c>
      <c r="U119" s="27" t="str">
        <f t="shared" si="31"/>
        <v>0</v>
      </c>
      <c r="V119" s="27" t="str">
        <f t="shared" si="32"/>
        <v>1</v>
      </c>
      <c r="W119" s="27"/>
      <c r="X119" s="27" t="str">
        <f t="shared" si="33"/>
        <v/>
      </c>
      <c r="Y119" s="27" t="str">
        <f t="shared" si="34"/>
        <v/>
      </c>
      <c r="Z119" s="27" t="str">
        <f t="shared" si="35"/>
        <v/>
      </c>
      <c r="AA119" s="121"/>
      <c r="AB119" s="121"/>
      <c r="AC119" s="121"/>
      <c r="AD119" s="121"/>
      <c r="AE119" s="121" t="s">
        <v>51</v>
      </c>
      <c r="AF119" s="121"/>
      <c r="AG119" s="121"/>
      <c r="AH119" s="28" t="s">
        <v>164</v>
      </c>
      <c r="AI119" s="28" t="s">
        <v>113</v>
      </c>
      <c r="AJ119" s="28">
        <v>20112</v>
      </c>
      <c r="AK119" s="121" t="str">
        <f t="shared" ref="AK119" si="44">IF(B120="","","0")</f>
        <v/>
      </c>
      <c r="AL119" s="123" t="str">
        <f t="shared" si="1"/>
        <v/>
      </c>
      <c r="AM119" s="27"/>
      <c r="AN119" s="124"/>
      <c r="AO119" s="124"/>
      <c r="AP119" s="124" t="s">
        <v>1829</v>
      </c>
      <c r="AQ119" s="124"/>
      <c r="AR119" s="124" t="s">
        <v>1829</v>
      </c>
      <c r="AS119" s="124"/>
      <c r="AT119" s="124" t="s">
        <v>1938</v>
      </c>
      <c r="AU119" s="124" t="str">
        <f t="shared" si="38"/>
        <v/>
      </c>
      <c r="AV119" s="124" t="s">
        <v>2503</v>
      </c>
      <c r="AW119" s="117"/>
      <c r="AX119" s="138" t="str">
        <f t="shared" si="21"/>
        <v/>
      </c>
      <c r="AY119" s="31" t="str">
        <f>IF(C119&lt;&gt;"",CREATE_QUERY($D$1,C$2:AW$2,C119:AW119),"")</f>
        <v/>
      </c>
    </row>
    <row r="120" spans="1:51">
      <c r="A120" s="1">
        <v>61</v>
      </c>
      <c r="B120" s="121" t="str">
        <f t="shared" si="22"/>
        <v/>
      </c>
      <c r="C120" s="27" t="str">
        <f t="shared" si="36"/>
        <v/>
      </c>
      <c r="D120" s="121"/>
      <c r="E120" s="27">
        <v>250008</v>
      </c>
      <c r="F120" s="121"/>
      <c r="G120" s="121"/>
      <c r="H120" s="121"/>
      <c r="I120" s="121"/>
      <c r="J120" s="121"/>
      <c r="K120" s="27"/>
      <c r="L120" s="27"/>
      <c r="M120" s="27"/>
      <c r="N120" s="121"/>
      <c r="O120" s="121"/>
      <c r="P120" s="27" t="str">
        <f t="shared" si="26"/>
        <v>0</v>
      </c>
      <c r="Q120" s="27" t="str">
        <f t="shared" si="27"/>
        <v>0</v>
      </c>
      <c r="R120" s="27" t="str">
        <f t="shared" si="28"/>
        <v>0</v>
      </c>
      <c r="S120" s="27" t="str">
        <f t="shared" si="29"/>
        <v>0</v>
      </c>
      <c r="T120" s="27" t="str">
        <f t="shared" si="30"/>
        <v>0</v>
      </c>
      <c r="U120" s="27" t="str">
        <f t="shared" si="31"/>
        <v>0</v>
      </c>
      <c r="V120" s="27" t="str">
        <f t="shared" si="32"/>
        <v>1</v>
      </c>
      <c r="W120" s="27"/>
      <c r="X120" s="27" t="str">
        <f t="shared" si="33"/>
        <v/>
      </c>
      <c r="Y120" s="27" t="str">
        <f t="shared" si="34"/>
        <v/>
      </c>
      <c r="Z120" s="27" t="str">
        <f t="shared" si="35"/>
        <v/>
      </c>
      <c r="AA120" s="121"/>
      <c r="AB120" s="121"/>
      <c r="AC120" s="121"/>
      <c r="AD120" s="121"/>
      <c r="AE120" s="121" t="s">
        <v>51</v>
      </c>
      <c r="AF120" s="121"/>
      <c r="AG120" s="121"/>
      <c r="AH120" s="28" t="s">
        <v>164</v>
      </c>
      <c r="AI120" s="28" t="s">
        <v>113</v>
      </c>
      <c r="AJ120" s="28">
        <v>20114</v>
      </c>
      <c r="AK120" s="121" t="str">
        <f>IF(B127="","","0")</f>
        <v>0</v>
      </c>
      <c r="AL120" s="123" t="str">
        <f t="shared" si="1"/>
        <v/>
      </c>
      <c r="AM120" s="27"/>
      <c r="AN120" s="124"/>
      <c r="AO120" s="124" t="s">
        <v>1829</v>
      </c>
      <c r="AP120" s="124" t="s">
        <v>1829</v>
      </c>
      <c r="AQ120" s="124"/>
      <c r="AR120" s="124" t="s">
        <v>1829</v>
      </c>
      <c r="AS120" s="124"/>
      <c r="AT120" s="124" t="s">
        <v>1938</v>
      </c>
      <c r="AU120" s="124" t="str">
        <f t="shared" si="38"/>
        <v/>
      </c>
      <c r="AV120" s="124" t="s">
        <v>2504</v>
      </c>
      <c r="AW120" s="117"/>
      <c r="AX120" s="138" t="str">
        <f t="shared" si="21"/>
        <v/>
      </c>
      <c r="AY120" s="31" t="str">
        <f>IF(C120&lt;&gt;"",CREATE_QUERY($D$1,C$2:AW$2,C120:AW120),"")</f>
        <v/>
      </c>
    </row>
    <row r="121" spans="1:51">
      <c r="A121" s="1">
        <v>62</v>
      </c>
      <c r="B121" s="121" t="str">
        <f t="shared" si="22"/>
        <v/>
      </c>
      <c r="C121" s="27" t="str">
        <f t="shared" si="36"/>
        <v/>
      </c>
      <c r="D121" s="121"/>
      <c r="E121" s="27"/>
      <c r="F121" s="121"/>
      <c r="G121" s="121"/>
      <c r="H121" s="121"/>
      <c r="I121" s="121"/>
      <c r="J121" s="121"/>
      <c r="K121" s="27" t="str">
        <f t="shared" si="24"/>
        <v/>
      </c>
      <c r="L121" s="27">
        <v>1</v>
      </c>
      <c r="M121" s="27" t="str">
        <f t="shared" si="25"/>
        <v>0</v>
      </c>
      <c r="N121" s="121"/>
      <c r="O121" s="121"/>
      <c r="P121" s="27" t="str">
        <f t="shared" si="26"/>
        <v>0</v>
      </c>
      <c r="Q121" s="27" t="str">
        <f t="shared" si="27"/>
        <v>0</v>
      </c>
      <c r="R121" s="27" t="str">
        <f t="shared" si="28"/>
        <v>0</v>
      </c>
      <c r="S121" s="27" t="str">
        <f t="shared" si="29"/>
        <v>0</v>
      </c>
      <c r="T121" s="27" t="str">
        <f t="shared" si="30"/>
        <v>0</v>
      </c>
      <c r="U121" s="27" t="str">
        <f t="shared" si="31"/>
        <v>0</v>
      </c>
      <c r="V121" s="27" t="str">
        <f t="shared" si="32"/>
        <v>1</v>
      </c>
      <c r="W121" s="27"/>
      <c r="X121" s="27" t="str">
        <f t="shared" si="33"/>
        <v/>
      </c>
      <c r="Y121" s="27" t="str">
        <f t="shared" si="34"/>
        <v/>
      </c>
      <c r="Z121" s="27" t="str">
        <f t="shared" si="35"/>
        <v/>
      </c>
      <c r="AA121" s="121"/>
      <c r="AB121" s="121"/>
      <c r="AC121" s="121"/>
      <c r="AD121" s="121"/>
      <c r="AE121" s="121"/>
      <c r="AF121" s="121"/>
      <c r="AG121" s="121"/>
      <c r="AH121" s="27"/>
      <c r="AI121" s="27"/>
      <c r="AJ121" s="27" t="s">
        <v>900</v>
      </c>
      <c r="AK121" s="121" t="str">
        <f t="shared" si="23"/>
        <v>0</v>
      </c>
      <c r="AL121" s="123" t="str">
        <f t="shared" si="1"/>
        <v/>
      </c>
      <c r="AM121" s="27"/>
      <c r="AN121" s="124"/>
      <c r="AO121" s="124" t="s">
        <v>1829</v>
      </c>
      <c r="AP121" s="124"/>
      <c r="AQ121" s="124"/>
      <c r="AR121" s="124"/>
      <c r="AS121" s="124"/>
      <c r="AT121" s="124"/>
      <c r="AU121" s="124" t="str">
        <f t="shared" si="38"/>
        <v/>
      </c>
      <c r="AV121" s="124" t="str">
        <f>IF(P121="","",AU121&amp;F121)</f>
        <v/>
      </c>
      <c r="AW121" s="117"/>
      <c r="AX121" s="138" t="str">
        <f t="shared" si="21"/>
        <v/>
      </c>
      <c r="AY121" s="31" t="str">
        <f>IF(C121&lt;&gt;"",CREATE_QUERY($D$1,C$2:AW$2,C121:AW121),"")</f>
        <v/>
      </c>
    </row>
    <row r="122" spans="1:51">
      <c r="A122" s="1">
        <v>63</v>
      </c>
      <c r="B122" s="121" t="str">
        <f t="shared" si="22"/>
        <v xml:space="preserve">    └ 영업오더관리</v>
      </c>
      <c r="C122" s="27" t="str">
        <f t="shared" si="36"/>
        <v>14821</v>
      </c>
      <c r="D122" s="121"/>
      <c r="E122" s="21" t="s">
        <v>167</v>
      </c>
      <c r="F122" s="118" t="s">
        <v>125</v>
      </c>
      <c r="G122" s="118"/>
      <c r="H122" s="118"/>
      <c r="I122" s="118"/>
      <c r="J122" s="118"/>
      <c r="K122" s="21" t="str">
        <f t="shared" si="24"/>
        <v/>
      </c>
      <c r="L122" s="21">
        <v>1</v>
      </c>
      <c r="M122" s="21" t="str">
        <f t="shared" si="25"/>
        <v>0</v>
      </c>
      <c r="N122" s="118"/>
      <c r="O122" s="118"/>
      <c r="P122" s="21" t="str">
        <f t="shared" si="26"/>
        <v>0</v>
      </c>
      <c r="Q122" s="21" t="str">
        <f t="shared" si="27"/>
        <v>0</v>
      </c>
      <c r="R122" s="21" t="str">
        <f t="shared" si="28"/>
        <v>0</v>
      </c>
      <c r="S122" s="21" t="str">
        <f t="shared" si="29"/>
        <v>0</v>
      </c>
      <c r="T122" s="21" t="str">
        <f t="shared" si="30"/>
        <v>0</v>
      </c>
      <c r="U122" s="21" t="str">
        <f t="shared" si="31"/>
        <v>0</v>
      </c>
      <c r="V122" s="21" t="str">
        <f t="shared" si="32"/>
        <v>1</v>
      </c>
      <c r="W122" s="21"/>
      <c r="X122" s="21" t="str">
        <f t="shared" si="33"/>
        <v/>
      </c>
      <c r="Y122" s="21" t="str">
        <f t="shared" si="34"/>
        <v/>
      </c>
      <c r="Z122" s="21" t="str">
        <f t="shared" si="35"/>
        <v/>
      </c>
      <c r="AA122" s="118"/>
      <c r="AB122" s="118"/>
      <c r="AC122" s="118"/>
      <c r="AD122" s="118"/>
      <c r="AE122" s="118" t="s">
        <v>51</v>
      </c>
      <c r="AF122" s="118"/>
      <c r="AG122" s="118"/>
      <c r="AH122" s="26" t="s">
        <v>163</v>
      </c>
      <c r="AI122" s="26" t="s">
        <v>112</v>
      </c>
      <c r="AJ122" s="26">
        <v>20200</v>
      </c>
      <c r="AK122" s="121" t="str">
        <f t="shared" si="23"/>
        <v>0</v>
      </c>
      <c r="AL122" s="123" t="str">
        <f t="shared" si="1"/>
        <v>14821/영업오더관리//</v>
      </c>
      <c r="AM122" s="21"/>
      <c r="AN122" s="124"/>
      <c r="AO122" s="124" t="s">
        <v>1829</v>
      </c>
      <c r="AP122" s="124" t="s">
        <v>1829</v>
      </c>
      <c r="AQ122" s="124" t="s">
        <v>1829</v>
      </c>
      <c r="AR122" s="124" t="s">
        <v>1829</v>
      </c>
      <c r="AS122" s="124"/>
      <c r="AT122" s="124" t="s">
        <v>1938</v>
      </c>
      <c r="AU122" s="124" t="str">
        <f t="shared" si="38"/>
        <v/>
      </c>
      <c r="AV122" s="124"/>
      <c r="AW122" s="117"/>
      <c r="AX122" s="138" t="str">
        <f t="shared" si="21"/>
        <v>delete from module_mst where pjt_id = '14821' and menu_id = '252000';</v>
      </c>
      <c r="AY122" s="31" t="str">
        <f>IF(C122&lt;&gt;"",CREATE_QUERY($D$1,C$2:AW$2,C122:AW122),"")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'252000', '영업오더관리', '', '', '', '', '', '1', '0', '', '', '0', '0', '0', '0', '0', '0', '1', '', '', '', '', '', '', '', '', 'N', '', '', '250000', '4', '20200', '0', '14821/영업오더관리//', '', '', 'Y', 'Y', 'Y', 'Y', '', 'S', '', '');</v>
      </c>
    </row>
    <row r="123" spans="1:51">
      <c r="A123" s="1">
        <v>64</v>
      </c>
      <c r="B123" s="121" t="str">
        <f t="shared" si="22"/>
        <v xml:space="preserve">        └ 견적서관리</v>
      </c>
      <c r="C123" s="27" t="str">
        <f t="shared" si="36"/>
        <v>14821</v>
      </c>
      <c r="D123" s="121"/>
      <c r="E123" s="27">
        <v>252001</v>
      </c>
      <c r="F123" s="121" t="s">
        <v>126</v>
      </c>
      <c r="G123" s="121"/>
      <c r="H123" s="121"/>
      <c r="I123" s="121"/>
      <c r="J123" s="121"/>
      <c r="K123" s="27" t="str">
        <f t="shared" si="24"/>
        <v>1</v>
      </c>
      <c r="L123" s="27">
        <v>1</v>
      </c>
      <c r="M123" s="27" t="str">
        <f t="shared" si="25"/>
        <v>1</v>
      </c>
      <c r="N123" s="121" t="s">
        <v>303</v>
      </c>
      <c r="O123" s="121" t="s">
        <v>129</v>
      </c>
      <c r="P123" s="27" t="str">
        <f t="shared" si="26"/>
        <v>1</v>
      </c>
      <c r="Q123" s="27" t="str">
        <f t="shared" si="27"/>
        <v>1</v>
      </c>
      <c r="R123" s="27" t="str">
        <f t="shared" si="28"/>
        <v>1</v>
      </c>
      <c r="S123" s="27" t="str">
        <f t="shared" si="29"/>
        <v>1</v>
      </c>
      <c r="T123" s="27" t="str">
        <f t="shared" si="30"/>
        <v>1</v>
      </c>
      <c r="U123" s="27" t="str">
        <f t="shared" si="31"/>
        <v>1</v>
      </c>
      <c r="V123" s="27" t="str">
        <f t="shared" si="32"/>
        <v>1</v>
      </c>
      <c r="W123" s="27"/>
      <c r="X123" s="27" t="str">
        <f t="shared" si="33"/>
        <v>0</v>
      </c>
      <c r="Y123" s="27" t="str">
        <f t="shared" si="34"/>
        <v>0</v>
      </c>
      <c r="Z123" s="27" t="str">
        <f t="shared" si="35"/>
        <v>0</v>
      </c>
      <c r="AA123" s="121"/>
      <c r="AB123" s="121"/>
      <c r="AC123" s="121"/>
      <c r="AD123" s="121"/>
      <c r="AE123" s="121" t="s">
        <v>51</v>
      </c>
      <c r="AF123" s="121"/>
      <c r="AG123" s="121"/>
      <c r="AH123" s="28" t="s">
        <v>167</v>
      </c>
      <c r="AI123" s="28" t="s">
        <v>113</v>
      </c>
      <c r="AJ123" s="27">
        <v>20202</v>
      </c>
      <c r="AK123" s="121" t="str">
        <f t="shared" si="23"/>
        <v>0</v>
      </c>
      <c r="AL123" s="123" t="str">
        <f t="shared" si="1"/>
        <v>14821/견적서관리/sale.order/EstiMast</v>
      </c>
      <c r="AM123" s="27"/>
      <c r="AN123" s="124"/>
      <c r="AO123" s="124"/>
      <c r="AP123" s="124"/>
      <c r="AQ123" s="124"/>
      <c r="AR123" s="124" t="s">
        <v>1829</v>
      </c>
      <c r="AS123" s="124"/>
      <c r="AT123" s="124" t="s">
        <v>1938</v>
      </c>
      <c r="AU123" s="124" t="str">
        <f t="shared" si="38"/>
        <v>S252001</v>
      </c>
      <c r="AV123" s="124" t="s">
        <v>2505</v>
      </c>
      <c r="AW123" s="117" t="s">
        <v>1835</v>
      </c>
      <c r="AX123" s="138" t="str">
        <f t="shared" si="21"/>
        <v>delete from module_mst where pjt_id = '14821' and menu_id = '252001';</v>
      </c>
      <c r="AY123" s="31" t="str">
        <f>IF(C123&lt;&gt;"",CREATE_QUERY($D$1,C$2:AW$2,C123:AW123),"")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'252001', '견적서관리', '', '', '', '', '1', '1', '1', 'sale.order', 'EstiMast', '1', '1', '1', '1', '1', '1', '1', '', '0', '0', '0', '', '', '', '', 'N', '', '', '252000', '5', '20202', '0', '14821/견적서관리/sale.order/EstiMast', '', '', '', '', '', 'Y', '', 'S', 'MES-TD3-209', '견적서 등록 및 견적서 발행, 수주 확정 처리…');</v>
      </c>
    </row>
    <row r="124" spans="1:51">
      <c r="A124" s="1">
        <v>65</v>
      </c>
      <c r="B124" s="121" t="str">
        <f t="shared" si="22"/>
        <v xml:space="preserve">        └ 주문오더관리</v>
      </c>
      <c r="C124" s="27" t="str">
        <f t="shared" si="36"/>
        <v>14821</v>
      </c>
      <c r="D124" s="121"/>
      <c r="E124" s="27">
        <v>252006</v>
      </c>
      <c r="F124" s="121" t="s">
        <v>1889</v>
      </c>
      <c r="G124" s="121"/>
      <c r="H124" s="121"/>
      <c r="I124" s="121"/>
      <c r="J124" s="121"/>
      <c r="K124" s="27" t="str">
        <f t="shared" si="24"/>
        <v>1</v>
      </c>
      <c r="L124" s="27">
        <v>1</v>
      </c>
      <c r="M124" s="27" t="str">
        <f t="shared" si="25"/>
        <v>1</v>
      </c>
      <c r="N124" s="121" t="s">
        <v>303</v>
      </c>
      <c r="O124" s="121" t="s">
        <v>131</v>
      </c>
      <c r="P124" s="27" t="str">
        <f t="shared" si="26"/>
        <v>1</v>
      </c>
      <c r="Q124" s="27" t="str">
        <f t="shared" si="27"/>
        <v>1</v>
      </c>
      <c r="R124" s="27" t="str">
        <f t="shared" si="28"/>
        <v>1</v>
      </c>
      <c r="S124" s="27" t="str">
        <f t="shared" si="29"/>
        <v>1</v>
      </c>
      <c r="T124" s="27" t="str">
        <f t="shared" si="30"/>
        <v>1</v>
      </c>
      <c r="U124" s="27" t="str">
        <f t="shared" si="31"/>
        <v>1</v>
      </c>
      <c r="V124" s="27" t="str">
        <f t="shared" si="32"/>
        <v>1</v>
      </c>
      <c r="W124" s="27"/>
      <c r="X124" s="27" t="str">
        <f t="shared" si="33"/>
        <v>0</v>
      </c>
      <c r="Y124" s="27" t="str">
        <f t="shared" si="34"/>
        <v>0</v>
      </c>
      <c r="Z124" s="27" t="str">
        <f t="shared" si="35"/>
        <v>0</v>
      </c>
      <c r="AA124" s="121"/>
      <c r="AB124" s="121"/>
      <c r="AC124" s="121"/>
      <c r="AD124" s="121"/>
      <c r="AE124" s="121" t="s">
        <v>51</v>
      </c>
      <c r="AF124" s="121"/>
      <c r="AG124" s="121"/>
      <c r="AH124" s="28" t="s">
        <v>167</v>
      </c>
      <c r="AI124" s="28" t="s">
        <v>113</v>
      </c>
      <c r="AJ124" s="27">
        <v>20204</v>
      </c>
      <c r="AK124" s="121" t="str">
        <f t="shared" si="23"/>
        <v>0</v>
      </c>
      <c r="AL124" s="123" t="str">
        <f t="shared" ref="AL124:AL304" si="45">IF(C124="","",C124&amp;"/"&amp;F124&amp;"/"&amp;N124&amp;"/"&amp;O124)</f>
        <v>14821/주문오더관리/sale.order/SaleOrder</v>
      </c>
      <c r="AM124" s="27"/>
      <c r="AN124" s="124"/>
      <c r="AO124" s="124"/>
      <c r="AP124" s="124"/>
      <c r="AQ124" s="124"/>
      <c r="AR124" s="124" t="s">
        <v>1829</v>
      </c>
      <c r="AS124" s="124"/>
      <c r="AT124" s="124" t="s">
        <v>1938</v>
      </c>
      <c r="AU124" s="124" t="str">
        <f t="shared" si="38"/>
        <v>S252006</v>
      </c>
      <c r="AV124" s="124" t="s">
        <v>2506</v>
      </c>
      <c r="AW124" s="117" t="s">
        <v>1837</v>
      </c>
      <c r="AX124" s="138" t="str">
        <f t="shared" si="21"/>
        <v>delete from module_mst where pjt_id = '14821' and menu_id = '252006';</v>
      </c>
      <c r="AY124" s="31" t="str">
        <f>IF(C124&lt;&gt;"",CREATE_QUERY($D$1,C$2:AW$2,C124:AW124),"")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'252006', '주문오더관리', '', '', '', '', '1', '1', '1', 'sale.order', 'SaleOrder', '1', '1', '1', '1', '1', '1', '1', '', '0', '0', '0', '', '', '', '', 'N', '', '', '252000', '5', '20204', '0', '14821/주문오더관리/sale.order/SaleOrder', '', '', '', '', '', 'Y', '', 'S', 'MES-TD3-210', '일반 수주 등록 기능');</v>
      </c>
    </row>
    <row r="125" spans="1:51">
      <c r="A125" s="1">
        <v>67</v>
      </c>
      <c r="B125" s="121" t="str">
        <f t="shared" si="22"/>
        <v xml:space="preserve">        └ 주문잔량현황</v>
      </c>
      <c r="C125" s="27" t="str">
        <f t="shared" si="36"/>
        <v>14821</v>
      </c>
      <c r="D125" s="121"/>
      <c r="E125" s="27">
        <v>252008</v>
      </c>
      <c r="F125" s="121" t="s">
        <v>134</v>
      </c>
      <c r="G125" s="121"/>
      <c r="H125" s="121"/>
      <c r="I125" s="121"/>
      <c r="J125" s="121"/>
      <c r="K125" s="27" t="str">
        <f t="shared" si="24"/>
        <v>1</v>
      </c>
      <c r="L125" s="27">
        <v>1</v>
      </c>
      <c r="M125" s="27" t="str">
        <f t="shared" si="25"/>
        <v>1</v>
      </c>
      <c r="N125" s="121" t="s">
        <v>303</v>
      </c>
      <c r="O125" s="121" t="s">
        <v>141</v>
      </c>
      <c r="P125" s="27" t="str">
        <f t="shared" si="26"/>
        <v>1</v>
      </c>
      <c r="Q125" s="27" t="str">
        <f t="shared" si="27"/>
        <v>1</v>
      </c>
      <c r="R125" s="27" t="str">
        <f t="shared" si="28"/>
        <v>1</v>
      </c>
      <c r="S125" s="27" t="str">
        <f t="shared" si="29"/>
        <v>1</v>
      </c>
      <c r="T125" s="27" t="str">
        <f t="shared" si="30"/>
        <v>1</v>
      </c>
      <c r="U125" s="27" t="str">
        <f t="shared" si="31"/>
        <v>1</v>
      </c>
      <c r="V125" s="27" t="str">
        <f t="shared" si="32"/>
        <v>1</v>
      </c>
      <c r="W125" s="27"/>
      <c r="X125" s="27" t="str">
        <f t="shared" si="33"/>
        <v>0</v>
      </c>
      <c r="Y125" s="27" t="str">
        <f t="shared" si="34"/>
        <v>0</v>
      </c>
      <c r="Z125" s="27" t="str">
        <f t="shared" si="35"/>
        <v>0</v>
      </c>
      <c r="AA125" s="121"/>
      <c r="AB125" s="121"/>
      <c r="AC125" s="121"/>
      <c r="AD125" s="121"/>
      <c r="AE125" s="121" t="s">
        <v>51</v>
      </c>
      <c r="AF125" s="121"/>
      <c r="AG125" s="121"/>
      <c r="AH125" s="28" t="s">
        <v>167</v>
      </c>
      <c r="AI125" s="28" t="s">
        <v>113</v>
      </c>
      <c r="AJ125" s="27">
        <v>20206</v>
      </c>
      <c r="AK125" s="121" t="str">
        <f t="shared" si="23"/>
        <v>0</v>
      </c>
      <c r="AL125" s="123" t="str">
        <f t="shared" si="45"/>
        <v>14821/주문잔량현황/sale.order/SlorList1</v>
      </c>
      <c r="AM125" s="27"/>
      <c r="AN125" s="124"/>
      <c r="AO125" s="124" t="s">
        <v>1829</v>
      </c>
      <c r="AP125" s="124" t="s">
        <v>1829</v>
      </c>
      <c r="AQ125" s="124"/>
      <c r="AR125" s="124" t="s">
        <v>1829</v>
      </c>
      <c r="AS125" s="124"/>
      <c r="AT125" s="124" t="s">
        <v>1938</v>
      </c>
      <c r="AU125" s="124" t="str">
        <f t="shared" si="38"/>
        <v>S252008</v>
      </c>
      <c r="AV125" s="124" t="s">
        <v>2507</v>
      </c>
      <c r="AW125" s="117" t="s">
        <v>1838</v>
      </c>
      <c r="AX125" s="138" t="str">
        <f t="shared" si="21"/>
        <v>delete from module_mst where pjt_id = '14821' and menu_id = '252008';</v>
      </c>
      <c r="AY125" s="31" t="str">
        <f>IF(C125&lt;&gt;"",CREATE_QUERY($D$1,C$2:AW$2,C125:AW125),"")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'252008', '주문잔량현황', '', '', '', '', '1', '1', '1', 'sale.order', 'SlorList1', '1', '1', '1', '1', '1', '1', '1', '', '0', '0', '0', '', '', '', '', 'N', '', '', '252000', '5', '20206', '0', '14821/주문잔량현황/sale.order/SlorList1', '', '', 'Y', 'Y', '', 'Y', '', 'S', 'MES-TD3-211', '수주건별 미출고 잔량을 조회');</v>
      </c>
    </row>
    <row r="126" spans="1:51">
      <c r="A126" s="1">
        <v>67</v>
      </c>
      <c r="B126" s="121" t="str">
        <f t="shared" si="22"/>
        <v xml:space="preserve">        └ 주문현황</v>
      </c>
      <c r="C126" s="27" t="str">
        <f t="shared" si="36"/>
        <v>14821</v>
      </c>
      <c r="D126" s="121"/>
      <c r="E126" s="27">
        <v>252012</v>
      </c>
      <c r="F126" s="121" t="s">
        <v>1954</v>
      </c>
      <c r="G126" s="121"/>
      <c r="H126" s="121"/>
      <c r="I126" s="121"/>
      <c r="J126" s="121"/>
      <c r="K126" s="27" t="str">
        <f t="shared" si="24"/>
        <v>1</v>
      </c>
      <c r="L126" s="27">
        <v>1</v>
      </c>
      <c r="M126" s="27" t="str">
        <f t="shared" si="25"/>
        <v>1</v>
      </c>
      <c r="N126" s="121" t="s">
        <v>303</v>
      </c>
      <c r="O126" s="121" t="s">
        <v>1903</v>
      </c>
      <c r="P126" s="27" t="str">
        <f t="shared" si="26"/>
        <v>1</v>
      </c>
      <c r="Q126" s="27" t="str">
        <f t="shared" si="27"/>
        <v>1</v>
      </c>
      <c r="R126" s="27" t="str">
        <f t="shared" si="28"/>
        <v>1</v>
      </c>
      <c r="S126" s="27" t="str">
        <f t="shared" si="29"/>
        <v>1</v>
      </c>
      <c r="T126" s="27" t="str">
        <f t="shared" si="30"/>
        <v>1</v>
      </c>
      <c r="U126" s="27" t="str">
        <f t="shared" si="31"/>
        <v>1</v>
      </c>
      <c r="V126" s="27" t="str">
        <f t="shared" si="32"/>
        <v>1</v>
      </c>
      <c r="W126" s="27"/>
      <c r="X126" s="27" t="str">
        <f t="shared" si="33"/>
        <v>0</v>
      </c>
      <c r="Y126" s="27" t="str">
        <f t="shared" si="34"/>
        <v>0</v>
      </c>
      <c r="Z126" s="27" t="str">
        <f t="shared" si="35"/>
        <v>0</v>
      </c>
      <c r="AA126" s="121"/>
      <c r="AB126" s="121"/>
      <c r="AC126" s="121"/>
      <c r="AD126" s="121"/>
      <c r="AE126" s="121" t="s">
        <v>51</v>
      </c>
      <c r="AF126" s="121"/>
      <c r="AG126" s="121"/>
      <c r="AH126" s="28" t="s">
        <v>167</v>
      </c>
      <c r="AI126" s="28" t="s">
        <v>113</v>
      </c>
      <c r="AJ126" s="27">
        <v>20208</v>
      </c>
      <c r="AK126" s="121" t="str">
        <f t="shared" si="23"/>
        <v>0</v>
      </c>
      <c r="AL126" s="123" t="str">
        <f t="shared" si="45"/>
        <v>14821/주문현황/sale.order/SlorList2</v>
      </c>
      <c r="AM126" s="27"/>
      <c r="AN126" s="124"/>
      <c r="AO126" s="124" t="s">
        <v>1829</v>
      </c>
      <c r="AP126" s="124" t="s">
        <v>1829</v>
      </c>
      <c r="AQ126" s="124"/>
      <c r="AR126" s="124" t="s">
        <v>1829</v>
      </c>
      <c r="AS126" s="124"/>
      <c r="AT126" s="124" t="s">
        <v>1938</v>
      </c>
      <c r="AU126" s="124" t="str">
        <f t="shared" si="38"/>
        <v>S252012</v>
      </c>
      <c r="AV126" s="124" t="s">
        <v>2508</v>
      </c>
      <c r="AW126" s="117" t="s">
        <v>1912</v>
      </c>
      <c r="AX126" s="138" t="str">
        <f t="shared" si="21"/>
        <v>delete from module_mst where pjt_id = '14821' and menu_id = '252012';</v>
      </c>
      <c r="AY126" s="31" t="str">
        <f>IF(C126&lt;&gt;"",CREATE_QUERY($D$1,C$2:AW$2,C126:AW126),"")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'252012', '주문현황', '', '', '', '', '1', '1', '1', 'sale.order', 'SlorList2', '1', '1', '1', '1', '1', '1', '1', '', '0', '0', '0', '', '', '', '', 'N', '', '', '252000', '5', '20208', '0', '14821/주문현황/sale.order/SlorList2', '', '', 'Y', 'Y', '', 'Y', '', 'S', 'MES-TD3-212', '거래처별, 품목별, 납기일자별 수주 현황 조회');</v>
      </c>
    </row>
    <row r="127" spans="1:51">
      <c r="A127" s="1">
        <v>67</v>
      </c>
      <c r="B127" s="121" t="str">
        <f t="shared" si="22"/>
        <v xml:space="preserve">        └ 납기 준수율</v>
      </c>
      <c r="C127" s="27" t="str">
        <f t="shared" si="36"/>
        <v>14821</v>
      </c>
      <c r="D127" s="121"/>
      <c r="E127" s="27">
        <v>252013</v>
      </c>
      <c r="F127" s="121" t="s">
        <v>1909</v>
      </c>
      <c r="G127" s="121"/>
      <c r="H127" s="121"/>
      <c r="I127" s="121"/>
      <c r="J127" s="121"/>
      <c r="K127" s="27" t="str">
        <f t="shared" si="24"/>
        <v>1</v>
      </c>
      <c r="L127" s="27">
        <v>1</v>
      </c>
      <c r="M127" s="27" t="str">
        <f t="shared" si="25"/>
        <v>1</v>
      </c>
      <c r="N127" s="121" t="s">
        <v>303</v>
      </c>
      <c r="O127" s="121" t="s">
        <v>1910</v>
      </c>
      <c r="P127" s="27" t="str">
        <f t="shared" si="26"/>
        <v>1</v>
      </c>
      <c r="Q127" s="27" t="str">
        <f t="shared" si="27"/>
        <v>1</v>
      </c>
      <c r="R127" s="27" t="str">
        <f t="shared" si="28"/>
        <v>1</v>
      </c>
      <c r="S127" s="27" t="str">
        <f t="shared" si="29"/>
        <v>1</v>
      </c>
      <c r="T127" s="27" t="str">
        <f t="shared" si="30"/>
        <v>1</v>
      </c>
      <c r="U127" s="27" t="str">
        <f t="shared" si="31"/>
        <v>1</v>
      </c>
      <c r="V127" s="27" t="str">
        <f t="shared" si="32"/>
        <v>1</v>
      </c>
      <c r="W127" s="27"/>
      <c r="X127" s="27" t="str">
        <f t="shared" si="33"/>
        <v>0</v>
      </c>
      <c r="Y127" s="27" t="str">
        <f t="shared" si="34"/>
        <v>0</v>
      </c>
      <c r="Z127" s="27" t="str">
        <f t="shared" si="35"/>
        <v>0</v>
      </c>
      <c r="AA127" s="121"/>
      <c r="AB127" s="121"/>
      <c r="AC127" s="121"/>
      <c r="AD127" s="121"/>
      <c r="AE127" s="121" t="s">
        <v>51</v>
      </c>
      <c r="AF127" s="121"/>
      <c r="AG127" s="121"/>
      <c r="AH127" s="28" t="s">
        <v>167</v>
      </c>
      <c r="AI127" s="28" t="s">
        <v>113</v>
      </c>
      <c r="AJ127" s="27">
        <v>20210</v>
      </c>
      <c r="AK127" s="121" t="str">
        <f t="shared" si="23"/>
        <v>0</v>
      </c>
      <c r="AL127" s="123" t="str">
        <f t="shared" si="45"/>
        <v>14821/납기 준수율/sale.order/SlorList5</v>
      </c>
      <c r="AM127" s="27"/>
      <c r="AN127" s="124"/>
      <c r="AO127" s="124" t="s">
        <v>1829</v>
      </c>
      <c r="AP127" s="124" t="s">
        <v>1829</v>
      </c>
      <c r="AQ127" s="124"/>
      <c r="AR127" s="124" t="s">
        <v>1829</v>
      </c>
      <c r="AS127" s="124"/>
      <c r="AT127" s="124" t="s">
        <v>1938</v>
      </c>
      <c r="AU127" s="124" t="str">
        <f t="shared" si="38"/>
        <v>S252013</v>
      </c>
      <c r="AV127" s="124" t="s">
        <v>2509</v>
      </c>
      <c r="AW127" s="117" t="s">
        <v>1911</v>
      </c>
      <c r="AX127" s="138" t="str">
        <f t="shared" si="21"/>
        <v>delete from module_mst where pjt_id = '14821' and menu_id = '252013';</v>
      </c>
      <c r="AY127" s="31" t="str">
        <f>IF(C127&lt;&gt;"",CREATE_QUERY($D$1,C$2:AW$2,C127:AW127),"")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'252013', '납기 준수율', '', '', '', '', '1', '1', '1', 'sale.order', 'SlorList5', '1', '1', '1', '1', '1', '1', '1', '', '0', '0', '0', '', '', '', '', 'N', '', '', '252000', '5', '20210', '0', '14821/납기 준수율/sale.order/SlorList5', '', '', 'Y', 'Y', '', 'Y', '', 'S', 'MES-TD3-213', '거래처, 품목별, 품목분류별 납기 준수율 분석 통계 자료 조회');</v>
      </c>
    </row>
    <row r="128" spans="1:51">
      <c r="A128" s="1">
        <v>68</v>
      </c>
      <c r="B128" s="121" t="str">
        <f t="shared" si="22"/>
        <v xml:space="preserve">        └ 출하지시</v>
      </c>
      <c r="C128" s="27" t="str">
        <f t="shared" si="36"/>
        <v>14821</v>
      </c>
      <c r="D128" s="121"/>
      <c r="E128" s="27">
        <v>252009</v>
      </c>
      <c r="F128" s="121" t="s">
        <v>130</v>
      </c>
      <c r="G128" s="121"/>
      <c r="H128" s="121"/>
      <c r="I128" s="121"/>
      <c r="J128" s="121"/>
      <c r="K128" s="27" t="str">
        <f t="shared" si="24"/>
        <v>1</v>
      </c>
      <c r="L128" s="27">
        <v>1</v>
      </c>
      <c r="M128" s="27" t="str">
        <f t="shared" si="25"/>
        <v>1</v>
      </c>
      <c r="N128" s="121" t="s">
        <v>305</v>
      </c>
      <c r="O128" s="121" t="s">
        <v>133</v>
      </c>
      <c r="P128" s="27" t="str">
        <f t="shared" si="26"/>
        <v>1</v>
      </c>
      <c r="Q128" s="27" t="str">
        <f t="shared" si="27"/>
        <v>1</v>
      </c>
      <c r="R128" s="27" t="str">
        <f t="shared" si="28"/>
        <v>1</v>
      </c>
      <c r="S128" s="27" t="str">
        <f t="shared" si="29"/>
        <v>1</v>
      </c>
      <c r="T128" s="27" t="str">
        <f t="shared" si="30"/>
        <v>1</v>
      </c>
      <c r="U128" s="27" t="str">
        <f t="shared" si="31"/>
        <v>1</v>
      </c>
      <c r="V128" s="27" t="str">
        <f t="shared" si="32"/>
        <v>1</v>
      </c>
      <c r="W128" s="27"/>
      <c r="X128" s="27" t="str">
        <f t="shared" si="33"/>
        <v>0</v>
      </c>
      <c r="Y128" s="27" t="str">
        <f t="shared" si="34"/>
        <v>0</v>
      </c>
      <c r="Z128" s="27" t="str">
        <f t="shared" si="35"/>
        <v>0</v>
      </c>
      <c r="AA128" s="121"/>
      <c r="AB128" s="121"/>
      <c r="AC128" s="121"/>
      <c r="AD128" s="121"/>
      <c r="AE128" s="121" t="s">
        <v>51</v>
      </c>
      <c r="AF128" s="121"/>
      <c r="AG128" s="121"/>
      <c r="AH128" s="28" t="s">
        <v>167</v>
      </c>
      <c r="AI128" s="28" t="s">
        <v>113</v>
      </c>
      <c r="AJ128" s="27">
        <v>20212</v>
      </c>
      <c r="AK128" s="121" t="str">
        <f t="shared" si="23"/>
        <v>0</v>
      </c>
      <c r="AL128" s="123" t="str">
        <f t="shared" si="45"/>
        <v>14821/출하지시/sale.spts/SptsMast</v>
      </c>
      <c r="AM128" s="27"/>
      <c r="AN128" s="124"/>
      <c r="AO128" s="124" t="s">
        <v>1829</v>
      </c>
      <c r="AP128" s="124" t="s">
        <v>1829</v>
      </c>
      <c r="AQ128" s="124"/>
      <c r="AR128" s="124" t="s">
        <v>1829</v>
      </c>
      <c r="AS128" s="124"/>
      <c r="AT128" s="124" t="s">
        <v>1938</v>
      </c>
      <c r="AU128" s="124" t="str">
        <f t="shared" si="38"/>
        <v>S252009</v>
      </c>
      <c r="AV128" s="124" t="s">
        <v>2510</v>
      </c>
      <c r="AW128" s="117" t="s">
        <v>1839</v>
      </c>
      <c r="AX128" s="138" t="str">
        <f t="shared" si="21"/>
        <v>delete from module_mst where pjt_id = '14821' and menu_id = '252009';</v>
      </c>
      <c r="AY128" s="31" t="str">
        <f>IF(C128&lt;&gt;"",CREATE_QUERY($D$1,C$2:AW$2,C128:AW128),"")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'252009', '출하지시', '', '', '', '', '1', '1', '1', 'sale.spts', 'SptsMast', '1', '1', '1', '1', '1', '1', '1', '', '0', '0', '0', '', '', '', '', 'N', '', '', '252000', '5', '20212', '0', '14821/출하지시/sale.spts/SptsMast', '', '', 'Y', 'Y', '', 'Y', '', 'S', 'MES-TD3-214', '생산 완료된 수주건의 출고 지시 처리');</v>
      </c>
    </row>
    <row r="129" spans="1:51">
      <c r="A129" s="1">
        <v>69</v>
      </c>
      <c r="B129" s="121" t="str">
        <f t="shared" si="22"/>
        <v xml:space="preserve">        └ 매출등록</v>
      </c>
      <c r="C129" s="27" t="str">
        <f t="shared" si="36"/>
        <v>14821</v>
      </c>
      <c r="D129" s="121"/>
      <c r="E129" s="27">
        <v>252010</v>
      </c>
      <c r="F129" s="121" t="s">
        <v>338</v>
      </c>
      <c r="G129" s="121"/>
      <c r="H129" s="121"/>
      <c r="I129" s="121"/>
      <c r="J129" s="121"/>
      <c r="K129" s="27" t="str">
        <f t="shared" si="24"/>
        <v>1</v>
      </c>
      <c r="L129" s="27">
        <v>1</v>
      </c>
      <c r="M129" s="27" t="str">
        <f t="shared" si="25"/>
        <v>1</v>
      </c>
      <c r="N129" s="121" t="s">
        <v>2366</v>
      </c>
      <c r="O129" s="121" t="s">
        <v>2365</v>
      </c>
      <c r="P129" s="27" t="str">
        <f t="shared" si="26"/>
        <v>1</v>
      </c>
      <c r="Q129" s="27" t="str">
        <f t="shared" si="27"/>
        <v>1</v>
      </c>
      <c r="R129" s="27" t="str">
        <f t="shared" si="28"/>
        <v>1</v>
      </c>
      <c r="S129" s="27" t="str">
        <f t="shared" si="29"/>
        <v>1</v>
      </c>
      <c r="T129" s="27" t="str">
        <f t="shared" si="30"/>
        <v>1</v>
      </c>
      <c r="U129" s="27" t="str">
        <f t="shared" si="31"/>
        <v>1</v>
      </c>
      <c r="V129" s="27" t="str">
        <f t="shared" si="32"/>
        <v>1</v>
      </c>
      <c r="W129" s="27"/>
      <c r="X129" s="27" t="str">
        <f t="shared" si="33"/>
        <v>0</v>
      </c>
      <c r="Y129" s="27" t="str">
        <f t="shared" si="34"/>
        <v>0</v>
      </c>
      <c r="Z129" s="27" t="str">
        <f t="shared" si="35"/>
        <v>0</v>
      </c>
      <c r="AA129" s="121"/>
      <c r="AB129" s="121"/>
      <c r="AC129" s="121"/>
      <c r="AD129" s="121"/>
      <c r="AE129" s="121" t="s">
        <v>51</v>
      </c>
      <c r="AF129" s="121"/>
      <c r="AG129" s="121"/>
      <c r="AH129" s="28" t="s">
        <v>167</v>
      </c>
      <c r="AI129" s="28" t="s">
        <v>113</v>
      </c>
      <c r="AJ129" s="27">
        <v>20214</v>
      </c>
      <c r="AK129" s="121" t="str">
        <f t="shared" si="23"/>
        <v>0</v>
      </c>
      <c r="AL129" s="123" t="str">
        <f t="shared" si="45"/>
        <v>14821/매출등록/sale.sale/SaleWork</v>
      </c>
      <c r="AM129" s="27"/>
      <c r="AN129" s="124"/>
      <c r="AO129" s="124"/>
      <c r="AP129" s="124"/>
      <c r="AQ129" s="124"/>
      <c r="AR129" s="124"/>
      <c r="AS129" s="124"/>
      <c r="AT129" s="124" t="s">
        <v>1938</v>
      </c>
      <c r="AU129" s="124" t="str">
        <f t="shared" si="38"/>
        <v>S252010</v>
      </c>
      <c r="AV129" s="124" t="s">
        <v>2511</v>
      </c>
      <c r="AW129" s="117" t="s">
        <v>2082</v>
      </c>
      <c r="AX129" s="138" t="str">
        <f t="shared" si="21"/>
        <v>delete from module_mst where pjt_id = '14821' and menu_id = '252010';</v>
      </c>
      <c r="AY129" s="31" t="str">
        <f>IF(C129&lt;&gt;"",CREATE_QUERY($D$1,C$2:AW$2,C129:AW129),"")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'252010', '매출등록', '', '', '', '', '1', '1', '1', 'sale.sale', 'SaleWork', '1', '1', '1', '1', '1', '1', '1', '', '0', '0', '0', '', '', '', '', 'N', '', '', '252000', '5', '20214', '0', '14821/매출등록/sale.sale/SaleWork', '', '', '', '', '', '', '', 'S', 'MES-TD3-215', '출고 실적을 근거로 매출 세금계산서 발급');</v>
      </c>
    </row>
    <row r="130" spans="1:51">
      <c r="A130" s="1">
        <v>70</v>
      </c>
      <c r="B130" s="121" t="str">
        <f t="shared" si="22"/>
        <v xml:space="preserve">        └ 매출현황</v>
      </c>
      <c r="C130" s="27" t="str">
        <f t="shared" si="36"/>
        <v>14821</v>
      </c>
      <c r="D130" s="121"/>
      <c r="E130" s="27">
        <v>252011</v>
      </c>
      <c r="F130" s="121" t="s">
        <v>1840</v>
      </c>
      <c r="G130" s="121"/>
      <c r="H130" s="121"/>
      <c r="I130" s="121"/>
      <c r="J130" s="121"/>
      <c r="K130" s="27" t="str">
        <f t="shared" si="24"/>
        <v>1</v>
      </c>
      <c r="L130" s="27">
        <v>1</v>
      </c>
      <c r="M130" s="27" t="str">
        <f t="shared" si="25"/>
        <v>1</v>
      </c>
      <c r="N130" s="121" t="s">
        <v>2366</v>
      </c>
      <c r="O130" s="121" t="s">
        <v>1904</v>
      </c>
      <c r="P130" s="27" t="str">
        <f t="shared" si="26"/>
        <v>1</v>
      </c>
      <c r="Q130" s="27" t="str">
        <f t="shared" si="27"/>
        <v>1</v>
      </c>
      <c r="R130" s="27" t="str">
        <f t="shared" si="28"/>
        <v>1</v>
      </c>
      <c r="S130" s="27" t="str">
        <f t="shared" si="29"/>
        <v>1</v>
      </c>
      <c r="T130" s="27" t="str">
        <f t="shared" si="30"/>
        <v>1</v>
      </c>
      <c r="U130" s="27" t="str">
        <f t="shared" si="31"/>
        <v>1</v>
      </c>
      <c r="V130" s="27" t="str">
        <f t="shared" si="32"/>
        <v>1</v>
      </c>
      <c r="W130" s="27"/>
      <c r="X130" s="27" t="str">
        <f t="shared" si="33"/>
        <v>0</v>
      </c>
      <c r="Y130" s="27" t="str">
        <f t="shared" si="34"/>
        <v>0</v>
      </c>
      <c r="Z130" s="27" t="str">
        <f t="shared" si="35"/>
        <v>0</v>
      </c>
      <c r="AA130" s="121"/>
      <c r="AB130" s="121"/>
      <c r="AC130" s="121"/>
      <c r="AD130" s="121"/>
      <c r="AE130" s="121" t="s">
        <v>51</v>
      </c>
      <c r="AF130" s="121"/>
      <c r="AG130" s="121"/>
      <c r="AH130" s="28" t="s">
        <v>167</v>
      </c>
      <c r="AI130" s="28" t="s">
        <v>113</v>
      </c>
      <c r="AJ130" s="27">
        <v>20216</v>
      </c>
      <c r="AK130" s="121" t="str">
        <f t="shared" si="23"/>
        <v>0</v>
      </c>
      <c r="AL130" s="123" t="str">
        <f t="shared" si="45"/>
        <v>14821/매출현황/sale.sale/SaleList3</v>
      </c>
      <c r="AM130" s="27"/>
      <c r="AN130" s="124"/>
      <c r="AO130" s="124"/>
      <c r="AP130" s="124"/>
      <c r="AQ130" s="124"/>
      <c r="AR130" s="124"/>
      <c r="AS130" s="124"/>
      <c r="AT130" s="124" t="s">
        <v>1938</v>
      </c>
      <c r="AU130" s="124" t="str">
        <f t="shared" si="38"/>
        <v>S252011</v>
      </c>
      <c r="AV130" s="124" t="s">
        <v>2512</v>
      </c>
      <c r="AW130" s="117" t="s">
        <v>2083</v>
      </c>
      <c r="AX130" s="138" t="str">
        <f t="shared" si="21"/>
        <v>delete from module_mst where pjt_id = '14821' and menu_id = '252011';</v>
      </c>
      <c r="AY130" s="31" t="str">
        <f>IF(C130&lt;&gt;"",CREATE_QUERY($D$1,C$2:AW$2,C130:AW130),"")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'252011', '매출현황', '', '', '', '', '1', '1', '1', 'sale.sale', 'SaleList3', '1', '1', '1', '1', '1', '1', '1', '', '0', '0', '0', '', '', '', '', 'N', '', '', '252000', '5', '20216', '0', '14821/매출현황/sale.sale/SaleList3', '', '', '', '', '', '', '', 'S', 'MES-TD3-216', '매출 현황을 조회(거래처별, 품목별, 영업담당별, 일자별)');</v>
      </c>
    </row>
    <row r="131" spans="1:51" ht="26" hidden="1">
      <c r="A131" s="1">
        <v>66</v>
      </c>
      <c r="B131" s="121" t="str">
        <f t="shared" si="22"/>
        <v xml:space="preserve">        └ (두인)주문오더관리</v>
      </c>
      <c r="C131" s="27" t="str">
        <f t="shared" si="36"/>
        <v>14821</v>
      </c>
      <c r="D131" s="121"/>
      <c r="E131" s="27">
        <v>252007</v>
      </c>
      <c r="F131" s="121" t="s">
        <v>1889</v>
      </c>
      <c r="G131" s="121"/>
      <c r="H131" s="121"/>
      <c r="I131" s="121"/>
      <c r="J131" s="121"/>
      <c r="K131" s="27" t="str">
        <f t="shared" si="24"/>
        <v>1</v>
      </c>
      <c r="L131" s="27">
        <v>1</v>
      </c>
      <c r="M131" s="27" t="str">
        <f t="shared" si="25"/>
        <v>1</v>
      </c>
      <c r="N131" s="121" t="s">
        <v>303</v>
      </c>
      <c r="O131" s="121" t="s">
        <v>132</v>
      </c>
      <c r="P131" s="27" t="str">
        <f t="shared" si="26"/>
        <v>1</v>
      </c>
      <c r="Q131" s="27" t="str">
        <f t="shared" si="27"/>
        <v>1</v>
      </c>
      <c r="R131" s="27" t="str">
        <f t="shared" si="28"/>
        <v>1</v>
      </c>
      <c r="S131" s="27" t="str">
        <f t="shared" si="29"/>
        <v>1</v>
      </c>
      <c r="T131" s="27" t="str">
        <f t="shared" si="30"/>
        <v>1</v>
      </c>
      <c r="U131" s="27" t="str">
        <f t="shared" si="31"/>
        <v>1</v>
      </c>
      <c r="V131" s="27" t="str">
        <f t="shared" si="32"/>
        <v>1</v>
      </c>
      <c r="W131" s="27"/>
      <c r="X131" s="27" t="str">
        <f t="shared" si="33"/>
        <v>0</v>
      </c>
      <c r="Y131" s="27" t="str">
        <f t="shared" si="34"/>
        <v>0</v>
      </c>
      <c r="Z131" s="27" t="str">
        <f t="shared" si="35"/>
        <v>0</v>
      </c>
      <c r="AA131" s="121"/>
      <c r="AB131" s="121"/>
      <c r="AC131" s="121"/>
      <c r="AD131" s="121"/>
      <c r="AE131" s="121" t="s">
        <v>51</v>
      </c>
      <c r="AF131" s="121"/>
      <c r="AG131" s="121"/>
      <c r="AH131" s="28" t="s">
        <v>167</v>
      </c>
      <c r="AI131" s="28" t="s">
        <v>113</v>
      </c>
      <c r="AJ131" s="27">
        <v>20218</v>
      </c>
      <c r="AK131" s="121" t="str">
        <f t="shared" si="23"/>
        <v>0</v>
      </c>
      <c r="AL131" s="123" t="str">
        <f t="shared" si="45"/>
        <v>14821/주문오더관리/sale.order/SaleOrder2</v>
      </c>
      <c r="AM131" s="27" t="s">
        <v>1886</v>
      </c>
      <c r="AN131" s="124"/>
      <c r="AO131" s="124"/>
      <c r="AP131" s="124" t="s">
        <v>1829</v>
      </c>
      <c r="AQ131" s="124"/>
      <c r="AR131" s="124"/>
      <c r="AS131" s="124"/>
      <c r="AT131" s="124" t="s">
        <v>1938</v>
      </c>
      <c r="AU131" s="124" t="str">
        <f t="shared" si="38"/>
        <v>S252007</v>
      </c>
      <c r="AV131" s="124" t="s">
        <v>2513</v>
      </c>
      <c r="AW131" s="117" t="s">
        <v>1836</v>
      </c>
      <c r="AX131" s="138" t="str">
        <f t="shared" si="21"/>
        <v>delete from module_mst where pjt_id = '14821' and menu_id = '252007';</v>
      </c>
      <c r="AY131" s="31" t="str">
        <f>IF(C131&lt;&gt;"",CREATE_QUERY($D$1,C$2:AW$2,C131:AW131),"")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'252007', '주문오더관리', '', '', '', '', '1', '1', '1', 'sale.order', 'SaleOrder2', '1', '1', '1', '1', '1', '1', '1', '', '0', '0', '0', '', '', '', '', 'N', '', '', '252000', '5', '20218', '0', '14821/주문오더관리/sale.order/SaleOrder2', '(두인)', '', '', 'Y', '', '', '', 'S', 'MES-TD3-217', 'For 두인 , 사출업체 수주 등록, 엑셀 업로드, 품목코드 등록 로직 특이');</v>
      </c>
    </row>
    <row r="132" spans="1:51" hidden="1">
      <c r="A132" s="1">
        <v>70</v>
      </c>
      <c r="B132" s="121" t="str">
        <f t="shared" si="22"/>
        <v xml:space="preserve">        └ (두인)주문 진행 현황</v>
      </c>
      <c r="C132" s="27" t="str">
        <f t="shared" si="36"/>
        <v>14821</v>
      </c>
      <c r="D132" s="121"/>
      <c r="E132" s="27">
        <v>252018</v>
      </c>
      <c r="F132" s="121" t="s">
        <v>2342</v>
      </c>
      <c r="G132" s="121"/>
      <c r="H132" s="121"/>
      <c r="I132" s="121"/>
      <c r="J132" s="121"/>
      <c r="K132" s="27" t="str">
        <f t="shared" si="24"/>
        <v>1</v>
      </c>
      <c r="L132" s="27">
        <v>1</v>
      </c>
      <c r="M132" s="27" t="str">
        <f t="shared" si="25"/>
        <v>1</v>
      </c>
      <c r="N132" s="121" t="s">
        <v>303</v>
      </c>
      <c r="O132" s="121" t="s">
        <v>2344</v>
      </c>
      <c r="P132" s="27" t="str">
        <f t="shared" si="26"/>
        <v>1</v>
      </c>
      <c r="Q132" s="27" t="str">
        <f t="shared" si="27"/>
        <v>1</v>
      </c>
      <c r="R132" s="27" t="str">
        <f t="shared" si="28"/>
        <v>1</v>
      </c>
      <c r="S132" s="27" t="str">
        <f t="shared" si="29"/>
        <v>1</v>
      </c>
      <c r="T132" s="27" t="str">
        <f t="shared" si="30"/>
        <v>1</v>
      </c>
      <c r="U132" s="27" t="str">
        <f t="shared" si="31"/>
        <v>1</v>
      </c>
      <c r="V132" s="27" t="str">
        <f t="shared" si="32"/>
        <v>1</v>
      </c>
      <c r="W132" s="27"/>
      <c r="X132" s="27" t="str">
        <f t="shared" si="33"/>
        <v>0</v>
      </c>
      <c r="Y132" s="27" t="str">
        <f t="shared" si="34"/>
        <v>0</v>
      </c>
      <c r="Z132" s="27" t="str">
        <f t="shared" si="35"/>
        <v>0</v>
      </c>
      <c r="AA132" s="121"/>
      <c r="AB132" s="121"/>
      <c r="AC132" s="121"/>
      <c r="AD132" s="121"/>
      <c r="AE132" s="121" t="s">
        <v>51</v>
      </c>
      <c r="AF132" s="121"/>
      <c r="AG132" s="121"/>
      <c r="AH132" s="28" t="s">
        <v>167</v>
      </c>
      <c r="AI132" s="28" t="s">
        <v>113</v>
      </c>
      <c r="AJ132" s="27">
        <v>20220</v>
      </c>
      <c r="AK132" s="121" t="str">
        <f t="shared" si="23"/>
        <v>0</v>
      </c>
      <c r="AL132" s="123" t="str">
        <f t="shared" si="45"/>
        <v>14821/주문 진행 현황/sale.order/SlorList6</v>
      </c>
      <c r="AM132" s="27" t="s">
        <v>1886</v>
      </c>
      <c r="AN132" s="124"/>
      <c r="AO132" s="124"/>
      <c r="AP132" s="124"/>
      <c r="AQ132" s="124"/>
      <c r="AR132" s="124"/>
      <c r="AS132" s="124"/>
      <c r="AT132" s="124" t="s">
        <v>1938</v>
      </c>
      <c r="AU132" s="124" t="str">
        <f t="shared" si="38"/>
        <v>S252018</v>
      </c>
      <c r="AV132" s="124" t="s">
        <v>2514</v>
      </c>
      <c r="AW132" s="117" t="s">
        <v>2343</v>
      </c>
      <c r="AX132" s="138" t="str">
        <f t="shared" ref="AX132:AX196" si="46">IF(C132="","","delete from module_mst where pjt_id = '"&amp;C132&amp;"' and menu_id = '"&amp;E132&amp;"';")</f>
        <v>delete from module_mst where pjt_id = '14821' and menu_id = '252018';</v>
      </c>
      <c r="AY132" s="31" t="str">
        <f>IF(C132&lt;&gt;"",CREATE_QUERY($D$1,C$2:AW$2,C132:AW132),"")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'252018', '주문 진행 현황', '', '', '', '', '1', '1', '1', 'sale.order', 'SlorList6', '1', '1', '1', '1', '1', '1', '1', '', '0', '0', '0', '', '', '', '', 'N', '', '', '252000', '5', '20220', '0', '14821/주문 진행 현황/sale.order/SlorList6', '(두인)', '', '', '', '', '', '', 'S', 'MES-TD3-218', '주문 및 생산 진행현황');</v>
      </c>
    </row>
    <row r="133" spans="1:51" hidden="1">
      <c r="A133" s="1">
        <v>64</v>
      </c>
      <c r="B133" s="121" t="str">
        <f t="shared" ref="B133:B197" si="47">IF(F133="","",IF(AI133="1","",IF(AI133="2","└ ",IF(AI133="3","  └ ",IF(AI133="4","    └ ",IF(AI133="5","        └ ",IF(AI133="6","         └ ",IF(AI133="7"="            └ ",""))))))))&amp;AM133&amp;F133</f>
        <v xml:space="preserve">        └ (프로젝트)프로젝트관리</v>
      </c>
      <c r="C133" s="27" t="str">
        <f t="shared" si="36"/>
        <v>14821</v>
      </c>
      <c r="D133" s="121"/>
      <c r="E133" s="27">
        <v>252002</v>
      </c>
      <c r="F133" s="121" t="s">
        <v>333</v>
      </c>
      <c r="G133" s="121"/>
      <c r="H133" s="121"/>
      <c r="I133" s="121"/>
      <c r="J133" s="121"/>
      <c r="K133" s="27" t="str">
        <f t="shared" si="24"/>
        <v>1</v>
      </c>
      <c r="L133" s="27">
        <v>1</v>
      </c>
      <c r="M133" s="27" t="str">
        <f t="shared" si="25"/>
        <v>1</v>
      </c>
      <c r="N133" s="121" t="s">
        <v>344</v>
      </c>
      <c r="O133" s="121" t="s">
        <v>334</v>
      </c>
      <c r="P133" s="27" t="str">
        <f t="shared" si="26"/>
        <v>1</v>
      </c>
      <c r="Q133" s="27" t="str">
        <f t="shared" si="27"/>
        <v>1</v>
      </c>
      <c r="R133" s="27" t="str">
        <f t="shared" si="28"/>
        <v>1</v>
      </c>
      <c r="S133" s="27" t="str">
        <f t="shared" si="29"/>
        <v>1</v>
      </c>
      <c r="T133" s="27" t="str">
        <f t="shared" si="30"/>
        <v>1</v>
      </c>
      <c r="U133" s="27" t="str">
        <f t="shared" si="31"/>
        <v>1</v>
      </c>
      <c r="V133" s="27" t="str">
        <f t="shared" si="32"/>
        <v>1</v>
      </c>
      <c r="W133" s="27"/>
      <c r="X133" s="27" t="str">
        <f t="shared" si="33"/>
        <v>0</v>
      </c>
      <c r="Y133" s="27" t="str">
        <f t="shared" si="34"/>
        <v>0</v>
      </c>
      <c r="Z133" s="27" t="str">
        <f t="shared" si="35"/>
        <v>0</v>
      </c>
      <c r="AA133" s="121"/>
      <c r="AB133" s="121"/>
      <c r="AC133" s="121"/>
      <c r="AD133" s="121"/>
      <c r="AE133" s="121" t="s">
        <v>51</v>
      </c>
      <c r="AF133" s="121"/>
      <c r="AG133" s="121"/>
      <c r="AH133" s="28" t="s">
        <v>167</v>
      </c>
      <c r="AI133" s="28" t="s">
        <v>113</v>
      </c>
      <c r="AJ133" s="27">
        <v>20222</v>
      </c>
      <c r="AK133" s="121" t="str">
        <f t="shared" si="23"/>
        <v>0</v>
      </c>
      <c r="AL133" s="123" t="str">
        <f t="shared" si="45"/>
        <v>14821/프로젝트관리/sale.project/PrjtMast</v>
      </c>
      <c r="AM133" s="27" t="s">
        <v>1887</v>
      </c>
      <c r="AN133" s="124"/>
      <c r="AO133" s="124"/>
      <c r="AP133" s="124"/>
      <c r="AQ133" s="124"/>
      <c r="AR133" s="124"/>
      <c r="AS133" s="124"/>
      <c r="AT133" s="124" t="s">
        <v>1938</v>
      </c>
      <c r="AU133" s="124" t="str">
        <f t="shared" si="38"/>
        <v>S252002</v>
      </c>
      <c r="AV133" s="124" t="s">
        <v>2515</v>
      </c>
      <c r="AW133" s="117" t="s">
        <v>1831</v>
      </c>
      <c r="AX133" s="138" t="str">
        <f t="shared" si="46"/>
        <v>delete from module_mst where pjt_id = '14821' and menu_id = '252002';</v>
      </c>
      <c r="AY133" s="31" t="str">
        <f>IF(C133&lt;&gt;"",CREATE_QUERY($D$1,C$2:AW$2,C133:AW133),"")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'252002', '프로젝트관리', '', '', '', '', '1', '1', '1', 'sale.project', 'PrjtMast', '1', '1', '1', '1', '1', '1', '1', '', '0', '0', '0', '', '', '', '', 'N', '', '', '252000', '5', '20222', '0', '14821/프로젝트관리/sale.project/PrjtMast', '(프로젝트)', '', '', '', '', '', '', 'S', 'MES-TD3-219', '원청 업체의 신제품 개발 프로젝트 관련 정보를 관리');</v>
      </c>
    </row>
    <row r="134" spans="1:51" hidden="1">
      <c r="A134" s="1">
        <v>64</v>
      </c>
      <c r="B134" s="121" t="str">
        <f t="shared" si="47"/>
        <v xml:space="preserve">        └ (프로젝트)수주상담관리</v>
      </c>
      <c r="C134" s="27" t="str">
        <f t="shared" si="36"/>
        <v>14821</v>
      </c>
      <c r="D134" s="121"/>
      <c r="E134" s="27">
        <v>252003</v>
      </c>
      <c r="F134" s="121" t="s">
        <v>349</v>
      </c>
      <c r="G134" s="121"/>
      <c r="H134" s="121"/>
      <c r="I134" s="121"/>
      <c r="J134" s="121"/>
      <c r="K134" s="27" t="str">
        <f t="shared" si="24"/>
        <v>1</v>
      </c>
      <c r="L134" s="27">
        <v>1</v>
      </c>
      <c r="M134" s="27" t="str">
        <f t="shared" si="25"/>
        <v>1</v>
      </c>
      <c r="N134" s="121" t="s">
        <v>344</v>
      </c>
      <c r="O134" s="121" t="s">
        <v>350</v>
      </c>
      <c r="P134" s="27" t="str">
        <f t="shared" si="26"/>
        <v>1</v>
      </c>
      <c r="Q134" s="27" t="str">
        <f t="shared" si="27"/>
        <v>1</v>
      </c>
      <c r="R134" s="27" t="str">
        <f t="shared" si="28"/>
        <v>1</v>
      </c>
      <c r="S134" s="27" t="str">
        <f t="shared" si="29"/>
        <v>1</v>
      </c>
      <c r="T134" s="27" t="str">
        <f t="shared" si="30"/>
        <v>1</v>
      </c>
      <c r="U134" s="27" t="str">
        <f t="shared" si="31"/>
        <v>1</v>
      </c>
      <c r="V134" s="27" t="str">
        <f t="shared" si="32"/>
        <v>1</v>
      </c>
      <c r="W134" s="27"/>
      <c r="X134" s="27" t="str">
        <f t="shared" si="33"/>
        <v>0</v>
      </c>
      <c r="Y134" s="27" t="str">
        <f t="shared" si="34"/>
        <v>0</v>
      </c>
      <c r="Z134" s="27" t="str">
        <f t="shared" si="35"/>
        <v>0</v>
      </c>
      <c r="AA134" s="121"/>
      <c r="AB134" s="121"/>
      <c r="AC134" s="121"/>
      <c r="AD134" s="121"/>
      <c r="AE134" s="121" t="s">
        <v>51</v>
      </c>
      <c r="AF134" s="121"/>
      <c r="AG134" s="121"/>
      <c r="AH134" s="28" t="s">
        <v>167</v>
      </c>
      <c r="AI134" s="28" t="s">
        <v>113</v>
      </c>
      <c r="AJ134" s="27">
        <v>20224</v>
      </c>
      <c r="AK134" s="121" t="str">
        <f t="shared" si="23"/>
        <v>0</v>
      </c>
      <c r="AL134" s="123" t="str">
        <f t="shared" si="45"/>
        <v>14821/수주상담관리/sale.project/PrjtWork</v>
      </c>
      <c r="AM134" s="27" t="s">
        <v>1887</v>
      </c>
      <c r="AN134" s="124"/>
      <c r="AO134" s="124"/>
      <c r="AP134" s="124"/>
      <c r="AQ134" s="124" t="s">
        <v>1829</v>
      </c>
      <c r="AR134" s="124"/>
      <c r="AS134" s="124"/>
      <c r="AT134" s="124" t="s">
        <v>1938</v>
      </c>
      <c r="AU134" s="124" t="str">
        <f t="shared" si="38"/>
        <v>S252003</v>
      </c>
      <c r="AV134" s="124" t="s">
        <v>2516</v>
      </c>
      <c r="AW134" s="117" t="s">
        <v>1832</v>
      </c>
      <c r="AX134" s="138" t="str">
        <f t="shared" si="46"/>
        <v>delete from module_mst where pjt_id = '14821' and menu_id = '252003';</v>
      </c>
      <c r="AY134" s="31" t="str">
        <f>IF(C134&lt;&gt;"",CREATE_QUERY($D$1,C$2:AW$2,C134:AW134),"")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'252003', '수주상담관리', '', '', '', '', '1', '1', '1', 'sale.project', 'PrjtWork', '1', '1', '1', '1', '1', '1', '1', '', '0', '0', '0', '', '', '', '', 'N', '', '', '252000', '5', '20224', '0', '14821/수주상담관리/sale.project/PrjtWork', '(프로젝트)', '', '', '', 'Y', '', '', 'S', 'MES-TD3-220', '프로젝트 수주건의 수주전 정보 관리 및 수주 확정, Amend 정보 관리');</v>
      </c>
    </row>
    <row r="135" spans="1:51" hidden="1">
      <c r="A135" s="1">
        <v>64</v>
      </c>
      <c r="B135" s="121" t="str">
        <f t="shared" si="47"/>
        <v xml:space="preserve">        └ (프로젝트)설계변경 관리</v>
      </c>
      <c r="C135" s="27" t="str">
        <f t="shared" si="36"/>
        <v>14821</v>
      </c>
      <c r="D135" s="121"/>
      <c r="E135" s="27">
        <v>252004</v>
      </c>
      <c r="F135" s="121" t="s">
        <v>351</v>
      </c>
      <c r="G135" s="121"/>
      <c r="H135" s="121"/>
      <c r="I135" s="121"/>
      <c r="J135" s="121"/>
      <c r="K135" s="27" t="str">
        <f t="shared" si="24"/>
        <v>1</v>
      </c>
      <c r="L135" s="27">
        <v>1</v>
      </c>
      <c r="M135" s="27" t="str">
        <f t="shared" si="25"/>
        <v>1</v>
      </c>
      <c r="N135" s="121" t="s">
        <v>344</v>
      </c>
      <c r="O135" s="121" t="s">
        <v>352</v>
      </c>
      <c r="P135" s="27" t="str">
        <f t="shared" si="26"/>
        <v>1</v>
      </c>
      <c r="Q135" s="27" t="str">
        <f t="shared" si="27"/>
        <v>1</v>
      </c>
      <c r="R135" s="27" t="str">
        <f t="shared" si="28"/>
        <v>1</v>
      </c>
      <c r="S135" s="27" t="str">
        <f t="shared" si="29"/>
        <v>1</v>
      </c>
      <c r="T135" s="27" t="str">
        <f t="shared" si="30"/>
        <v>1</v>
      </c>
      <c r="U135" s="27" t="str">
        <f t="shared" si="31"/>
        <v>1</v>
      </c>
      <c r="V135" s="27" t="str">
        <f t="shared" si="32"/>
        <v>1</v>
      </c>
      <c r="W135" s="27"/>
      <c r="X135" s="27" t="str">
        <f t="shared" si="33"/>
        <v>0</v>
      </c>
      <c r="Y135" s="27" t="str">
        <f t="shared" si="34"/>
        <v>0</v>
      </c>
      <c r="Z135" s="27" t="str">
        <f t="shared" si="35"/>
        <v>0</v>
      </c>
      <c r="AA135" s="121"/>
      <c r="AB135" s="121"/>
      <c r="AC135" s="121"/>
      <c r="AD135" s="121"/>
      <c r="AE135" s="121" t="s">
        <v>51</v>
      </c>
      <c r="AF135" s="121"/>
      <c r="AG135" s="121"/>
      <c r="AH135" s="28" t="s">
        <v>167</v>
      </c>
      <c r="AI135" s="28" t="s">
        <v>113</v>
      </c>
      <c r="AJ135" s="27">
        <v>20226</v>
      </c>
      <c r="AK135" s="121" t="str">
        <f t="shared" si="23"/>
        <v>0</v>
      </c>
      <c r="AL135" s="123" t="str">
        <f t="shared" si="45"/>
        <v>14821/설계변경 관리/sale.project/PrjtChange</v>
      </c>
      <c r="AM135" s="27" t="s">
        <v>1887</v>
      </c>
      <c r="AN135" s="124"/>
      <c r="AO135" s="124"/>
      <c r="AP135" s="124"/>
      <c r="AQ135" s="124" t="s">
        <v>1829</v>
      </c>
      <c r="AR135" s="124"/>
      <c r="AS135" s="124"/>
      <c r="AT135" s="124" t="s">
        <v>1938</v>
      </c>
      <c r="AU135" s="124" t="str">
        <f t="shared" si="38"/>
        <v>S252004</v>
      </c>
      <c r="AV135" s="124" t="s">
        <v>2517</v>
      </c>
      <c r="AW135" s="117" t="s">
        <v>1833</v>
      </c>
      <c r="AX135" s="138" t="str">
        <f t="shared" si="46"/>
        <v>delete from module_mst where pjt_id = '14821' and menu_id = '252004';</v>
      </c>
      <c r="AY135" s="31" t="str">
        <f>IF(C135&lt;&gt;"",CREATE_QUERY($D$1,C$2:AW$2,C135:AW135),"")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'252004', '설계변경 관리', '', '', '', '', '1', '1', '1', 'sale.project', 'PrjtChange', '1', '1', '1', '1', '1', '1', '1', '', '0', '0', '0', '', '', '', '', 'N', '', '', '252000', '5', '20226', '0', '14821/설계변경 관리/sale.project/PrjtChange', '(프로젝트)', '', '', '', 'Y', '', '', 'S', 'MES-TD3-221', '수주건의 설계 변경 사항을 관리, 수주금액 및 수금일정 변경 가능');</v>
      </c>
    </row>
    <row r="136" spans="1:51" ht="26" hidden="1">
      <c r="A136" s="1">
        <v>64</v>
      </c>
      <c r="B136" s="121" t="str">
        <f t="shared" si="47"/>
        <v xml:space="preserve">        └ (프로젝트)진행관리</v>
      </c>
      <c r="C136" s="27" t="str">
        <f t="shared" si="36"/>
        <v>14821</v>
      </c>
      <c r="D136" s="121"/>
      <c r="E136" s="27">
        <v>252005</v>
      </c>
      <c r="F136" s="121" t="s">
        <v>2058</v>
      </c>
      <c r="G136" s="121"/>
      <c r="H136" s="121"/>
      <c r="I136" s="121"/>
      <c r="J136" s="121"/>
      <c r="K136" s="27" t="str">
        <f t="shared" si="24"/>
        <v>1</v>
      </c>
      <c r="L136" s="27">
        <v>1</v>
      </c>
      <c r="M136" s="27" t="str">
        <f t="shared" si="25"/>
        <v>1</v>
      </c>
      <c r="N136" s="121" t="s">
        <v>344</v>
      </c>
      <c r="O136" s="121" t="s">
        <v>335</v>
      </c>
      <c r="P136" s="27" t="str">
        <f t="shared" si="26"/>
        <v>1</v>
      </c>
      <c r="Q136" s="27" t="str">
        <f t="shared" si="27"/>
        <v>1</v>
      </c>
      <c r="R136" s="27" t="str">
        <f t="shared" si="28"/>
        <v>1</v>
      </c>
      <c r="S136" s="27" t="str">
        <f t="shared" si="29"/>
        <v>1</v>
      </c>
      <c r="T136" s="27" t="str">
        <f t="shared" si="30"/>
        <v>1</v>
      </c>
      <c r="U136" s="27" t="str">
        <f t="shared" si="31"/>
        <v>1</v>
      </c>
      <c r="V136" s="27" t="str">
        <f t="shared" si="32"/>
        <v>1</v>
      </c>
      <c r="W136" s="27"/>
      <c r="X136" s="27" t="str">
        <f t="shared" si="33"/>
        <v>0</v>
      </c>
      <c r="Y136" s="27" t="str">
        <f t="shared" si="34"/>
        <v>0</v>
      </c>
      <c r="Z136" s="27" t="str">
        <f t="shared" si="35"/>
        <v>0</v>
      </c>
      <c r="AA136" s="121"/>
      <c r="AB136" s="121"/>
      <c r="AC136" s="121"/>
      <c r="AD136" s="121"/>
      <c r="AE136" s="121" t="s">
        <v>51</v>
      </c>
      <c r="AF136" s="121"/>
      <c r="AG136" s="121"/>
      <c r="AH136" s="28" t="s">
        <v>167</v>
      </c>
      <c r="AI136" s="28" t="s">
        <v>113</v>
      </c>
      <c r="AJ136" s="27">
        <v>20228</v>
      </c>
      <c r="AK136" s="121" t="str">
        <f t="shared" si="23"/>
        <v>0</v>
      </c>
      <c r="AL136" s="123" t="str">
        <f t="shared" si="45"/>
        <v>14821/진행관리/sale.project/PrjtProcess</v>
      </c>
      <c r="AM136" s="27" t="s">
        <v>1887</v>
      </c>
      <c r="AN136" s="124"/>
      <c r="AO136" s="124"/>
      <c r="AP136" s="124"/>
      <c r="AQ136" s="124" t="s">
        <v>1829</v>
      </c>
      <c r="AR136" s="124"/>
      <c r="AS136" s="124"/>
      <c r="AT136" s="124" t="s">
        <v>1938</v>
      </c>
      <c r="AU136" s="124" t="str">
        <f t="shared" si="38"/>
        <v>S252005</v>
      </c>
      <c r="AV136" s="124" t="s">
        <v>2518</v>
      </c>
      <c r="AW136" s="117" t="s">
        <v>1834</v>
      </c>
      <c r="AX136" s="138" t="str">
        <f t="shared" si="46"/>
        <v>delete from module_mst where pjt_id = '14821' and menu_id = '252005';</v>
      </c>
      <c r="AY136" s="31" t="str">
        <f>IF(C136&lt;&gt;"",CREATE_QUERY($D$1,C$2:AW$2,C136:AW136),"")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'252005', '진행관리', '', '', '', '', '1', '1', '1', 'sale.project', 'PrjtProcess', '1', '1', '1', '1', '1', '1', '1', '', '0', '0', '0', '', '', '', '', 'N', '', '', '252000', '5', '20228', '0', '14821/진행관리/sale.project/PrjtProcess', '(프로젝트)', '', '', '', 'Y', '', '', 'S', 'MES-TD3-222', '수주건별, 작업일정, 설계일정, 작업일보, 수금현황… 등을 종합적으로 조회');</v>
      </c>
    </row>
    <row r="137" spans="1:51" hidden="1">
      <c r="A137" s="1">
        <v>70</v>
      </c>
      <c r="B137" s="121" t="str">
        <f t="shared" si="47"/>
        <v xml:space="preserve">        └ (프로젝트)사출계획</v>
      </c>
      <c r="C137" s="27" t="str">
        <f t="shared" si="36"/>
        <v>14821</v>
      </c>
      <c r="D137" s="121"/>
      <c r="E137" s="27">
        <v>252014</v>
      </c>
      <c r="F137" s="121" t="s">
        <v>2296</v>
      </c>
      <c r="G137" s="121"/>
      <c r="H137" s="121"/>
      <c r="I137" s="121"/>
      <c r="J137" s="121"/>
      <c r="K137" s="27" t="str">
        <f t="shared" si="24"/>
        <v>1</v>
      </c>
      <c r="L137" s="27">
        <v>1</v>
      </c>
      <c r="M137" s="27" t="str">
        <f t="shared" si="25"/>
        <v>1</v>
      </c>
      <c r="N137" s="121" t="s">
        <v>344</v>
      </c>
      <c r="O137" s="121" t="s">
        <v>2071</v>
      </c>
      <c r="P137" s="27" t="str">
        <f t="shared" si="26"/>
        <v>1</v>
      </c>
      <c r="Q137" s="27" t="str">
        <f t="shared" si="27"/>
        <v>1</v>
      </c>
      <c r="R137" s="27" t="str">
        <f t="shared" si="28"/>
        <v>1</v>
      </c>
      <c r="S137" s="27" t="str">
        <f t="shared" si="29"/>
        <v>1</v>
      </c>
      <c r="T137" s="27" t="str">
        <f t="shared" si="30"/>
        <v>1</v>
      </c>
      <c r="U137" s="27" t="str">
        <f t="shared" si="31"/>
        <v>1</v>
      </c>
      <c r="V137" s="27" t="str">
        <f t="shared" si="32"/>
        <v>1</v>
      </c>
      <c r="W137" s="27"/>
      <c r="X137" s="27" t="str">
        <f t="shared" si="33"/>
        <v>0</v>
      </c>
      <c r="Y137" s="27" t="str">
        <f t="shared" si="34"/>
        <v>0</v>
      </c>
      <c r="Z137" s="27" t="str">
        <f t="shared" si="35"/>
        <v>0</v>
      </c>
      <c r="AA137" s="121"/>
      <c r="AB137" s="121"/>
      <c r="AC137" s="121"/>
      <c r="AD137" s="121"/>
      <c r="AE137" s="121" t="s">
        <v>51</v>
      </c>
      <c r="AF137" s="121"/>
      <c r="AG137" s="121"/>
      <c r="AH137" s="28" t="s">
        <v>167</v>
      </c>
      <c r="AI137" s="28" t="s">
        <v>113</v>
      </c>
      <c r="AJ137" s="27">
        <v>20230</v>
      </c>
      <c r="AK137" s="121" t="str">
        <f t="shared" si="23"/>
        <v>0</v>
      </c>
      <c r="AL137" s="123" t="str">
        <f t="shared" si="45"/>
        <v>14821/사출계획/sale.project/PrjtTestOrdr</v>
      </c>
      <c r="AM137" s="27" t="s">
        <v>1887</v>
      </c>
      <c r="AN137" s="124"/>
      <c r="AO137" s="124"/>
      <c r="AP137" s="124"/>
      <c r="AQ137" s="124"/>
      <c r="AR137" s="124"/>
      <c r="AS137" s="124"/>
      <c r="AT137" s="124" t="s">
        <v>1938</v>
      </c>
      <c r="AU137" s="124" t="str">
        <f t="shared" si="38"/>
        <v>S252014</v>
      </c>
      <c r="AV137" s="124" t="s">
        <v>2519</v>
      </c>
      <c r="AW137" s="117" t="s">
        <v>2072</v>
      </c>
      <c r="AX137" s="138" t="str">
        <f t="shared" si="46"/>
        <v>delete from module_mst where pjt_id = '14821' and menu_id = '252014';</v>
      </c>
      <c r="AY137" s="31" t="str">
        <f>IF(C137&lt;&gt;"",CREATE_QUERY($D$1,C$2:AW$2,C137:AW137),"")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'252014', '사출계획', '', '', '', '', '1', '1', '1', 'sale.project', 'PrjtTestOrdr', '1', '1', '1', '1', '1', '1', '1', '', '0', '0', '0', '', '', '', '', 'N', '', '', '252000', '5', '20230', '0', '14821/사출계획/sale.project/PrjtTestOrdr', '(프로젝트)', '', '', '', '', '', '', 'S', 'MES-TD3-223', '시사출 생산 지시 사항 등록');</v>
      </c>
    </row>
    <row r="138" spans="1:51" hidden="1">
      <c r="A138" s="1">
        <v>70</v>
      </c>
      <c r="B138" s="121" t="str">
        <f t="shared" si="47"/>
        <v xml:space="preserve">        └ (프로젝트)금형대장</v>
      </c>
      <c r="C138" s="27" t="str">
        <f t="shared" si="36"/>
        <v>14821</v>
      </c>
      <c r="D138" s="121"/>
      <c r="E138" s="27">
        <v>252015</v>
      </c>
      <c r="F138" s="121" t="s">
        <v>2285</v>
      </c>
      <c r="G138" s="121"/>
      <c r="H138" s="121"/>
      <c r="I138" s="121"/>
      <c r="J138" s="121"/>
      <c r="K138" s="27" t="str">
        <f t="shared" si="24"/>
        <v>1</v>
      </c>
      <c r="L138" s="27">
        <v>1</v>
      </c>
      <c r="M138" s="27" t="str">
        <f t="shared" si="25"/>
        <v>1</v>
      </c>
      <c r="N138" s="121" t="s">
        <v>344</v>
      </c>
      <c r="O138" s="121" t="s">
        <v>2286</v>
      </c>
      <c r="P138" s="27" t="str">
        <f t="shared" si="26"/>
        <v>1</v>
      </c>
      <c r="Q138" s="27" t="str">
        <f t="shared" si="27"/>
        <v>1</v>
      </c>
      <c r="R138" s="27" t="str">
        <f t="shared" si="28"/>
        <v>1</v>
      </c>
      <c r="S138" s="27" t="str">
        <f t="shared" si="29"/>
        <v>1</v>
      </c>
      <c r="T138" s="27" t="str">
        <f t="shared" si="30"/>
        <v>1</v>
      </c>
      <c r="U138" s="27" t="str">
        <f t="shared" si="31"/>
        <v>1</v>
      </c>
      <c r="V138" s="27" t="str">
        <f t="shared" si="32"/>
        <v>1</v>
      </c>
      <c r="W138" s="27"/>
      <c r="X138" s="27" t="str">
        <f t="shared" si="33"/>
        <v>0</v>
      </c>
      <c r="Y138" s="27" t="str">
        <f t="shared" si="34"/>
        <v>0</v>
      </c>
      <c r="Z138" s="27" t="str">
        <f t="shared" si="35"/>
        <v>0</v>
      </c>
      <c r="AA138" s="121"/>
      <c r="AB138" s="121"/>
      <c r="AC138" s="121"/>
      <c r="AD138" s="121"/>
      <c r="AE138" s="121" t="s">
        <v>51</v>
      </c>
      <c r="AF138" s="121"/>
      <c r="AG138" s="121"/>
      <c r="AH138" s="28" t="s">
        <v>167</v>
      </c>
      <c r="AI138" s="28" t="s">
        <v>113</v>
      </c>
      <c r="AJ138" s="27">
        <v>20232</v>
      </c>
      <c r="AK138" s="121" t="str">
        <f t="shared" si="23"/>
        <v>0</v>
      </c>
      <c r="AL138" s="123" t="str">
        <f t="shared" si="45"/>
        <v>14821/금형대장/sale.project/PrjtList</v>
      </c>
      <c r="AM138" s="27" t="s">
        <v>1887</v>
      </c>
      <c r="AN138" s="124"/>
      <c r="AO138" s="124"/>
      <c r="AP138" s="124"/>
      <c r="AQ138" s="124"/>
      <c r="AR138" s="124"/>
      <c r="AS138" s="124"/>
      <c r="AT138" s="124" t="s">
        <v>1938</v>
      </c>
      <c r="AU138" s="124" t="str">
        <f t="shared" si="38"/>
        <v>S252015</v>
      </c>
      <c r="AV138" s="124" t="s">
        <v>2520</v>
      </c>
      <c r="AW138" s="117" t="s">
        <v>2287</v>
      </c>
      <c r="AX138" s="138" t="str">
        <f t="shared" si="46"/>
        <v>delete from module_mst where pjt_id = '14821' and menu_id = '252015';</v>
      </c>
      <c r="AY138" s="31" t="str">
        <f>IF(C138&lt;&gt;"",CREATE_QUERY($D$1,C$2:AW$2,C138:AW138),"")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'252015', '금형대장', '', '', '', '', '1', '1', '1', 'sale.project', 'PrjtList', '1', '1', '1', '1', '1', '1', '1', '', '0', '0', '0', '', '', '', '', 'N', '', '', '252000', '5', '20232', '0', '14821/금형대장/sale.project/PrjtList', '(프로젝트)', '', '', '', '', '', '', 'S', 'MES-TD3-224', '승인 완료된 금형 리스트 조회');</v>
      </c>
    </row>
    <row r="139" spans="1:51" hidden="1">
      <c r="A139" s="1">
        <v>70</v>
      </c>
      <c r="B139" s="121" t="str">
        <f t="shared" si="47"/>
        <v xml:space="preserve">        └ (프로젝트)설계변경 리스트</v>
      </c>
      <c r="C139" s="27" t="str">
        <f t="shared" si="36"/>
        <v>14821</v>
      </c>
      <c r="D139" s="121"/>
      <c r="E139" s="27">
        <v>252016</v>
      </c>
      <c r="F139" s="121" t="s">
        <v>2288</v>
      </c>
      <c r="G139" s="121"/>
      <c r="H139" s="121"/>
      <c r="I139" s="121"/>
      <c r="J139" s="121"/>
      <c r="K139" s="27" t="str">
        <f t="shared" si="24"/>
        <v>1</v>
      </c>
      <c r="L139" s="27">
        <v>1</v>
      </c>
      <c r="M139" s="27" t="str">
        <f t="shared" si="25"/>
        <v>1</v>
      </c>
      <c r="N139" s="121" t="s">
        <v>344</v>
      </c>
      <c r="O139" s="121" t="s">
        <v>2289</v>
      </c>
      <c r="P139" s="27" t="str">
        <f t="shared" si="26"/>
        <v>1</v>
      </c>
      <c r="Q139" s="27" t="str">
        <f t="shared" si="27"/>
        <v>1</v>
      </c>
      <c r="R139" s="27" t="str">
        <f t="shared" si="28"/>
        <v>1</v>
      </c>
      <c r="S139" s="27" t="str">
        <f t="shared" si="29"/>
        <v>1</v>
      </c>
      <c r="T139" s="27" t="str">
        <f t="shared" si="30"/>
        <v>1</v>
      </c>
      <c r="U139" s="27" t="str">
        <f t="shared" si="31"/>
        <v>1</v>
      </c>
      <c r="V139" s="27" t="str">
        <f t="shared" si="32"/>
        <v>1</v>
      </c>
      <c r="W139" s="27"/>
      <c r="X139" s="27" t="str">
        <f t="shared" si="33"/>
        <v>0</v>
      </c>
      <c r="Y139" s="27" t="str">
        <f t="shared" si="34"/>
        <v>0</v>
      </c>
      <c r="Z139" s="27" t="str">
        <f t="shared" si="35"/>
        <v>0</v>
      </c>
      <c r="AA139" s="121"/>
      <c r="AB139" s="121"/>
      <c r="AC139" s="121"/>
      <c r="AD139" s="121"/>
      <c r="AE139" s="121" t="s">
        <v>51</v>
      </c>
      <c r="AF139" s="121"/>
      <c r="AG139" s="121"/>
      <c r="AH139" s="28" t="s">
        <v>167</v>
      </c>
      <c r="AI139" s="28" t="s">
        <v>113</v>
      </c>
      <c r="AJ139" s="27">
        <v>20234</v>
      </c>
      <c r="AK139" s="121" t="str">
        <f t="shared" si="23"/>
        <v>0</v>
      </c>
      <c r="AL139" s="123" t="str">
        <f t="shared" si="45"/>
        <v>14821/설계변경 리스트/sale.project/PrjtChangeList</v>
      </c>
      <c r="AM139" s="27" t="s">
        <v>1887</v>
      </c>
      <c r="AN139" s="124"/>
      <c r="AO139" s="124"/>
      <c r="AP139" s="124"/>
      <c r="AQ139" s="124"/>
      <c r="AR139" s="124"/>
      <c r="AS139" s="124"/>
      <c r="AT139" s="124" t="s">
        <v>1938</v>
      </c>
      <c r="AU139" s="124" t="str">
        <f t="shared" si="38"/>
        <v>S252016</v>
      </c>
      <c r="AV139" s="124" t="s">
        <v>2521</v>
      </c>
      <c r="AW139" s="117" t="s">
        <v>2290</v>
      </c>
      <c r="AX139" s="138" t="str">
        <f t="shared" si="46"/>
        <v>delete from module_mst where pjt_id = '14821' and menu_id = '252016';</v>
      </c>
      <c r="AY139" s="31" t="str">
        <f>IF(C139&lt;&gt;"",CREATE_QUERY($D$1,C$2:AW$2,C139:AW139),"")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'252016', '설계변경 리스트', '', '', '', '', '1', '1', '1', 'sale.project', 'PrjtChangeList', '1', '1', '1', '1', '1', '1', '1', '', '0', '0', '0', '', '', '', '', 'N', '', '', '252000', '5', '20234', '0', '14821/설계변경 리스트/sale.project/PrjtChangeList', '(프로젝트)', '', '', '', '', '', '', 'S', 'MES-TD3-225', '설계변경 리스트 조회');</v>
      </c>
    </row>
    <row r="140" spans="1:51" hidden="1">
      <c r="A140" s="1">
        <v>70</v>
      </c>
      <c r="B140" s="121" t="str">
        <f t="shared" si="47"/>
        <v xml:space="preserve">        └ (프로젝트)매출등록</v>
      </c>
      <c r="C140" s="27" t="str">
        <f t="shared" si="36"/>
        <v>14821</v>
      </c>
      <c r="D140" s="121"/>
      <c r="E140" s="27">
        <v>252019</v>
      </c>
      <c r="F140" s="121" t="s">
        <v>338</v>
      </c>
      <c r="G140" s="121"/>
      <c r="H140" s="121"/>
      <c r="I140" s="121"/>
      <c r="J140" s="121"/>
      <c r="K140" s="27" t="str">
        <f t="shared" si="24"/>
        <v>1</v>
      </c>
      <c r="L140" s="27">
        <v>1</v>
      </c>
      <c r="M140" s="27" t="str">
        <f t="shared" si="25"/>
        <v>1</v>
      </c>
      <c r="N140" s="121" t="s">
        <v>344</v>
      </c>
      <c r="O140" s="121" t="s">
        <v>2365</v>
      </c>
      <c r="P140" s="27" t="str">
        <f t="shared" si="26"/>
        <v>1</v>
      </c>
      <c r="Q140" s="27" t="str">
        <f t="shared" si="27"/>
        <v>1</v>
      </c>
      <c r="R140" s="27" t="str">
        <f t="shared" si="28"/>
        <v>1</v>
      </c>
      <c r="S140" s="27" t="str">
        <f t="shared" si="29"/>
        <v>1</v>
      </c>
      <c r="T140" s="27" t="str">
        <f t="shared" si="30"/>
        <v>1</v>
      </c>
      <c r="U140" s="27" t="str">
        <f t="shared" si="31"/>
        <v>1</v>
      </c>
      <c r="V140" s="27" t="str">
        <f t="shared" si="32"/>
        <v>1</v>
      </c>
      <c r="W140" s="27"/>
      <c r="X140" s="27" t="str">
        <f t="shared" si="33"/>
        <v>0</v>
      </c>
      <c r="Y140" s="27" t="str">
        <f t="shared" si="34"/>
        <v>0</v>
      </c>
      <c r="Z140" s="27" t="str">
        <f t="shared" si="35"/>
        <v>0</v>
      </c>
      <c r="AA140" s="121"/>
      <c r="AB140" s="121"/>
      <c r="AC140" s="121"/>
      <c r="AD140" s="121"/>
      <c r="AE140" s="121" t="s">
        <v>51</v>
      </c>
      <c r="AF140" s="121"/>
      <c r="AG140" s="121"/>
      <c r="AH140" s="28" t="s">
        <v>167</v>
      </c>
      <c r="AI140" s="28" t="s">
        <v>113</v>
      </c>
      <c r="AJ140" s="27">
        <v>20236</v>
      </c>
      <c r="AK140" s="121" t="str">
        <f t="shared" si="23"/>
        <v>0</v>
      </c>
      <c r="AL140" s="123" t="str">
        <f t="shared" si="45"/>
        <v>14821/매출등록/sale.project/SaleWork</v>
      </c>
      <c r="AM140" s="27" t="s">
        <v>1887</v>
      </c>
      <c r="AN140" s="124"/>
      <c r="AO140" s="124"/>
      <c r="AP140" s="124"/>
      <c r="AQ140" s="124"/>
      <c r="AR140" s="124"/>
      <c r="AS140" s="124"/>
      <c r="AT140" s="124" t="s">
        <v>1938</v>
      </c>
      <c r="AU140" s="124" t="str">
        <f t="shared" si="38"/>
        <v>S252019</v>
      </c>
      <c r="AV140" s="124" t="s">
        <v>2522</v>
      </c>
      <c r="AW140" s="117" t="s">
        <v>2369</v>
      </c>
      <c r="AX140" s="138" t="str">
        <f t="shared" si="46"/>
        <v>delete from module_mst where pjt_id = '14821' and menu_id = '252019';</v>
      </c>
      <c r="AY140" s="31" t="str">
        <f>IF(C140&lt;&gt;"",CREATE_QUERY($D$1,C$2:AW$2,C140:AW140),"")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'252019', '매출등록', '', '', '', '', '1', '1', '1', 'sale.project', 'SaleWork', '1', '1', '1', '1', '1', '1', '1', '', '0', '0', '0', '', '', '', '', 'N', '', '', '252000', '5', '20236', '0', '14821/매출등록/sale.project/SaleWork', '(프로젝트)', '', '', '', '', '', '', 'S', 'MES-TD3-226', '매출내역(세금계산서) 등록');</v>
      </c>
    </row>
    <row r="141" spans="1:51" hidden="1">
      <c r="A141" s="1">
        <v>70</v>
      </c>
      <c r="B141" s="121" t="str">
        <f t="shared" si="47"/>
        <v xml:space="preserve">        └ (프로젝트)수금보고</v>
      </c>
      <c r="C141" s="27" t="str">
        <f t="shared" si="36"/>
        <v>14821</v>
      </c>
      <c r="D141" s="121"/>
      <c r="E141" s="27">
        <v>252020</v>
      </c>
      <c r="F141" s="121" t="s">
        <v>2367</v>
      </c>
      <c r="G141" s="121"/>
      <c r="H141" s="121"/>
      <c r="I141" s="121"/>
      <c r="J141" s="121"/>
      <c r="K141" s="27" t="str">
        <f t="shared" si="24"/>
        <v>1</v>
      </c>
      <c r="L141" s="27">
        <v>1</v>
      </c>
      <c r="M141" s="27" t="str">
        <f t="shared" si="25"/>
        <v>1</v>
      </c>
      <c r="N141" s="121" t="s">
        <v>344</v>
      </c>
      <c r="O141" s="121" t="s">
        <v>2368</v>
      </c>
      <c r="P141" s="27" t="str">
        <f t="shared" si="26"/>
        <v>1</v>
      </c>
      <c r="Q141" s="27" t="str">
        <f t="shared" si="27"/>
        <v>1</v>
      </c>
      <c r="R141" s="27" t="str">
        <f t="shared" si="28"/>
        <v>1</v>
      </c>
      <c r="S141" s="27" t="str">
        <f t="shared" si="29"/>
        <v>1</v>
      </c>
      <c r="T141" s="27" t="str">
        <f t="shared" si="30"/>
        <v>1</v>
      </c>
      <c r="U141" s="27" t="str">
        <f t="shared" si="31"/>
        <v>1</v>
      </c>
      <c r="V141" s="27" t="str">
        <f t="shared" si="32"/>
        <v>1</v>
      </c>
      <c r="W141" s="27"/>
      <c r="X141" s="27" t="str">
        <f t="shared" si="33"/>
        <v>0</v>
      </c>
      <c r="Y141" s="27" t="str">
        <f t="shared" si="34"/>
        <v>0</v>
      </c>
      <c r="Z141" s="27" t="str">
        <f t="shared" si="35"/>
        <v>0</v>
      </c>
      <c r="AA141" s="121"/>
      <c r="AB141" s="121"/>
      <c r="AC141" s="121"/>
      <c r="AD141" s="121"/>
      <c r="AE141" s="121" t="s">
        <v>51</v>
      </c>
      <c r="AF141" s="121"/>
      <c r="AG141" s="121"/>
      <c r="AH141" s="28" t="s">
        <v>167</v>
      </c>
      <c r="AI141" s="28" t="s">
        <v>113</v>
      </c>
      <c r="AJ141" s="27">
        <v>20238</v>
      </c>
      <c r="AK141" s="121" t="str">
        <f t="shared" si="23"/>
        <v>0</v>
      </c>
      <c r="AL141" s="123" t="str">
        <f t="shared" si="45"/>
        <v>14821/수금보고/sale.project/SaleColt</v>
      </c>
      <c r="AM141" s="27" t="s">
        <v>1887</v>
      </c>
      <c r="AN141" s="124"/>
      <c r="AO141" s="124"/>
      <c r="AP141" s="124"/>
      <c r="AQ141" s="124"/>
      <c r="AR141" s="124"/>
      <c r="AS141" s="124"/>
      <c r="AT141" s="124" t="s">
        <v>1938</v>
      </c>
      <c r="AU141" s="124" t="str">
        <f t="shared" si="38"/>
        <v>S252020</v>
      </c>
      <c r="AV141" s="124" t="s">
        <v>2523</v>
      </c>
      <c r="AW141" s="117" t="s">
        <v>2370</v>
      </c>
      <c r="AX141" s="138" t="str">
        <f t="shared" si="46"/>
        <v>delete from module_mst where pjt_id = '14821' and menu_id = '252020';</v>
      </c>
      <c r="AY141" s="31" t="str">
        <f>IF(C141&lt;&gt;"",CREATE_QUERY($D$1,C$2:AW$2,C141:AW141),"")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'252020', '수금보고', '', '', '', '', '1', '1', '1', 'sale.project', 'SaleColt', '1', '1', '1', '1', '1', '1', '1', '', '0', '0', '0', '', '', '', '', 'N', '', '', '252000', '5', '20238', '0', '14821/수금보고/sale.project/SaleColt', '(프로젝트)', '', '', '', '', '', '', 'S', 'MES-TD3-227', '수금 보고');</v>
      </c>
    </row>
    <row r="142" spans="1:51" hidden="1">
      <c r="A142" s="1">
        <v>66</v>
      </c>
      <c r="B142" s="121" t="str">
        <f t="shared" si="47"/>
        <v xml:space="preserve">        └ (뉴볼텍)주문오더관리</v>
      </c>
      <c r="C142" s="27" t="str">
        <f>IF(F142="","","14821")</f>
        <v>14821</v>
      </c>
      <c r="D142" s="121"/>
      <c r="E142" s="27">
        <v>252017</v>
      </c>
      <c r="F142" s="121" t="s">
        <v>1889</v>
      </c>
      <c r="G142" s="121"/>
      <c r="H142" s="121"/>
      <c r="I142" s="121"/>
      <c r="J142" s="121"/>
      <c r="K142" s="27" t="str">
        <f t="shared" si="24"/>
        <v>1</v>
      </c>
      <c r="L142" s="27">
        <v>1</v>
      </c>
      <c r="M142" s="27" t="str">
        <f t="shared" si="25"/>
        <v>1</v>
      </c>
      <c r="N142" s="121" t="s">
        <v>303</v>
      </c>
      <c r="O142" s="121" t="s">
        <v>2299</v>
      </c>
      <c r="P142" s="27" t="str">
        <f t="shared" si="26"/>
        <v>1</v>
      </c>
      <c r="Q142" s="27" t="str">
        <f t="shared" si="27"/>
        <v>1</v>
      </c>
      <c r="R142" s="27" t="str">
        <f t="shared" si="28"/>
        <v>1</v>
      </c>
      <c r="S142" s="27" t="str">
        <f t="shared" si="29"/>
        <v>1</v>
      </c>
      <c r="T142" s="27" t="str">
        <f t="shared" si="30"/>
        <v>1</v>
      </c>
      <c r="U142" s="27" t="str">
        <f t="shared" si="31"/>
        <v>1</v>
      </c>
      <c r="V142" s="27" t="str">
        <f t="shared" si="32"/>
        <v>1</v>
      </c>
      <c r="W142" s="27"/>
      <c r="X142" s="27" t="str">
        <f t="shared" si="33"/>
        <v>0</v>
      </c>
      <c r="Y142" s="27" t="str">
        <f t="shared" si="34"/>
        <v>0</v>
      </c>
      <c r="Z142" s="27" t="str">
        <f t="shared" si="35"/>
        <v>0</v>
      </c>
      <c r="AA142" s="121"/>
      <c r="AB142" s="121"/>
      <c r="AC142" s="121"/>
      <c r="AD142" s="121"/>
      <c r="AE142" s="121" t="s">
        <v>51</v>
      </c>
      <c r="AF142" s="121"/>
      <c r="AG142" s="121"/>
      <c r="AH142" s="28" t="s">
        <v>167</v>
      </c>
      <c r="AI142" s="28" t="s">
        <v>113</v>
      </c>
      <c r="AJ142" s="27">
        <v>20240</v>
      </c>
      <c r="AK142" s="121" t="str">
        <f t="shared" si="23"/>
        <v>0</v>
      </c>
      <c r="AL142" s="123" t="str">
        <f t="shared" si="45"/>
        <v>14821/주문오더관리/sale.order/SaleOrder3</v>
      </c>
      <c r="AM142" s="27" t="s">
        <v>2073</v>
      </c>
      <c r="AN142" s="124"/>
      <c r="AO142" s="124"/>
      <c r="AP142" s="124" t="s">
        <v>1829</v>
      </c>
      <c r="AQ142" s="124"/>
      <c r="AR142" s="124"/>
      <c r="AS142" s="124"/>
      <c r="AT142" s="124" t="s">
        <v>1938</v>
      </c>
      <c r="AU142" s="124" t="str">
        <f t="shared" si="38"/>
        <v>S252017</v>
      </c>
      <c r="AV142" s="124" t="s">
        <v>2524</v>
      </c>
      <c r="AW142" s="117" t="s">
        <v>2300</v>
      </c>
      <c r="AX142" s="138" t="str">
        <f t="shared" si="46"/>
        <v>delete from module_mst where pjt_id = '14821' and menu_id = '252017';</v>
      </c>
      <c r="AY142" s="31" t="str">
        <f>IF(C142&lt;&gt;"",CREATE_QUERY($D$1,C$2:AW$2,C142:AW142),"")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'252017', '주문오더관리', '', '', '', '', '1', '1', '1', 'sale.order', 'SaleOrder3', '1', '1', '1', '1', '1', '1', '1', '', '0', '0', '0', '', '', '', '', 'N', '', '', '252000', '5', '20240', '0', '14821/주문오더관리/sale.order/SaleOrder3', '(뉴볼텍)', '', '', 'Y', '', '', '', 'S', 'MES-TD3-228', 'For 뉴볼텍 , 생산 사양을 함께 등록하고 있는 수주서를 등록 함.');</v>
      </c>
    </row>
    <row r="143" spans="1:51" ht="26" hidden="1">
      <c r="A143" s="1">
        <v>66</v>
      </c>
      <c r="B143" s="121" t="str">
        <f t="shared" si="47"/>
        <v xml:space="preserve">        └ (신양)수주상담관리</v>
      </c>
      <c r="C143" s="27" t="str">
        <f t="shared" si="36"/>
        <v>14821</v>
      </c>
      <c r="D143" s="121"/>
      <c r="E143" s="27">
        <v>252021</v>
      </c>
      <c r="F143" s="121" t="s">
        <v>349</v>
      </c>
      <c r="G143" s="121"/>
      <c r="H143" s="121"/>
      <c r="I143" s="121"/>
      <c r="J143" s="121"/>
      <c r="K143" s="27" t="str">
        <f t="shared" si="24"/>
        <v>1</v>
      </c>
      <c r="L143" s="27">
        <v>1</v>
      </c>
      <c r="M143" s="27" t="str">
        <f t="shared" si="25"/>
        <v>1</v>
      </c>
      <c r="N143" s="121" t="s">
        <v>2381</v>
      </c>
      <c r="O143" s="121" t="s">
        <v>350</v>
      </c>
      <c r="P143" s="27" t="str">
        <f t="shared" si="26"/>
        <v>1</v>
      </c>
      <c r="Q143" s="27" t="str">
        <f t="shared" si="27"/>
        <v>1</v>
      </c>
      <c r="R143" s="27" t="str">
        <f t="shared" si="28"/>
        <v>1</v>
      </c>
      <c r="S143" s="27" t="str">
        <f t="shared" si="29"/>
        <v>1</v>
      </c>
      <c r="T143" s="27" t="str">
        <f t="shared" si="30"/>
        <v>1</v>
      </c>
      <c r="U143" s="27" t="str">
        <f t="shared" si="31"/>
        <v>1</v>
      </c>
      <c r="V143" s="27" t="str">
        <f t="shared" si="32"/>
        <v>1</v>
      </c>
      <c r="W143" s="27"/>
      <c r="X143" s="27" t="str">
        <f t="shared" si="33"/>
        <v>0</v>
      </c>
      <c r="Y143" s="27" t="str">
        <f t="shared" si="34"/>
        <v>0</v>
      </c>
      <c r="Z143" s="27" t="str">
        <f t="shared" si="35"/>
        <v>0</v>
      </c>
      <c r="AA143" s="121"/>
      <c r="AB143" s="121"/>
      <c r="AC143" s="121"/>
      <c r="AD143" s="121"/>
      <c r="AE143" s="121" t="s">
        <v>51</v>
      </c>
      <c r="AF143" s="121"/>
      <c r="AG143" s="121"/>
      <c r="AH143" s="28" t="s">
        <v>167</v>
      </c>
      <c r="AI143" s="28" t="s">
        <v>113</v>
      </c>
      <c r="AJ143" s="27">
        <v>20218</v>
      </c>
      <c r="AK143" s="121" t="str">
        <f t="shared" si="23"/>
        <v>0</v>
      </c>
      <c r="AL143" s="123" t="str">
        <f t="shared" si="45"/>
        <v>14821/수주상담관리/custom.symct.sale/PrjtWork</v>
      </c>
      <c r="AM143" s="27" t="s">
        <v>2380</v>
      </c>
      <c r="AN143" s="124"/>
      <c r="AO143" s="124"/>
      <c r="AP143" s="124"/>
      <c r="AQ143" s="124"/>
      <c r="AR143" s="124"/>
      <c r="AS143" s="124"/>
      <c r="AT143" s="124" t="s">
        <v>1938</v>
      </c>
      <c r="AU143" s="124" t="str">
        <f t="shared" si="38"/>
        <v>S252021</v>
      </c>
      <c r="AV143" s="124" t="s">
        <v>2525</v>
      </c>
      <c r="AW143" s="117" t="s">
        <v>2382</v>
      </c>
      <c r="AX143" s="138" t="str">
        <f t="shared" si="46"/>
        <v>delete from module_mst where pjt_id = '14821' and menu_id = '252021';</v>
      </c>
      <c r="AY143" s="31" t="str">
        <f>IF(C143&lt;&gt;"",CREATE_QUERY($D$1,C$2:AW$2,C143:AW143),"")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'252021', '수주상담관리', '', '', '', '', '1', '1', '1', 'custom.symct.sale', 'PrjtWork', '1', '1', '1', '1', '1', '1', '1', '', '0', '0', '0', '', '', '', '', 'N', '', '', '252000', '5', '20218', '0', '14821/수주상담관리/custom.symct.sale/PrjtWork', '(신양)', '', '', '', '', '', '', 'S', 'MES-TD3-229', 'For 신양메카텍 프로젝트 수주건의 수주전 정보 관리 및 수주 확정, Amend 정보 관리');</v>
      </c>
    </row>
    <row r="144" spans="1:51" hidden="1">
      <c r="A144" s="1">
        <v>67</v>
      </c>
      <c r="B144" s="121" t="str">
        <f t="shared" si="47"/>
        <v xml:space="preserve">        └ (신양)진행관리</v>
      </c>
      <c r="C144" s="27" t="str">
        <f t="shared" si="36"/>
        <v>14821</v>
      </c>
      <c r="D144" s="121"/>
      <c r="E144" s="27">
        <v>252022</v>
      </c>
      <c r="F144" s="121" t="s">
        <v>2058</v>
      </c>
      <c r="G144" s="121"/>
      <c r="H144" s="121"/>
      <c r="I144" s="121"/>
      <c r="J144" s="121"/>
      <c r="K144" s="27" t="str">
        <f t="shared" si="24"/>
        <v>1</v>
      </c>
      <c r="L144" s="27">
        <v>1</v>
      </c>
      <c r="M144" s="27" t="str">
        <f t="shared" si="25"/>
        <v>1</v>
      </c>
      <c r="N144" s="121" t="s">
        <v>2381</v>
      </c>
      <c r="O144" s="121" t="s">
        <v>335</v>
      </c>
      <c r="P144" s="27" t="str">
        <f t="shared" si="26"/>
        <v>1</v>
      </c>
      <c r="Q144" s="27" t="str">
        <f t="shared" si="27"/>
        <v>1</v>
      </c>
      <c r="R144" s="27" t="str">
        <f t="shared" si="28"/>
        <v>1</v>
      </c>
      <c r="S144" s="27" t="str">
        <f t="shared" si="29"/>
        <v>1</v>
      </c>
      <c r="T144" s="27" t="str">
        <f t="shared" si="30"/>
        <v>1</v>
      </c>
      <c r="U144" s="27" t="str">
        <f t="shared" si="31"/>
        <v>1</v>
      </c>
      <c r="V144" s="27" t="str">
        <f t="shared" si="32"/>
        <v>1</v>
      </c>
      <c r="W144" s="27"/>
      <c r="X144" s="27" t="str">
        <f t="shared" si="33"/>
        <v>0</v>
      </c>
      <c r="Y144" s="27" t="str">
        <f t="shared" si="34"/>
        <v>0</v>
      </c>
      <c r="Z144" s="27" t="str">
        <f t="shared" si="35"/>
        <v>0</v>
      </c>
      <c r="AA144" s="121"/>
      <c r="AB144" s="121"/>
      <c r="AC144" s="121"/>
      <c r="AD144" s="121"/>
      <c r="AE144" s="121" t="s">
        <v>51</v>
      </c>
      <c r="AF144" s="121"/>
      <c r="AG144" s="121"/>
      <c r="AH144" s="28" t="s">
        <v>167</v>
      </c>
      <c r="AI144" s="28" t="s">
        <v>113</v>
      </c>
      <c r="AJ144" s="27">
        <v>20244</v>
      </c>
      <c r="AK144" s="121" t="str">
        <f t="shared" si="23"/>
        <v>0</v>
      </c>
      <c r="AL144" s="123" t="str">
        <f t="shared" si="45"/>
        <v>14821/진행관리/custom.symct.sale/PrjtProcess</v>
      </c>
      <c r="AM144" s="27" t="s">
        <v>2380</v>
      </c>
      <c r="AN144" s="124"/>
      <c r="AO144" s="124"/>
      <c r="AP144" s="124"/>
      <c r="AQ144" s="124"/>
      <c r="AR144" s="124"/>
      <c r="AS144" s="124"/>
      <c r="AT144" s="124" t="s">
        <v>1938</v>
      </c>
      <c r="AU144" s="124" t="str">
        <f t="shared" si="38"/>
        <v>S252022</v>
      </c>
      <c r="AV144" s="124" t="s">
        <v>2526</v>
      </c>
      <c r="AW144" s="117" t="s">
        <v>2402</v>
      </c>
      <c r="AX144" s="138" t="str">
        <f t="shared" si="46"/>
        <v>delete from module_mst where pjt_id = '14821' and menu_id = '252022';</v>
      </c>
      <c r="AY144" s="31" t="str">
        <f>IF(C144&lt;&gt;"",CREATE_QUERY($D$1,C$2:AW$2,C144:AW144),"")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'252022', '진행관리', '', '', '', '', '1', '1', '1', 'custom.symct.sale', 'PrjtProcess', '1', '1', '1', '1', '1', '1', '1', '', '0', '0', '0', '', '', '', '', 'N', '', '', '252000', '5', '20244', '0', '14821/진행관리/custom.symct.sale/PrjtProcess', '(신양)', '', '', '', '', '', '', 'S', 'MES-TD3-230', 'For 신양메카텍 프로젝트 수주건의 진행 현황 관리');</v>
      </c>
    </row>
    <row r="145" spans="1:51" hidden="1">
      <c r="A145" s="1">
        <v>67</v>
      </c>
      <c r="B145" s="121" t="str">
        <f t="shared" si="47"/>
        <v xml:space="preserve">        └ (신양)주문대장</v>
      </c>
      <c r="C145" s="27" t="str">
        <f t="shared" si="36"/>
        <v>14821</v>
      </c>
      <c r="D145" s="121"/>
      <c r="E145" s="27">
        <v>252023</v>
      </c>
      <c r="F145" s="121" t="s">
        <v>2383</v>
      </c>
      <c r="G145" s="121"/>
      <c r="H145" s="121"/>
      <c r="I145" s="121"/>
      <c r="J145" s="121"/>
      <c r="K145" s="27" t="str">
        <f t="shared" si="24"/>
        <v>1</v>
      </c>
      <c r="L145" s="27">
        <v>1</v>
      </c>
      <c r="M145" s="27" t="str">
        <f t="shared" si="25"/>
        <v>1</v>
      </c>
      <c r="N145" s="121" t="s">
        <v>2381</v>
      </c>
      <c r="O145" s="121" t="s">
        <v>2286</v>
      </c>
      <c r="P145" s="27" t="str">
        <f t="shared" si="26"/>
        <v>1</v>
      </c>
      <c r="Q145" s="27" t="str">
        <f t="shared" si="27"/>
        <v>1</v>
      </c>
      <c r="R145" s="27" t="str">
        <f t="shared" si="28"/>
        <v>1</v>
      </c>
      <c r="S145" s="27" t="str">
        <f t="shared" si="29"/>
        <v>1</v>
      </c>
      <c r="T145" s="27" t="str">
        <f t="shared" si="30"/>
        <v>1</v>
      </c>
      <c r="U145" s="27" t="str">
        <f t="shared" si="31"/>
        <v>1</v>
      </c>
      <c r="V145" s="27" t="str">
        <f t="shared" si="32"/>
        <v>1</v>
      </c>
      <c r="W145" s="27"/>
      <c r="X145" s="27" t="str">
        <f t="shared" si="33"/>
        <v>0</v>
      </c>
      <c r="Y145" s="27" t="str">
        <f t="shared" si="34"/>
        <v>0</v>
      </c>
      <c r="Z145" s="27" t="str">
        <f t="shared" si="35"/>
        <v>0</v>
      </c>
      <c r="AA145" s="121"/>
      <c r="AB145" s="121"/>
      <c r="AC145" s="121"/>
      <c r="AD145" s="121"/>
      <c r="AE145" s="121" t="s">
        <v>51</v>
      </c>
      <c r="AF145" s="121"/>
      <c r="AG145" s="121"/>
      <c r="AH145" s="28" t="s">
        <v>167</v>
      </c>
      <c r="AI145" s="28" t="s">
        <v>113</v>
      </c>
      <c r="AJ145" s="27">
        <v>20246</v>
      </c>
      <c r="AK145" s="121" t="str">
        <f t="shared" si="23"/>
        <v/>
      </c>
      <c r="AL145" s="123" t="str">
        <f t="shared" si="45"/>
        <v>14821/주문대장/custom.symct.sale/PrjtList</v>
      </c>
      <c r="AM145" s="27" t="s">
        <v>2380</v>
      </c>
      <c r="AN145" s="124"/>
      <c r="AO145" s="124"/>
      <c r="AP145" s="124"/>
      <c r="AQ145" s="124"/>
      <c r="AR145" s="124"/>
      <c r="AS145" s="124"/>
      <c r="AT145" s="124" t="s">
        <v>1938</v>
      </c>
      <c r="AU145" s="124" t="str">
        <f t="shared" si="38"/>
        <v>S252023</v>
      </c>
      <c r="AV145" s="124" t="s">
        <v>2527</v>
      </c>
      <c r="AW145" s="117" t="s">
        <v>2403</v>
      </c>
      <c r="AX145" s="138" t="str">
        <f t="shared" si="46"/>
        <v>delete from module_mst where pjt_id = '14821' and menu_id = '252023';</v>
      </c>
      <c r="AY145" s="31" t="str">
        <f>IF(C145&lt;&gt;"",CREATE_QUERY($D$1,C$2:AW$2,C145:AW145),"")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'252023', '주문대장', '', '', '', '', '1', '1', '1', 'custom.symct.sale', 'PrjtList', '1', '1', '1', '1', '1', '1', '1', '', '0', '0', '0', '', '', '', '', 'N', '', '', '252000', '5', '20246', '', '14821/주문대장/custom.symct.sale/PrjtList', '(신양)', '', '', '', '', '', '', 'S', 'MES-TD3-231', 'For 신양메카텍 프로젝트 수주 리스트 조회');</v>
      </c>
    </row>
    <row r="146" spans="1:51" hidden="1">
      <c r="A146" s="1">
        <v>67</v>
      </c>
      <c r="B146" s="121" t="str">
        <f t="shared" si="47"/>
        <v/>
      </c>
      <c r="C146" s="27" t="str">
        <f t="shared" si="36"/>
        <v/>
      </c>
      <c r="D146" s="121"/>
      <c r="E146" s="27">
        <v>252024</v>
      </c>
      <c r="F146" s="121"/>
      <c r="G146" s="121"/>
      <c r="H146" s="121"/>
      <c r="I146" s="121"/>
      <c r="J146" s="121"/>
      <c r="K146" s="27" t="str">
        <f t="shared" si="24"/>
        <v/>
      </c>
      <c r="L146" s="27">
        <v>1</v>
      </c>
      <c r="M146" s="27" t="str">
        <f t="shared" si="25"/>
        <v>0</v>
      </c>
      <c r="N146" s="121"/>
      <c r="O146" s="121"/>
      <c r="P146" s="27" t="str">
        <f t="shared" si="26"/>
        <v>0</v>
      </c>
      <c r="Q146" s="27" t="str">
        <f t="shared" si="27"/>
        <v>0</v>
      </c>
      <c r="R146" s="27" t="str">
        <f t="shared" si="28"/>
        <v>0</v>
      </c>
      <c r="S146" s="27" t="str">
        <f t="shared" si="29"/>
        <v>0</v>
      </c>
      <c r="T146" s="27" t="str">
        <f t="shared" si="30"/>
        <v>0</v>
      </c>
      <c r="U146" s="27" t="str">
        <f t="shared" si="31"/>
        <v>0</v>
      </c>
      <c r="V146" s="27" t="str">
        <f t="shared" si="32"/>
        <v>1</v>
      </c>
      <c r="W146" s="27"/>
      <c r="X146" s="27" t="str">
        <f t="shared" si="33"/>
        <v/>
      </c>
      <c r="Y146" s="27" t="str">
        <f t="shared" si="34"/>
        <v/>
      </c>
      <c r="Z146" s="27" t="str">
        <f t="shared" si="35"/>
        <v/>
      </c>
      <c r="AA146" s="121"/>
      <c r="AB146" s="121"/>
      <c r="AC146" s="121"/>
      <c r="AD146" s="121"/>
      <c r="AE146" s="121" t="s">
        <v>51</v>
      </c>
      <c r="AF146" s="121"/>
      <c r="AG146" s="121"/>
      <c r="AH146" s="28" t="s">
        <v>167</v>
      </c>
      <c r="AI146" s="28" t="s">
        <v>113</v>
      </c>
      <c r="AJ146" s="27">
        <v>20248</v>
      </c>
      <c r="AK146" s="121" t="str">
        <f t="shared" si="23"/>
        <v/>
      </c>
      <c r="AL146" s="123" t="str">
        <f t="shared" si="45"/>
        <v/>
      </c>
      <c r="AM146" s="27"/>
      <c r="AN146" s="124"/>
      <c r="AO146" s="124"/>
      <c r="AP146" s="124"/>
      <c r="AQ146" s="124"/>
      <c r="AR146" s="124"/>
      <c r="AS146" s="124"/>
      <c r="AT146" s="124" t="s">
        <v>1938</v>
      </c>
      <c r="AU146" s="124" t="str">
        <f t="shared" si="38"/>
        <v/>
      </c>
      <c r="AV146" s="124" t="s">
        <v>2528</v>
      </c>
      <c r="AW146" s="117"/>
      <c r="AX146" s="138" t="str">
        <f t="shared" si="46"/>
        <v/>
      </c>
      <c r="AY146" s="31" t="str">
        <f>IF(C146&lt;&gt;"",CREATE_QUERY($D$1,C$2:AW$2,C146:AW146),"")</f>
        <v/>
      </c>
    </row>
    <row r="147" spans="1:51" hidden="1">
      <c r="A147" s="1">
        <v>68</v>
      </c>
      <c r="B147" s="121" t="str">
        <f t="shared" si="47"/>
        <v/>
      </c>
      <c r="C147" s="27" t="str">
        <f t="shared" si="36"/>
        <v/>
      </c>
      <c r="D147" s="121"/>
      <c r="E147" s="27">
        <v>252025</v>
      </c>
      <c r="F147" s="121"/>
      <c r="G147" s="121"/>
      <c r="H147" s="121"/>
      <c r="I147" s="121"/>
      <c r="J147" s="121"/>
      <c r="K147" s="27" t="str">
        <f t="shared" si="24"/>
        <v/>
      </c>
      <c r="L147" s="27">
        <v>1</v>
      </c>
      <c r="M147" s="27" t="str">
        <f t="shared" si="25"/>
        <v>0</v>
      </c>
      <c r="N147" s="121"/>
      <c r="O147" s="121"/>
      <c r="P147" s="27" t="str">
        <f t="shared" si="26"/>
        <v>0</v>
      </c>
      <c r="Q147" s="27" t="str">
        <f t="shared" si="27"/>
        <v>0</v>
      </c>
      <c r="R147" s="27" t="str">
        <f t="shared" si="28"/>
        <v>0</v>
      </c>
      <c r="S147" s="27" t="str">
        <f t="shared" si="29"/>
        <v>0</v>
      </c>
      <c r="T147" s="27" t="str">
        <f t="shared" si="30"/>
        <v>0</v>
      </c>
      <c r="U147" s="27" t="str">
        <f t="shared" si="31"/>
        <v>0</v>
      </c>
      <c r="V147" s="27" t="str">
        <f t="shared" si="32"/>
        <v>1</v>
      </c>
      <c r="W147" s="27"/>
      <c r="X147" s="27" t="str">
        <f t="shared" si="33"/>
        <v/>
      </c>
      <c r="Y147" s="27" t="str">
        <f t="shared" si="34"/>
        <v/>
      </c>
      <c r="Z147" s="27" t="str">
        <f t="shared" si="35"/>
        <v/>
      </c>
      <c r="AA147" s="121"/>
      <c r="AB147" s="121"/>
      <c r="AC147" s="121"/>
      <c r="AD147" s="121"/>
      <c r="AE147" s="121" t="s">
        <v>51</v>
      </c>
      <c r="AF147" s="121"/>
      <c r="AG147" s="121"/>
      <c r="AH147" s="28" t="s">
        <v>167</v>
      </c>
      <c r="AI147" s="28" t="s">
        <v>113</v>
      </c>
      <c r="AJ147" s="27">
        <v>20250</v>
      </c>
      <c r="AK147" s="121" t="str">
        <f t="shared" si="23"/>
        <v/>
      </c>
      <c r="AL147" s="123" t="str">
        <f t="shared" si="45"/>
        <v/>
      </c>
      <c r="AM147" s="27"/>
      <c r="AN147" s="124"/>
      <c r="AO147" s="124"/>
      <c r="AP147" s="124"/>
      <c r="AQ147" s="124"/>
      <c r="AR147" s="124"/>
      <c r="AS147" s="124"/>
      <c r="AT147" s="124" t="s">
        <v>1938</v>
      </c>
      <c r="AU147" s="124" t="str">
        <f t="shared" si="38"/>
        <v/>
      </c>
      <c r="AV147" s="124" t="s">
        <v>2529</v>
      </c>
      <c r="AW147" s="117"/>
      <c r="AX147" s="138" t="str">
        <f t="shared" si="46"/>
        <v/>
      </c>
      <c r="AY147" s="31" t="str">
        <f>IF(C147&lt;&gt;"",CREATE_QUERY($D$1,C$2:AW$2,C147:AW147),"")</f>
        <v/>
      </c>
    </row>
    <row r="148" spans="1:51" hidden="1">
      <c r="A148" s="1">
        <v>69</v>
      </c>
      <c r="B148" s="121" t="str">
        <f t="shared" si="47"/>
        <v/>
      </c>
      <c r="C148" s="27" t="str">
        <f t="shared" si="36"/>
        <v/>
      </c>
      <c r="D148" s="121"/>
      <c r="E148" s="27">
        <v>252026</v>
      </c>
      <c r="F148" s="121"/>
      <c r="G148" s="121"/>
      <c r="H148" s="121"/>
      <c r="I148" s="121"/>
      <c r="J148" s="121"/>
      <c r="K148" s="27" t="str">
        <f t="shared" si="24"/>
        <v/>
      </c>
      <c r="L148" s="27">
        <v>1</v>
      </c>
      <c r="M148" s="27" t="str">
        <f t="shared" si="25"/>
        <v>0</v>
      </c>
      <c r="N148" s="121"/>
      <c r="O148" s="121"/>
      <c r="P148" s="27" t="str">
        <f t="shared" si="26"/>
        <v>0</v>
      </c>
      <c r="Q148" s="27" t="str">
        <f t="shared" si="27"/>
        <v>0</v>
      </c>
      <c r="R148" s="27" t="str">
        <f t="shared" si="28"/>
        <v>0</v>
      </c>
      <c r="S148" s="27" t="str">
        <f t="shared" si="29"/>
        <v>0</v>
      </c>
      <c r="T148" s="27" t="str">
        <f t="shared" si="30"/>
        <v>0</v>
      </c>
      <c r="U148" s="27" t="str">
        <f t="shared" si="31"/>
        <v>0</v>
      </c>
      <c r="V148" s="27" t="str">
        <f t="shared" si="32"/>
        <v>1</v>
      </c>
      <c r="W148" s="27"/>
      <c r="X148" s="27" t="str">
        <f t="shared" si="33"/>
        <v/>
      </c>
      <c r="Y148" s="27" t="str">
        <f t="shared" si="34"/>
        <v/>
      </c>
      <c r="Z148" s="27" t="str">
        <f t="shared" si="35"/>
        <v/>
      </c>
      <c r="AA148" s="121"/>
      <c r="AB148" s="121"/>
      <c r="AC148" s="121"/>
      <c r="AD148" s="121"/>
      <c r="AE148" s="121" t="s">
        <v>51</v>
      </c>
      <c r="AF148" s="121"/>
      <c r="AG148" s="121"/>
      <c r="AH148" s="28" t="s">
        <v>167</v>
      </c>
      <c r="AI148" s="28" t="s">
        <v>113</v>
      </c>
      <c r="AJ148" s="27">
        <v>20252</v>
      </c>
      <c r="AK148" s="121" t="str">
        <f t="shared" si="23"/>
        <v>0</v>
      </c>
      <c r="AL148" s="123" t="str">
        <f t="shared" si="45"/>
        <v/>
      </c>
      <c r="AM148" s="27"/>
      <c r="AN148" s="124"/>
      <c r="AO148" s="124"/>
      <c r="AP148" s="124"/>
      <c r="AQ148" s="124"/>
      <c r="AR148" s="124"/>
      <c r="AS148" s="124"/>
      <c r="AT148" s="124" t="s">
        <v>1938</v>
      </c>
      <c r="AU148" s="124" t="str">
        <f t="shared" si="38"/>
        <v/>
      </c>
      <c r="AV148" s="124" t="s">
        <v>2530</v>
      </c>
      <c r="AW148" s="117"/>
      <c r="AX148" s="138" t="str">
        <f t="shared" si="46"/>
        <v/>
      </c>
      <c r="AY148" s="31" t="str">
        <f>IF(C148&lt;&gt;"",CREATE_QUERY($D$1,C$2:AW$2,C148:AW148),"")</f>
        <v/>
      </c>
    </row>
    <row r="149" spans="1:51" hidden="1">
      <c r="A149" s="1">
        <v>70</v>
      </c>
      <c r="B149" s="121" t="str">
        <f t="shared" si="47"/>
        <v xml:space="preserve">        └ (대한솔)주문오더관리</v>
      </c>
      <c r="C149" s="27" t="str">
        <f t="shared" si="36"/>
        <v>14821</v>
      </c>
      <c r="D149" s="121"/>
      <c r="E149" s="27">
        <v>252027</v>
      </c>
      <c r="F149" s="121" t="s">
        <v>1889</v>
      </c>
      <c r="G149" s="121"/>
      <c r="H149" s="121"/>
      <c r="I149" s="121"/>
      <c r="J149" s="121"/>
      <c r="K149" s="27" t="str">
        <f t="shared" si="24"/>
        <v>1</v>
      </c>
      <c r="L149" s="27">
        <v>1</v>
      </c>
      <c r="M149" s="27" t="str">
        <f t="shared" si="25"/>
        <v>1</v>
      </c>
      <c r="N149" s="121" t="s">
        <v>2401</v>
      </c>
      <c r="O149" s="121" t="s">
        <v>131</v>
      </c>
      <c r="P149" s="27" t="str">
        <f t="shared" si="26"/>
        <v>1</v>
      </c>
      <c r="Q149" s="27" t="str">
        <f t="shared" si="27"/>
        <v>1</v>
      </c>
      <c r="R149" s="27" t="str">
        <f t="shared" si="28"/>
        <v>1</v>
      </c>
      <c r="S149" s="27" t="str">
        <f t="shared" si="29"/>
        <v>1</v>
      </c>
      <c r="T149" s="27" t="str">
        <f t="shared" si="30"/>
        <v>1</v>
      </c>
      <c r="U149" s="27" t="str">
        <f t="shared" si="31"/>
        <v>1</v>
      </c>
      <c r="V149" s="27" t="str">
        <f t="shared" si="32"/>
        <v>1</v>
      </c>
      <c r="W149" s="27"/>
      <c r="X149" s="27" t="str">
        <f t="shared" si="33"/>
        <v>0</v>
      </c>
      <c r="Y149" s="27" t="str">
        <f t="shared" si="34"/>
        <v>0</v>
      </c>
      <c r="Z149" s="27" t="str">
        <f t="shared" si="35"/>
        <v>0</v>
      </c>
      <c r="AA149" s="121"/>
      <c r="AB149" s="121"/>
      <c r="AC149" s="121"/>
      <c r="AD149" s="121"/>
      <c r="AE149" s="121" t="s">
        <v>51</v>
      </c>
      <c r="AF149" s="121"/>
      <c r="AG149" s="121"/>
      <c r="AH149" s="28" t="s">
        <v>167</v>
      </c>
      <c r="AI149" s="28" t="s">
        <v>113</v>
      </c>
      <c r="AJ149" s="27">
        <v>20203</v>
      </c>
      <c r="AK149" s="121" t="str">
        <f t="shared" si="23"/>
        <v>0</v>
      </c>
      <c r="AL149" s="123" t="str">
        <f t="shared" si="45"/>
        <v>14821/주문오더관리/custom.dehansol.sale/SaleOrder</v>
      </c>
      <c r="AM149" s="27" t="s">
        <v>2377</v>
      </c>
      <c r="AN149" s="124"/>
      <c r="AO149" s="124"/>
      <c r="AP149" s="124"/>
      <c r="AQ149" s="124"/>
      <c r="AR149" s="124"/>
      <c r="AS149" s="124"/>
      <c r="AT149" s="124" t="s">
        <v>1938</v>
      </c>
      <c r="AU149" s="124" t="str">
        <f t="shared" si="38"/>
        <v>S252027</v>
      </c>
      <c r="AV149" s="124" t="s">
        <v>2531</v>
      </c>
      <c r="AW149" s="117" t="s">
        <v>2404</v>
      </c>
      <c r="AX149" s="138" t="str">
        <f t="shared" si="46"/>
        <v>delete from module_mst where pjt_id = '14821' and menu_id = '252027';</v>
      </c>
      <c r="AY149" s="31" t="str">
        <f>IF(C149&lt;&gt;"",CREATE_QUERY($D$1,C$2:AW$2,C149:AW149),"")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'252027', '주문오더관리', '', '', '', '', '1', '1', '1', 'custom.dehansol.sale', 'SaleOrder', '1', '1', '1', '1', '1', '1', '1', '', '0', '0', '0', '', '', '', '', 'N', '', '', '252000', '5', '20203', '0', '14821/주문오더관리/custom.dehansol.sale/SaleOrder', '(대한솔)', '', '', '', '', '', '', 'S', 'MES-TD3-235', 'For 대한솔 주문 오더 등록');</v>
      </c>
    </row>
    <row r="150" spans="1:51" ht="78" hidden="1">
      <c r="A150" s="1">
        <v>70</v>
      </c>
      <c r="B150" s="121" t="str">
        <f t="shared" si="47"/>
        <v xml:space="preserve">        └ (대한솔)수주진행관리</v>
      </c>
      <c r="C150" s="27" t="str">
        <f t="shared" si="36"/>
        <v>14821</v>
      </c>
      <c r="D150" s="121"/>
      <c r="E150" s="27">
        <v>252028</v>
      </c>
      <c r="F150" s="121" t="s">
        <v>2407</v>
      </c>
      <c r="G150" s="121"/>
      <c r="H150" s="121"/>
      <c r="I150" s="121"/>
      <c r="J150" s="121"/>
      <c r="K150" s="27" t="str">
        <f t="shared" si="24"/>
        <v>1</v>
      </c>
      <c r="L150" s="27">
        <v>1</v>
      </c>
      <c r="M150" s="27" t="str">
        <f t="shared" si="25"/>
        <v>1</v>
      </c>
      <c r="N150" s="121" t="s">
        <v>2401</v>
      </c>
      <c r="O150" s="121" t="s">
        <v>2365</v>
      </c>
      <c r="P150" s="27" t="str">
        <f t="shared" si="26"/>
        <v>1</v>
      </c>
      <c r="Q150" s="27" t="str">
        <f t="shared" si="27"/>
        <v>1</v>
      </c>
      <c r="R150" s="27" t="str">
        <f t="shared" si="28"/>
        <v>1</v>
      </c>
      <c r="S150" s="27" t="str">
        <f t="shared" si="29"/>
        <v>1</v>
      </c>
      <c r="T150" s="27" t="str">
        <f t="shared" si="30"/>
        <v>1</v>
      </c>
      <c r="U150" s="27" t="str">
        <f t="shared" si="31"/>
        <v>1</v>
      </c>
      <c r="V150" s="27" t="str">
        <f t="shared" si="32"/>
        <v>1</v>
      </c>
      <c r="W150" s="27"/>
      <c r="X150" s="27" t="str">
        <f t="shared" si="33"/>
        <v>0</v>
      </c>
      <c r="Y150" s="27" t="str">
        <f t="shared" si="34"/>
        <v>0</v>
      </c>
      <c r="Z150" s="27" t="str">
        <f t="shared" si="35"/>
        <v>0</v>
      </c>
      <c r="AA150" s="121"/>
      <c r="AB150" s="121"/>
      <c r="AC150" s="121"/>
      <c r="AD150" s="121"/>
      <c r="AE150" s="121" t="s">
        <v>51</v>
      </c>
      <c r="AF150" s="121"/>
      <c r="AG150" s="121"/>
      <c r="AH150" s="28" t="s">
        <v>167</v>
      </c>
      <c r="AI150" s="28" t="s">
        <v>113</v>
      </c>
      <c r="AJ150" s="27">
        <v>20256</v>
      </c>
      <c r="AK150" s="121" t="str">
        <f t="shared" si="23"/>
        <v>0</v>
      </c>
      <c r="AL150" s="123" t="str">
        <f t="shared" si="45"/>
        <v>14821/수주진행관리/custom.dehansol.sale/SaleWork</v>
      </c>
      <c r="AM150" s="27" t="s">
        <v>2377</v>
      </c>
      <c r="AN150" s="124"/>
      <c r="AO150" s="124"/>
      <c r="AP150" s="124"/>
      <c r="AQ150" s="124"/>
      <c r="AR150" s="124"/>
      <c r="AS150" s="124"/>
      <c r="AT150" s="124" t="s">
        <v>1938</v>
      </c>
      <c r="AU150" s="124" t="str">
        <f t="shared" si="38"/>
        <v>S252028</v>
      </c>
      <c r="AV150" s="124" t="s">
        <v>2532</v>
      </c>
      <c r="AW150" s="117" t="s">
        <v>2408</v>
      </c>
      <c r="AX150" s="138" t="str">
        <f t="shared" si="46"/>
        <v>delete from module_mst where pjt_id = '14821' and menu_id = '252028';</v>
      </c>
      <c r="AY150" s="31" t="str">
        <f>IF(C150&lt;&gt;"",CREATE_QUERY($D$1,C$2:AW$2,C150:AW150),"")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'252028', '수주진행관리', '', '', '', '', '1', '1', '1', 'custom.dehansol.sale', 'SaleWork', '1', '1', '1', '1', '1', '1', '1', '', '0', '0', '0', '', '', '', '', 'N', '', '', '252000', '5', '20256', '0', '14821/수주진행관리/custom.dehansol.sale/SaleWork', '(대한솔)', '', '', '', '', '', '', 'S', 'MES-TD3-236', 'For 대한솔 
   1. 주문오더별 검사성적 등록, 검사 성적서 발행
   2. 실물 부착용 스티커 발행
   3. 출하 처리
   4. 생산 입고 처리
   5. 거래명세서 발행');</v>
      </c>
    </row>
    <row r="151" spans="1:51">
      <c r="A151" s="1">
        <v>70</v>
      </c>
      <c r="B151" s="121" t="str">
        <f t="shared" si="47"/>
        <v xml:space="preserve">        └ 납품현황</v>
      </c>
      <c r="C151" s="27" t="str">
        <f t="shared" si="36"/>
        <v>14821</v>
      </c>
      <c r="D151" s="121"/>
      <c r="E151" s="27">
        <v>252029</v>
      </c>
      <c r="F151" s="121" t="s">
        <v>2927</v>
      </c>
      <c r="G151" s="121"/>
      <c r="H151" s="121"/>
      <c r="I151" s="121"/>
      <c r="J151" s="121"/>
      <c r="K151" s="27" t="str">
        <f t="shared" si="24"/>
        <v>1</v>
      </c>
      <c r="L151" s="27">
        <v>1</v>
      </c>
      <c r="M151" s="27" t="str">
        <f t="shared" si="25"/>
        <v>1</v>
      </c>
      <c r="N151" s="121" t="s">
        <v>2366</v>
      </c>
      <c r="O151" s="121" t="s">
        <v>2928</v>
      </c>
      <c r="P151" s="27" t="str">
        <f t="shared" si="26"/>
        <v>1</v>
      </c>
      <c r="Q151" s="27" t="str">
        <f t="shared" si="27"/>
        <v>1</v>
      </c>
      <c r="R151" s="27" t="str">
        <f t="shared" si="28"/>
        <v>1</v>
      </c>
      <c r="S151" s="27" t="str">
        <f t="shared" si="29"/>
        <v>1</v>
      </c>
      <c r="T151" s="27" t="str">
        <f t="shared" si="30"/>
        <v>1</v>
      </c>
      <c r="U151" s="27" t="str">
        <f t="shared" si="31"/>
        <v>1</v>
      </c>
      <c r="V151" s="27" t="str">
        <f t="shared" si="32"/>
        <v>1</v>
      </c>
      <c r="W151" s="27"/>
      <c r="X151" s="27" t="str">
        <f t="shared" si="33"/>
        <v>0</v>
      </c>
      <c r="Y151" s="27" t="str">
        <f t="shared" si="34"/>
        <v>0</v>
      </c>
      <c r="Z151" s="27" t="str">
        <f t="shared" si="35"/>
        <v>0</v>
      </c>
      <c r="AA151" s="121"/>
      <c r="AB151" s="121"/>
      <c r="AC151" s="121"/>
      <c r="AD151" s="121"/>
      <c r="AE151" s="121" t="s">
        <v>51</v>
      </c>
      <c r="AF151" s="121"/>
      <c r="AG151" s="121"/>
      <c r="AH151" s="28" t="s">
        <v>167</v>
      </c>
      <c r="AI151" s="28" t="s">
        <v>113</v>
      </c>
      <c r="AJ151" s="27">
        <v>20258</v>
      </c>
      <c r="AK151" s="121" t="str">
        <f>IF(B154="","","0")</f>
        <v/>
      </c>
      <c r="AL151" s="123" t="str">
        <f t="shared" si="45"/>
        <v>14821/납품현황/sale.sale/SaleOsttList</v>
      </c>
      <c r="AM151" s="27"/>
      <c r="AN151" s="124"/>
      <c r="AO151" s="124"/>
      <c r="AP151" s="124"/>
      <c r="AQ151" s="124"/>
      <c r="AR151" s="124"/>
      <c r="AS151" s="124"/>
      <c r="AT151" s="124" t="s">
        <v>1938</v>
      </c>
      <c r="AU151" s="124" t="str">
        <f t="shared" si="38"/>
        <v>S252029</v>
      </c>
      <c r="AV151" s="124" t="s">
        <v>2532</v>
      </c>
      <c r="AW151" s="117" t="s">
        <v>2926</v>
      </c>
      <c r="AX151" s="138" t="str">
        <f t="shared" si="46"/>
        <v>delete from module_mst where pjt_id = '14821' and menu_id = '252029';</v>
      </c>
      <c r="AY151" s="31" t="str">
        <f>IF(C151&lt;&gt;"",CREATE_QUERY($D$1,C$2:AW$2,C151:AW151),"")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'252029', '납품현황', '', '', '', '', '1', '1', '1', 'sale.sale', 'SaleOsttList', '1', '1', '1', '1', '1', '1', '1', '', '0', '0', '0', '', '', '', '', 'N', '', '', '252000', '5', '20258', '', '14821/납품현황/sale.sale/SaleOsttList', '', '', '', '', '', '', '', 'S', 'MES-TD3-236', '기간별 출고내역을 조회');</v>
      </c>
    </row>
    <row r="152" spans="1:51" hidden="1">
      <c r="A152" s="1">
        <v>70</v>
      </c>
      <c r="B152" s="121" t="str">
        <f t="shared" si="47"/>
        <v xml:space="preserve">        └ (신양)수주대장</v>
      </c>
      <c r="C152" s="27" t="str">
        <f t="shared" si="36"/>
        <v>14821</v>
      </c>
      <c r="D152" s="121"/>
      <c r="E152" s="27">
        <v>252030</v>
      </c>
      <c r="F152" s="121" t="s">
        <v>2937</v>
      </c>
      <c r="G152" s="121"/>
      <c r="H152" s="121"/>
      <c r="I152" s="121"/>
      <c r="J152" s="121"/>
      <c r="K152" s="27" t="str">
        <f t="shared" si="24"/>
        <v>1</v>
      </c>
      <c r="L152" s="27">
        <v>1</v>
      </c>
      <c r="M152" s="27" t="str">
        <f t="shared" si="25"/>
        <v>1</v>
      </c>
      <c r="N152" s="121" t="s">
        <v>344</v>
      </c>
      <c r="O152" s="121" t="s">
        <v>2286</v>
      </c>
      <c r="P152" s="27" t="str">
        <f t="shared" si="26"/>
        <v>1</v>
      </c>
      <c r="Q152" s="27" t="str">
        <f t="shared" si="27"/>
        <v>1</v>
      </c>
      <c r="R152" s="27" t="str">
        <f t="shared" si="28"/>
        <v>1</v>
      </c>
      <c r="S152" s="27" t="str">
        <f t="shared" si="29"/>
        <v>1</v>
      </c>
      <c r="T152" s="27" t="str">
        <f t="shared" si="30"/>
        <v>1</v>
      </c>
      <c r="U152" s="27" t="str">
        <f t="shared" si="31"/>
        <v>1</v>
      </c>
      <c r="V152" s="27" t="str">
        <f t="shared" si="32"/>
        <v>1</v>
      </c>
      <c r="W152" s="27"/>
      <c r="X152" s="27" t="str">
        <f t="shared" si="33"/>
        <v>0</v>
      </c>
      <c r="Y152" s="27" t="str">
        <f t="shared" si="34"/>
        <v>0</v>
      </c>
      <c r="Z152" s="27" t="str">
        <f t="shared" si="35"/>
        <v>0</v>
      </c>
      <c r="AA152" s="121"/>
      <c r="AB152" s="121"/>
      <c r="AC152" s="121"/>
      <c r="AD152" s="121"/>
      <c r="AE152" s="121" t="s">
        <v>51</v>
      </c>
      <c r="AF152" s="121"/>
      <c r="AG152" s="121"/>
      <c r="AH152" s="28" t="s">
        <v>167</v>
      </c>
      <c r="AI152" s="28" t="s">
        <v>113</v>
      </c>
      <c r="AJ152" s="27">
        <v>20258</v>
      </c>
      <c r="AK152" s="121" t="str">
        <f>IF(B154="","","0")</f>
        <v/>
      </c>
      <c r="AL152" s="123" t="str">
        <f t="shared" si="45"/>
        <v>14821/수주대장/sale.project/PrjtList</v>
      </c>
      <c r="AM152" s="27" t="s">
        <v>2380</v>
      </c>
      <c r="AN152" s="124"/>
      <c r="AO152" s="124"/>
      <c r="AP152" s="124"/>
      <c r="AQ152" s="124"/>
      <c r="AR152" s="124"/>
      <c r="AS152" s="124"/>
      <c r="AT152" s="124" t="s">
        <v>1938</v>
      </c>
      <c r="AU152" s="124" t="str">
        <f t="shared" si="38"/>
        <v>S252030</v>
      </c>
      <c r="AV152" s="124" t="s">
        <v>2520</v>
      </c>
      <c r="AW152" s="117" t="s">
        <v>2287</v>
      </c>
      <c r="AX152" s="138" t="str">
        <f t="shared" si="46"/>
        <v>delete from module_mst where pjt_id = '14821' and menu_id = '252030';</v>
      </c>
      <c r="AY152" s="31" t="str">
        <f>IF(C152&lt;&gt;"",CREATE_QUERY($D$1,C$2:AW$2,C152:AW152),"")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'252030', '수주대장', '', '', '', '', '1', '1', '1', 'sale.project', 'PrjtList', '1', '1', '1', '1', '1', '1', '1', '', '0', '0', '0', '', '', '', '', 'N', '', '', '252000', '5', '20258', '', '14821/수주대장/sale.project/PrjtList', '(신양)', '', '', '', '', '', '', 'S', 'MES-TD3-224', '승인 완료된 금형 리스트 조회');</v>
      </c>
    </row>
    <row r="153" spans="1:51" hidden="1">
      <c r="A153" s="1">
        <v>65</v>
      </c>
      <c r="B153" s="121" t="str">
        <f t="shared" si="47"/>
        <v xml:space="preserve">        └ (인코팩)주문오더관리</v>
      </c>
      <c r="C153" s="27" t="str">
        <f t="shared" si="36"/>
        <v>14821</v>
      </c>
      <c r="D153" s="121"/>
      <c r="E153" s="27">
        <v>252031</v>
      </c>
      <c r="F153" s="121" t="s">
        <v>1889</v>
      </c>
      <c r="G153" s="121"/>
      <c r="H153" s="121"/>
      <c r="I153" s="121"/>
      <c r="J153" s="121"/>
      <c r="K153" s="27" t="str">
        <f t="shared" si="24"/>
        <v>1</v>
      </c>
      <c r="L153" s="27">
        <v>1</v>
      </c>
      <c r="M153" s="27" t="str">
        <f t="shared" si="25"/>
        <v>1</v>
      </c>
      <c r="N153" s="118" t="s">
        <v>2942</v>
      </c>
      <c r="O153" s="121" t="s">
        <v>131</v>
      </c>
      <c r="P153" s="27" t="str">
        <f t="shared" si="26"/>
        <v>1</v>
      </c>
      <c r="Q153" s="27" t="str">
        <f t="shared" si="27"/>
        <v>1</v>
      </c>
      <c r="R153" s="27" t="str">
        <f t="shared" si="28"/>
        <v>1</v>
      </c>
      <c r="S153" s="27" t="str">
        <f t="shared" si="29"/>
        <v>1</v>
      </c>
      <c r="T153" s="27" t="str">
        <f t="shared" si="30"/>
        <v>1</v>
      </c>
      <c r="U153" s="27" t="str">
        <f t="shared" si="31"/>
        <v>1</v>
      </c>
      <c r="V153" s="27" t="str">
        <f t="shared" si="32"/>
        <v>1</v>
      </c>
      <c r="W153" s="27"/>
      <c r="X153" s="27" t="str">
        <f t="shared" si="33"/>
        <v>0</v>
      </c>
      <c r="Y153" s="27" t="str">
        <f t="shared" si="34"/>
        <v>0</v>
      </c>
      <c r="Z153" s="27" t="str">
        <f t="shared" si="35"/>
        <v>0</v>
      </c>
      <c r="AA153" s="121"/>
      <c r="AB153" s="121"/>
      <c r="AC153" s="121"/>
      <c r="AD153" s="121"/>
      <c r="AE153" s="121" t="s">
        <v>51</v>
      </c>
      <c r="AF153" s="121"/>
      <c r="AG153" s="121"/>
      <c r="AH153" s="28" t="s">
        <v>167</v>
      </c>
      <c r="AI153" s="28" t="s">
        <v>113</v>
      </c>
      <c r="AJ153" s="27">
        <v>20204</v>
      </c>
      <c r="AK153" s="121" t="str">
        <f t="shared" ref="AK153" si="48">IF(B154="","","0")</f>
        <v/>
      </c>
      <c r="AL153" s="123" t="str">
        <f t="shared" si="45"/>
        <v>14821/주문오더관리/custom.inkopack.sale.order/SaleOrder</v>
      </c>
      <c r="AM153" s="27" t="s">
        <v>2386</v>
      </c>
      <c r="AN153" s="124"/>
      <c r="AO153" s="124"/>
      <c r="AP153" s="124"/>
      <c r="AQ153" s="124"/>
      <c r="AR153" s="124" t="s">
        <v>1829</v>
      </c>
      <c r="AS153" s="124"/>
      <c r="AT153" s="124" t="s">
        <v>1938</v>
      </c>
      <c r="AU153" s="124" t="str">
        <f t="shared" si="38"/>
        <v>S252031</v>
      </c>
      <c r="AV153" s="124" t="s">
        <v>2506</v>
      </c>
      <c r="AW153" s="117" t="s">
        <v>1837</v>
      </c>
      <c r="AX153" s="138" t="str">
        <f t="shared" si="46"/>
        <v>delete from module_mst where pjt_id = '14821' and menu_id = '252031';</v>
      </c>
      <c r="AY153" s="31" t="str">
        <f>IF(C153&lt;&gt;"",CREATE_QUERY($D$1,C$2:AW$2,C153:AW153),"")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'252031', '주문오더관리', '', '', '', '', '1', '1', '1', 'custom.inkopack.sale.order', 'SaleOrder', '1', '1', '1', '1', '1', '1', '1', '', '0', '0', '0', '', '', '', '', 'N', '', '', '252000', '5', '20204', '', '14821/주문오더관리/custom.inkopack.sale.order/SaleOrder', '(인코팩)', '', '', '', '', 'Y', '', 'S', 'MES-TD3-210', '일반 수주 등록 기능');</v>
      </c>
    </row>
    <row r="154" spans="1:51">
      <c r="A154" s="1">
        <v>70</v>
      </c>
      <c r="B154" s="121" t="str">
        <f t="shared" si="47"/>
        <v/>
      </c>
      <c r="C154" s="27" t="str">
        <f t="shared" si="36"/>
        <v/>
      </c>
      <c r="D154" s="121"/>
      <c r="E154" s="27">
        <v>252032</v>
      </c>
      <c r="F154" s="121"/>
      <c r="G154" s="121"/>
      <c r="H154" s="121"/>
      <c r="I154" s="121"/>
      <c r="J154" s="121"/>
      <c r="K154" s="27" t="str">
        <f t="shared" si="24"/>
        <v/>
      </c>
      <c r="L154" s="27">
        <v>1</v>
      </c>
      <c r="M154" s="27" t="str">
        <f t="shared" si="25"/>
        <v>0</v>
      </c>
      <c r="N154" s="121"/>
      <c r="O154" s="121"/>
      <c r="P154" s="27" t="str">
        <f t="shared" si="26"/>
        <v>0</v>
      </c>
      <c r="Q154" s="27" t="str">
        <f t="shared" si="27"/>
        <v>0</v>
      </c>
      <c r="R154" s="27" t="str">
        <f t="shared" si="28"/>
        <v>0</v>
      </c>
      <c r="S154" s="27" t="str">
        <f t="shared" si="29"/>
        <v>0</v>
      </c>
      <c r="T154" s="27" t="str">
        <f t="shared" si="30"/>
        <v>0</v>
      </c>
      <c r="U154" s="27" t="str">
        <f t="shared" si="31"/>
        <v>0</v>
      </c>
      <c r="V154" s="27" t="str">
        <f t="shared" si="32"/>
        <v>1</v>
      </c>
      <c r="W154" s="27"/>
      <c r="X154" s="27" t="str">
        <f t="shared" si="33"/>
        <v/>
      </c>
      <c r="Y154" s="27" t="str">
        <f t="shared" si="34"/>
        <v/>
      </c>
      <c r="Z154" s="27" t="str">
        <f t="shared" si="35"/>
        <v/>
      </c>
      <c r="AA154" s="121"/>
      <c r="AB154" s="121"/>
      <c r="AC154" s="121"/>
      <c r="AD154" s="121"/>
      <c r="AE154" s="121" t="s">
        <v>51</v>
      </c>
      <c r="AF154" s="121"/>
      <c r="AG154" s="121"/>
      <c r="AH154" s="28" t="s">
        <v>167</v>
      </c>
      <c r="AI154" s="28" t="s">
        <v>113</v>
      </c>
      <c r="AJ154" s="27">
        <v>20262</v>
      </c>
      <c r="AK154" s="121" t="str">
        <f t="shared" si="23"/>
        <v/>
      </c>
      <c r="AL154" s="123" t="str">
        <f t="shared" si="45"/>
        <v/>
      </c>
      <c r="AM154" s="27"/>
      <c r="AN154" s="124"/>
      <c r="AO154" s="124"/>
      <c r="AP154" s="124"/>
      <c r="AQ154" s="124"/>
      <c r="AR154" s="124"/>
      <c r="AS154" s="124"/>
      <c r="AT154" s="124" t="s">
        <v>1938</v>
      </c>
      <c r="AU154" s="124" t="str">
        <f t="shared" si="38"/>
        <v/>
      </c>
      <c r="AV154" s="124" t="s">
        <v>2533</v>
      </c>
      <c r="AW154" s="117"/>
      <c r="AX154" s="138" t="str">
        <f t="shared" si="46"/>
        <v/>
      </c>
      <c r="AY154" s="31" t="str">
        <f>IF(C154&lt;&gt;"",CREATE_QUERY($D$1,C$2:AW$2,C154:AW154),"")</f>
        <v/>
      </c>
    </row>
    <row r="155" spans="1:51">
      <c r="A155" s="1">
        <v>70</v>
      </c>
      <c r="B155" s="121" t="str">
        <f t="shared" si="47"/>
        <v/>
      </c>
      <c r="C155" s="27" t="str">
        <f t="shared" si="36"/>
        <v/>
      </c>
      <c r="D155" s="121"/>
      <c r="E155" s="27">
        <v>252033</v>
      </c>
      <c r="F155" s="121"/>
      <c r="G155" s="121"/>
      <c r="H155" s="121"/>
      <c r="I155" s="121"/>
      <c r="J155" s="121"/>
      <c r="K155" s="27" t="str">
        <f t="shared" si="24"/>
        <v/>
      </c>
      <c r="L155" s="27">
        <v>1</v>
      </c>
      <c r="M155" s="27" t="str">
        <f t="shared" si="25"/>
        <v>0</v>
      </c>
      <c r="N155" s="121"/>
      <c r="O155" s="121"/>
      <c r="P155" s="27" t="str">
        <f t="shared" si="26"/>
        <v>0</v>
      </c>
      <c r="Q155" s="27" t="str">
        <f t="shared" si="27"/>
        <v>0</v>
      </c>
      <c r="R155" s="27" t="str">
        <f t="shared" si="28"/>
        <v>0</v>
      </c>
      <c r="S155" s="27" t="str">
        <f t="shared" si="29"/>
        <v>0</v>
      </c>
      <c r="T155" s="27" t="str">
        <f t="shared" si="30"/>
        <v>0</v>
      </c>
      <c r="U155" s="27" t="str">
        <f t="shared" si="31"/>
        <v>0</v>
      </c>
      <c r="V155" s="27" t="str">
        <f t="shared" si="32"/>
        <v>1</v>
      </c>
      <c r="W155" s="27"/>
      <c r="X155" s="27" t="str">
        <f t="shared" si="33"/>
        <v/>
      </c>
      <c r="Y155" s="27" t="str">
        <f t="shared" si="34"/>
        <v/>
      </c>
      <c r="Z155" s="27" t="str">
        <f t="shared" si="35"/>
        <v/>
      </c>
      <c r="AA155" s="121"/>
      <c r="AB155" s="121"/>
      <c r="AC155" s="121"/>
      <c r="AD155" s="121"/>
      <c r="AE155" s="121" t="s">
        <v>51</v>
      </c>
      <c r="AF155" s="121"/>
      <c r="AG155" s="121"/>
      <c r="AH155" s="28" t="s">
        <v>167</v>
      </c>
      <c r="AI155" s="28" t="s">
        <v>113</v>
      </c>
      <c r="AJ155" s="27">
        <v>20264</v>
      </c>
      <c r="AK155" s="121" t="str">
        <f t="shared" si="23"/>
        <v/>
      </c>
      <c r="AL155" s="123" t="str">
        <f t="shared" si="45"/>
        <v/>
      </c>
      <c r="AM155" s="27"/>
      <c r="AN155" s="124"/>
      <c r="AO155" s="124"/>
      <c r="AP155" s="124"/>
      <c r="AQ155" s="124"/>
      <c r="AR155" s="124"/>
      <c r="AS155" s="124"/>
      <c r="AT155" s="124" t="s">
        <v>1938</v>
      </c>
      <c r="AU155" s="124" t="str">
        <f t="shared" si="38"/>
        <v/>
      </c>
      <c r="AV155" s="124" t="s">
        <v>2534</v>
      </c>
      <c r="AW155" s="117"/>
      <c r="AX155" s="138" t="str">
        <f t="shared" si="46"/>
        <v/>
      </c>
      <c r="AY155" s="31" t="str">
        <f>IF(C155&lt;&gt;"",CREATE_QUERY($D$1,C$2:AW$2,C155:AW155),"")</f>
        <v/>
      </c>
    </row>
    <row r="156" spans="1:51">
      <c r="A156" s="1">
        <v>70</v>
      </c>
      <c r="B156" s="121" t="str">
        <f t="shared" si="47"/>
        <v/>
      </c>
      <c r="C156" s="27" t="str">
        <f t="shared" si="36"/>
        <v/>
      </c>
      <c r="D156" s="121"/>
      <c r="E156" s="27">
        <v>252034</v>
      </c>
      <c r="F156" s="121"/>
      <c r="G156" s="121"/>
      <c r="H156" s="121"/>
      <c r="I156" s="121"/>
      <c r="J156" s="121"/>
      <c r="K156" s="27" t="str">
        <f t="shared" si="24"/>
        <v/>
      </c>
      <c r="L156" s="27">
        <v>1</v>
      </c>
      <c r="M156" s="27" t="str">
        <f t="shared" si="25"/>
        <v>0</v>
      </c>
      <c r="N156" s="121"/>
      <c r="O156" s="121"/>
      <c r="P156" s="27" t="str">
        <f t="shared" si="26"/>
        <v>0</v>
      </c>
      <c r="Q156" s="27" t="str">
        <f t="shared" si="27"/>
        <v>0</v>
      </c>
      <c r="R156" s="27" t="str">
        <f t="shared" si="28"/>
        <v>0</v>
      </c>
      <c r="S156" s="27" t="str">
        <f t="shared" si="29"/>
        <v>0</v>
      </c>
      <c r="T156" s="27" t="str">
        <f t="shared" si="30"/>
        <v>0</v>
      </c>
      <c r="U156" s="27" t="str">
        <f t="shared" si="31"/>
        <v>0</v>
      </c>
      <c r="V156" s="27" t="str">
        <f t="shared" si="32"/>
        <v>1</v>
      </c>
      <c r="W156" s="27"/>
      <c r="X156" s="27" t="str">
        <f t="shared" si="33"/>
        <v/>
      </c>
      <c r="Y156" s="27" t="str">
        <f t="shared" si="34"/>
        <v/>
      </c>
      <c r="Z156" s="27" t="str">
        <f t="shared" si="35"/>
        <v/>
      </c>
      <c r="AA156" s="121"/>
      <c r="AB156" s="121"/>
      <c r="AC156" s="121"/>
      <c r="AD156" s="121"/>
      <c r="AE156" s="121" t="s">
        <v>51</v>
      </c>
      <c r="AF156" s="121"/>
      <c r="AG156" s="121"/>
      <c r="AH156" s="28" t="s">
        <v>167</v>
      </c>
      <c r="AI156" s="28" t="s">
        <v>113</v>
      </c>
      <c r="AJ156" s="27">
        <v>20266</v>
      </c>
      <c r="AK156" s="121" t="str">
        <f t="shared" si="23"/>
        <v/>
      </c>
      <c r="AL156" s="123" t="str">
        <f t="shared" si="45"/>
        <v/>
      </c>
      <c r="AM156" s="27"/>
      <c r="AN156" s="124"/>
      <c r="AO156" s="124"/>
      <c r="AP156" s="124"/>
      <c r="AQ156" s="124"/>
      <c r="AR156" s="124"/>
      <c r="AS156" s="124"/>
      <c r="AT156" s="124" t="s">
        <v>1938</v>
      </c>
      <c r="AU156" s="124" t="str">
        <f t="shared" si="38"/>
        <v/>
      </c>
      <c r="AV156" s="124" t="s">
        <v>2535</v>
      </c>
      <c r="AW156" s="117"/>
      <c r="AX156" s="138" t="str">
        <f t="shared" si="46"/>
        <v/>
      </c>
      <c r="AY156" s="31" t="str">
        <f>IF(C156&lt;&gt;"",CREATE_QUERY($D$1,C$2:AW$2,C156:AW156),"")</f>
        <v/>
      </c>
    </row>
    <row r="157" spans="1:51">
      <c r="A157" s="1">
        <v>67</v>
      </c>
      <c r="B157" s="121" t="str">
        <f t="shared" si="47"/>
        <v/>
      </c>
      <c r="C157" s="27" t="str">
        <f t="shared" si="36"/>
        <v/>
      </c>
      <c r="D157" s="121"/>
      <c r="E157" s="27">
        <v>252035</v>
      </c>
      <c r="F157" s="121"/>
      <c r="G157" s="121"/>
      <c r="H157" s="121"/>
      <c r="I157" s="121"/>
      <c r="J157" s="121"/>
      <c r="K157" s="27" t="str">
        <f t="shared" si="24"/>
        <v/>
      </c>
      <c r="L157" s="27">
        <v>1</v>
      </c>
      <c r="M157" s="27" t="str">
        <f t="shared" si="25"/>
        <v>0</v>
      </c>
      <c r="N157" s="121"/>
      <c r="O157" s="121"/>
      <c r="P157" s="27" t="str">
        <f t="shared" si="26"/>
        <v>0</v>
      </c>
      <c r="Q157" s="27" t="str">
        <f t="shared" si="27"/>
        <v>0</v>
      </c>
      <c r="R157" s="27" t="str">
        <f t="shared" si="28"/>
        <v>0</v>
      </c>
      <c r="S157" s="27" t="str">
        <f t="shared" si="29"/>
        <v>0</v>
      </c>
      <c r="T157" s="27" t="str">
        <f t="shared" si="30"/>
        <v>0</v>
      </c>
      <c r="U157" s="27" t="str">
        <f t="shared" si="31"/>
        <v>0</v>
      </c>
      <c r="V157" s="27" t="str">
        <f t="shared" si="32"/>
        <v>1</v>
      </c>
      <c r="W157" s="27"/>
      <c r="X157" s="27" t="str">
        <f t="shared" si="33"/>
        <v/>
      </c>
      <c r="Y157" s="27" t="str">
        <f t="shared" si="34"/>
        <v/>
      </c>
      <c r="Z157" s="27" t="str">
        <f t="shared" si="35"/>
        <v/>
      </c>
      <c r="AA157" s="121"/>
      <c r="AB157" s="121"/>
      <c r="AC157" s="121"/>
      <c r="AD157" s="121"/>
      <c r="AE157" s="121" t="s">
        <v>51</v>
      </c>
      <c r="AF157" s="121"/>
      <c r="AG157" s="121"/>
      <c r="AH157" s="28" t="s">
        <v>167</v>
      </c>
      <c r="AI157" s="28" t="s">
        <v>113</v>
      </c>
      <c r="AJ157" s="27">
        <v>20268</v>
      </c>
      <c r="AK157" s="121" t="str">
        <f t="shared" si="23"/>
        <v/>
      </c>
      <c r="AL157" s="123" t="str">
        <f t="shared" si="45"/>
        <v/>
      </c>
      <c r="AM157" s="27"/>
      <c r="AN157" s="124"/>
      <c r="AO157" s="124"/>
      <c r="AP157" s="124"/>
      <c r="AQ157" s="124"/>
      <c r="AR157" s="124"/>
      <c r="AS157" s="124"/>
      <c r="AT157" s="124" t="s">
        <v>1938</v>
      </c>
      <c r="AU157" s="124" t="str">
        <f t="shared" si="38"/>
        <v/>
      </c>
      <c r="AV157" s="124" t="s">
        <v>2536</v>
      </c>
      <c r="AW157" s="117"/>
      <c r="AX157" s="138" t="str">
        <f t="shared" si="46"/>
        <v/>
      </c>
      <c r="AY157" s="31" t="str">
        <f>IF(C157&lt;&gt;"",CREATE_QUERY($D$1,C$2:AW$2,C157:AW157),"")</f>
        <v/>
      </c>
    </row>
    <row r="158" spans="1:51">
      <c r="A158" s="1">
        <v>68</v>
      </c>
      <c r="B158" s="121" t="str">
        <f t="shared" si="47"/>
        <v/>
      </c>
      <c r="C158" s="27" t="str">
        <f t="shared" si="36"/>
        <v/>
      </c>
      <c r="D158" s="121"/>
      <c r="E158" s="27">
        <v>252036</v>
      </c>
      <c r="F158" s="121"/>
      <c r="G158" s="121"/>
      <c r="H158" s="121"/>
      <c r="I158" s="121"/>
      <c r="J158" s="121"/>
      <c r="K158" s="27" t="str">
        <f t="shared" si="24"/>
        <v/>
      </c>
      <c r="L158" s="27">
        <v>1</v>
      </c>
      <c r="M158" s="27" t="str">
        <f t="shared" si="25"/>
        <v>0</v>
      </c>
      <c r="N158" s="121"/>
      <c r="O158" s="121"/>
      <c r="P158" s="27" t="str">
        <f t="shared" si="26"/>
        <v>0</v>
      </c>
      <c r="Q158" s="27" t="str">
        <f t="shared" si="27"/>
        <v>0</v>
      </c>
      <c r="R158" s="27" t="str">
        <f t="shared" si="28"/>
        <v>0</v>
      </c>
      <c r="S158" s="27" t="str">
        <f t="shared" si="29"/>
        <v>0</v>
      </c>
      <c r="T158" s="27" t="str">
        <f t="shared" si="30"/>
        <v>0</v>
      </c>
      <c r="U158" s="27" t="str">
        <f t="shared" si="31"/>
        <v>0</v>
      </c>
      <c r="V158" s="27" t="str">
        <f t="shared" si="32"/>
        <v>1</v>
      </c>
      <c r="W158" s="27"/>
      <c r="X158" s="27" t="str">
        <f t="shared" si="33"/>
        <v/>
      </c>
      <c r="Y158" s="27" t="str">
        <f t="shared" si="34"/>
        <v/>
      </c>
      <c r="Z158" s="27" t="str">
        <f t="shared" si="35"/>
        <v/>
      </c>
      <c r="AA158" s="121"/>
      <c r="AB158" s="121"/>
      <c r="AC158" s="121"/>
      <c r="AD158" s="121"/>
      <c r="AE158" s="121" t="s">
        <v>51</v>
      </c>
      <c r="AF158" s="121"/>
      <c r="AG158" s="121"/>
      <c r="AH158" s="28" t="s">
        <v>167</v>
      </c>
      <c r="AI158" s="28" t="s">
        <v>113</v>
      </c>
      <c r="AJ158" s="27">
        <v>20270</v>
      </c>
      <c r="AK158" s="121" t="str">
        <f t="shared" si="23"/>
        <v/>
      </c>
      <c r="AL158" s="123" t="str">
        <f t="shared" si="45"/>
        <v/>
      </c>
      <c r="AM158" s="27"/>
      <c r="AN158" s="124"/>
      <c r="AO158" s="124"/>
      <c r="AP158" s="124"/>
      <c r="AQ158" s="124"/>
      <c r="AR158" s="124"/>
      <c r="AS158" s="124"/>
      <c r="AT158" s="124" t="s">
        <v>1938</v>
      </c>
      <c r="AU158" s="124" t="str">
        <f t="shared" si="38"/>
        <v/>
      </c>
      <c r="AV158" s="124" t="s">
        <v>2537</v>
      </c>
      <c r="AW158" s="117"/>
      <c r="AX158" s="138" t="str">
        <f t="shared" si="46"/>
        <v/>
      </c>
      <c r="AY158" s="31" t="str">
        <f>IF(C158&lt;&gt;"",CREATE_QUERY($D$1,C$2:AW$2,C158:AW158),"")</f>
        <v/>
      </c>
    </row>
    <row r="159" spans="1:51">
      <c r="A159" s="1">
        <v>69</v>
      </c>
      <c r="B159" s="121" t="str">
        <f t="shared" si="47"/>
        <v/>
      </c>
      <c r="C159" s="27" t="str">
        <f t="shared" si="36"/>
        <v/>
      </c>
      <c r="D159" s="121"/>
      <c r="E159" s="27">
        <v>252037</v>
      </c>
      <c r="F159" s="121"/>
      <c r="G159" s="121"/>
      <c r="H159" s="121"/>
      <c r="I159" s="121"/>
      <c r="J159" s="121"/>
      <c r="K159" s="27" t="str">
        <f t="shared" si="24"/>
        <v/>
      </c>
      <c r="L159" s="27">
        <v>1</v>
      </c>
      <c r="M159" s="27" t="str">
        <f t="shared" si="25"/>
        <v>0</v>
      </c>
      <c r="N159" s="121"/>
      <c r="O159" s="121"/>
      <c r="P159" s="27" t="str">
        <f t="shared" si="26"/>
        <v>0</v>
      </c>
      <c r="Q159" s="27" t="str">
        <f t="shared" si="27"/>
        <v>0</v>
      </c>
      <c r="R159" s="27" t="str">
        <f t="shared" si="28"/>
        <v>0</v>
      </c>
      <c r="S159" s="27" t="str">
        <f t="shared" si="29"/>
        <v>0</v>
      </c>
      <c r="T159" s="27" t="str">
        <f t="shared" si="30"/>
        <v>0</v>
      </c>
      <c r="U159" s="27" t="str">
        <f t="shared" si="31"/>
        <v>0</v>
      </c>
      <c r="V159" s="27" t="str">
        <f t="shared" si="32"/>
        <v>1</v>
      </c>
      <c r="W159" s="27"/>
      <c r="X159" s="27" t="str">
        <f t="shared" si="33"/>
        <v/>
      </c>
      <c r="Y159" s="27" t="str">
        <f t="shared" si="34"/>
        <v/>
      </c>
      <c r="Z159" s="27" t="str">
        <f t="shared" si="35"/>
        <v/>
      </c>
      <c r="AA159" s="121"/>
      <c r="AB159" s="121"/>
      <c r="AC159" s="121"/>
      <c r="AD159" s="121"/>
      <c r="AE159" s="121" t="s">
        <v>51</v>
      </c>
      <c r="AF159" s="121"/>
      <c r="AG159" s="121"/>
      <c r="AH159" s="28" t="s">
        <v>167</v>
      </c>
      <c r="AI159" s="28" t="s">
        <v>113</v>
      </c>
      <c r="AJ159" s="27">
        <v>20272</v>
      </c>
      <c r="AK159" s="121" t="str">
        <f t="shared" si="23"/>
        <v/>
      </c>
      <c r="AL159" s="123" t="str">
        <f t="shared" si="45"/>
        <v/>
      </c>
      <c r="AM159" s="27"/>
      <c r="AN159" s="124"/>
      <c r="AO159" s="124"/>
      <c r="AP159" s="124"/>
      <c r="AQ159" s="124"/>
      <c r="AR159" s="124"/>
      <c r="AS159" s="124"/>
      <c r="AT159" s="124" t="s">
        <v>1938</v>
      </c>
      <c r="AU159" s="124" t="str">
        <f t="shared" si="38"/>
        <v/>
      </c>
      <c r="AV159" s="124" t="s">
        <v>2538</v>
      </c>
      <c r="AW159" s="117"/>
      <c r="AX159" s="138" t="str">
        <f t="shared" si="46"/>
        <v/>
      </c>
      <c r="AY159" s="31" t="str">
        <f>IF(C159&lt;&gt;"",CREATE_QUERY($D$1,C$2:AW$2,C159:AW159),"")</f>
        <v/>
      </c>
    </row>
    <row r="160" spans="1:51">
      <c r="A160" s="1">
        <v>70</v>
      </c>
      <c r="B160" s="121" t="str">
        <f t="shared" si="47"/>
        <v/>
      </c>
      <c r="C160" s="27" t="str">
        <f t="shared" si="36"/>
        <v/>
      </c>
      <c r="D160" s="121"/>
      <c r="E160" s="27">
        <v>252038</v>
      </c>
      <c r="F160" s="121"/>
      <c r="G160" s="121"/>
      <c r="H160" s="121"/>
      <c r="I160" s="121"/>
      <c r="J160" s="121"/>
      <c r="K160" s="27" t="str">
        <f t="shared" si="24"/>
        <v/>
      </c>
      <c r="L160" s="27">
        <v>1</v>
      </c>
      <c r="M160" s="27" t="str">
        <f t="shared" si="25"/>
        <v>0</v>
      </c>
      <c r="N160" s="121"/>
      <c r="O160" s="121"/>
      <c r="P160" s="27" t="str">
        <f t="shared" si="26"/>
        <v>0</v>
      </c>
      <c r="Q160" s="27" t="str">
        <f t="shared" si="27"/>
        <v>0</v>
      </c>
      <c r="R160" s="27" t="str">
        <f t="shared" si="28"/>
        <v>0</v>
      </c>
      <c r="S160" s="27" t="str">
        <f t="shared" si="29"/>
        <v>0</v>
      </c>
      <c r="T160" s="27" t="str">
        <f t="shared" si="30"/>
        <v>0</v>
      </c>
      <c r="U160" s="27" t="str">
        <f t="shared" si="31"/>
        <v>0</v>
      </c>
      <c r="V160" s="27" t="str">
        <f t="shared" si="32"/>
        <v>1</v>
      </c>
      <c r="W160" s="27"/>
      <c r="X160" s="27" t="str">
        <f t="shared" si="33"/>
        <v/>
      </c>
      <c r="Y160" s="27" t="str">
        <f t="shared" si="34"/>
        <v/>
      </c>
      <c r="Z160" s="27" t="str">
        <f t="shared" si="35"/>
        <v/>
      </c>
      <c r="AA160" s="121"/>
      <c r="AB160" s="121"/>
      <c r="AC160" s="121"/>
      <c r="AD160" s="121"/>
      <c r="AE160" s="121" t="s">
        <v>51</v>
      </c>
      <c r="AF160" s="121"/>
      <c r="AG160" s="121"/>
      <c r="AH160" s="28" t="s">
        <v>167</v>
      </c>
      <c r="AI160" s="28" t="s">
        <v>113</v>
      </c>
      <c r="AJ160" s="27">
        <v>20274</v>
      </c>
      <c r="AK160" s="121" t="str">
        <f t="shared" si="23"/>
        <v/>
      </c>
      <c r="AL160" s="123" t="str">
        <f t="shared" si="45"/>
        <v/>
      </c>
      <c r="AM160" s="27"/>
      <c r="AN160" s="124"/>
      <c r="AO160" s="124"/>
      <c r="AP160" s="124"/>
      <c r="AQ160" s="124"/>
      <c r="AR160" s="124"/>
      <c r="AS160" s="124"/>
      <c r="AT160" s="124" t="s">
        <v>1938</v>
      </c>
      <c r="AU160" s="124" t="str">
        <f t="shared" si="38"/>
        <v/>
      </c>
      <c r="AV160" s="124" t="s">
        <v>2539</v>
      </c>
      <c r="AW160" s="117"/>
      <c r="AX160" s="138" t="str">
        <f t="shared" si="46"/>
        <v/>
      </c>
      <c r="AY160" s="31" t="str">
        <f>IF(C160&lt;&gt;"",CREATE_QUERY($D$1,C$2:AW$2,C160:AW160),"")</f>
        <v/>
      </c>
    </row>
    <row r="161" spans="1:51">
      <c r="A161" s="1">
        <v>70</v>
      </c>
      <c r="B161" s="121" t="str">
        <f t="shared" si="47"/>
        <v/>
      </c>
      <c r="C161" s="27" t="str">
        <f t="shared" si="36"/>
        <v/>
      </c>
      <c r="D161" s="121"/>
      <c r="E161" s="27">
        <v>252039</v>
      </c>
      <c r="F161" s="121"/>
      <c r="G161" s="121"/>
      <c r="H161" s="121"/>
      <c r="I161" s="121"/>
      <c r="J161" s="121"/>
      <c r="K161" s="27" t="str">
        <f t="shared" si="24"/>
        <v/>
      </c>
      <c r="L161" s="27">
        <v>1</v>
      </c>
      <c r="M161" s="27" t="str">
        <f t="shared" si="25"/>
        <v>0</v>
      </c>
      <c r="N161" s="121"/>
      <c r="O161" s="121"/>
      <c r="P161" s="27" t="str">
        <f t="shared" si="26"/>
        <v>0</v>
      </c>
      <c r="Q161" s="27" t="str">
        <f t="shared" si="27"/>
        <v>0</v>
      </c>
      <c r="R161" s="27" t="str">
        <f t="shared" si="28"/>
        <v>0</v>
      </c>
      <c r="S161" s="27" t="str">
        <f t="shared" si="29"/>
        <v>0</v>
      </c>
      <c r="T161" s="27" t="str">
        <f t="shared" si="30"/>
        <v>0</v>
      </c>
      <c r="U161" s="27" t="str">
        <f t="shared" si="31"/>
        <v>0</v>
      </c>
      <c r="V161" s="27" t="str">
        <f t="shared" si="32"/>
        <v>1</v>
      </c>
      <c r="W161" s="27"/>
      <c r="X161" s="27" t="str">
        <f t="shared" si="33"/>
        <v/>
      </c>
      <c r="Y161" s="27" t="str">
        <f t="shared" si="34"/>
        <v/>
      </c>
      <c r="Z161" s="27" t="str">
        <f t="shared" si="35"/>
        <v/>
      </c>
      <c r="AA161" s="121"/>
      <c r="AB161" s="121"/>
      <c r="AC161" s="121"/>
      <c r="AD161" s="121"/>
      <c r="AE161" s="121" t="s">
        <v>51</v>
      </c>
      <c r="AF161" s="121"/>
      <c r="AG161" s="121"/>
      <c r="AH161" s="28" t="s">
        <v>167</v>
      </c>
      <c r="AI161" s="28" t="s">
        <v>113</v>
      </c>
      <c r="AJ161" s="27">
        <v>20276</v>
      </c>
      <c r="AK161" s="121" t="str">
        <f t="shared" si="23"/>
        <v/>
      </c>
      <c r="AL161" s="123" t="str">
        <f t="shared" si="45"/>
        <v/>
      </c>
      <c r="AM161" s="27"/>
      <c r="AN161" s="124"/>
      <c r="AO161" s="124"/>
      <c r="AP161" s="124"/>
      <c r="AQ161" s="124"/>
      <c r="AR161" s="124"/>
      <c r="AS161" s="124"/>
      <c r="AT161" s="124" t="s">
        <v>1938</v>
      </c>
      <c r="AU161" s="124" t="str">
        <f t="shared" si="38"/>
        <v/>
      </c>
      <c r="AV161" s="124" t="s">
        <v>2540</v>
      </c>
      <c r="AW161" s="117"/>
      <c r="AX161" s="138" t="str">
        <f t="shared" si="46"/>
        <v/>
      </c>
      <c r="AY161" s="31" t="str">
        <f>IF(C161&lt;&gt;"",CREATE_QUERY($D$1,C$2:AW$2,C161:AW161),"")</f>
        <v/>
      </c>
    </row>
    <row r="162" spans="1:51">
      <c r="A162" s="1">
        <v>70</v>
      </c>
      <c r="B162" s="121" t="str">
        <f t="shared" si="47"/>
        <v/>
      </c>
      <c r="C162" s="27" t="str">
        <f t="shared" si="36"/>
        <v/>
      </c>
      <c r="D162" s="121"/>
      <c r="E162" s="27">
        <v>252040</v>
      </c>
      <c r="F162" s="121"/>
      <c r="G162" s="121"/>
      <c r="H162" s="121"/>
      <c r="I162" s="121"/>
      <c r="J162" s="121"/>
      <c r="K162" s="27" t="str">
        <f t="shared" si="24"/>
        <v/>
      </c>
      <c r="L162" s="27">
        <v>1</v>
      </c>
      <c r="M162" s="27" t="str">
        <f t="shared" si="25"/>
        <v>0</v>
      </c>
      <c r="N162" s="121"/>
      <c r="O162" s="121"/>
      <c r="P162" s="27" t="str">
        <f t="shared" si="26"/>
        <v>0</v>
      </c>
      <c r="Q162" s="27" t="str">
        <f t="shared" si="27"/>
        <v>0</v>
      </c>
      <c r="R162" s="27" t="str">
        <f t="shared" si="28"/>
        <v>0</v>
      </c>
      <c r="S162" s="27" t="str">
        <f t="shared" si="29"/>
        <v>0</v>
      </c>
      <c r="T162" s="27" t="str">
        <f t="shared" si="30"/>
        <v>0</v>
      </c>
      <c r="U162" s="27" t="str">
        <f t="shared" si="31"/>
        <v>0</v>
      </c>
      <c r="V162" s="27" t="str">
        <f t="shared" si="32"/>
        <v>1</v>
      </c>
      <c r="W162" s="27"/>
      <c r="X162" s="27" t="str">
        <f t="shared" si="33"/>
        <v/>
      </c>
      <c r="Y162" s="27" t="str">
        <f t="shared" si="34"/>
        <v/>
      </c>
      <c r="Z162" s="27" t="str">
        <f t="shared" si="35"/>
        <v/>
      </c>
      <c r="AA162" s="121"/>
      <c r="AB162" s="121"/>
      <c r="AC162" s="121"/>
      <c r="AD162" s="121"/>
      <c r="AE162" s="121" t="s">
        <v>51</v>
      </c>
      <c r="AF162" s="121"/>
      <c r="AG162" s="121"/>
      <c r="AH162" s="28" t="s">
        <v>167</v>
      </c>
      <c r="AI162" s="28" t="s">
        <v>113</v>
      </c>
      <c r="AJ162" s="27">
        <v>20278</v>
      </c>
      <c r="AK162" s="121" t="str">
        <f t="shared" si="23"/>
        <v/>
      </c>
      <c r="AL162" s="123" t="str">
        <f t="shared" si="45"/>
        <v/>
      </c>
      <c r="AM162" s="27"/>
      <c r="AN162" s="124"/>
      <c r="AO162" s="124"/>
      <c r="AP162" s="124"/>
      <c r="AQ162" s="124"/>
      <c r="AR162" s="124"/>
      <c r="AS162" s="124"/>
      <c r="AT162" s="124" t="s">
        <v>1938</v>
      </c>
      <c r="AU162" s="124" t="str">
        <f t="shared" si="38"/>
        <v/>
      </c>
      <c r="AV162" s="124" t="s">
        <v>2541</v>
      </c>
      <c r="AW162" s="117"/>
      <c r="AX162" s="138" t="str">
        <f t="shared" si="46"/>
        <v/>
      </c>
      <c r="AY162" s="31" t="str">
        <f>IF(C162&lt;&gt;"",CREATE_QUERY($D$1,C$2:AW$2,C162:AW162),"")</f>
        <v/>
      </c>
    </row>
    <row r="163" spans="1:51">
      <c r="A163" s="1">
        <v>70</v>
      </c>
      <c r="B163" s="121" t="str">
        <f t="shared" si="47"/>
        <v/>
      </c>
      <c r="C163" s="27" t="str">
        <f t="shared" si="36"/>
        <v/>
      </c>
      <c r="D163" s="121"/>
      <c r="E163" s="27">
        <v>252041</v>
      </c>
      <c r="F163" s="121"/>
      <c r="G163" s="121"/>
      <c r="H163" s="121"/>
      <c r="I163" s="121"/>
      <c r="J163" s="121"/>
      <c r="K163" s="27" t="str">
        <f t="shared" si="24"/>
        <v/>
      </c>
      <c r="L163" s="27">
        <v>1</v>
      </c>
      <c r="M163" s="27" t="str">
        <f t="shared" si="25"/>
        <v>0</v>
      </c>
      <c r="N163" s="121"/>
      <c r="O163" s="121"/>
      <c r="P163" s="27" t="str">
        <f t="shared" si="26"/>
        <v>0</v>
      </c>
      <c r="Q163" s="27" t="str">
        <f t="shared" si="27"/>
        <v>0</v>
      </c>
      <c r="R163" s="27" t="str">
        <f t="shared" si="28"/>
        <v>0</v>
      </c>
      <c r="S163" s="27" t="str">
        <f t="shared" si="29"/>
        <v>0</v>
      </c>
      <c r="T163" s="27" t="str">
        <f t="shared" si="30"/>
        <v>0</v>
      </c>
      <c r="U163" s="27" t="str">
        <f t="shared" si="31"/>
        <v>0</v>
      </c>
      <c r="V163" s="27" t="str">
        <f t="shared" si="32"/>
        <v>1</v>
      </c>
      <c r="W163" s="27"/>
      <c r="X163" s="27" t="str">
        <f t="shared" si="33"/>
        <v/>
      </c>
      <c r="Y163" s="27" t="str">
        <f t="shared" si="34"/>
        <v/>
      </c>
      <c r="Z163" s="27" t="str">
        <f t="shared" si="35"/>
        <v/>
      </c>
      <c r="AA163" s="121"/>
      <c r="AB163" s="121"/>
      <c r="AC163" s="121"/>
      <c r="AD163" s="121"/>
      <c r="AE163" s="121" t="s">
        <v>51</v>
      </c>
      <c r="AF163" s="121"/>
      <c r="AG163" s="121"/>
      <c r="AH163" s="28" t="s">
        <v>167</v>
      </c>
      <c r="AI163" s="28" t="s">
        <v>113</v>
      </c>
      <c r="AJ163" s="27">
        <v>20280</v>
      </c>
      <c r="AK163" s="121" t="str">
        <f t="shared" si="23"/>
        <v/>
      </c>
      <c r="AL163" s="123" t="str">
        <f t="shared" si="45"/>
        <v/>
      </c>
      <c r="AM163" s="27"/>
      <c r="AN163" s="124"/>
      <c r="AO163" s="124"/>
      <c r="AP163" s="124"/>
      <c r="AQ163" s="124"/>
      <c r="AR163" s="124"/>
      <c r="AS163" s="124"/>
      <c r="AT163" s="124" t="s">
        <v>1938</v>
      </c>
      <c r="AU163" s="124" t="str">
        <f t="shared" si="38"/>
        <v/>
      </c>
      <c r="AV163" s="124" t="s">
        <v>2542</v>
      </c>
      <c r="AW163" s="117"/>
      <c r="AX163" s="138" t="str">
        <f t="shared" si="46"/>
        <v/>
      </c>
      <c r="AY163" s="31" t="str">
        <f>IF(C163&lt;&gt;"",CREATE_QUERY($D$1,C$2:AW$2,C163:AW163),"")</f>
        <v/>
      </c>
    </row>
    <row r="164" spans="1:51">
      <c r="A164" s="1">
        <v>70</v>
      </c>
      <c r="B164" s="121" t="str">
        <f t="shared" si="47"/>
        <v/>
      </c>
      <c r="C164" s="27" t="str">
        <f t="shared" si="36"/>
        <v/>
      </c>
      <c r="D164" s="121"/>
      <c r="E164" s="27">
        <v>252042</v>
      </c>
      <c r="F164" s="121"/>
      <c r="G164" s="121"/>
      <c r="H164" s="121"/>
      <c r="I164" s="121"/>
      <c r="J164" s="121"/>
      <c r="K164" s="27" t="str">
        <f t="shared" si="24"/>
        <v/>
      </c>
      <c r="L164" s="27">
        <v>1</v>
      </c>
      <c r="M164" s="27" t="str">
        <f t="shared" si="25"/>
        <v>0</v>
      </c>
      <c r="N164" s="121"/>
      <c r="O164" s="121"/>
      <c r="P164" s="27" t="str">
        <f t="shared" si="26"/>
        <v>0</v>
      </c>
      <c r="Q164" s="27" t="str">
        <f t="shared" si="27"/>
        <v>0</v>
      </c>
      <c r="R164" s="27" t="str">
        <f t="shared" si="28"/>
        <v>0</v>
      </c>
      <c r="S164" s="27" t="str">
        <f t="shared" si="29"/>
        <v>0</v>
      </c>
      <c r="T164" s="27" t="str">
        <f t="shared" si="30"/>
        <v>0</v>
      </c>
      <c r="U164" s="27" t="str">
        <f t="shared" si="31"/>
        <v>0</v>
      </c>
      <c r="V164" s="27" t="str">
        <f t="shared" si="32"/>
        <v>1</v>
      </c>
      <c r="W164" s="27"/>
      <c r="X164" s="27" t="str">
        <f t="shared" si="33"/>
        <v/>
      </c>
      <c r="Y164" s="27" t="str">
        <f t="shared" si="34"/>
        <v/>
      </c>
      <c r="Z164" s="27" t="str">
        <f t="shared" si="35"/>
        <v/>
      </c>
      <c r="AA164" s="121"/>
      <c r="AB164" s="121"/>
      <c r="AC164" s="121"/>
      <c r="AD164" s="121"/>
      <c r="AE164" s="121" t="s">
        <v>51</v>
      </c>
      <c r="AF164" s="121"/>
      <c r="AG164" s="121"/>
      <c r="AH164" s="28" t="s">
        <v>167</v>
      </c>
      <c r="AI164" s="28" t="s">
        <v>113</v>
      </c>
      <c r="AJ164" s="27">
        <v>20282</v>
      </c>
      <c r="AK164" s="121" t="str">
        <f t="shared" si="23"/>
        <v/>
      </c>
      <c r="AL164" s="123" t="str">
        <f t="shared" si="45"/>
        <v/>
      </c>
      <c r="AM164" s="27"/>
      <c r="AN164" s="124"/>
      <c r="AO164" s="124"/>
      <c r="AP164" s="124"/>
      <c r="AQ164" s="124"/>
      <c r="AR164" s="124"/>
      <c r="AS164" s="124"/>
      <c r="AT164" s="124" t="s">
        <v>1938</v>
      </c>
      <c r="AU164" s="124" t="str">
        <f t="shared" ref="AU164:AU227" si="49">IF(O164="","",AT164&amp;E164)</f>
        <v/>
      </c>
      <c r="AV164" s="124" t="s">
        <v>2543</v>
      </c>
      <c r="AW164" s="117"/>
      <c r="AX164" s="138" t="str">
        <f t="shared" si="46"/>
        <v/>
      </c>
      <c r="AY164" s="31" t="str">
        <f>IF(C164&lt;&gt;"",CREATE_QUERY($D$1,C$2:AW$2,C164:AW164),"")</f>
        <v/>
      </c>
    </row>
    <row r="165" spans="1:51">
      <c r="A165" s="1">
        <v>70</v>
      </c>
      <c r="B165" s="121" t="str">
        <f t="shared" si="47"/>
        <v/>
      </c>
      <c r="C165" s="27" t="str">
        <f t="shared" si="36"/>
        <v/>
      </c>
      <c r="D165" s="121"/>
      <c r="E165" s="27">
        <v>252043</v>
      </c>
      <c r="F165" s="121"/>
      <c r="G165" s="121"/>
      <c r="H165" s="121"/>
      <c r="I165" s="121"/>
      <c r="J165" s="121"/>
      <c r="K165" s="27" t="str">
        <f t="shared" si="24"/>
        <v/>
      </c>
      <c r="L165" s="27">
        <v>1</v>
      </c>
      <c r="M165" s="27" t="str">
        <f t="shared" si="25"/>
        <v>0</v>
      </c>
      <c r="N165" s="121"/>
      <c r="O165" s="121"/>
      <c r="P165" s="27" t="str">
        <f t="shared" si="26"/>
        <v>0</v>
      </c>
      <c r="Q165" s="27" t="str">
        <f t="shared" si="27"/>
        <v>0</v>
      </c>
      <c r="R165" s="27" t="str">
        <f t="shared" si="28"/>
        <v>0</v>
      </c>
      <c r="S165" s="27" t="str">
        <f t="shared" si="29"/>
        <v>0</v>
      </c>
      <c r="T165" s="27" t="str">
        <f t="shared" si="30"/>
        <v>0</v>
      </c>
      <c r="U165" s="27" t="str">
        <f t="shared" si="31"/>
        <v>0</v>
      </c>
      <c r="V165" s="27" t="str">
        <f t="shared" si="32"/>
        <v>1</v>
      </c>
      <c r="W165" s="27"/>
      <c r="X165" s="27" t="str">
        <f t="shared" si="33"/>
        <v/>
      </c>
      <c r="Y165" s="27" t="str">
        <f t="shared" si="34"/>
        <v/>
      </c>
      <c r="Z165" s="27" t="str">
        <f t="shared" si="35"/>
        <v/>
      </c>
      <c r="AA165" s="121"/>
      <c r="AB165" s="121"/>
      <c r="AC165" s="121"/>
      <c r="AD165" s="121"/>
      <c r="AE165" s="121" t="s">
        <v>51</v>
      </c>
      <c r="AF165" s="121"/>
      <c r="AG165" s="121"/>
      <c r="AH165" s="28" t="s">
        <v>167</v>
      </c>
      <c r="AI165" s="28" t="s">
        <v>113</v>
      </c>
      <c r="AJ165" s="27">
        <v>20284</v>
      </c>
      <c r="AK165" s="121" t="str">
        <f t="shared" si="23"/>
        <v/>
      </c>
      <c r="AL165" s="123" t="str">
        <f t="shared" si="45"/>
        <v/>
      </c>
      <c r="AM165" s="27"/>
      <c r="AN165" s="124"/>
      <c r="AO165" s="124"/>
      <c r="AP165" s="124"/>
      <c r="AQ165" s="124"/>
      <c r="AR165" s="124"/>
      <c r="AS165" s="124"/>
      <c r="AT165" s="124" t="s">
        <v>1938</v>
      </c>
      <c r="AU165" s="124" t="str">
        <f t="shared" si="49"/>
        <v/>
      </c>
      <c r="AV165" s="124" t="s">
        <v>2544</v>
      </c>
      <c r="AW165" s="117"/>
      <c r="AX165" s="138" t="str">
        <f t="shared" si="46"/>
        <v/>
      </c>
      <c r="AY165" s="31" t="str">
        <f>IF(C165&lt;&gt;"",CREATE_QUERY($D$1,C$2:AW$2,C165:AW165),"")</f>
        <v/>
      </c>
    </row>
    <row r="166" spans="1:51">
      <c r="A166" s="1">
        <v>70</v>
      </c>
      <c r="B166" s="121" t="str">
        <f t="shared" si="47"/>
        <v/>
      </c>
      <c r="C166" s="27" t="str">
        <f t="shared" si="36"/>
        <v/>
      </c>
      <c r="D166" s="121"/>
      <c r="E166" s="27">
        <v>252044</v>
      </c>
      <c r="F166" s="121"/>
      <c r="G166" s="121"/>
      <c r="H166" s="121"/>
      <c r="I166" s="121"/>
      <c r="J166" s="121"/>
      <c r="K166" s="27" t="str">
        <f t="shared" si="24"/>
        <v/>
      </c>
      <c r="L166" s="27">
        <v>1</v>
      </c>
      <c r="M166" s="27" t="str">
        <f t="shared" si="25"/>
        <v>0</v>
      </c>
      <c r="N166" s="121"/>
      <c r="O166" s="121"/>
      <c r="P166" s="27" t="str">
        <f t="shared" si="26"/>
        <v>0</v>
      </c>
      <c r="Q166" s="27" t="str">
        <f t="shared" si="27"/>
        <v>0</v>
      </c>
      <c r="R166" s="27" t="str">
        <f t="shared" si="28"/>
        <v>0</v>
      </c>
      <c r="S166" s="27" t="str">
        <f t="shared" si="29"/>
        <v>0</v>
      </c>
      <c r="T166" s="27" t="str">
        <f t="shared" si="30"/>
        <v>0</v>
      </c>
      <c r="U166" s="27" t="str">
        <f t="shared" si="31"/>
        <v>0</v>
      </c>
      <c r="V166" s="27" t="str">
        <f t="shared" si="32"/>
        <v>1</v>
      </c>
      <c r="W166" s="27"/>
      <c r="X166" s="27" t="str">
        <f t="shared" si="33"/>
        <v/>
      </c>
      <c r="Y166" s="27" t="str">
        <f t="shared" si="34"/>
        <v/>
      </c>
      <c r="Z166" s="27" t="str">
        <f t="shared" si="35"/>
        <v/>
      </c>
      <c r="AA166" s="121"/>
      <c r="AB166" s="121"/>
      <c r="AC166" s="121"/>
      <c r="AD166" s="121"/>
      <c r="AE166" s="121" t="s">
        <v>51</v>
      </c>
      <c r="AF166" s="121"/>
      <c r="AG166" s="121"/>
      <c r="AH166" s="28" t="s">
        <v>167</v>
      </c>
      <c r="AI166" s="28" t="s">
        <v>113</v>
      </c>
      <c r="AJ166" s="27">
        <v>20286</v>
      </c>
      <c r="AK166" s="121" t="str">
        <f>IF(B175="","","0")</f>
        <v/>
      </c>
      <c r="AL166" s="123" t="str">
        <f t="shared" si="45"/>
        <v/>
      </c>
      <c r="AM166" s="27"/>
      <c r="AN166" s="124"/>
      <c r="AO166" s="124"/>
      <c r="AP166" s="124"/>
      <c r="AQ166" s="124"/>
      <c r="AR166" s="124"/>
      <c r="AS166" s="124"/>
      <c r="AT166" s="124" t="s">
        <v>1938</v>
      </c>
      <c r="AU166" s="124" t="str">
        <f t="shared" si="49"/>
        <v/>
      </c>
      <c r="AV166" s="124" t="s">
        <v>2545</v>
      </c>
      <c r="AW166" s="117"/>
      <c r="AX166" s="138" t="str">
        <f t="shared" si="46"/>
        <v/>
      </c>
      <c r="AY166" s="31" t="str">
        <f>IF(C166&lt;&gt;"",CREATE_QUERY($D$1,C$2:AW$2,C166:AW166),"")</f>
        <v/>
      </c>
    </row>
    <row r="167" spans="1:51">
      <c r="A167" s="1">
        <v>69</v>
      </c>
      <c r="B167" s="121" t="str">
        <f t="shared" si="47"/>
        <v/>
      </c>
      <c r="C167" s="27" t="str">
        <f t="shared" si="36"/>
        <v/>
      </c>
      <c r="D167" s="121"/>
      <c r="E167" s="27">
        <v>252045</v>
      </c>
      <c r="F167" s="121"/>
      <c r="G167" s="121"/>
      <c r="H167" s="121"/>
      <c r="I167" s="121"/>
      <c r="J167" s="121"/>
      <c r="K167" s="27" t="str">
        <f t="shared" ref="K167:K230" si="50">IF(O167="","","1")</f>
        <v/>
      </c>
      <c r="L167" s="27">
        <v>1</v>
      </c>
      <c r="M167" s="27" t="str">
        <f t="shared" ref="M167:M230" si="51">IF(O167="","0","1")</f>
        <v>0</v>
      </c>
      <c r="N167" s="121"/>
      <c r="O167" s="121"/>
      <c r="P167" s="27" t="str">
        <f t="shared" ref="P167:P230" si="52">IF(O167="","0","1")</f>
        <v>0</v>
      </c>
      <c r="Q167" s="27" t="str">
        <f t="shared" ref="Q167:Q230" si="53">IF(O167="","0","1")</f>
        <v>0</v>
      </c>
      <c r="R167" s="27" t="str">
        <f t="shared" ref="R167:R230" si="54">IF(O167="","0","1")</f>
        <v>0</v>
      </c>
      <c r="S167" s="27" t="str">
        <f t="shared" ref="S167:S230" si="55">IF(O167="","0","1")</f>
        <v>0</v>
      </c>
      <c r="T167" s="27" t="str">
        <f t="shared" ref="T167:T230" si="56">IF(O167="","0","1")</f>
        <v>0</v>
      </c>
      <c r="U167" s="27" t="str">
        <f t="shared" ref="U167:U230" si="57">IF(O167="","0","1")</f>
        <v>0</v>
      </c>
      <c r="V167" s="27" t="str">
        <f t="shared" ref="V167:V230" si="58">IF(O167="","1","1")</f>
        <v>1</v>
      </c>
      <c r="W167" s="27"/>
      <c r="X167" s="27" t="str">
        <f t="shared" ref="X167:X230" si="59">IF(O167="","","0")</f>
        <v/>
      </c>
      <c r="Y167" s="27" t="str">
        <f t="shared" ref="Y167:Y230" si="60">IF(O167="","","0")</f>
        <v/>
      </c>
      <c r="Z167" s="27" t="str">
        <f t="shared" ref="Z167:Z230" si="61">IF(O167="","","0")</f>
        <v/>
      </c>
      <c r="AA167" s="121"/>
      <c r="AB167" s="121"/>
      <c r="AC167" s="121"/>
      <c r="AD167" s="121"/>
      <c r="AE167" s="121" t="s">
        <v>51</v>
      </c>
      <c r="AF167" s="121"/>
      <c r="AG167" s="121"/>
      <c r="AH167" s="28" t="s">
        <v>167</v>
      </c>
      <c r="AI167" s="28" t="s">
        <v>113</v>
      </c>
      <c r="AJ167" s="27">
        <v>20288</v>
      </c>
      <c r="AK167" s="121" t="str">
        <f t="shared" ref="AK167:AK173" si="62">IF(B168="","","0")</f>
        <v/>
      </c>
      <c r="AL167" s="123" t="str">
        <f t="shared" si="45"/>
        <v/>
      </c>
      <c r="AM167" s="27"/>
      <c r="AN167" s="124"/>
      <c r="AO167" s="124"/>
      <c r="AP167" s="124"/>
      <c r="AQ167" s="124"/>
      <c r="AR167" s="124"/>
      <c r="AS167" s="124"/>
      <c r="AT167" s="124" t="s">
        <v>1938</v>
      </c>
      <c r="AU167" s="124" t="str">
        <f t="shared" si="49"/>
        <v/>
      </c>
      <c r="AV167" s="124" t="s">
        <v>2546</v>
      </c>
      <c r="AW167" s="117"/>
      <c r="AX167" s="138" t="str">
        <f t="shared" si="46"/>
        <v/>
      </c>
      <c r="AY167" s="31" t="str">
        <f>IF(C167&lt;&gt;"",CREATE_QUERY($D$1,C$2:AW$2,C167:AW167),"")</f>
        <v/>
      </c>
    </row>
    <row r="168" spans="1:51">
      <c r="A168" s="1">
        <v>70</v>
      </c>
      <c r="B168" s="121" t="str">
        <f t="shared" si="47"/>
        <v/>
      </c>
      <c r="C168" s="27" t="str">
        <f t="shared" si="36"/>
        <v/>
      </c>
      <c r="D168" s="121"/>
      <c r="E168" s="27">
        <v>252046</v>
      </c>
      <c r="F168" s="121"/>
      <c r="G168" s="121"/>
      <c r="H168" s="121"/>
      <c r="I168" s="121"/>
      <c r="J168" s="121"/>
      <c r="K168" s="27" t="str">
        <f t="shared" si="50"/>
        <v/>
      </c>
      <c r="L168" s="27">
        <v>1</v>
      </c>
      <c r="M168" s="27" t="str">
        <f t="shared" si="51"/>
        <v>0</v>
      </c>
      <c r="N168" s="121"/>
      <c r="O168" s="121"/>
      <c r="P168" s="27" t="str">
        <f t="shared" si="52"/>
        <v>0</v>
      </c>
      <c r="Q168" s="27" t="str">
        <f t="shared" si="53"/>
        <v>0</v>
      </c>
      <c r="R168" s="27" t="str">
        <f t="shared" si="54"/>
        <v>0</v>
      </c>
      <c r="S168" s="27" t="str">
        <f t="shared" si="55"/>
        <v>0</v>
      </c>
      <c r="T168" s="27" t="str">
        <f t="shared" si="56"/>
        <v>0</v>
      </c>
      <c r="U168" s="27" t="str">
        <f t="shared" si="57"/>
        <v>0</v>
      </c>
      <c r="V168" s="27" t="str">
        <f t="shared" si="58"/>
        <v>1</v>
      </c>
      <c r="W168" s="27"/>
      <c r="X168" s="27" t="str">
        <f t="shared" si="59"/>
        <v/>
      </c>
      <c r="Y168" s="27" t="str">
        <f t="shared" si="60"/>
        <v/>
      </c>
      <c r="Z168" s="27" t="str">
        <f t="shared" si="61"/>
        <v/>
      </c>
      <c r="AA168" s="121"/>
      <c r="AB168" s="121"/>
      <c r="AC168" s="121"/>
      <c r="AD168" s="121"/>
      <c r="AE168" s="121" t="s">
        <v>51</v>
      </c>
      <c r="AF168" s="121"/>
      <c r="AG168" s="121"/>
      <c r="AH168" s="28" t="s">
        <v>167</v>
      </c>
      <c r="AI168" s="28" t="s">
        <v>113</v>
      </c>
      <c r="AJ168" s="27">
        <v>20290</v>
      </c>
      <c r="AK168" s="121" t="str">
        <f t="shared" si="62"/>
        <v/>
      </c>
      <c r="AL168" s="123" t="str">
        <f t="shared" si="45"/>
        <v/>
      </c>
      <c r="AM168" s="27"/>
      <c r="AN168" s="124"/>
      <c r="AO168" s="124"/>
      <c r="AP168" s="124"/>
      <c r="AQ168" s="124"/>
      <c r="AR168" s="124"/>
      <c r="AS168" s="124"/>
      <c r="AT168" s="124" t="s">
        <v>1938</v>
      </c>
      <c r="AU168" s="124" t="str">
        <f t="shared" si="49"/>
        <v/>
      </c>
      <c r="AV168" s="124" t="s">
        <v>2547</v>
      </c>
      <c r="AW168" s="117"/>
      <c r="AX168" s="138" t="str">
        <f t="shared" si="46"/>
        <v/>
      </c>
      <c r="AY168" s="31" t="str">
        <f>IF(C168&lt;&gt;"",CREATE_QUERY($D$1,C$2:AW$2,C168:AW168),"")</f>
        <v/>
      </c>
    </row>
    <row r="169" spans="1:51">
      <c r="A169" s="1">
        <v>70</v>
      </c>
      <c r="B169" s="121" t="str">
        <f t="shared" si="47"/>
        <v/>
      </c>
      <c r="C169" s="27" t="str">
        <f t="shared" si="36"/>
        <v/>
      </c>
      <c r="D169" s="121"/>
      <c r="E169" s="27">
        <v>252047</v>
      </c>
      <c r="F169" s="121"/>
      <c r="G169" s="121"/>
      <c r="H169" s="121"/>
      <c r="I169" s="121"/>
      <c r="J169" s="121"/>
      <c r="K169" s="27" t="str">
        <f t="shared" si="50"/>
        <v/>
      </c>
      <c r="L169" s="27">
        <v>1</v>
      </c>
      <c r="M169" s="27" t="str">
        <f t="shared" si="51"/>
        <v>0</v>
      </c>
      <c r="N169" s="121"/>
      <c r="O169" s="121"/>
      <c r="P169" s="27" t="str">
        <f t="shared" si="52"/>
        <v>0</v>
      </c>
      <c r="Q169" s="27" t="str">
        <f t="shared" si="53"/>
        <v>0</v>
      </c>
      <c r="R169" s="27" t="str">
        <f t="shared" si="54"/>
        <v>0</v>
      </c>
      <c r="S169" s="27" t="str">
        <f t="shared" si="55"/>
        <v>0</v>
      </c>
      <c r="T169" s="27" t="str">
        <f t="shared" si="56"/>
        <v>0</v>
      </c>
      <c r="U169" s="27" t="str">
        <f t="shared" si="57"/>
        <v>0</v>
      </c>
      <c r="V169" s="27" t="str">
        <f t="shared" si="58"/>
        <v>1</v>
      </c>
      <c r="W169" s="27"/>
      <c r="X169" s="27" t="str">
        <f t="shared" si="59"/>
        <v/>
      </c>
      <c r="Y169" s="27" t="str">
        <f t="shared" si="60"/>
        <v/>
      </c>
      <c r="Z169" s="27" t="str">
        <f t="shared" si="61"/>
        <v/>
      </c>
      <c r="AA169" s="121"/>
      <c r="AB169" s="121"/>
      <c r="AC169" s="121"/>
      <c r="AD169" s="121"/>
      <c r="AE169" s="121" t="s">
        <v>51</v>
      </c>
      <c r="AF169" s="121"/>
      <c r="AG169" s="121"/>
      <c r="AH169" s="28" t="s">
        <v>167</v>
      </c>
      <c r="AI169" s="28" t="s">
        <v>113</v>
      </c>
      <c r="AJ169" s="27">
        <v>20292</v>
      </c>
      <c r="AK169" s="121" t="str">
        <f t="shared" si="62"/>
        <v/>
      </c>
      <c r="AL169" s="123" t="str">
        <f t="shared" si="45"/>
        <v/>
      </c>
      <c r="AM169" s="27"/>
      <c r="AN169" s="124"/>
      <c r="AO169" s="124"/>
      <c r="AP169" s="124"/>
      <c r="AQ169" s="124"/>
      <c r="AR169" s="124"/>
      <c r="AS169" s="124"/>
      <c r="AT169" s="124" t="s">
        <v>1938</v>
      </c>
      <c r="AU169" s="124" t="str">
        <f t="shared" si="49"/>
        <v/>
      </c>
      <c r="AV169" s="124" t="s">
        <v>2548</v>
      </c>
      <c r="AW169" s="117"/>
      <c r="AX169" s="138" t="str">
        <f t="shared" si="46"/>
        <v/>
      </c>
      <c r="AY169" s="31" t="str">
        <f>IF(C169&lt;&gt;"",CREATE_QUERY($D$1,C$2:AW$2,C169:AW169),"")</f>
        <v/>
      </c>
    </row>
    <row r="170" spans="1:51">
      <c r="A170" s="1">
        <v>70</v>
      </c>
      <c r="B170" s="121" t="str">
        <f t="shared" si="47"/>
        <v/>
      </c>
      <c r="C170" s="27" t="str">
        <f t="shared" si="36"/>
        <v/>
      </c>
      <c r="D170" s="121"/>
      <c r="E170" s="27">
        <v>252048</v>
      </c>
      <c r="F170" s="121"/>
      <c r="G170" s="121"/>
      <c r="H170" s="121"/>
      <c r="I170" s="121"/>
      <c r="J170" s="121"/>
      <c r="K170" s="27" t="str">
        <f t="shared" si="50"/>
        <v/>
      </c>
      <c r="L170" s="27">
        <v>1</v>
      </c>
      <c r="M170" s="27" t="str">
        <f t="shared" si="51"/>
        <v>0</v>
      </c>
      <c r="N170" s="121"/>
      <c r="O170" s="121"/>
      <c r="P170" s="27" t="str">
        <f t="shared" si="52"/>
        <v>0</v>
      </c>
      <c r="Q170" s="27" t="str">
        <f t="shared" si="53"/>
        <v>0</v>
      </c>
      <c r="R170" s="27" t="str">
        <f t="shared" si="54"/>
        <v>0</v>
      </c>
      <c r="S170" s="27" t="str">
        <f t="shared" si="55"/>
        <v>0</v>
      </c>
      <c r="T170" s="27" t="str">
        <f t="shared" si="56"/>
        <v>0</v>
      </c>
      <c r="U170" s="27" t="str">
        <f t="shared" si="57"/>
        <v>0</v>
      </c>
      <c r="V170" s="27" t="str">
        <f t="shared" si="58"/>
        <v>1</v>
      </c>
      <c r="W170" s="27"/>
      <c r="X170" s="27" t="str">
        <f t="shared" si="59"/>
        <v/>
      </c>
      <c r="Y170" s="27" t="str">
        <f t="shared" si="60"/>
        <v/>
      </c>
      <c r="Z170" s="27" t="str">
        <f t="shared" si="61"/>
        <v/>
      </c>
      <c r="AA170" s="121"/>
      <c r="AB170" s="121"/>
      <c r="AC170" s="121"/>
      <c r="AD170" s="121"/>
      <c r="AE170" s="121" t="s">
        <v>51</v>
      </c>
      <c r="AF170" s="121"/>
      <c r="AG170" s="121"/>
      <c r="AH170" s="28" t="s">
        <v>167</v>
      </c>
      <c r="AI170" s="28" t="s">
        <v>113</v>
      </c>
      <c r="AJ170" s="27">
        <v>20294</v>
      </c>
      <c r="AK170" s="121" t="str">
        <f t="shared" si="62"/>
        <v/>
      </c>
      <c r="AL170" s="123" t="str">
        <f t="shared" si="45"/>
        <v/>
      </c>
      <c r="AM170" s="27"/>
      <c r="AN170" s="124"/>
      <c r="AO170" s="124"/>
      <c r="AP170" s="124"/>
      <c r="AQ170" s="124"/>
      <c r="AR170" s="124"/>
      <c r="AS170" s="124"/>
      <c r="AT170" s="124" t="s">
        <v>1938</v>
      </c>
      <c r="AU170" s="124" t="str">
        <f t="shared" si="49"/>
        <v/>
      </c>
      <c r="AV170" s="124" t="s">
        <v>2549</v>
      </c>
      <c r="AW170" s="117"/>
      <c r="AX170" s="138" t="str">
        <f t="shared" si="46"/>
        <v/>
      </c>
      <c r="AY170" s="31" t="str">
        <f>IF(C170&lt;&gt;"",CREATE_QUERY($D$1,C$2:AW$2,C170:AW170),"")</f>
        <v/>
      </c>
    </row>
    <row r="171" spans="1:51">
      <c r="A171" s="1">
        <v>70</v>
      </c>
      <c r="B171" s="121" t="str">
        <f t="shared" si="47"/>
        <v/>
      </c>
      <c r="C171" s="27" t="str">
        <f t="shared" si="36"/>
        <v/>
      </c>
      <c r="D171" s="121"/>
      <c r="E171" s="27">
        <v>252049</v>
      </c>
      <c r="F171" s="121"/>
      <c r="G171" s="121"/>
      <c r="H171" s="121"/>
      <c r="I171" s="121"/>
      <c r="J171" s="121"/>
      <c r="K171" s="27" t="str">
        <f t="shared" si="50"/>
        <v/>
      </c>
      <c r="L171" s="27">
        <v>1</v>
      </c>
      <c r="M171" s="27" t="str">
        <f t="shared" si="51"/>
        <v>0</v>
      </c>
      <c r="N171" s="121"/>
      <c r="O171" s="121"/>
      <c r="P171" s="27" t="str">
        <f t="shared" si="52"/>
        <v>0</v>
      </c>
      <c r="Q171" s="27" t="str">
        <f t="shared" si="53"/>
        <v>0</v>
      </c>
      <c r="R171" s="27" t="str">
        <f t="shared" si="54"/>
        <v>0</v>
      </c>
      <c r="S171" s="27" t="str">
        <f t="shared" si="55"/>
        <v>0</v>
      </c>
      <c r="T171" s="27" t="str">
        <f t="shared" si="56"/>
        <v>0</v>
      </c>
      <c r="U171" s="27" t="str">
        <f t="shared" si="57"/>
        <v>0</v>
      </c>
      <c r="V171" s="27" t="str">
        <f t="shared" si="58"/>
        <v>1</v>
      </c>
      <c r="W171" s="27"/>
      <c r="X171" s="27" t="str">
        <f t="shared" si="59"/>
        <v/>
      </c>
      <c r="Y171" s="27" t="str">
        <f t="shared" si="60"/>
        <v/>
      </c>
      <c r="Z171" s="27" t="str">
        <f t="shared" si="61"/>
        <v/>
      </c>
      <c r="AA171" s="121"/>
      <c r="AB171" s="121"/>
      <c r="AC171" s="121"/>
      <c r="AD171" s="121"/>
      <c r="AE171" s="121" t="s">
        <v>51</v>
      </c>
      <c r="AF171" s="121"/>
      <c r="AG171" s="121"/>
      <c r="AH171" s="28" t="s">
        <v>167</v>
      </c>
      <c r="AI171" s="28" t="s">
        <v>113</v>
      </c>
      <c r="AJ171" s="27">
        <v>20296</v>
      </c>
      <c r="AK171" s="121" t="str">
        <f t="shared" si="62"/>
        <v/>
      </c>
      <c r="AL171" s="123" t="str">
        <f t="shared" si="45"/>
        <v/>
      </c>
      <c r="AM171" s="27"/>
      <c r="AN171" s="124"/>
      <c r="AO171" s="124"/>
      <c r="AP171" s="124"/>
      <c r="AQ171" s="124"/>
      <c r="AR171" s="124"/>
      <c r="AS171" s="124"/>
      <c r="AT171" s="124" t="s">
        <v>1938</v>
      </c>
      <c r="AU171" s="124" t="str">
        <f t="shared" si="49"/>
        <v/>
      </c>
      <c r="AV171" s="124" t="s">
        <v>2550</v>
      </c>
      <c r="AW171" s="117"/>
      <c r="AX171" s="138" t="str">
        <f t="shared" si="46"/>
        <v/>
      </c>
      <c r="AY171" s="31" t="str">
        <f>IF(C171&lt;&gt;"",CREATE_QUERY($D$1,C$2:AW$2,C171:AW171),"")</f>
        <v/>
      </c>
    </row>
    <row r="172" spans="1:51">
      <c r="A172" s="1">
        <v>70</v>
      </c>
      <c r="B172" s="121" t="str">
        <f t="shared" si="47"/>
        <v/>
      </c>
      <c r="C172" s="27" t="str">
        <f t="shared" si="36"/>
        <v/>
      </c>
      <c r="D172" s="121"/>
      <c r="E172" s="27">
        <v>252050</v>
      </c>
      <c r="F172" s="121"/>
      <c r="G172" s="121"/>
      <c r="H172" s="121"/>
      <c r="I172" s="121"/>
      <c r="J172" s="121"/>
      <c r="K172" s="27" t="str">
        <f t="shared" si="50"/>
        <v/>
      </c>
      <c r="L172" s="27">
        <v>1</v>
      </c>
      <c r="M172" s="27" t="str">
        <f t="shared" si="51"/>
        <v>0</v>
      </c>
      <c r="N172" s="121"/>
      <c r="O172" s="121"/>
      <c r="P172" s="27" t="str">
        <f t="shared" si="52"/>
        <v>0</v>
      </c>
      <c r="Q172" s="27" t="str">
        <f t="shared" si="53"/>
        <v>0</v>
      </c>
      <c r="R172" s="27" t="str">
        <f t="shared" si="54"/>
        <v>0</v>
      </c>
      <c r="S172" s="27" t="str">
        <f t="shared" si="55"/>
        <v>0</v>
      </c>
      <c r="T172" s="27" t="str">
        <f t="shared" si="56"/>
        <v>0</v>
      </c>
      <c r="U172" s="27" t="str">
        <f t="shared" si="57"/>
        <v>0</v>
      </c>
      <c r="V172" s="27" t="str">
        <f t="shared" si="58"/>
        <v>1</v>
      </c>
      <c r="W172" s="27"/>
      <c r="X172" s="27" t="str">
        <f t="shared" si="59"/>
        <v/>
      </c>
      <c r="Y172" s="27" t="str">
        <f t="shared" si="60"/>
        <v/>
      </c>
      <c r="Z172" s="27" t="str">
        <f t="shared" si="61"/>
        <v/>
      </c>
      <c r="AA172" s="121"/>
      <c r="AB172" s="121"/>
      <c r="AC172" s="121"/>
      <c r="AD172" s="121"/>
      <c r="AE172" s="121" t="s">
        <v>51</v>
      </c>
      <c r="AF172" s="121"/>
      <c r="AG172" s="121"/>
      <c r="AH172" s="28" t="s">
        <v>167</v>
      </c>
      <c r="AI172" s="28" t="s">
        <v>113</v>
      </c>
      <c r="AJ172" s="27">
        <v>20298</v>
      </c>
      <c r="AK172" s="121" t="str">
        <f t="shared" si="62"/>
        <v/>
      </c>
      <c r="AL172" s="123" t="str">
        <f t="shared" si="45"/>
        <v/>
      </c>
      <c r="AM172" s="27"/>
      <c r="AN172" s="124"/>
      <c r="AO172" s="124"/>
      <c r="AP172" s="124"/>
      <c r="AQ172" s="124"/>
      <c r="AR172" s="124"/>
      <c r="AS172" s="124"/>
      <c r="AT172" s="124" t="s">
        <v>1938</v>
      </c>
      <c r="AU172" s="124" t="str">
        <f t="shared" si="49"/>
        <v/>
      </c>
      <c r="AV172" s="124" t="s">
        <v>2551</v>
      </c>
      <c r="AW172" s="117"/>
      <c r="AX172" s="138" t="str">
        <f t="shared" si="46"/>
        <v/>
      </c>
      <c r="AY172" s="31" t="str">
        <f>IF(C172&lt;&gt;"",CREATE_QUERY($D$1,C$2:AW$2,C172:AW172),"")</f>
        <v/>
      </c>
    </row>
    <row r="173" spans="1:51">
      <c r="A173" s="1">
        <v>70</v>
      </c>
      <c r="B173" s="121" t="str">
        <f t="shared" si="47"/>
        <v/>
      </c>
      <c r="C173" s="27" t="str">
        <f t="shared" si="36"/>
        <v/>
      </c>
      <c r="D173" s="121"/>
      <c r="E173" s="27">
        <v>252051</v>
      </c>
      <c r="F173" s="121"/>
      <c r="G173" s="121"/>
      <c r="H173" s="121"/>
      <c r="I173" s="121"/>
      <c r="J173" s="121"/>
      <c r="K173" s="27" t="str">
        <f t="shared" si="50"/>
        <v/>
      </c>
      <c r="L173" s="27">
        <v>1</v>
      </c>
      <c r="M173" s="27" t="str">
        <f t="shared" si="51"/>
        <v>0</v>
      </c>
      <c r="N173" s="121"/>
      <c r="O173" s="121"/>
      <c r="P173" s="27" t="str">
        <f t="shared" si="52"/>
        <v>0</v>
      </c>
      <c r="Q173" s="27" t="str">
        <f t="shared" si="53"/>
        <v>0</v>
      </c>
      <c r="R173" s="27" t="str">
        <f t="shared" si="54"/>
        <v>0</v>
      </c>
      <c r="S173" s="27" t="str">
        <f t="shared" si="55"/>
        <v>0</v>
      </c>
      <c r="T173" s="27" t="str">
        <f t="shared" si="56"/>
        <v>0</v>
      </c>
      <c r="U173" s="27" t="str">
        <f t="shared" si="57"/>
        <v>0</v>
      </c>
      <c r="V173" s="27" t="str">
        <f t="shared" si="58"/>
        <v>1</v>
      </c>
      <c r="W173" s="27"/>
      <c r="X173" s="27" t="str">
        <f t="shared" si="59"/>
        <v/>
      </c>
      <c r="Y173" s="27" t="str">
        <f t="shared" si="60"/>
        <v/>
      </c>
      <c r="Z173" s="27" t="str">
        <f t="shared" si="61"/>
        <v/>
      </c>
      <c r="AA173" s="121"/>
      <c r="AB173" s="121"/>
      <c r="AC173" s="121"/>
      <c r="AD173" s="121"/>
      <c r="AE173" s="121" t="s">
        <v>51</v>
      </c>
      <c r="AF173" s="121"/>
      <c r="AG173" s="121"/>
      <c r="AH173" s="28" t="s">
        <v>167</v>
      </c>
      <c r="AI173" s="28" t="s">
        <v>113</v>
      </c>
      <c r="AJ173" s="27">
        <v>20300</v>
      </c>
      <c r="AK173" s="121" t="str">
        <f t="shared" si="62"/>
        <v/>
      </c>
      <c r="AL173" s="123" t="str">
        <f t="shared" si="45"/>
        <v/>
      </c>
      <c r="AM173" s="27"/>
      <c r="AN173" s="124"/>
      <c r="AO173" s="124"/>
      <c r="AP173" s="124"/>
      <c r="AQ173" s="124"/>
      <c r="AR173" s="124"/>
      <c r="AS173" s="124"/>
      <c r="AT173" s="124" t="s">
        <v>1938</v>
      </c>
      <c r="AU173" s="124" t="str">
        <f t="shared" si="49"/>
        <v/>
      </c>
      <c r="AV173" s="124" t="s">
        <v>2552</v>
      </c>
      <c r="AW173" s="117"/>
      <c r="AX173" s="138" t="str">
        <f t="shared" si="46"/>
        <v/>
      </c>
      <c r="AY173" s="31" t="str">
        <f>IF(C173&lt;&gt;"",CREATE_QUERY($D$1,C$2:AW$2,C173:AW173),"")</f>
        <v/>
      </c>
    </row>
    <row r="174" spans="1:51">
      <c r="A174" s="1">
        <v>70</v>
      </c>
      <c r="B174" s="121" t="str">
        <f t="shared" si="47"/>
        <v/>
      </c>
      <c r="C174" s="27" t="str">
        <f t="shared" si="36"/>
        <v/>
      </c>
      <c r="D174" s="121"/>
      <c r="E174" s="27"/>
      <c r="F174" s="121"/>
      <c r="G174" s="121"/>
      <c r="H174" s="121"/>
      <c r="I174" s="121"/>
      <c r="J174" s="121"/>
      <c r="K174" s="27" t="str">
        <f t="shared" si="50"/>
        <v/>
      </c>
      <c r="L174" s="27">
        <v>1</v>
      </c>
      <c r="M174" s="27" t="str">
        <f t="shared" si="51"/>
        <v>0</v>
      </c>
      <c r="N174" s="121"/>
      <c r="O174" s="121"/>
      <c r="P174" s="27" t="str">
        <f t="shared" si="52"/>
        <v>0</v>
      </c>
      <c r="Q174" s="27" t="str">
        <f t="shared" si="53"/>
        <v>0</v>
      </c>
      <c r="R174" s="27" t="str">
        <f t="shared" si="54"/>
        <v>0</v>
      </c>
      <c r="S174" s="27" t="str">
        <f t="shared" si="55"/>
        <v>0</v>
      </c>
      <c r="T174" s="27" t="str">
        <f t="shared" si="56"/>
        <v>0</v>
      </c>
      <c r="U174" s="27" t="str">
        <f t="shared" si="57"/>
        <v>0</v>
      </c>
      <c r="V174" s="27" t="str">
        <f t="shared" si="58"/>
        <v>1</v>
      </c>
      <c r="W174" s="27"/>
      <c r="X174" s="27" t="str">
        <f t="shared" si="59"/>
        <v/>
      </c>
      <c r="Y174" s="27" t="str">
        <f t="shared" si="60"/>
        <v/>
      </c>
      <c r="Z174" s="27" t="str">
        <f t="shared" si="61"/>
        <v/>
      </c>
      <c r="AA174" s="121"/>
      <c r="AB174" s="121"/>
      <c r="AC174" s="121"/>
      <c r="AD174" s="121"/>
      <c r="AE174" s="121" t="s">
        <v>51</v>
      </c>
      <c r="AF174" s="121"/>
      <c r="AG174" s="121"/>
      <c r="AH174" s="28" t="s">
        <v>167</v>
      </c>
      <c r="AI174" s="28" t="s">
        <v>113</v>
      </c>
      <c r="AJ174" s="27">
        <v>20302</v>
      </c>
      <c r="AK174" s="121" t="str">
        <f>IF(B190="","","0")</f>
        <v>0</v>
      </c>
      <c r="AL174" s="123" t="str">
        <f t="shared" si="45"/>
        <v/>
      </c>
      <c r="AM174" s="27"/>
      <c r="AN174" s="124"/>
      <c r="AO174" s="124"/>
      <c r="AP174" s="124"/>
      <c r="AQ174" s="124"/>
      <c r="AR174" s="124"/>
      <c r="AS174" s="124"/>
      <c r="AT174" s="124" t="s">
        <v>1938</v>
      </c>
      <c r="AU174" s="124" t="str">
        <f t="shared" si="49"/>
        <v/>
      </c>
      <c r="AV174" s="124" t="s">
        <v>2553</v>
      </c>
      <c r="AW174" s="117"/>
      <c r="AX174" s="138" t="str">
        <f t="shared" si="46"/>
        <v/>
      </c>
      <c r="AY174" s="31" t="str">
        <f>IF(C174&lt;&gt;"",CREATE_QUERY($D$1,C$2:AW$2,C174:AW174),"")</f>
        <v/>
      </c>
    </row>
    <row r="175" spans="1:51">
      <c r="A175" s="1">
        <v>70</v>
      </c>
      <c r="B175" s="121" t="str">
        <f t="shared" si="47"/>
        <v/>
      </c>
      <c r="C175" s="27" t="str">
        <f t="shared" si="36"/>
        <v/>
      </c>
      <c r="D175" s="121"/>
      <c r="E175" s="27"/>
      <c r="F175" s="121"/>
      <c r="G175" s="121"/>
      <c r="H175" s="121"/>
      <c r="I175" s="121"/>
      <c r="J175" s="121"/>
      <c r="K175" s="27" t="str">
        <f t="shared" si="50"/>
        <v/>
      </c>
      <c r="L175" s="27">
        <v>1</v>
      </c>
      <c r="M175" s="27" t="str">
        <f t="shared" si="51"/>
        <v>0</v>
      </c>
      <c r="N175" s="121"/>
      <c r="O175" s="121"/>
      <c r="P175" s="27" t="str">
        <f t="shared" si="52"/>
        <v>0</v>
      </c>
      <c r="Q175" s="27" t="str">
        <f t="shared" si="53"/>
        <v>0</v>
      </c>
      <c r="R175" s="27" t="str">
        <f t="shared" si="54"/>
        <v>0</v>
      </c>
      <c r="S175" s="27" t="str">
        <f t="shared" si="55"/>
        <v>0</v>
      </c>
      <c r="T175" s="27" t="str">
        <f t="shared" si="56"/>
        <v>0</v>
      </c>
      <c r="U175" s="27" t="str">
        <f t="shared" si="57"/>
        <v>0</v>
      </c>
      <c r="V175" s="27" t="str">
        <f t="shared" si="58"/>
        <v>1</v>
      </c>
      <c r="W175" s="27"/>
      <c r="X175" s="27" t="str">
        <f t="shared" si="59"/>
        <v/>
      </c>
      <c r="Y175" s="27" t="str">
        <f t="shared" si="60"/>
        <v/>
      </c>
      <c r="Z175" s="27" t="str">
        <f t="shared" si="61"/>
        <v/>
      </c>
      <c r="AA175" s="121"/>
      <c r="AB175" s="121"/>
      <c r="AC175" s="121"/>
      <c r="AD175" s="121"/>
      <c r="AE175" s="121" t="s">
        <v>51</v>
      </c>
      <c r="AF175" s="121"/>
      <c r="AG175" s="121"/>
      <c r="AH175" s="28"/>
      <c r="AI175" s="28"/>
      <c r="AJ175" s="28" t="s">
        <v>900</v>
      </c>
      <c r="AK175" s="121" t="str">
        <f t="shared" ref="AK175:AK264" si="63">IF(B176="","","0")</f>
        <v/>
      </c>
      <c r="AL175" s="123" t="str">
        <f t="shared" si="45"/>
        <v/>
      </c>
      <c r="AM175" s="27"/>
      <c r="AN175" s="124"/>
      <c r="AO175" s="124"/>
      <c r="AP175" s="124"/>
      <c r="AQ175" s="124"/>
      <c r="AR175" s="124"/>
      <c r="AS175" s="124"/>
      <c r="AT175" s="124"/>
      <c r="AU175" s="124" t="str">
        <f t="shared" si="49"/>
        <v/>
      </c>
      <c r="AV175" s="124"/>
      <c r="AW175" s="117"/>
      <c r="AX175" s="138" t="str">
        <f t="shared" si="46"/>
        <v/>
      </c>
      <c r="AY175" s="31" t="str">
        <f>IF(C175&lt;&gt;"",CREATE_QUERY($D$1,C$2:AW$2,C175:AW175),"")</f>
        <v/>
      </c>
    </row>
    <row r="176" spans="1:51">
      <c r="A176" s="1">
        <v>70</v>
      </c>
      <c r="B176" s="121" t="str">
        <f t="shared" si="47"/>
        <v/>
      </c>
      <c r="C176" s="27" t="str">
        <f t="shared" si="36"/>
        <v/>
      </c>
      <c r="D176" s="121"/>
      <c r="E176" s="27"/>
      <c r="F176" s="121"/>
      <c r="G176" s="121"/>
      <c r="H176" s="121"/>
      <c r="I176" s="121"/>
      <c r="J176" s="121"/>
      <c r="K176" s="27" t="str">
        <f t="shared" si="50"/>
        <v/>
      </c>
      <c r="L176" s="27">
        <v>1</v>
      </c>
      <c r="M176" s="27" t="str">
        <f t="shared" si="51"/>
        <v>0</v>
      </c>
      <c r="N176" s="121"/>
      <c r="O176" s="121"/>
      <c r="P176" s="27" t="str">
        <f t="shared" si="52"/>
        <v>0</v>
      </c>
      <c r="Q176" s="27" t="str">
        <f t="shared" si="53"/>
        <v>0</v>
      </c>
      <c r="R176" s="27" t="str">
        <f t="shared" si="54"/>
        <v>0</v>
      </c>
      <c r="S176" s="27" t="str">
        <f t="shared" si="55"/>
        <v>0</v>
      </c>
      <c r="T176" s="27" t="str">
        <f t="shared" si="56"/>
        <v>0</v>
      </c>
      <c r="U176" s="27" t="str">
        <f t="shared" si="57"/>
        <v>0</v>
      </c>
      <c r="V176" s="27" t="str">
        <f t="shared" si="58"/>
        <v>1</v>
      </c>
      <c r="W176" s="27"/>
      <c r="X176" s="27" t="str">
        <f t="shared" si="59"/>
        <v/>
      </c>
      <c r="Y176" s="27" t="str">
        <f t="shared" si="60"/>
        <v/>
      </c>
      <c r="Z176" s="27" t="str">
        <f t="shared" si="61"/>
        <v/>
      </c>
      <c r="AA176" s="121"/>
      <c r="AB176" s="121"/>
      <c r="AC176" s="121"/>
      <c r="AD176" s="121"/>
      <c r="AE176" s="121"/>
      <c r="AF176" s="121"/>
      <c r="AG176" s="121"/>
      <c r="AH176" s="28"/>
      <c r="AI176" s="28"/>
      <c r="AJ176" s="28" t="s">
        <v>900</v>
      </c>
      <c r="AK176" s="121" t="str">
        <f t="shared" si="63"/>
        <v>0</v>
      </c>
      <c r="AL176" s="123" t="str">
        <f t="shared" si="45"/>
        <v/>
      </c>
      <c r="AM176" s="27"/>
      <c r="AN176" s="124"/>
      <c r="AO176" s="124"/>
      <c r="AP176" s="124"/>
      <c r="AQ176" s="124"/>
      <c r="AR176" s="124"/>
      <c r="AS176" s="124"/>
      <c r="AT176" s="124"/>
      <c r="AU176" s="124" t="str">
        <f t="shared" si="49"/>
        <v/>
      </c>
      <c r="AV176" s="124"/>
      <c r="AW176" s="117"/>
      <c r="AX176" s="138" t="str">
        <f t="shared" si="46"/>
        <v/>
      </c>
      <c r="AY176" s="31" t="str">
        <f>IF(C176&lt;&gt;"",CREATE_QUERY($D$1,C$2:AW$2,C176:AW176),"")</f>
        <v/>
      </c>
    </row>
    <row r="177" spans="1:51">
      <c r="A177" s="1">
        <v>73</v>
      </c>
      <c r="B177" s="121" t="str">
        <f t="shared" si="47"/>
        <v xml:space="preserve">  └ 자재관리</v>
      </c>
      <c r="C177" s="27" t="str">
        <f t="shared" si="36"/>
        <v>14821</v>
      </c>
      <c r="D177" s="121"/>
      <c r="E177" s="25" t="s">
        <v>168</v>
      </c>
      <c r="F177" s="127" t="s">
        <v>135</v>
      </c>
      <c r="G177" s="127"/>
      <c r="H177" s="127"/>
      <c r="I177" s="127"/>
      <c r="J177" s="127"/>
      <c r="K177" s="25" t="str">
        <f t="shared" si="50"/>
        <v/>
      </c>
      <c r="L177" s="25">
        <v>1</v>
      </c>
      <c r="M177" s="25" t="str">
        <f t="shared" si="51"/>
        <v>0</v>
      </c>
      <c r="N177" s="127"/>
      <c r="O177" s="127"/>
      <c r="P177" s="25" t="str">
        <f t="shared" si="52"/>
        <v>0</v>
      </c>
      <c r="Q177" s="25" t="str">
        <f t="shared" si="53"/>
        <v>0</v>
      </c>
      <c r="R177" s="25" t="str">
        <f t="shared" si="54"/>
        <v>0</v>
      </c>
      <c r="S177" s="25" t="str">
        <f t="shared" si="55"/>
        <v>0</v>
      </c>
      <c r="T177" s="25" t="str">
        <f t="shared" si="56"/>
        <v>0</v>
      </c>
      <c r="U177" s="25" t="str">
        <f t="shared" si="57"/>
        <v>0</v>
      </c>
      <c r="V177" s="25" t="str">
        <f t="shared" si="58"/>
        <v>1</v>
      </c>
      <c r="W177" s="25"/>
      <c r="X177" s="25" t="str">
        <f t="shared" si="59"/>
        <v/>
      </c>
      <c r="Y177" s="25" t="str">
        <f t="shared" si="60"/>
        <v/>
      </c>
      <c r="Z177" s="25" t="str">
        <f t="shared" si="61"/>
        <v/>
      </c>
      <c r="AA177" s="127"/>
      <c r="AB177" s="127"/>
      <c r="AC177" s="127"/>
      <c r="AD177" s="127"/>
      <c r="AE177" s="127" t="s">
        <v>51</v>
      </c>
      <c r="AF177" s="127"/>
      <c r="AG177" s="127"/>
      <c r="AH177" s="24" t="s">
        <v>120</v>
      </c>
      <c r="AI177" s="24" t="s">
        <v>111</v>
      </c>
      <c r="AJ177" s="24">
        <v>30000</v>
      </c>
      <c r="AK177" s="121" t="str">
        <f t="shared" si="63"/>
        <v>0</v>
      </c>
      <c r="AL177" s="123" t="str">
        <f t="shared" si="45"/>
        <v>14821/자재관리//</v>
      </c>
      <c r="AM177" s="25"/>
      <c r="AN177" s="124"/>
      <c r="AO177" s="124"/>
      <c r="AP177" s="124" t="s">
        <v>1829</v>
      </c>
      <c r="AQ177" s="124" t="s">
        <v>1829</v>
      </c>
      <c r="AR177" s="124" t="s">
        <v>1829</v>
      </c>
      <c r="AS177" s="124"/>
      <c r="AT177" s="124" t="s">
        <v>1939</v>
      </c>
      <c r="AU177" s="124" t="str">
        <f t="shared" si="49"/>
        <v/>
      </c>
      <c r="AV177" s="124"/>
      <c r="AW177" s="117"/>
      <c r="AX177" s="138" t="str">
        <f t="shared" si="46"/>
        <v>delete from module_mst where pjt_id = '14821' and menu_id = '260000';</v>
      </c>
      <c r="AY177" s="31" t="str">
        <f>IF(C177&lt;&gt;"",CREATE_QUERY($D$1,C$2:AW$2,C177:AW177),"")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'260000', '자재관리', '', '', '', '', '', '1', '0', '', '', '0', '0', '0', '0', '0', '0', '1', '', '', '', '', '', '', '', '', 'N', '', '', '200000', '3', '30000', '0', '14821/자재관리//', '', '', '', 'Y', 'Y', 'Y', '', 'M', '', '');</v>
      </c>
    </row>
    <row r="178" spans="1:51">
      <c r="A178" s="1">
        <v>74</v>
      </c>
      <c r="B178" s="121" t="str">
        <f t="shared" si="47"/>
        <v xml:space="preserve">    └ 구매기준</v>
      </c>
      <c r="C178" s="27" t="str">
        <f t="shared" si="36"/>
        <v>14821</v>
      </c>
      <c r="D178" s="121"/>
      <c r="E178" s="21" t="s">
        <v>169</v>
      </c>
      <c r="F178" s="118" t="s">
        <v>170</v>
      </c>
      <c r="G178" s="118"/>
      <c r="H178" s="118"/>
      <c r="I178" s="118"/>
      <c r="J178" s="118"/>
      <c r="K178" s="21" t="str">
        <f t="shared" si="50"/>
        <v/>
      </c>
      <c r="L178" s="21">
        <v>1</v>
      </c>
      <c r="M178" s="21" t="str">
        <f t="shared" si="51"/>
        <v>0</v>
      </c>
      <c r="N178" s="118"/>
      <c r="O178" s="118"/>
      <c r="P178" s="21" t="str">
        <f t="shared" si="52"/>
        <v>0</v>
      </c>
      <c r="Q178" s="21" t="str">
        <f t="shared" si="53"/>
        <v>0</v>
      </c>
      <c r="R178" s="21" t="str">
        <f t="shared" si="54"/>
        <v>0</v>
      </c>
      <c r="S178" s="21" t="str">
        <f t="shared" si="55"/>
        <v>0</v>
      </c>
      <c r="T178" s="21" t="str">
        <f t="shared" si="56"/>
        <v>0</v>
      </c>
      <c r="U178" s="21" t="str">
        <f t="shared" si="57"/>
        <v>0</v>
      </c>
      <c r="V178" s="21" t="str">
        <f t="shared" si="58"/>
        <v>1</v>
      </c>
      <c r="W178" s="21"/>
      <c r="X178" s="21" t="str">
        <f t="shared" si="59"/>
        <v/>
      </c>
      <c r="Y178" s="21" t="str">
        <f t="shared" si="60"/>
        <v/>
      </c>
      <c r="Z178" s="21" t="str">
        <f t="shared" si="61"/>
        <v/>
      </c>
      <c r="AA178" s="118"/>
      <c r="AB178" s="118"/>
      <c r="AC178" s="118"/>
      <c r="AD178" s="118"/>
      <c r="AE178" s="118" t="s">
        <v>51</v>
      </c>
      <c r="AF178" s="118"/>
      <c r="AG178" s="118"/>
      <c r="AH178" s="26" t="s">
        <v>168</v>
      </c>
      <c r="AI178" s="26" t="s">
        <v>112</v>
      </c>
      <c r="AJ178" s="26">
        <v>30050</v>
      </c>
      <c r="AK178" s="121" t="str">
        <f t="shared" si="63"/>
        <v>0</v>
      </c>
      <c r="AL178" s="123" t="str">
        <f t="shared" si="45"/>
        <v>14821/구매기준//</v>
      </c>
      <c r="AM178" s="21"/>
      <c r="AN178" s="124"/>
      <c r="AO178" s="124"/>
      <c r="AP178" s="124" t="s">
        <v>1829</v>
      </c>
      <c r="AQ178" s="124" t="s">
        <v>1829</v>
      </c>
      <c r="AR178" s="124" t="s">
        <v>1829</v>
      </c>
      <c r="AS178" s="124"/>
      <c r="AT178" s="124" t="s">
        <v>1939</v>
      </c>
      <c r="AU178" s="124" t="str">
        <f t="shared" si="49"/>
        <v/>
      </c>
      <c r="AV178" s="124"/>
      <c r="AW178" s="117"/>
      <c r="AX178" s="138" t="str">
        <f t="shared" si="46"/>
        <v>delete from module_mst where pjt_id = '14821' and menu_id = '261000';</v>
      </c>
      <c r="AY178" s="31" t="str">
        <f>IF(C178&lt;&gt;"",CREATE_QUERY($D$1,C$2:AW$2,C178:AW178),"")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'261000', '구매기준', '', '', '', '', '', '1', '0', '', '', '0', '0', '0', '0', '0', '0', '1', '', '', '', '', '', '', '', '', 'N', '', '', '260000', '4', '30050', '0', '14821/구매기준//', '', '', '', 'Y', 'Y', 'Y', '', 'M', '', '');</v>
      </c>
    </row>
    <row r="179" spans="1:51">
      <c r="A179" s="1">
        <v>75</v>
      </c>
      <c r="B179" s="121" t="str">
        <f t="shared" si="47"/>
        <v xml:space="preserve">        └ 계약사항 관리</v>
      </c>
      <c r="C179" s="27" t="str">
        <f t="shared" si="36"/>
        <v>14821</v>
      </c>
      <c r="D179" s="121"/>
      <c r="E179" s="27">
        <v>261001</v>
      </c>
      <c r="F179" s="121" t="s">
        <v>166</v>
      </c>
      <c r="G179" s="121"/>
      <c r="H179" s="121"/>
      <c r="I179" s="121"/>
      <c r="J179" s="121"/>
      <c r="K179" s="27" t="str">
        <f t="shared" si="50"/>
        <v>1</v>
      </c>
      <c r="L179" s="27">
        <v>1</v>
      </c>
      <c r="M179" s="27" t="str">
        <f t="shared" si="51"/>
        <v>1</v>
      </c>
      <c r="N179" s="121" t="s">
        <v>145</v>
      </c>
      <c r="O179" s="121" t="s">
        <v>2933</v>
      </c>
      <c r="P179" s="27" t="str">
        <f t="shared" si="52"/>
        <v>1</v>
      </c>
      <c r="Q179" s="27" t="str">
        <f t="shared" si="53"/>
        <v>1</v>
      </c>
      <c r="R179" s="27" t="str">
        <f t="shared" si="54"/>
        <v>1</v>
      </c>
      <c r="S179" s="27" t="str">
        <f t="shared" si="55"/>
        <v>1</v>
      </c>
      <c r="T179" s="27" t="str">
        <f t="shared" si="56"/>
        <v>1</v>
      </c>
      <c r="U179" s="27" t="str">
        <f t="shared" si="57"/>
        <v>1</v>
      </c>
      <c r="V179" s="27" t="str">
        <f t="shared" si="58"/>
        <v>1</v>
      </c>
      <c r="W179" s="27"/>
      <c r="X179" s="27" t="str">
        <f t="shared" si="59"/>
        <v>0</v>
      </c>
      <c r="Y179" s="27" t="str">
        <f t="shared" si="60"/>
        <v>0</v>
      </c>
      <c r="Z179" s="27" t="str">
        <f t="shared" si="61"/>
        <v>0</v>
      </c>
      <c r="AA179" s="121"/>
      <c r="AB179" s="121"/>
      <c r="AC179" s="121"/>
      <c r="AD179" s="121"/>
      <c r="AE179" s="121" t="s">
        <v>51</v>
      </c>
      <c r="AF179" s="121"/>
      <c r="AG179" s="121"/>
      <c r="AH179" s="28" t="s">
        <v>169</v>
      </c>
      <c r="AI179" s="28" t="s">
        <v>113</v>
      </c>
      <c r="AJ179" s="28">
        <v>30100</v>
      </c>
      <c r="AK179" s="121" t="str">
        <f t="shared" ref="AK179:AK186" si="64">IF(B187="","","0")</f>
        <v/>
      </c>
      <c r="AL179" s="123" t="str">
        <f t="shared" si="45"/>
        <v>14821/계약사항 관리/item/ItemPrice</v>
      </c>
      <c r="AM179" s="27"/>
      <c r="AN179" s="124"/>
      <c r="AO179" s="124"/>
      <c r="AP179" s="124" t="s">
        <v>1829</v>
      </c>
      <c r="AQ179" s="124" t="s">
        <v>1829</v>
      </c>
      <c r="AR179" s="124" t="s">
        <v>1829</v>
      </c>
      <c r="AS179" s="124"/>
      <c r="AT179" s="124" t="s">
        <v>1939</v>
      </c>
      <c r="AU179" s="124" t="str">
        <f t="shared" si="49"/>
        <v>M261001</v>
      </c>
      <c r="AV179" s="124" t="s">
        <v>2646</v>
      </c>
      <c r="AW179" s="117" t="s">
        <v>1841</v>
      </c>
      <c r="AX179" s="138" t="str">
        <f t="shared" si="46"/>
        <v>delete from module_mst where pjt_id = '14821' and menu_id = '261001';</v>
      </c>
      <c r="AY179" s="31" t="str">
        <f>IF(C179&lt;&gt;"",CREATE_QUERY($D$1,C$2:AW$2,C179:AW179),"")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'261001', '계약사항 관리', '', '', '', '', '1', '1', '1', 'item', 'ItemPrice', '1', '1', '1', '1', '1', '1', '1', '', '0', '0', '0', '', '', '', '', 'N', '', '', '261000', '5', '30100', '', '14821/계약사항 관리/item/ItemPrice', '', '', '', 'Y', 'Y', 'Y', '', 'M', 'MES-TD3-301', '발주단가, 납기일자, 묶음단위.. 등 정보를 관리');</v>
      </c>
    </row>
    <row r="180" spans="1:51">
      <c r="A180" s="1">
        <v>75</v>
      </c>
      <c r="B180" s="121" t="str">
        <f t="shared" si="47"/>
        <v/>
      </c>
      <c r="C180" s="27" t="str">
        <f t="shared" si="36"/>
        <v/>
      </c>
      <c r="D180" s="121"/>
      <c r="E180" s="27">
        <v>261001</v>
      </c>
      <c r="F180" s="121"/>
      <c r="G180" s="121"/>
      <c r="H180" s="121"/>
      <c r="I180" s="121"/>
      <c r="J180" s="121"/>
      <c r="K180" s="27"/>
      <c r="L180" s="27"/>
      <c r="M180" s="27"/>
      <c r="N180" s="121"/>
      <c r="O180" s="121"/>
      <c r="P180" s="27" t="str">
        <f t="shared" si="52"/>
        <v>0</v>
      </c>
      <c r="Q180" s="27" t="str">
        <f t="shared" si="53"/>
        <v>0</v>
      </c>
      <c r="R180" s="27" t="str">
        <f t="shared" si="54"/>
        <v>0</v>
      </c>
      <c r="S180" s="27" t="str">
        <f t="shared" si="55"/>
        <v>0</v>
      </c>
      <c r="T180" s="27" t="str">
        <f t="shared" si="56"/>
        <v>0</v>
      </c>
      <c r="U180" s="27" t="str">
        <f t="shared" si="57"/>
        <v>0</v>
      </c>
      <c r="V180" s="27" t="str">
        <f t="shared" si="58"/>
        <v>1</v>
      </c>
      <c r="W180" s="27"/>
      <c r="X180" s="27" t="str">
        <f t="shared" si="59"/>
        <v/>
      </c>
      <c r="Y180" s="27" t="str">
        <f t="shared" si="60"/>
        <v/>
      </c>
      <c r="Z180" s="27" t="str">
        <f t="shared" si="61"/>
        <v/>
      </c>
      <c r="AA180" s="121"/>
      <c r="AB180" s="121"/>
      <c r="AC180" s="121"/>
      <c r="AD180" s="121"/>
      <c r="AE180" s="121" t="s">
        <v>51</v>
      </c>
      <c r="AF180" s="121"/>
      <c r="AG180" s="121"/>
      <c r="AH180" s="28" t="s">
        <v>169</v>
      </c>
      <c r="AI180" s="28" t="s">
        <v>113</v>
      </c>
      <c r="AJ180" s="28">
        <v>30100</v>
      </c>
      <c r="AK180" s="121" t="str">
        <f t="shared" si="64"/>
        <v>0</v>
      </c>
      <c r="AL180" s="123" t="str">
        <f t="shared" si="45"/>
        <v/>
      </c>
      <c r="AM180" s="27"/>
      <c r="AN180" s="124"/>
      <c r="AO180" s="124"/>
      <c r="AP180" s="124" t="s">
        <v>1829</v>
      </c>
      <c r="AQ180" s="124" t="s">
        <v>1829</v>
      </c>
      <c r="AR180" s="124" t="s">
        <v>1829</v>
      </c>
      <c r="AS180" s="124"/>
      <c r="AT180" s="124" t="s">
        <v>1939</v>
      </c>
      <c r="AU180" s="124" t="str">
        <f t="shared" si="49"/>
        <v/>
      </c>
      <c r="AV180" s="124" t="s">
        <v>2647</v>
      </c>
      <c r="AW180" s="117"/>
      <c r="AX180" s="138" t="str">
        <f t="shared" si="46"/>
        <v/>
      </c>
      <c r="AY180" s="31" t="str">
        <f>IF(C180&lt;&gt;"",CREATE_QUERY($D$1,C$2:AW$2,C180:AW180),"")</f>
        <v/>
      </c>
    </row>
    <row r="181" spans="1:51">
      <c r="A181" s="1">
        <v>75</v>
      </c>
      <c r="B181" s="121" t="str">
        <f t="shared" si="47"/>
        <v/>
      </c>
      <c r="C181" s="27" t="str">
        <f t="shared" si="36"/>
        <v/>
      </c>
      <c r="D181" s="121"/>
      <c r="E181" s="27">
        <v>261001</v>
      </c>
      <c r="F181" s="121"/>
      <c r="G181" s="121"/>
      <c r="H181" s="121"/>
      <c r="I181" s="121"/>
      <c r="J181" s="121"/>
      <c r="K181" s="27"/>
      <c r="L181" s="27"/>
      <c r="M181" s="27"/>
      <c r="N181" s="121"/>
      <c r="O181" s="121"/>
      <c r="P181" s="27" t="str">
        <f t="shared" si="52"/>
        <v>0</v>
      </c>
      <c r="Q181" s="27" t="str">
        <f t="shared" si="53"/>
        <v>0</v>
      </c>
      <c r="R181" s="27" t="str">
        <f t="shared" si="54"/>
        <v>0</v>
      </c>
      <c r="S181" s="27" t="str">
        <f t="shared" si="55"/>
        <v>0</v>
      </c>
      <c r="T181" s="27" t="str">
        <f t="shared" si="56"/>
        <v>0</v>
      </c>
      <c r="U181" s="27" t="str">
        <f t="shared" si="57"/>
        <v>0</v>
      </c>
      <c r="V181" s="27" t="str">
        <f t="shared" si="58"/>
        <v>1</v>
      </c>
      <c r="W181" s="27"/>
      <c r="X181" s="27" t="str">
        <f t="shared" si="59"/>
        <v/>
      </c>
      <c r="Y181" s="27" t="str">
        <f t="shared" si="60"/>
        <v/>
      </c>
      <c r="Z181" s="27" t="str">
        <f t="shared" si="61"/>
        <v/>
      </c>
      <c r="AA181" s="121"/>
      <c r="AB181" s="121"/>
      <c r="AC181" s="121"/>
      <c r="AD181" s="121"/>
      <c r="AE181" s="121" t="s">
        <v>51</v>
      </c>
      <c r="AF181" s="121"/>
      <c r="AG181" s="121"/>
      <c r="AH181" s="28" t="s">
        <v>169</v>
      </c>
      <c r="AI181" s="28" t="s">
        <v>113</v>
      </c>
      <c r="AJ181" s="28">
        <v>30100</v>
      </c>
      <c r="AK181" s="121" t="str">
        <f t="shared" si="64"/>
        <v>0</v>
      </c>
      <c r="AL181" s="123" t="str">
        <f t="shared" si="45"/>
        <v/>
      </c>
      <c r="AM181" s="27"/>
      <c r="AN181" s="124"/>
      <c r="AO181" s="124"/>
      <c r="AP181" s="124" t="s">
        <v>1829</v>
      </c>
      <c r="AQ181" s="124" t="s">
        <v>1829</v>
      </c>
      <c r="AR181" s="124" t="s">
        <v>1829</v>
      </c>
      <c r="AS181" s="124"/>
      <c r="AT181" s="124" t="s">
        <v>1939</v>
      </c>
      <c r="AU181" s="124" t="str">
        <f t="shared" si="49"/>
        <v/>
      </c>
      <c r="AV181" s="124" t="s">
        <v>2554</v>
      </c>
      <c r="AW181" s="117"/>
      <c r="AX181" s="138" t="str">
        <f t="shared" si="46"/>
        <v/>
      </c>
      <c r="AY181" s="31" t="str">
        <f>IF(C181&lt;&gt;"",CREATE_QUERY($D$1,C$2:AW$2,C181:AW181),"")</f>
        <v/>
      </c>
    </row>
    <row r="182" spans="1:51">
      <c r="A182" s="1">
        <v>75</v>
      </c>
      <c r="B182" s="121" t="str">
        <f t="shared" si="47"/>
        <v/>
      </c>
      <c r="C182" s="27" t="str">
        <f t="shared" si="36"/>
        <v/>
      </c>
      <c r="D182" s="121"/>
      <c r="E182" s="27">
        <v>261001</v>
      </c>
      <c r="F182" s="121"/>
      <c r="G182" s="121"/>
      <c r="H182" s="121"/>
      <c r="I182" s="121"/>
      <c r="J182" s="121"/>
      <c r="K182" s="27"/>
      <c r="L182" s="27"/>
      <c r="M182" s="27"/>
      <c r="N182" s="121"/>
      <c r="O182" s="121"/>
      <c r="P182" s="27" t="str">
        <f t="shared" si="52"/>
        <v>0</v>
      </c>
      <c r="Q182" s="27" t="str">
        <f t="shared" si="53"/>
        <v>0</v>
      </c>
      <c r="R182" s="27" t="str">
        <f t="shared" si="54"/>
        <v>0</v>
      </c>
      <c r="S182" s="27" t="str">
        <f t="shared" si="55"/>
        <v>0</v>
      </c>
      <c r="T182" s="27" t="str">
        <f t="shared" si="56"/>
        <v>0</v>
      </c>
      <c r="U182" s="27" t="str">
        <f t="shared" si="57"/>
        <v>0</v>
      </c>
      <c r="V182" s="27" t="str">
        <f t="shared" si="58"/>
        <v>1</v>
      </c>
      <c r="W182" s="27"/>
      <c r="X182" s="27" t="str">
        <f t="shared" si="59"/>
        <v/>
      </c>
      <c r="Y182" s="27" t="str">
        <f t="shared" si="60"/>
        <v/>
      </c>
      <c r="Z182" s="27" t="str">
        <f t="shared" si="61"/>
        <v/>
      </c>
      <c r="AA182" s="121"/>
      <c r="AB182" s="121"/>
      <c r="AC182" s="121"/>
      <c r="AD182" s="121"/>
      <c r="AE182" s="121" t="s">
        <v>51</v>
      </c>
      <c r="AF182" s="121"/>
      <c r="AG182" s="121"/>
      <c r="AH182" s="28" t="s">
        <v>169</v>
      </c>
      <c r="AI182" s="28" t="s">
        <v>113</v>
      </c>
      <c r="AJ182" s="28">
        <v>30100</v>
      </c>
      <c r="AK182" s="121" t="str">
        <f t="shared" si="64"/>
        <v>0</v>
      </c>
      <c r="AL182" s="123" t="str">
        <f t="shared" si="45"/>
        <v/>
      </c>
      <c r="AM182" s="27"/>
      <c r="AN182" s="124"/>
      <c r="AO182" s="124"/>
      <c r="AP182" s="124" t="s">
        <v>1829</v>
      </c>
      <c r="AQ182" s="124" t="s">
        <v>1829</v>
      </c>
      <c r="AR182" s="124" t="s">
        <v>1829</v>
      </c>
      <c r="AS182" s="124"/>
      <c r="AT182" s="124" t="s">
        <v>1939</v>
      </c>
      <c r="AU182" s="124" t="str">
        <f t="shared" si="49"/>
        <v/>
      </c>
      <c r="AV182" s="124" t="s">
        <v>2555</v>
      </c>
      <c r="AW182" s="117"/>
      <c r="AX182" s="138" t="str">
        <f t="shared" si="46"/>
        <v/>
      </c>
      <c r="AY182" s="31" t="str">
        <f>IF(C182&lt;&gt;"",CREATE_QUERY($D$1,C$2:AW$2,C182:AW182),"")</f>
        <v/>
      </c>
    </row>
    <row r="183" spans="1:51">
      <c r="A183" s="1">
        <v>75</v>
      </c>
      <c r="B183" s="121" t="str">
        <f t="shared" si="47"/>
        <v/>
      </c>
      <c r="C183" s="27" t="str">
        <f t="shared" si="36"/>
        <v/>
      </c>
      <c r="D183" s="121"/>
      <c r="E183" s="27">
        <v>261001</v>
      </c>
      <c r="F183" s="121"/>
      <c r="G183" s="121"/>
      <c r="H183" s="121"/>
      <c r="I183" s="121"/>
      <c r="J183" s="121"/>
      <c r="K183" s="27"/>
      <c r="L183" s="27"/>
      <c r="M183" s="27"/>
      <c r="N183" s="121"/>
      <c r="O183" s="121"/>
      <c r="P183" s="27" t="str">
        <f t="shared" si="52"/>
        <v>0</v>
      </c>
      <c r="Q183" s="27" t="str">
        <f t="shared" si="53"/>
        <v>0</v>
      </c>
      <c r="R183" s="27" t="str">
        <f t="shared" si="54"/>
        <v>0</v>
      </c>
      <c r="S183" s="27" t="str">
        <f t="shared" si="55"/>
        <v>0</v>
      </c>
      <c r="T183" s="27" t="str">
        <f t="shared" si="56"/>
        <v>0</v>
      </c>
      <c r="U183" s="27" t="str">
        <f t="shared" si="57"/>
        <v>0</v>
      </c>
      <c r="V183" s="27" t="str">
        <f t="shared" si="58"/>
        <v>1</v>
      </c>
      <c r="W183" s="27"/>
      <c r="X183" s="27" t="str">
        <f t="shared" si="59"/>
        <v/>
      </c>
      <c r="Y183" s="27" t="str">
        <f t="shared" si="60"/>
        <v/>
      </c>
      <c r="Z183" s="27" t="str">
        <f t="shared" si="61"/>
        <v/>
      </c>
      <c r="AA183" s="121"/>
      <c r="AB183" s="121"/>
      <c r="AC183" s="121"/>
      <c r="AD183" s="121"/>
      <c r="AE183" s="121" t="s">
        <v>51</v>
      </c>
      <c r="AF183" s="121"/>
      <c r="AG183" s="121"/>
      <c r="AH183" s="28" t="s">
        <v>169</v>
      </c>
      <c r="AI183" s="28" t="s">
        <v>113</v>
      </c>
      <c r="AJ183" s="28">
        <v>30100</v>
      </c>
      <c r="AK183" s="121" t="str">
        <f t="shared" si="64"/>
        <v>0</v>
      </c>
      <c r="AL183" s="123" t="str">
        <f t="shared" si="45"/>
        <v/>
      </c>
      <c r="AM183" s="27"/>
      <c r="AN183" s="124"/>
      <c r="AO183" s="124"/>
      <c r="AP183" s="124" t="s">
        <v>1829</v>
      </c>
      <c r="AQ183" s="124" t="s">
        <v>1829</v>
      </c>
      <c r="AR183" s="124" t="s">
        <v>1829</v>
      </c>
      <c r="AS183" s="124"/>
      <c r="AT183" s="124" t="s">
        <v>1939</v>
      </c>
      <c r="AU183" s="124" t="str">
        <f t="shared" si="49"/>
        <v/>
      </c>
      <c r="AV183" s="124" t="s">
        <v>2556</v>
      </c>
      <c r="AW183" s="117"/>
      <c r="AX183" s="138" t="str">
        <f t="shared" si="46"/>
        <v/>
      </c>
      <c r="AY183" s="31" t="str">
        <f>IF(C183&lt;&gt;"",CREATE_QUERY($D$1,C$2:AW$2,C183:AW183),"")</f>
        <v/>
      </c>
    </row>
    <row r="184" spans="1:51">
      <c r="A184" s="1">
        <v>75</v>
      </c>
      <c r="B184" s="121" t="str">
        <f t="shared" si="47"/>
        <v/>
      </c>
      <c r="C184" s="27" t="str">
        <f t="shared" si="36"/>
        <v/>
      </c>
      <c r="D184" s="121"/>
      <c r="E184" s="27">
        <v>261001</v>
      </c>
      <c r="F184" s="121"/>
      <c r="G184" s="121"/>
      <c r="H184" s="121"/>
      <c r="I184" s="121"/>
      <c r="J184" s="121"/>
      <c r="K184" s="27"/>
      <c r="L184" s="27"/>
      <c r="M184" s="27"/>
      <c r="N184" s="121"/>
      <c r="O184" s="121"/>
      <c r="P184" s="27" t="str">
        <f t="shared" si="52"/>
        <v>0</v>
      </c>
      <c r="Q184" s="27" t="str">
        <f t="shared" si="53"/>
        <v>0</v>
      </c>
      <c r="R184" s="27" t="str">
        <f t="shared" si="54"/>
        <v>0</v>
      </c>
      <c r="S184" s="27" t="str">
        <f t="shared" si="55"/>
        <v>0</v>
      </c>
      <c r="T184" s="27" t="str">
        <f t="shared" si="56"/>
        <v>0</v>
      </c>
      <c r="U184" s="27" t="str">
        <f t="shared" si="57"/>
        <v>0</v>
      </c>
      <c r="V184" s="27" t="str">
        <f t="shared" si="58"/>
        <v>1</v>
      </c>
      <c r="W184" s="27"/>
      <c r="X184" s="27" t="str">
        <f t="shared" si="59"/>
        <v/>
      </c>
      <c r="Y184" s="27" t="str">
        <f t="shared" si="60"/>
        <v/>
      </c>
      <c r="Z184" s="27" t="str">
        <f t="shared" si="61"/>
        <v/>
      </c>
      <c r="AA184" s="121"/>
      <c r="AB184" s="121"/>
      <c r="AC184" s="121"/>
      <c r="AD184" s="121"/>
      <c r="AE184" s="121" t="s">
        <v>51</v>
      </c>
      <c r="AF184" s="121"/>
      <c r="AG184" s="121"/>
      <c r="AH184" s="28" t="s">
        <v>169</v>
      </c>
      <c r="AI184" s="28" t="s">
        <v>113</v>
      </c>
      <c r="AJ184" s="28">
        <v>30100</v>
      </c>
      <c r="AK184" s="121" t="str">
        <f t="shared" si="64"/>
        <v>0</v>
      </c>
      <c r="AL184" s="123" t="str">
        <f t="shared" si="45"/>
        <v/>
      </c>
      <c r="AM184" s="27"/>
      <c r="AN184" s="124"/>
      <c r="AO184" s="124"/>
      <c r="AP184" s="124" t="s">
        <v>1829</v>
      </c>
      <c r="AQ184" s="124" t="s">
        <v>1829</v>
      </c>
      <c r="AR184" s="124" t="s">
        <v>1829</v>
      </c>
      <c r="AS184" s="124"/>
      <c r="AT184" s="124" t="s">
        <v>1939</v>
      </c>
      <c r="AU184" s="124" t="str">
        <f t="shared" si="49"/>
        <v/>
      </c>
      <c r="AV184" s="124" t="s">
        <v>2557</v>
      </c>
      <c r="AW184" s="117"/>
      <c r="AX184" s="138" t="str">
        <f t="shared" si="46"/>
        <v/>
      </c>
      <c r="AY184" s="31" t="str">
        <f>IF(C184&lt;&gt;"",CREATE_QUERY($D$1,C$2:AW$2,C184:AW184),"")</f>
        <v/>
      </c>
    </row>
    <row r="185" spans="1:51">
      <c r="A185" s="1">
        <v>75</v>
      </c>
      <c r="B185" s="121" t="str">
        <f t="shared" si="47"/>
        <v/>
      </c>
      <c r="C185" s="27" t="str">
        <f t="shared" si="36"/>
        <v/>
      </c>
      <c r="D185" s="121"/>
      <c r="E185" s="27">
        <v>261001</v>
      </c>
      <c r="F185" s="121"/>
      <c r="G185" s="121"/>
      <c r="H185" s="121"/>
      <c r="I185" s="121"/>
      <c r="J185" s="121"/>
      <c r="K185" s="27"/>
      <c r="L185" s="27"/>
      <c r="M185" s="27"/>
      <c r="N185" s="121"/>
      <c r="O185" s="121"/>
      <c r="P185" s="27" t="str">
        <f t="shared" si="52"/>
        <v>0</v>
      </c>
      <c r="Q185" s="27" t="str">
        <f t="shared" si="53"/>
        <v>0</v>
      </c>
      <c r="R185" s="27" t="str">
        <f t="shared" si="54"/>
        <v>0</v>
      </c>
      <c r="S185" s="27" t="str">
        <f t="shared" si="55"/>
        <v>0</v>
      </c>
      <c r="T185" s="27" t="str">
        <f t="shared" si="56"/>
        <v>0</v>
      </c>
      <c r="U185" s="27" t="str">
        <f t="shared" si="57"/>
        <v>0</v>
      </c>
      <c r="V185" s="27" t="str">
        <f t="shared" si="58"/>
        <v>1</v>
      </c>
      <c r="W185" s="27"/>
      <c r="X185" s="27" t="str">
        <f t="shared" si="59"/>
        <v/>
      </c>
      <c r="Y185" s="27" t="str">
        <f t="shared" si="60"/>
        <v/>
      </c>
      <c r="Z185" s="27" t="str">
        <f t="shared" si="61"/>
        <v/>
      </c>
      <c r="AA185" s="121"/>
      <c r="AB185" s="121"/>
      <c r="AC185" s="121"/>
      <c r="AD185" s="121"/>
      <c r="AE185" s="121" t="s">
        <v>51</v>
      </c>
      <c r="AF185" s="121"/>
      <c r="AG185" s="121"/>
      <c r="AH185" s="28" t="s">
        <v>169</v>
      </c>
      <c r="AI185" s="28" t="s">
        <v>113</v>
      </c>
      <c r="AJ185" s="28">
        <v>30100</v>
      </c>
      <c r="AK185" s="121" t="str">
        <f t="shared" si="64"/>
        <v>0</v>
      </c>
      <c r="AL185" s="123" t="str">
        <f t="shared" si="45"/>
        <v/>
      </c>
      <c r="AM185" s="27"/>
      <c r="AN185" s="124"/>
      <c r="AO185" s="124"/>
      <c r="AP185" s="124" t="s">
        <v>1829</v>
      </c>
      <c r="AQ185" s="124" t="s">
        <v>1829</v>
      </c>
      <c r="AR185" s="124" t="s">
        <v>1829</v>
      </c>
      <c r="AS185" s="124"/>
      <c r="AT185" s="124" t="s">
        <v>1939</v>
      </c>
      <c r="AU185" s="124" t="str">
        <f t="shared" si="49"/>
        <v/>
      </c>
      <c r="AV185" s="124" t="s">
        <v>2558</v>
      </c>
      <c r="AW185" s="117"/>
      <c r="AX185" s="138" t="str">
        <f t="shared" si="46"/>
        <v/>
      </c>
      <c r="AY185" s="31" t="str">
        <f>IF(C185&lt;&gt;"",CREATE_QUERY($D$1,C$2:AW$2,C185:AW185),"")</f>
        <v/>
      </c>
    </row>
    <row r="186" spans="1:51">
      <c r="A186" s="1">
        <v>75</v>
      </c>
      <c r="B186" s="121" t="str">
        <f t="shared" si="47"/>
        <v/>
      </c>
      <c r="C186" s="27" t="str">
        <f t="shared" si="36"/>
        <v/>
      </c>
      <c r="D186" s="121"/>
      <c r="E186" s="27">
        <v>261001</v>
      </c>
      <c r="F186" s="121"/>
      <c r="G186" s="121"/>
      <c r="H186" s="121"/>
      <c r="I186" s="121"/>
      <c r="J186" s="121"/>
      <c r="K186" s="27"/>
      <c r="L186" s="27"/>
      <c r="M186" s="27"/>
      <c r="N186" s="121"/>
      <c r="O186" s="121"/>
      <c r="P186" s="27" t="str">
        <f t="shared" si="52"/>
        <v>0</v>
      </c>
      <c r="Q186" s="27" t="str">
        <f t="shared" si="53"/>
        <v>0</v>
      </c>
      <c r="R186" s="27" t="str">
        <f t="shared" si="54"/>
        <v>0</v>
      </c>
      <c r="S186" s="27" t="str">
        <f t="shared" si="55"/>
        <v>0</v>
      </c>
      <c r="T186" s="27" t="str">
        <f t="shared" si="56"/>
        <v>0</v>
      </c>
      <c r="U186" s="27" t="str">
        <f t="shared" si="57"/>
        <v>0</v>
      </c>
      <c r="V186" s="27" t="str">
        <f t="shared" si="58"/>
        <v>1</v>
      </c>
      <c r="W186" s="27"/>
      <c r="X186" s="27" t="str">
        <f t="shared" si="59"/>
        <v/>
      </c>
      <c r="Y186" s="27" t="str">
        <f t="shared" si="60"/>
        <v/>
      </c>
      <c r="Z186" s="27" t="str">
        <f t="shared" si="61"/>
        <v/>
      </c>
      <c r="AA186" s="121"/>
      <c r="AB186" s="121"/>
      <c r="AC186" s="121"/>
      <c r="AD186" s="121"/>
      <c r="AE186" s="121" t="s">
        <v>51</v>
      </c>
      <c r="AF186" s="121"/>
      <c r="AG186" s="121"/>
      <c r="AH186" s="28" t="s">
        <v>169</v>
      </c>
      <c r="AI186" s="28" t="s">
        <v>113</v>
      </c>
      <c r="AJ186" s="28">
        <v>30100</v>
      </c>
      <c r="AK186" s="121" t="str">
        <f t="shared" si="64"/>
        <v>0</v>
      </c>
      <c r="AL186" s="123" t="str">
        <f t="shared" si="45"/>
        <v/>
      </c>
      <c r="AM186" s="27"/>
      <c r="AN186" s="124"/>
      <c r="AO186" s="124"/>
      <c r="AP186" s="124" t="s">
        <v>1829</v>
      </c>
      <c r="AQ186" s="124" t="s">
        <v>1829</v>
      </c>
      <c r="AR186" s="124" t="s">
        <v>1829</v>
      </c>
      <c r="AS186" s="124"/>
      <c r="AT186" s="124" t="s">
        <v>1939</v>
      </c>
      <c r="AU186" s="124" t="str">
        <f t="shared" si="49"/>
        <v/>
      </c>
      <c r="AV186" s="124" t="s">
        <v>2559</v>
      </c>
      <c r="AW186" s="117"/>
      <c r="AX186" s="138" t="str">
        <f t="shared" si="46"/>
        <v/>
      </c>
      <c r="AY186" s="31" t="str">
        <f>IF(C186&lt;&gt;"",CREATE_QUERY($D$1,C$2:AW$2,C186:AW186),"")</f>
        <v/>
      </c>
    </row>
    <row r="187" spans="1:51">
      <c r="A187" s="1">
        <v>76</v>
      </c>
      <c r="B187" s="121" t="str">
        <f t="shared" si="47"/>
        <v/>
      </c>
      <c r="C187" s="27" t="str">
        <f t="shared" si="36"/>
        <v/>
      </c>
      <c r="D187" s="121"/>
      <c r="E187" s="27"/>
      <c r="F187" s="121"/>
      <c r="G187" s="121"/>
      <c r="H187" s="121"/>
      <c r="I187" s="121"/>
      <c r="J187" s="121"/>
      <c r="K187" s="27" t="str">
        <f t="shared" si="50"/>
        <v/>
      </c>
      <c r="L187" s="27">
        <v>1</v>
      </c>
      <c r="M187" s="27" t="str">
        <f t="shared" si="51"/>
        <v>0</v>
      </c>
      <c r="N187" s="121"/>
      <c r="O187" s="121"/>
      <c r="P187" s="27" t="str">
        <f t="shared" si="52"/>
        <v>0</v>
      </c>
      <c r="Q187" s="27" t="str">
        <f t="shared" si="53"/>
        <v>0</v>
      </c>
      <c r="R187" s="27" t="str">
        <f t="shared" si="54"/>
        <v>0</v>
      </c>
      <c r="S187" s="27" t="str">
        <f t="shared" si="55"/>
        <v>0</v>
      </c>
      <c r="T187" s="27" t="str">
        <f t="shared" si="56"/>
        <v>0</v>
      </c>
      <c r="U187" s="27" t="str">
        <f t="shared" si="57"/>
        <v>0</v>
      </c>
      <c r="V187" s="27" t="str">
        <f t="shared" si="58"/>
        <v>1</v>
      </c>
      <c r="W187" s="27"/>
      <c r="X187" s="27" t="str">
        <f t="shared" si="59"/>
        <v/>
      </c>
      <c r="Y187" s="27" t="str">
        <f t="shared" si="60"/>
        <v/>
      </c>
      <c r="Z187" s="27" t="str">
        <f t="shared" si="61"/>
        <v/>
      </c>
      <c r="AA187" s="121"/>
      <c r="AB187" s="121"/>
      <c r="AC187" s="121"/>
      <c r="AD187" s="121"/>
      <c r="AE187" s="121"/>
      <c r="AF187" s="121"/>
      <c r="AG187" s="121"/>
      <c r="AH187" s="27"/>
      <c r="AI187" s="27"/>
      <c r="AJ187" s="27" t="s">
        <v>900</v>
      </c>
      <c r="AK187" s="121" t="str">
        <f t="shared" si="63"/>
        <v>0</v>
      </c>
      <c r="AL187" s="123" t="str">
        <f t="shared" si="45"/>
        <v/>
      </c>
      <c r="AM187" s="27"/>
      <c r="AN187" s="124"/>
      <c r="AO187" s="124"/>
      <c r="AP187" s="124"/>
      <c r="AQ187" s="124"/>
      <c r="AR187" s="124"/>
      <c r="AS187" s="124"/>
      <c r="AT187" s="124"/>
      <c r="AU187" s="124" t="str">
        <f t="shared" si="49"/>
        <v/>
      </c>
      <c r="AV187" s="124"/>
      <c r="AW187" s="117"/>
      <c r="AX187" s="138" t="str">
        <f t="shared" si="46"/>
        <v/>
      </c>
      <c r="AY187" s="31" t="str">
        <f>IF(C187&lt;&gt;"",CREATE_QUERY($D$1,C$2:AW$2,C187:AW187),"")</f>
        <v/>
      </c>
    </row>
    <row r="188" spans="1:51">
      <c r="A188" s="1">
        <v>77</v>
      </c>
      <c r="B188" s="121" t="str">
        <f t="shared" si="47"/>
        <v xml:space="preserve">    └ 구매</v>
      </c>
      <c r="C188" s="27" t="str">
        <f t="shared" si="36"/>
        <v>14821</v>
      </c>
      <c r="D188" s="121"/>
      <c r="E188" s="21" t="s">
        <v>171</v>
      </c>
      <c r="F188" s="118" t="s">
        <v>137</v>
      </c>
      <c r="G188" s="118"/>
      <c r="H188" s="118"/>
      <c r="I188" s="118"/>
      <c r="J188" s="118"/>
      <c r="K188" s="21" t="str">
        <f t="shared" si="50"/>
        <v/>
      </c>
      <c r="L188" s="21">
        <v>1</v>
      </c>
      <c r="M188" s="21" t="str">
        <f t="shared" si="51"/>
        <v>0</v>
      </c>
      <c r="N188" s="118"/>
      <c r="O188" s="118"/>
      <c r="P188" s="21" t="str">
        <f t="shared" si="52"/>
        <v>0</v>
      </c>
      <c r="Q188" s="21" t="str">
        <f t="shared" si="53"/>
        <v>0</v>
      </c>
      <c r="R188" s="21" t="str">
        <f t="shared" si="54"/>
        <v>0</v>
      </c>
      <c r="S188" s="21" t="str">
        <f t="shared" si="55"/>
        <v>0</v>
      </c>
      <c r="T188" s="21" t="str">
        <f t="shared" si="56"/>
        <v>0</v>
      </c>
      <c r="U188" s="21" t="str">
        <f t="shared" si="57"/>
        <v>0</v>
      </c>
      <c r="V188" s="21" t="str">
        <f t="shared" si="58"/>
        <v>1</v>
      </c>
      <c r="W188" s="21"/>
      <c r="X188" s="21" t="str">
        <f t="shared" si="59"/>
        <v/>
      </c>
      <c r="Y188" s="21" t="str">
        <f t="shared" si="60"/>
        <v/>
      </c>
      <c r="Z188" s="21" t="str">
        <f t="shared" si="61"/>
        <v/>
      </c>
      <c r="AA188" s="118"/>
      <c r="AB188" s="118"/>
      <c r="AC188" s="118"/>
      <c r="AD188" s="118"/>
      <c r="AE188" s="118" t="s">
        <v>51</v>
      </c>
      <c r="AF188" s="118"/>
      <c r="AG188" s="118"/>
      <c r="AH188" s="26" t="s">
        <v>168</v>
      </c>
      <c r="AI188" s="26" t="s">
        <v>112</v>
      </c>
      <c r="AJ188" s="26">
        <v>30150</v>
      </c>
      <c r="AK188" s="121" t="str">
        <f t="shared" si="63"/>
        <v>0</v>
      </c>
      <c r="AL188" s="123" t="str">
        <f t="shared" si="45"/>
        <v>14821/구매//</v>
      </c>
      <c r="AM188" s="21"/>
      <c r="AN188" s="124"/>
      <c r="AO188" s="124" t="s">
        <v>1829</v>
      </c>
      <c r="AP188" s="124" t="s">
        <v>1829</v>
      </c>
      <c r="AQ188" s="124" t="s">
        <v>1829</v>
      </c>
      <c r="AR188" s="124" t="s">
        <v>1829</v>
      </c>
      <c r="AS188" s="124"/>
      <c r="AT188" s="124" t="s">
        <v>1939</v>
      </c>
      <c r="AU188" s="124" t="str">
        <f t="shared" si="49"/>
        <v/>
      </c>
      <c r="AV188" s="124"/>
      <c r="AW188" s="117"/>
      <c r="AX188" s="138" t="str">
        <f t="shared" si="46"/>
        <v>delete from module_mst where pjt_id = '14821' and menu_id = '262000';</v>
      </c>
      <c r="AY188" s="31" t="str">
        <f>IF(C188&lt;&gt;"",CREATE_QUERY($D$1,C$2:AW$2,C188:AW188),"")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'262000', '구매', '', '', '', '', '', '1', '0', '', '', '0', '0', '0', '0', '0', '0', '1', '', '', '', '', '', '', '', '', 'N', '', '', '260000', '4', '30150', '0', '14821/구매//', '', '', 'Y', 'Y', 'Y', 'Y', '', 'M', '', '');</v>
      </c>
    </row>
    <row r="189" spans="1:51" ht="26">
      <c r="A189" s="1">
        <v>78</v>
      </c>
      <c r="B189" s="121" t="str">
        <f t="shared" si="47"/>
        <v xml:space="preserve">        └ 구매발주관리</v>
      </c>
      <c r="C189" s="27" t="str">
        <f t="shared" si="36"/>
        <v>14821</v>
      </c>
      <c r="D189" s="121"/>
      <c r="E189" s="27">
        <v>262001</v>
      </c>
      <c r="F189" s="121" t="s">
        <v>138</v>
      </c>
      <c r="G189" s="121"/>
      <c r="H189" s="121"/>
      <c r="I189" s="121"/>
      <c r="J189" s="121"/>
      <c r="K189" s="27" t="str">
        <f t="shared" si="50"/>
        <v>1</v>
      </c>
      <c r="L189" s="27">
        <v>1</v>
      </c>
      <c r="M189" s="27" t="str">
        <f t="shared" si="51"/>
        <v>1</v>
      </c>
      <c r="N189" s="121" t="s">
        <v>318</v>
      </c>
      <c r="O189" s="121" t="s">
        <v>139</v>
      </c>
      <c r="P189" s="27" t="str">
        <f t="shared" si="52"/>
        <v>1</v>
      </c>
      <c r="Q189" s="27" t="str">
        <f t="shared" si="53"/>
        <v>1</v>
      </c>
      <c r="R189" s="27" t="str">
        <f t="shared" si="54"/>
        <v>1</v>
      </c>
      <c r="S189" s="27" t="str">
        <f t="shared" si="55"/>
        <v>1</v>
      </c>
      <c r="T189" s="27" t="str">
        <f t="shared" si="56"/>
        <v>1</v>
      </c>
      <c r="U189" s="27" t="str">
        <f t="shared" si="57"/>
        <v>1</v>
      </c>
      <c r="V189" s="27" t="str">
        <f t="shared" si="58"/>
        <v>1</v>
      </c>
      <c r="W189" s="27"/>
      <c r="X189" s="27" t="str">
        <f t="shared" si="59"/>
        <v>0</v>
      </c>
      <c r="Y189" s="27" t="str">
        <f t="shared" si="60"/>
        <v>0</v>
      </c>
      <c r="Z189" s="27" t="str">
        <f t="shared" si="61"/>
        <v>0</v>
      </c>
      <c r="AA189" s="121"/>
      <c r="AB189" s="121"/>
      <c r="AC189" s="121"/>
      <c r="AD189" s="121"/>
      <c r="AE189" s="121" t="s">
        <v>51</v>
      </c>
      <c r="AF189" s="121"/>
      <c r="AG189" s="121"/>
      <c r="AH189" s="28" t="s">
        <v>171</v>
      </c>
      <c r="AI189" s="28" t="s">
        <v>113</v>
      </c>
      <c r="AJ189" s="28">
        <v>30200</v>
      </c>
      <c r="AK189" s="121" t="str">
        <f t="shared" si="63"/>
        <v>0</v>
      </c>
      <c r="AL189" s="123" t="str">
        <f t="shared" si="45"/>
        <v>14821/구매발주관리/mtrl.po/PurcOrdr</v>
      </c>
      <c r="AM189" s="27"/>
      <c r="AN189" s="124"/>
      <c r="AO189" s="124" t="s">
        <v>1829</v>
      </c>
      <c r="AP189" s="124" t="s">
        <v>1829</v>
      </c>
      <c r="AQ189" s="124"/>
      <c r="AR189" s="124" t="s">
        <v>1829</v>
      </c>
      <c r="AS189" s="124"/>
      <c r="AT189" s="124" t="s">
        <v>1939</v>
      </c>
      <c r="AU189" s="124" t="str">
        <f t="shared" si="49"/>
        <v>M262001</v>
      </c>
      <c r="AV189" s="124" t="s">
        <v>2648</v>
      </c>
      <c r="AW189" s="117" t="s">
        <v>2362</v>
      </c>
      <c r="AX189" s="138" t="str">
        <f t="shared" si="46"/>
        <v>delete from module_mst where pjt_id = '14821' and menu_id = '262001';</v>
      </c>
      <c r="AY189" s="31" t="str">
        <f>IF(C189&lt;&gt;"",CREATE_QUERY($D$1,C$2:AW$2,C189:AW189),"")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'262001', '구매발주관리', '', '', '', '', '1', '1', '1', 'mtrl.po', 'PurcOrdr', '1', '1', '1', '1', '1', '1', '1', '', '0', '0', '0', '', '', '', '', 'N', '', '', '262000', '5', '30200', '0', '14821/구매발주관리/mtrl.po/PurcOrdr', '', '', 'Y', 'Y', '', 'Y', '', 'M', 'MES-TD3-310', '구매 발주서를 추가 또는 수정, 발주서 승인 처리, 발주서 발행, 입고되는 발주서의 입고 처리');</v>
      </c>
    </row>
    <row r="190" spans="1:51">
      <c r="A190" s="1">
        <v>79</v>
      </c>
      <c r="B190" s="121" t="str">
        <f t="shared" si="47"/>
        <v xml:space="preserve">        └ 발주잔량리스트</v>
      </c>
      <c r="C190" s="27" t="str">
        <f t="shared" si="36"/>
        <v>14821</v>
      </c>
      <c r="D190" s="121"/>
      <c r="E190" s="27">
        <v>262002</v>
      </c>
      <c r="F190" s="121" t="s">
        <v>142</v>
      </c>
      <c r="G190" s="121"/>
      <c r="H190" s="121"/>
      <c r="I190" s="121"/>
      <c r="J190" s="121"/>
      <c r="K190" s="27" t="str">
        <f t="shared" si="50"/>
        <v>1</v>
      </c>
      <c r="L190" s="27">
        <v>1</v>
      </c>
      <c r="M190" s="27" t="str">
        <f t="shared" si="51"/>
        <v>1</v>
      </c>
      <c r="N190" s="121" t="s">
        <v>318</v>
      </c>
      <c r="O190" s="121" t="s">
        <v>140</v>
      </c>
      <c r="P190" s="27" t="str">
        <f t="shared" si="52"/>
        <v>1</v>
      </c>
      <c r="Q190" s="27" t="str">
        <f t="shared" si="53"/>
        <v>1</v>
      </c>
      <c r="R190" s="27" t="str">
        <f t="shared" si="54"/>
        <v>1</v>
      </c>
      <c r="S190" s="27" t="str">
        <f t="shared" si="55"/>
        <v>1</v>
      </c>
      <c r="T190" s="27" t="str">
        <f t="shared" si="56"/>
        <v>1</v>
      </c>
      <c r="U190" s="27" t="str">
        <f t="shared" si="57"/>
        <v>1</v>
      </c>
      <c r="V190" s="27" t="str">
        <f t="shared" si="58"/>
        <v>1</v>
      </c>
      <c r="W190" s="27"/>
      <c r="X190" s="27" t="str">
        <f t="shared" si="59"/>
        <v>0</v>
      </c>
      <c r="Y190" s="27" t="str">
        <f t="shared" si="60"/>
        <v>0</v>
      </c>
      <c r="Z190" s="27" t="str">
        <f t="shared" si="61"/>
        <v>0</v>
      </c>
      <c r="AA190" s="121"/>
      <c r="AB190" s="121"/>
      <c r="AC190" s="121"/>
      <c r="AD190" s="121"/>
      <c r="AE190" s="121" t="s">
        <v>51</v>
      </c>
      <c r="AF190" s="121"/>
      <c r="AG190" s="121"/>
      <c r="AH190" s="28" t="s">
        <v>171</v>
      </c>
      <c r="AI190" s="28" t="s">
        <v>113</v>
      </c>
      <c r="AJ190" s="28">
        <v>30250</v>
      </c>
      <c r="AK190" s="121" t="str">
        <f t="shared" si="63"/>
        <v>0</v>
      </c>
      <c r="AL190" s="123" t="str">
        <f t="shared" si="45"/>
        <v>14821/발주잔량리스트/mtrl.po/PurcOrdrList</v>
      </c>
      <c r="AM190" s="27"/>
      <c r="AN190" s="124"/>
      <c r="AO190" s="124" t="s">
        <v>1829</v>
      </c>
      <c r="AP190" s="124" t="s">
        <v>1829</v>
      </c>
      <c r="AQ190" s="124"/>
      <c r="AR190" s="124" t="s">
        <v>1829</v>
      </c>
      <c r="AS190" s="124"/>
      <c r="AT190" s="124" t="s">
        <v>1939</v>
      </c>
      <c r="AU190" s="124" t="str">
        <f t="shared" si="49"/>
        <v>M262002</v>
      </c>
      <c r="AV190" s="124" t="s">
        <v>2649</v>
      </c>
      <c r="AW190" s="117" t="s">
        <v>2085</v>
      </c>
      <c r="AX190" s="138" t="str">
        <f t="shared" si="46"/>
        <v>delete from module_mst where pjt_id = '14821' and menu_id = '262002';</v>
      </c>
      <c r="AY190" s="31" t="str">
        <f>IF(C190&lt;&gt;"",CREATE_QUERY($D$1,C$2:AW$2,C190:AW190),"")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'262002', '발주잔량리스트', '', '', '', '', '1', '1', '1', 'mtrl.po', 'PurcOrdrList', '1', '1', '1', '1', '1', '1', '1', '', '0', '0', '0', '', '', '', '', 'N', '', '', '262000', '5', '30250', '0', '14821/발주잔량리스트/mtrl.po/PurcOrdrList', '', '', 'Y', 'Y', '', 'Y', '', 'M', 'MES-TD3-311', '품목별, 거래처별, 납기일자별 발주 수량 및 입고 현황을 조회');</v>
      </c>
    </row>
    <row r="191" spans="1:51">
      <c r="A191" s="1">
        <v>80</v>
      </c>
      <c r="B191" s="121" t="str">
        <f t="shared" si="47"/>
        <v xml:space="preserve">        └ 입고접수</v>
      </c>
      <c r="C191" s="27" t="str">
        <f t="shared" si="36"/>
        <v>14821</v>
      </c>
      <c r="D191" s="121"/>
      <c r="E191" s="27">
        <v>262003</v>
      </c>
      <c r="F191" s="121" t="s">
        <v>1996</v>
      </c>
      <c r="G191" s="121"/>
      <c r="H191" s="121"/>
      <c r="I191" s="121"/>
      <c r="J191" s="121"/>
      <c r="K191" s="27" t="str">
        <f t="shared" si="50"/>
        <v>1</v>
      </c>
      <c r="L191" s="27">
        <v>1</v>
      </c>
      <c r="M191" s="27" t="str">
        <f t="shared" si="51"/>
        <v>1</v>
      </c>
      <c r="N191" s="121" t="s">
        <v>318</v>
      </c>
      <c r="O191" s="121" t="s">
        <v>397</v>
      </c>
      <c r="P191" s="27" t="str">
        <f t="shared" si="52"/>
        <v>1</v>
      </c>
      <c r="Q191" s="27" t="str">
        <f t="shared" si="53"/>
        <v>1</v>
      </c>
      <c r="R191" s="27" t="str">
        <f t="shared" si="54"/>
        <v>1</v>
      </c>
      <c r="S191" s="27" t="str">
        <f t="shared" si="55"/>
        <v>1</v>
      </c>
      <c r="T191" s="27" t="str">
        <f t="shared" si="56"/>
        <v>1</v>
      </c>
      <c r="U191" s="27" t="str">
        <f t="shared" si="57"/>
        <v>1</v>
      </c>
      <c r="V191" s="27" t="str">
        <f t="shared" si="58"/>
        <v>1</v>
      </c>
      <c r="W191" s="27"/>
      <c r="X191" s="27" t="str">
        <f t="shared" si="59"/>
        <v>0</v>
      </c>
      <c r="Y191" s="27" t="str">
        <f t="shared" si="60"/>
        <v>0</v>
      </c>
      <c r="Z191" s="27" t="str">
        <f t="shared" si="61"/>
        <v>0</v>
      </c>
      <c r="AA191" s="121"/>
      <c r="AB191" s="121"/>
      <c r="AC191" s="121"/>
      <c r="AD191" s="121"/>
      <c r="AE191" s="121" t="s">
        <v>51</v>
      </c>
      <c r="AF191" s="121"/>
      <c r="AG191" s="121"/>
      <c r="AH191" s="28" t="s">
        <v>171</v>
      </c>
      <c r="AI191" s="28" t="s">
        <v>113</v>
      </c>
      <c r="AJ191" s="28">
        <v>30300</v>
      </c>
      <c r="AK191" s="121" t="str">
        <f t="shared" si="63"/>
        <v>0</v>
      </c>
      <c r="AL191" s="123" t="str">
        <f t="shared" si="45"/>
        <v>14821/입고접수/mtrl.po/PurcIsttWork</v>
      </c>
      <c r="AM191" s="27"/>
      <c r="AN191" s="124"/>
      <c r="AO191" s="124" t="s">
        <v>1829</v>
      </c>
      <c r="AP191" s="124" t="s">
        <v>1829</v>
      </c>
      <c r="AQ191" s="124"/>
      <c r="AR191" s="124" t="s">
        <v>1829</v>
      </c>
      <c r="AS191" s="124"/>
      <c r="AT191" s="124" t="s">
        <v>1939</v>
      </c>
      <c r="AU191" s="124" t="str">
        <f t="shared" si="49"/>
        <v>M262003</v>
      </c>
      <c r="AV191" s="124" t="s">
        <v>2560</v>
      </c>
      <c r="AW191" s="117" t="s">
        <v>2088</v>
      </c>
      <c r="AX191" s="138" t="str">
        <f t="shared" si="46"/>
        <v>delete from module_mst where pjt_id = '14821' and menu_id = '262003';</v>
      </c>
      <c r="AY191" s="31" t="str">
        <f>IF(C191&lt;&gt;"",CREATE_QUERY($D$1,C$2:AW$2,C191:AW191),"")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'262003', '입고접수', '', '', '', '', '1', '1', '1', 'mtrl.po', 'PurcIsttWork', '1', '1', '1', '1', '1', '1', '1', '', '0', '0', '0', '', '', '', '', 'N', '', '', '262000', '5', '30300', '0', '14821/입고접수/mtrl.po/PurcIsttWork', '', '', 'Y', 'Y', '', 'Y', '', 'M', 'MES-TD3-312', '구매 발주서를 조회하고, 납품 거래명세표를 등록');</v>
      </c>
    </row>
    <row r="192" spans="1:51" ht="26">
      <c r="A192" s="1">
        <v>80</v>
      </c>
      <c r="B192" s="121" t="str">
        <f t="shared" si="47"/>
        <v xml:space="preserve">        └ (프로젝트)발주관리</v>
      </c>
      <c r="C192" s="27" t="str">
        <f t="shared" si="36"/>
        <v>14821</v>
      </c>
      <c r="D192" s="121"/>
      <c r="E192" s="27">
        <v>262004</v>
      </c>
      <c r="F192" s="121" t="s">
        <v>2059</v>
      </c>
      <c r="G192" s="121"/>
      <c r="H192" s="121"/>
      <c r="I192" s="121"/>
      <c r="J192" s="121"/>
      <c r="K192" s="27" t="str">
        <f t="shared" si="50"/>
        <v>1</v>
      </c>
      <c r="L192" s="27">
        <v>1</v>
      </c>
      <c r="M192" s="27" t="str">
        <f t="shared" si="51"/>
        <v>1</v>
      </c>
      <c r="N192" s="121" t="s">
        <v>345</v>
      </c>
      <c r="O192" s="121" t="s">
        <v>348</v>
      </c>
      <c r="P192" s="27" t="str">
        <f t="shared" si="52"/>
        <v>1</v>
      </c>
      <c r="Q192" s="27" t="str">
        <f t="shared" si="53"/>
        <v>1</v>
      </c>
      <c r="R192" s="27" t="str">
        <f t="shared" si="54"/>
        <v>1</v>
      </c>
      <c r="S192" s="27" t="str">
        <f t="shared" si="55"/>
        <v>1</v>
      </c>
      <c r="T192" s="27" t="str">
        <f t="shared" si="56"/>
        <v>1</v>
      </c>
      <c r="U192" s="27" t="str">
        <f t="shared" si="57"/>
        <v>1</v>
      </c>
      <c r="V192" s="27" t="str">
        <f t="shared" si="58"/>
        <v>1</v>
      </c>
      <c r="W192" s="27"/>
      <c r="X192" s="27" t="str">
        <f t="shared" si="59"/>
        <v>0</v>
      </c>
      <c r="Y192" s="27" t="str">
        <f t="shared" si="60"/>
        <v>0</v>
      </c>
      <c r="Z192" s="27" t="str">
        <f t="shared" si="61"/>
        <v>0</v>
      </c>
      <c r="AA192" s="121"/>
      <c r="AB192" s="121"/>
      <c r="AC192" s="121"/>
      <c r="AD192" s="121"/>
      <c r="AE192" s="121" t="s">
        <v>51</v>
      </c>
      <c r="AF192" s="121"/>
      <c r="AG192" s="121"/>
      <c r="AH192" s="28" t="s">
        <v>171</v>
      </c>
      <c r="AI192" s="28" t="s">
        <v>113</v>
      </c>
      <c r="AJ192" s="28">
        <v>30350</v>
      </c>
      <c r="AK192" s="121" t="str">
        <f t="shared" si="63"/>
        <v>0</v>
      </c>
      <c r="AL192" s="123" t="str">
        <f t="shared" si="45"/>
        <v>14821/발주관리/mtrl.project/PrjtPurcOrder</v>
      </c>
      <c r="AM192" s="27" t="s">
        <v>1887</v>
      </c>
      <c r="AN192" s="124"/>
      <c r="AO192" s="124"/>
      <c r="AP192" s="124"/>
      <c r="AQ192" s="124" t="s">
        <v>1829</v>
      </c>
      <c r="AR192" s="124"/>
      <c r="AS192" s="124"/>
      <c r="AT192" s="124" t="s">
        <v>1939</v>
      </c>
      <c r="AU192" s="124" t="str">
        <f t="shared" si="49"/>
        <v>M262004</v>
      </c>
      <c r="AV192" s="124" t="s">
        <v>2561</v>
      </c>
      <c r="AW192" s="117" t="s">
        <v>1842</v>
      </c>
      <c r="AX192" s="138" t="str">
        <f t="shared" si="46"/>
        <v>delete from module_mst where pjt_id = '14821' and menu_id = '262004';</v>
      </c>
      <c r="AY192" s="31" t="str">
        <f>IF(C192&lt;&gt;"",CREATE_QUERY($D$1,C$2:AW$2,C192:AW192),"")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'262004', '발주관리', '', '', '', '', '1', '1', '1', 'mtrl.project', 'PrjtPurcOrder', '1', '1', '1', '1', '1', '1', '1', '', '0', '0', '0', '', '', '', '', 'N', '', '', '262000', '5', '30350', '0', '14821/발주관리/mtrl.project/PrjtPurcOrder', '(프로젝트)', '', '', '', 'Y', '', '', 'M', 'MES-TD3-313', '설계 담당자가 지정한 구매품목을 조회하고, 구매업체 및 납기일자, 단가를 결정 등록');</v>
      </c>
    </row>
    <row r="193" spans="1:51">
      <c r="A193" s="1">
        <v>80</v>
      </c>
      <c r="B193" s="121" t="str">
        <f t="shared" si="47"/>
        <v xml:space="preserve">        └ (프로젝트)입고현황</v>
      </c>
      <c r="C193" s="27" t="str">
        <f t="shared" ref="C193:C329" si="65">IF(F193="","","14821")</f>
        <v>14821</v>
      </c>
      <c r="D193" s="121"/>
      <c r="E193" s="27">
        <v>262005</v>
      </c>
      <c r="F193" s="121" t="s">
        <v>2333</v>
      </c>
      <c r="G193" s="121"/>
      <c r="H193" s="121"/>
      <c r="I193" s="121"/>
      <c r="J193" s="121"/>
      <c r="K193" s="27" t="str">
        <f t="shared" si="50"/>
        <v>1</v>
      </c>
      <c r="L193" s="27">
        <v>1</v>
      </c>
      <c r="M193" s="27" t="str">
        <f t="shared" si="51"/>
        <v>1</v>
      </c>
      <c r="N193" s="121" t="s">
        <v>345</v>
      </c>
      <c r="O193" s="121" t="s">
        <v>2334</v>
      </c>
      <c r="P193" s="27" t="str">
        <f t="shared" si="52"/>
        <v>1</v>
      </c>
      <c r="Q193" s="27" t="str">
        <f t="shared" si="53"/>
        <v>1</v>
      </c>
      <c r="R193" s="27" t="str">
        <f t="shared" si="54"/>
        <v>1</v>
      </c>
      <c r="S193" s="27" t="str">
        <f t="shared" si="55"/>
        <v>1</v>
      </c>
      <c r="T193" s="27" t="str">
        <f t="shared" si="56"/>
        <v>1</v>
      </c>
      <c r="U193" s="27" t="str">
        <f t="shared" si="57"/>
        <v>1</v>
      </c>
      <c r="V193" s="27" t="str">
        <f t="shared" si="58"/>
        <v>1</v>
      </c>
      <c r="W193" s="27"/>
      <c r="X193" s="27" t="str">
        <f t="shared" si="59"/>
        <v>0</v>
      </c>
      <c r="Y193" s="27" t="str">
        <f t="shared" si="60"/>
        <v>0</v>
      </c>
      <c r="Z193" s="27" t="str">
        <f t="shared" si="61"/>
        <v>0</v>
      </c>
      <c r="AA193" s="121"/>
      <c r="AB193" s="121"/>
      <c r="AC193" s="121"/>
      <c r="AD193" s="121"/>
      <c r="AE193" s="121" t="s">
        <v>51</v>
      </c>
      <c r="AF193" s="121"/>
      <c r="AG193" s="121"/>
      <c r="AH193" s="28" t="s">
        <v>171</v>
      </c>
      <c r="AI193" s="28" t="s">
        <v>113</v>
      </c>
      <c r="AJ193" s="28">
        <v>30400</v>
      </c>
      <c r="AK193" s="121" t="str">
        <f t="shared" si="63"/>
        <v>0</v>
      </c>
      <c r="AL193" s="123" t="str">
        <f t="shared" si="45"/>
        <v>14821/입고현황/mtrl.project/PrjtPurcOrderList</v>
      </c>
      <c r="AM193" s="27" t="s">
        <v>1887</v>
      </c>
      <c r="AN193" s="124"/>
      <c r="AO193" s="124"/>
      <c r="AP193" s="124"/>
      <c r="AQ193" s="124" t="s">
        <v>1829</v>
      </c>
      <c r="AR193" s="124"/>
      <c r="AS193" s="124"/>
      <c r="AT193" s="124" t="s">
        <v>1939</v>
      </c>
      <c r="AU193" s="124" t="str">
        <f t="shared" si="49"/>
        <v>M262005</v>
      </c>
      <c r="AV193" s="124" t="s">
        <v>2562</v>
      </c>
      <c r="AW193" s="117" t="s">
        <v>2335</v>
      </c>
      <c r="AX193" s="138" t="str">
        <f t="shared" si="46"/>
        <v>delete from module_mst where pjt_id = '14821' and menu_id = '262005';</v>
      </c>
      <c r="AY193" s="31" t="str">
        <f>IF(C193&lt;&gt;"",CREATE_QUERY($D$1,C$2:AW$2,C193:AW193),"")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'262005', '입고현황', '', '', '', '', '1', '1', '1', 'mtrl.project', 'PrjtPurcOrderList', '1', '1', '1', '1', '1', '1', '1', '', '0', '0', '0', '', '', '', '', 'N', '', '', '262000', '5', '30400', '0', '14821/입고현황/mtrl.project/PrjtPurcOrderList', '(프로젝트)', '', '', '', 'Y', '', '', 'M', 'MES-TD3-314', '금형별, 거래처별, 품목별 입고 리스트 조회 및 발행');</v>
      </c>
    </row>
    <row r="194" spans="1:51">
      <c r="A194" s="1">
        <v>80</v>
      </c>
      <c r="B194" s="121" t="str">
        <f t="shared" si="47"/>
        <v xml:space="preserve">        └ (프로젝트)매입정산현황</v>
      </c>
      <c r="C194" s="27" t="str">
        <f t="shared" si="65"/>
        <v>14821</v>
      </c>
      <c r="D194" s="121"/>
      <c r="E194" s="27">
        <v>262006</v>
      </c>
      <c r="F194" s="121" t="s">
        <v>2371</v>
      </c>
      <c r="G194" s="121"/>
      <c r="H194" s="121"/>
      <c r="I194" s="121"/>
      <c r="J194" s="121"/>
      <c r="K194" s="27" t="str">
        <f t="shared" si="50"/>
        <v>1</v>
      </c>
      <c r="L194" s="27">
        <v>1</v>
      </c>
      <c r="M194" s="27" t="str">
        <f t="shared" si="51"/>
        <v>1</v>
      </c>
      <c r="N194" s="121" t="s">
        <v>345</v>
      </c>
      <c r="O194" s="121" t="s">
        <v>2372</v>
      </c>
      <c r="P194" s="27" t="str">
        <f t="shared" si="52"/>
        <v>1</v>
      </c>
      <c r="Q194" s="27" t="str">
        <f t="shared" si="53"/>
        <v>1</v>
      </c>
      <c r="R194" s="27" t="str">
        <f t="shared" si="54"/>
        <v>1</v>
      </c>
      <c r="S194" s="27" t="str">
        <f t="shared" si="55"/>
        <v>1</v>
      </c>
      <c r="T194" s="27" t="str">
        <f t="shared" si="56"/>
        <v>1</v>
      </c>
      <c r="U194" s="27" t="str">
        <f t="shared" si="57"/>
        <v>1</v>
      </c>
      <c r="V194" s="27" t="str">
        <f t="shared" si="58"/>
        <v>1</v>
      </c>
      <c r="W194" s="27"/>
      <c r="X194" s="27" t="str">
        <f t="shared" si="59"/>
        <v>0</v>
      </c>
      <c r="Y194" s="27" t="str">
        <f t="shared" si="60"/>
        <v>0</v>
      </c>
      <c r="Z194" s="27" t="str">
        <f t="shared" si="61"/>
        <v>0</v>
      </c>
      <c r="AA194" s="121"/>
      <c r="AB194" s="121"/>
      <c r="AC194" s="121"/>
      <c r="AD194" s="121"/>
      <c r="AE194" s="121" t="s">
        <v>51</v>
      </c>
      <c r="AF194" s="121"/>
      <c r="AG194" s="121"/>
      <c r="AH194" s="28" t="s">
        <v>171</v>
      </c>
      <c r="AI194" s="28" t="s">
        <v>113</v>
      </c>
      <c r="AJ194" s="28">
        <v>30450</v>
      </c>
      <c r="AK194" s="121" t="str">
        <f t="shared" si="63"/>
        <v>0</v>
      </c>
      <c r="AL194" s="123" t="str">
        <f t="shared" si="45"/>
        <v>14821/매입정산현황/mtrl.project/PrjtPurcOrderList2</v>
      </c>
      <c r="AM194" s="27" t="s">
        <v>1887</v>
      </c>
      <c r="AN194" s="124"/>
      <c r="AO194" s="124"/>
      <c r="AP194" s="124"/>
      <c r="AQ194" s="124" t="s">
        <v>1829</v>
      </c>
      <c r="AR194" s="124"/>
      <c r="AS194" s="124"/>
      <c r="AT194" s="124" t="s">
        <v>1939</v>
      </c>
      <c r="AU194" s="124" t="str">
        <f t="shared" si="49"/>
        <v>M262006</v>
      </c>
      <c r="AV194" s="124" t="s">
        <v>2563</v>
      </c>
      <c r="AW194" s="117" t="s">
        <v>2335</v>
      </c>
      <c r="AX194" s="138" t="str">
        <f t="shared" si="46"/>
        <v>delete from module_mst where pjt_id = '14821' and menu_id = '262006';</v>
      </c>
      <c r="AY194" s="31" t="str">
        <f>IF(C194&lt;&gt;"",CREATE_QUERY($D$1,C$2:AW$2,C194:AW194),"")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'262006', '매입정산현황', '', '', '', '', '1', '1', '1', 'mtrl.project', 'PrjtPurcOrderList2', '1', '1', '1', '1', '1', '1', '1', '', '0', '0', '0', '', '', '', '', 'N', '', '', '262000', '5', '30450', '0', '14821/매입정산현황/mtrl.project/PrjtPurcOrderList2', '(프로젝트)', '', '', '', 'Y', '', '', 'M', 'MES-TD3-315', '금형별, 거래처별, 품목별 입고 리스트 조회 및 발행');</v>
      </c>
    </row>
    <row r="195" spans="1:51" ht="39">
      <c r="A195" s="1">
        <v>78</v>
      </c>
      <c r="B195" s="121" t="str">
        <f t="shared" si="47"/>
        <v xml:space="preserve">        └ (대한솔)
(인코팩)입고접수</v>
      </c>
      <c r="C195" s="27" t="str">
        <f t="shared" si="65"/>
        <v>14821</v>
      </c>
      <c r="D195" s="121"/>
      <c r="E195" s="27">
        <v>262007</v>
      </c>
      <c r="F195" s="121" t="s">
        <v>1996</v>
      </c>
      <c r="G195" s="121"/>
      <c r="H195" s="121"/>
      <c r="I195" s="121"/>
      <c r="J195" s="121"/>
      <c r="K195" s="27" t="str">
        <f t="shared" si="50"/>
        <v>1</v>
      </c>
      <c r="L195" s="27">
        <v>1</v>
      </c>
      <c r="M195" s="27" t="str">
        <f t="shared" si="51"/>
        <v>1</v>
      </c>
      <c r="N195" s="121" t="s">
        <v>2401</v>
      </c>
      <c r="O195" s="121" t="s">
        <v>397</v>
      </c>
      <c r="P195" s="27" t="str">
        <f t="shared" si="52"/>
        <v>1</v>
      </c>
      <c r="Q195" s="27" t="str">
        <f t="shared" si="53"/>
        <v>1</v>
      </c>
      <c r="R195" s="27" t="str">
        <f t="shared" si="54"/>
        <v>1</v>
      </c>
      <c r="S195" s="27" t="str">
        <f t="shared" si="55"/>
        <v>1</v>
      </c>
      <c r="T195" s="27" t="str">
        <f t="shared" si="56"/>
        <v>1</v>
      </c>
      <c r="U195" s="27" t="str">
        <f t="shared" si="57"/>
        <v>1</v>
      </c>
      <c r="V195" s="27" t="str">
        <f t="shared" si="58"/>
        <v>1</v>
      </c>
      <c r="W195" s="27"/>
      <c r="X195" s="27" t="str">
        <f t="shared" si="59"/>
        <v>0</v>
      </c>
      <c r="Y195" s="27" t="str">
        <f t="shared" si="60"/>
        <v>0</v>
      </c>
      <c r="Z195" s="27" t="str">
        <f t="shared" si="61"/>
        <v>0</v>
      </c>
      <c r="AA195" s="121"/>
      <c r="AB195" s="121"/>
      <c r="AC195" s="121"/>
      <c r="AD195" s="121"/>
      <c r="AE195" s="121" t="s">
        <v>51</v>
      </c>
      <c r="AF195" s="121"/>
      <c r="AG195" s="121"/>
      <c r="AH195" s="28" t="s">
        <v>171</v>
      </c>
      <c r="AI195" s="28" t="s">
        <v>113</v>
      </c>
      <c r="AJ195" s="28">
        <v>30500</v>
      </c>
      <c r="AK195" s="121" t="str">
        <f t="shared" si="63"/>
        <v/>
      </c>
      <c r="AL195" s="123" t="str">
        <f t="shared" si="45"/>
        <v>14821/입고접수/custom.dehansol.sale/PurcIsttWork</v>
      </c>
      <c r="AM195" s="139" t="s">
        <v>2412</v>
      </c>
      <c r="AN195" s="124"/>
      <c r="AO195" s="124"/>
      <c r="AP195" s="124"/>
      <c r="AQ195" s="124"/>
      <c r="AR195" s="124"/>
      <c r="AS195" s="124"/>
      <c r="AT195" s="124" t="s">
        <v>1939</v>
      </c>
      <c r="AU195" s="124" t="str">
        <f t="shared" si="49"/>
        <v>M262007</v>
      </c>
      <c r="AV195" s="124" t="s">
        <v>2564</v>
      </c>
      <c r="AW195" s="117" t="s">
        <v>2413</v>
      </c>
      <c r="AX195" s="138" t="str">
        <f t="shared" si="46"/>
        <v>delete from module_mst where pjt_id = '14821' and menu_id = '262007';</v>
      </c>
      <c r="AY195" s="31" t="str">
        <f>IF(C195&lt;&gt;"",CREATE_QUERY($D$1,C$2:AW$2,C195:AW195),"")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'262007', '입고접수', '', '', '', '', '1', '1', '1', 'custom.dehansol.sale', 'PurcIsttWork', '1', '1', '1', '1', '1', '1', '1', '', '0', '0', '0', '', '', '', '', 'N', '', '', '262000', '5', '30500', '', '14821/입고접수/custom.dehansol.sale/PurcIsttWork', '(대한솔)
(인코팩)', '', '', '', '', '', '', 'M', 'MES-TD3-316', 'For 대한솔 &amp; 인코팩
  1. 입고사항 분리 등록(품목별 수량 분리)- 매쉬
  2. 재고 레벨 발행');</v>
      </c>
    </row>
    <row r="196" spans="1:51">
      <c r="A196" s="1">
        <v>79</v>
      </c>
      <c r="B196" s="121" t="str">
        <f t="shared" si="47"/>
        <v/>
      </c>
      <c r="C196" s="27" t="str">
        <f t="shared" si="65"/>
        <v/>
      </c>
      <c r="D196" s="121"/>
      <c r="E196" s="27">
        <v>262008</v>
      </c>
      <c r="F196" s="121"/>
      <c r="G196" s="121"/>
      <c r="H196" s="121"/>
      <c r="I196" s="121"/>
      <c r="J196" s="121"/>
      <c r="K196" s="27" t="str">
        <f t="shared" si="50"/>
        <v/>
      </c>
      <c r="L196" s="27">
        <v>1</v>
      </c>
      <c r="M196" s="27" t="str">
        <f t="shared" si="51"/>
        <v>0</v>
      </c>
      <c r="N196" s="121"/>
      <c r="O196" s="121"/>
      <c r="P196" s="27" t="str">
        <f t="shared" si="52"/>
        <v>0</v>
      </c>
      <c r="Q196" s="27" t="str">
        <f t="shared" si="53"/>
        <v>0</v>
      </c>
      <c r="R196" s="27" t="str">
        <f t="shared" si="54"/>
        <v>0</v>
      </c>
      <c r="S196" s="27" t="str">
        <f t="shared" si="55"/>
        <v>0</v>
      </c>
      <c r="T196" s="27" t="str">
        <f t="shared" si="56"/>
        <v>0</v>
      </c>
      <c r="U196" s="27" t="str">
        <f t="shared" si="57"/>
        <v>0</v>
      </c>
      <c r="V196" s="27" t="str">
        <f t="shared" si="58"/>
        <v>1</v>
      </c>
      <c r="W196" s="27"/>
      <c r="X196" s="27" t="str">
        <f t="shared" si="59"/>
        <v/>
      </c>
      <c r="Y196" s="27" t="str">
        <f t="shared" si="60"/>
        <v/>
      </c>
      <c r="Z196" s="27" t="str">
        <f t="shared" si="61"/>
        <v/>
      </c>
      <c r="AA196" s="121"/>
      <c r="AB196" s="121"/>
      <c r="AC196" s="121"/>
      <c r="AD196" s="121"/>
      <c r="AE196" s="121" t="s">
        <v>51</v>
      </c>
      <c r="AF196" s="121"/>
      <c r="AG196" s="121"/>
      <c r="AH196" s="28" t="s">
        <v>171</v>
      </c>
      <c r="AI196" s="28" t="s">
        <v>113</v>
      </c>
      <c r="AJ196" s="28">
        <v>30550</v>
      </c>
      <c r="AK196" s="121" t="str">
        <f t="shared" si="63"/>
        <v/>
      </c>
      <c r="AL196" s="123" t="str">
        <f t="shared" si="45"/>
        <v/>
      </c>
      <c r="AM196" s="27"/>
      <c r="AN196" s="124"/>
      <c r="AO196" s="124"/>
      <c r="AP196" s="124"/>
      <c r="AQ196" s="124"/>
      <c r="AR196" s="124"/>
      <c r="AS196" s="124"/>
      <c r="AT196" s="124" t="s">
        <v>1939</v>
      </c>
      <c r="AU196" s="124" t="str">
        <f t="shared" si="49"/>
        <v/>
      </c>
      <c r="AV196" s="124" t="s">
        <v>2565</v>
      </c>
      <c r="AW196" s="117"/>
      <c r="AX196" s="138" t="str">
        <f t="shared" si="46"/>
        <v/>
      </c>
      <c r="AY196" s="31" t="str">
        <f>IF(C196&lt;&gt;"",CREATE_QUERY($D$1,C$2:AW$2,C196:AW196),"")</f>
        <v/>
      </c>
    </row>
    <row r="197" spans="1:51">
      <c r="A197" s="1">
        <v>80</v>
      </c>
      <c r="B197" s="121" t="str">
        <f t="shared" si="47"/>
        <v/>
      </c>
      <c r="C197" s="27" t="str">
        <f t="shared" si="65"/>
        <v/>
      </c>
      <c r="D197" s="121"/>
      <c r="E197" s="27">
        <v>262009</v>
      </c>
      <c r="F197" s="121"/>
      <c r="G197" s="121"/>
      <c r="H197" s="121"/>
      <c r="I197" s="121"/>
      <c r="J197" s="121"/>
      <c r="K197" s="27" t="str">
        <f t="shared" si="50"/>
        <v/>
      </c>
      <c r="L197" s="27">
        <v>1</v>
      </c>
      <c r="M197" s="27" t="str">
        <f t="shared" si="51"/>
        <v>0</v>
      </c>
      <c r="N197" s="121"/>
      <c r="O197" s="121"/>
      <c r="P197" s="27" t="str">
        <f t="shared" si="52"/>
        <v>0</v>
      </c>
      <c r="Q197" s="27" t="str">
        <f t="shared" si="53"/>
        <v>0</v>
      </c>
      <c r="R197" s="27" t="str">
        <f t="shared" si="54"/>
        <v>0</v>
      </c>
      <c r="S197" s="27" t="str">
        <f t="shared" si="55"/>
        <v>0</v>
      </c>
      <c r="T197" s="27" t="str">
        <f t="shared" si="56"/>
        <v>0</v>
      </c>
      <c r="U197" s="27" t="str">
        <f t="shared" si="57"/>
        <v>0</v>
      </c>
      <c r="V197" s="27" t="str">
        <f t="shared" si="58"/>
        <v>1</v>
      </c>
      <c r="W197" s="27"/>
      <c r="X197" s="27" t="str">
        <f t="shared" si="59"/>
        <v/>
      </c>
      <c r="Y197" s="27" t="str">
        <f t="shared" si="60"/>
        <v/>
      </c>
      <c r="Z197" s="27" t="str">
        <f t="shared" si="61"/>
        <v/>
      </c>
      <c r="AA197" s="121"/>
      <c r="AB197" s="121"/>
      <c r="AC197" s="121"/>
      <c r="AD197" s="121"/>
      <c r="AE197" s="121" t="s">
        <v>51</v>
      </c>
      <c r="AF197" s="121"/>
      <c r="AG197" s="121"/>
      <c r="AH197" s="28" t="s">
        <v>171</v>
      </c>
      <c r="AI197" s="28" t="s">
        <v>113</v>
      </c>
      <c r="AJ197" s="28">
        <v>30600</v>
      </c>
      <c r="AK197" s="121" t="str">
        <f t="shared" si="63"/>
        <v/>
      </c>
      <c r="AL197" s="123" t="str">
        <f t="shared" si="45"/>
        <v/>
      </c>
      <c r="AM197" s="27"/>
      <c r="AN197" s="124"/>
      <c r="AO197" s="124"/>
      <c r="AP197" s="124"/>
      <c r="AQ197" s="124"/>
      <c r="AR197" s="124"/>
      <c r="AS197" s="124"/>
      <c r="AT197" s="124" t="s">
        <v>1939</v>
      </c>
      <c r="AU197" s="124" t="str">
        <f t="shared" si="49"/>
        <v/>
      </c>
      <c r="AV197" s="124" t="s">
        <v>2566</v>
      </c>
      <c r="AW197" s="117"/>
      <c r="AX197" s="138" t="str">
        <f t="shared" ref="AX197:AX260" si="66">IF(C197="","","delete from module_mst where pjt_id = '"&amp;C197&amp;"' and menu_id = '"&amp;E197&amp;"';")</f>
        <v/>
      </c>
      <c r="AY197" s="31" t="str">
        <f>IF(C197&lt;&gt;"",CREATE_QUERY($D$1,C$2:AW$2,C197:AW197),"")</f>
        <v/>
      </c>
    </row>
    <row r="198" spans="1:51">
      <c r="A198" s="1">
        <v>80</v>
      </c>
      <c r="B198" s="121" t="str">
        <f t="shared" ref="B198:B261" si="67">IF(F198="","",IF(AI198="1","",IF(AI198="2","└ ",IF(AI198="3","  └ ",IF(AI198="4","    └ ",IF(AI198="5","        └ ",IF(AI198="6","         └ ",IF(AI198="7"="            └ ",""))))))))&amp;AM198&amp;F198</f>
        <v/>
      </c>
      <c r="C198" s="27" t="str">
        <f t="shared" si="65"/>
        <v/>
      </c>
      <c r="D198" s="121"/>
      <c r="E198" s="27">
        <v>262010</v>
      </c>
      <c r="F198" s="121"/>
      <c r="G198" s="121"/>
      <c r="H198" s="121"/>
      <c r="I198" s="121"/>
      <c r="J198" s="121"/>
      <c r="K198" s="27" t="str">
        <f t="shared" si="50"/>
        <v/>
      </c>
      <c r="L198" s="27">
        <v>1</v>
      </c>
      <c r="M198" s="27" t="str">
        <f t="shared" si="51"/>
        <v>0</v>
      </c>
      <c r="N198" s="121"/>
      <c r="O198" s="121"/>
      <c r="P198" s="27" t="str">
        <f t="shared" si="52"/>
        <v>0</v>
      </c>
      <c r="Q198" s="27" t="str">
        <f t="shared" si="53"/>
        <v>0</v>
      </c>
      <c r="R198" s="27" t="str">
        <f t="shared" si="54"/>
        <v>0</v>
      </c>
      <c r="S198" s="27" t="str">
        <f t="shared" si="55"/>
        <v>0</v>
      </c>
      <c r="T198" s="27" t="str">
        <f t="shared" si="56"/>
        <v>0</v>
      </c>
      <c r="U198" s="27" t="str">
        <f t="shared" si="57"/>
        <v>0</v>
      </c>
      <c r="V198" s="27" t="str">
        <f t="shared" si="58"/>
        <v>1</v>
      </c>
      <c r="W198" s="27"/>
      <c r="X198" s="27" t="str">
        <f t="shared" si="59"/>
        <v/>
      </c>
      <c r="Y198" s="27" t="str">
        <f t="shared" si="60"/>
        <v/>
      </c>
      <c r="Z198" s="27" t="str">
        <f t="shared" si="61"/>
        <v/>
      </c>
      <c r="AA198" s="121"/>
      <c r="AB198" s="121"/>
      <c r="AC198" s="121"/>
      <c r="AD198" s="121"/>
      <c r="AE198" s="121" t="s">
        <v>51</v>
      </c>
      <c r="AF198" s="121"/>
      <c r="AG198" s="121"/>
      <c r="AH198" s="28" t="s">
        <v>171</v>
      </c>
      <c r="AI198" s="28" t="s">
        <v>113</v>
      </c>
      <c r="AJ198" s="28">
        <v>30650</v>
      </c>
      <c r="AK198" s="121" t="str">
        <f t="shared" si="63"/>
        <v/>
      </c>
      <c r="AL198" s="123" t="str">
        <f t="shared" si="45"/>
        <v/>
      </c>
      <c r="AM198" s="27"/>
      <c r="AN198" s="124"/>
      <c r="AO198" s="124"/>
      <c r="AP198" s="124"/>
      <c r="AQ198" s="124"/>
      <c r="AR198" s="124"/>
      <c r="AS198" s="124"/>
      <c r="AT198" s="124" t="s">
        <v>1939</v>
      </c>
      <c r="AU198" s="124" t="str">
        <f t="shared" si="49"/>
        <v/>
      </c>
      <c r="AV198" s="124" t="s">
        <v>2567</v>
      </c>
      <c r="AW198" s="117"/>
      <c r="AX198" s="138" t="str">
        <f t="shared" si="66"/>
        <v/>
      </c>
      <c r="AY198" s="31" t="str">
        <f>IF(C198&lt;&gt;"",CREATE_QUERY($D$1,C$2:AW$2,C198:AW198),"")</f>
        <v/>
      </c>
    </row>
    <row r="199" spans="1:51">
      <c r="A199" s="1">
        <v>80</v>
      </c>
      <c r="B199" s="121" t="str">
        <f t="shared" si="67"/>
        <v/>
      </c>
      <c r="C199" s="27" t="str">
        <f t="shared" si="65"/>
        <v/>
      </c>
      <c r="D199" s="121"/>
      <c r="E199" s="27">
        <v>262011</v>
      </c>
      <c r="F199" s="121"/>
      <c r="G199" s="121"/>
      <c r="H199" s="121"/>
      <c r="I199" s="121"/>
      <c r="J199" s="121"/>
      <c r="K199" s="27" t="str">
        <f t="shared" si="50"/>
        <v/>
      </c>
      <c r="L199" s="27">
        <v>1</v>
      </c>
      <c r="M199" s="27" t="str">
        <f t="shared" si="51"/>
        <v>0</v>
      </c>
      <c r="N199" s="121"/>
      <c r="O199" s="121"/>
      <c r="P199" s="27" t="str">
        <f t="shared" si="52"/>
        <v>0</v>
      </c>
      <c r="Q199" s="27" t="str">
        <f t="shared" si="53"/>
        <v>0</v>
      </c>
      <c r="R199" s="27" t="str">
        <f t="shared" si="54"/>
        <v>0</v>
      </c>
      <c r="S199" s="27" t="str">
        <f t="shared" si="55"/>
        <v>0</v>
      </c>
      <c r="T199" s="27" t="str">
        <f t="shared" si="56"/>
        <v>0</v>
      </c>
      <c r="U199" s="27" t="str">
        <f t="shared" si="57"/>
        <v>0</v>
      </c>
      <c r="V199" s="27" t="str">
        <f t="shared" si="58"/>
        <v>1</v>
      </c>
      <c r="W199" s="27"/>
      <c r="X199" s="27" t="str">
        <f t="shared" si="59"/>
        <v/>
      </c>
      <c r="Y199" s="27" t="str">
        <f t="shared" si="60"/>
        <v/>
      </c>
      <c r="Z199" s="27" t="str">
        <f t="shared" si="61"/>
        <v/>
      </c>
      <c r="AA199" s="121"/>
      <c r="AB199" s="121"/>
      <c r="AC199" s="121"/>
      <c r="AD199" s="121"/>
      <c r="AE199" s="121" t="s">
        <v>51</v>
      </c>
      <c r="AF199" s="121"/>
      <c r="AG199" s="121"/>
      <c r="AH199" s="28" t="s">
        <v>171</v>
      </c>
      <c r="AI199" s="28" t="s">
        <v>113</v>
      </c>
      <c r="AJ199" s="28">
        <v>30700</v>
      </c>
      <c r="AK199" s="121" t="str">
        <f t="shared" si="63"/>
        <v/>
      </c>
      <c r="AL199" s="123" t="str">
        <f t="shared" si="45"/>
        <v/>
      </c>
      <c r="AM199" s="27"/>
      <c r="AN199" s="124"/>
      <c r="AO199" s="124"/>
      <c r="AP199" s="124"/>
      <c r="AQ199" s="124"/>
      <c r="AR199" s="124"/>
      <c r="AS199" s="124"/>
      <c r="AT199" s="124" t="s">
        <v>1939</v>
      </c>
      <c r="AU199" s="124" t="str">
        <f t="shared" si="49"/>
        <v/>
      </c>
      <c r="AV199" s="124" t="s">
        <v>2568</v>
      </c>
      <c r="AW199" s="117"/>
      <c r="AX199" s="138" t="str">
        <f t="shared" si="66"/>
        <v/>
      </c>
      <c r="AY199" s="31" t="str">
        <f>IF(C199&lt;&gt;"",CREATE_QUERY($D$1,C$2:AW$2,C199:AW199),"")</f>
        <v/>
      </c>
    </row>
    <row r="200" spans="1:51">
      <c r="A200" s="1">
        <v>80</v>
      </c>
      <c r="B200" s="121" t="str">
        <f t="shared" si="67"/>
        <v/>
      </c>
      <c r="C200" s="27" t="str">
        <f t="shared" si="65"/>
        <v/>
      </c>
      <c r="D200" s="121"/>
      <c r="E200" s="27">
        <v>262012</v>
      </c>
      <c r="F200" s="121"/>
      <c r="G200" s="121"/>
      <c r="H200" s="121"/>
      <c r="I200" s="121"/>
      <c r="J200" s="121"/>
      <c r="K200" s="27" t="str">
        <f t="shared" si="50"/>
        <v/>
      </c>
      <c r="L200" s="27">
        <v>1</v>
      </c>
      <c r="M200" s="27" t="str">
        <f t="shared" si="51"/>
        <v>0</v>
      </c>
      <c r="N200" s="121"/>
      <c r="O200" s="121"/>
      <c r="P200" s="27" t="str">
        <f t="shared" si="52"/>
        <v>0</v>
      </c>
      <c r="Q200" s="27" t="str">
        <f t="shared" si="53"/>
        <v>0</v>
      </c>
      <c r="R200" s="27" t="str">
        <f t="shared" si="54"/>
        <v>0</v>
      </c>
      <c r="S200" s="27" t="str">
        <f t="shared" si="55"/>
        <v>0</v>
      </c>
      <c r="T200" s="27" t="str">
        <f t="shared" si="56"/>
        <v>0</v>
      </c>
      <c r="U200" s="27" t="str">
        <f t="shared" si="57"/>
        <v>0</v>
      </c>
      <c r="V200" s="27" t="str">
        <f t="shared" si="58"/>
        <v>1</v>
      </c>
      <c r="W200" s="27"/>
      <c r="X200" s="27" t="str">
        <f t="shared" si="59"/>
        <v/>
      </c>
      <c r="Y200" s="27" t="str">
        <f t="shared" si="60"/>
        <v/>
      </c>
      <c r="Z200" s="27" t="str">
        <f t="shared" si="61"/>
        <v/>
      </c>
      <c r="AA200" s="121"/>
      <c r="AB200" s="121"/>
      <c r="AC200" s="121"/>
      <c r="AD200" s="121"/>
      <c r="AE200" s="121" t="s">
        <v>51</v>
      </c>
      <c r="AF200" s="121"/>
      <c r="AG200" s="121"/>
      <c r="AH200" s="28" t="s">
        <v>171</v>
      </c>
      <c r="AI200" s="28" t="s">
        <v>113</v>
      </c>
      <c r="AJ200" s="28">
        <v>30750</v>
      </c>
      <c r="AK200" s="121" t="str">
        <f t="shared" si="63"/>
        <v/>
      </c>
      <c r="AL200" s="123" t="str">
        <f t="shared" si="45"/>
        <v/>
      </c>
      <c r="AM200" s="27"/>
      <c r="AN200" s="124"/>
      <c r="AO200" s="124"/>
      <c r="AP200" s="124"/>
      <c r="AQ200" s="124"/>
      <c r="AR200" s="124"/>
      <c r="AS200" s="124"/>
      <c r="AT200" s="124" t="s">
        <v>1939</v>
      </c>
      <c r="AU200" s="124" t="str">
        <f t="shared" si="49"/>
        <v/>
      </c>
      <c r="AV200" s="124" t="s">
        <v>2569</v>
      </c>
      <c r="AW200" s="117"/>
      <c r="AX200" s="138" t="str">
        <f t="shared" si="66"/>
        <v/>
      </c>
      <c r="AY200" s="31" t="str">
        <f>IF(C200&lt;&gt;"",CREATE_QUERY($D$1,C$2:AW$2,C200:AW200),"")</f>
        <v/>
      </c>
    </row>
    <row r="201" spans="1:51">
      <c r="A201" s="1">
        <v>78</v>
      </c>
      <c r="B201" s="121" t="str">
        <f t="shared" si="67"/>
        <v/>
      </c>
      <c r="C201" s="27" t="str">
        <f t="shared" si="65"/>
        <v/>
      </c>
      <c r="D201" s="121"/>
      <c r="E201" s="27">
        <v>262013</v>
      </c>
      <c r="F201" s="121"/>
      <c r="G201" s="121"/>
      <c r="H201" s="121"/>
      <c r="I201" s="121"/>
      <c r="J201" s="121"/>
      <c r="K201" s="27" t="str">
        <f t="shared" si="50"/>
        <v/>
      </c>
      <c r="L201" s="27">
        <v>1</v>
      </c>
      <c r="M201" s="27" t="str">
        <f t="shared" si="51"/>
        <v>0</v>
      </c>
      <c r="N201" s="121"/>
      <c r="O201" s="121"/>
      <c r="P201" s="27" t="str">
        <f t="shared" si="52"/>
        <v>0</v>
      </c>
      <c r="Q201" s="27" t="str">
        <f t="shared" si="53"/>
        <v>0</v>
      </c>
      <c r="R201" s="27" t="str">
        <f t="shared" si="54"/>
        <v>0</v>
      </c>
      <c r="S201" s="27" t="str">
        <f t="shared" si="55"/>
        <v>0</v>
      </c>
      <c r="T201" s="27" t="str">
        <f t="shared" si="56"/>
        <v>0</v>
      </c>
      <c r="U201" s="27" t="str">
        <f t="shared" si="57"/>
        <v>0</v>
      </c>
      <c r="V201" s="27" t="str">
        <f t="shared" si="58"/>
        <v>1</v>
      </c>
      <c r="W201" s="27"/>
      <c r="X201" s="27" t="str">
        <f t="shared" si="59"/>
        <v/>
      </c>
      <c r="Y201" s="27" t="str">
        <f t="shared" si="60"/>
        <v/>
      </c>
      <c r="Z201" s="27" t="str">
        <f t="shared" si="61"/>
        <v/>
      </c>
      <c r="AA201" s="121"/>
      <c r="AB201" s="121"/>
      <c r="AC201" s="121"/>
      <c r="AD201" s="121"/>
      <c r="AE201" s="121" t="s">
        <v>51</v>
      </c>
      <c r="AF201" s="121"/>
      <c r="AG201" s="121"/>
      <c r="AH201" s="28" t="s">
        <v>171</v>
      </c>
      <c r="AI201" s="28" t="s">
        <v>113</v>
      </c>
      <c r="AJ201" s="28">
        <v>30800</v>
      </c>
      <c r="AK201" s="121" t="str">
        <f t="shared" si="63"/>
        <v/>
      </c>
      <c r="AL201" s="123" t="str">
        <f t="shared" si="45"/>
        <v/>
      </c>
      <c r="AM201" s="27"/>
      <c r="AN201" s="124"/>
      <c r="AO201" s="124"/>
      <c r="AP201" s="124"/>
      <c r="AQ201" s="124"/>
      <c r="AR201" s="124"/>
      <c r="AS201" s="124"/>
      <c r="AT201" s="124" t="s">
        <v>1939</v>
      </c>
      <c r="AU201" s="124" t="str">
        <f t="shared" si="49"/>
        <v/>
      </c>
      <c r="AV201" s="124" t="s">
        <v>2570</v>
      </c>
      <c r="AW201" s="117"/>
      <c r="AX201" s="138" t="str">
        <f t="shared" si="66"/>
        <v/>
      </c>
      <c r="AY201" s="31" t="str">
        <f>IF(C201&lt;&gt;"",CREATE_QUERY($D$1,C$2:AW$2,C201:AW201),"")</f>
        <v/>
      </c>
    </row>
    <row r="202" spans="1:51">
      <c r="A202" s="1">
        <v>79</v>
      </c>
      <c r="B202" s="121" t="str">
        <f t="shared" si="67"/>
        <v/>
      </c>
      <c r="C202" s="27" t="str">
        <f t="shared" si="65"/>
        <v/>
      </c>
      <c r="D202" s="121"/>
      <c r="E202" s="27">
        <v>262014</v>
      </c>
      <c r="F202" s="121"/>
      <c r="G202" s="121"/>
      <c r="H202" s="121"/>
      <c r="I202" s="121"/>
      <c r="J202" s="121"/>
      <c r="K202" s="27" t="str">
        <f t="shared" si="50"/>
        <v/>
      </c>
      <c r="L202" s="27">
        <v>1</v>
      </c>
      <c r="M202" s="27" t="str">
        <f t="shared" si="51"/>
        <v>0</v>
      </c>
      <c r="N202" s="121"/>
      <c r="O202" s="121"/>
      <c r="P202" s="27" t="str">
        <f t="shared" si="52"/>
        <v>0</v>
      </c>
      <c r="Q202" s="27" t="str">
        <f t="shared" si="53"/>
        <v>0</v>
      </c>
      <c r="R202" s="27" t="str">
        <f t="shared" si="54"/>
        <v>0</v>
      </c>
      <c r="S202" s="27" t="str">
        <f t="shared" si="55"/>
        <v>0</v>
      </c>
      <c r="T202" s="27" t="str">
        <f t="shared" si="56"/>
        <v>0</v>
      </c>
      <c r="U202" s="27" t="str">
        <f t="shared" si="57"/>
        <v>0</v>
      </c>
      <c r="V202" s="27" t="str">
        <f t="shared" si="58"/>
        <v>1</v>
      </c>
      <c r="W202" s="27"/>
      <c r="X202" s="27" t="str">
        <f t="shared" si="59"/>
        <v/>
      </c>
      <c r="Y202" s="27" t="str">
        <f t="shared" si="60"/>
        <v/>
      </c>
      <c r="Z202" s="27" t="str">
        <f t="shared" si="61"/>
        <v/>
      </c>
      <c r="AA202" s="121"/>
      <c r="AB202" s="121"/>
      <c r="AC202" s="121"/>
      <c r="AD202" s="121"/>
      <c r="AE202" s="121" t="s">
        <v>51</v>
      </c>
      <c r="AF202" s="121"/>
      <c r="AG202" s="121"/>
      <c r="AH202" s="28" t="s">
        <v>171</v>
      </c>
      <c r="AI202" s="28" t="s">
        <v>113</v>
      </c>
      <c r="AJ202" s="28">
        <v>30850</v>
      </c>
      <c r="AK202" s="121" t="str">
        <f t="shared" si="63"/>
        <v/>
      </c>
      <c r="AL202" s="123" t="str">
        <f t="shared" si="45"/>
        <v/>
      </c>
      <c r="AM202" s="27"/>
      <c r="AN202" s="124"/>
      <c r="AO202" s="124"/>
      <c r="AP202" s="124"/>
      <c r="AQ202" s="124"/>
      <c r="AR202" s="124"/>
      <c r="AS202" s="124"/>
      <c r="AT202" s="124" t="s">
        <v>1939</v>
      </c>
      <c r="AU202" s="124" t="str">
        <f t="shared" si="49"/>
        <v/>
      </c>
      <c r="AV202" s="124" t="s">
        <v>2571</v>
      </c>
      <c r="AW202" s="117"/>
      <c r="AX202" s="138" t="str">
        <f t="shared" si="66"/>
        <v/>
      </c>
      <c r="AY202" s="31" t="str">
        <f>IF(C202&lt;&gt;"",CREATE_QUERY($D$1,C$2:AW$2,C202:AW202),"")</f>
        <v/>
      </c>
    </row>
    <row r="203" spans="1:51">
      <c r="A203" s="1">
        <v>80</v>
      </c>
      <c r="B203" s="121" t="str">
        <f t="shared" si="67"/>
        <v/>
      </c>
      <c r="C203" s="27" t="str">
        <f t="shared" si="65"/>
        <v/>
      </c>
      <c r="D203" s="121"/>
      <c r="E203" s="27">
        <v>262015</v>
      </c>
      <c r="F203" s="121"/>
      <c r="G203" s="121"/>
      <c r="H203" s="121"/>
      <c r="I203" s="121"/>
      <c r="J203" s="121"/>
      <c r="K203" s="27" t="str">
        <f t="shared" si="50"/>
        <v/>
      </c>
      <c r="L203" s="27">
        <v>1</v>
      </c>
      <c r="M203" s="27" t="str">
        <f t="shared" si="51"/>
        <v>0</v>
      </c>
      <c r="N203" s="121"/>
      <c r="O203" s="121"/>
      <c r="P203" s="27" t="str">
        <f t="shared" si="52"/>
        <v>0</v>
      </c>
      <c r="Q203" s="27" t="str">
        <f t="shared" si="53"/>
        <v>0</v>
      </c>
      <c r="R203" s="27" t="str">
        <f t="shared" si="54"/>
        <v>0</v>
      </c>
      <c r="S203" s="27" t="str">
        <f t="shared" si="55"/>
        <v>0</v>
      </c>
      <c r="T203" s="27" t="str">
        <f t="shared" si="56"/>
        <v>0</v>
      </c>
      <c r="U203" s="27" t="str">
        <f t="shared" si="57"/>
        <v>0</v>
      </c>
      <c r="V203" s="27" t="str">
        <f t="shared" si="58"/>
        <v>1</v>
      </c>
      <c r="W203" s="27"/>
      <c r="X203" s="27" t="str">
        <f t="shared" si="59"/>
        <v/>
      </c>
      <c r="Y203" s="27" t="str">
        <f t="shared" si="60"/>
        <v/>
      </c>
      <c r="Z203" s="27" t="str">
        <f t="shared" si="61"/>
        <v/>
      </c>
      <c r="AA203" s="121"/>
      <c r="AB203" s="121"/>
      <c r="AC203" s="121"/>
      <c r="AD203" s="121"/>
      <c r="AE203" s="121" t="s">
        <v>51</v>
      </c>
      <c r="AF203" s="121"/>
      <c r="AG203" s="121"/>
      <c r="AH203" s="28" t="s">
        <v>171</v>
      </c>
      <c r="AI203" s="28" t="s">
        <v>113</v>
      </c>
      <c r="AJ203" s="28">
        <v>30900</v>
      </c>
      <c r="AK203" s="121" t="str">
        <f t="shared" si="63"/>
        <v/>
      </c>
      <c r="AL203" s="123" t="str">
        <f t="shared" si="45"/>
        <v/>
      </c>
      <c r="AM203" s="27"/>
      <c r="AN203" s="124"/>
      <c r="AO203" s="124"/>
      <c r="AP203" s="124"/>
      <c r="AQ203" s="124"/>
      <c r="AR203" s="124"/>
      <c r="AS203" s="124"/>
      <c r="AT203" s="124" t="s">
        <v>1939</v>
      </c>
      <c r="AU203" s="124" t="str">
        <f t="shared" si="49"/>
        <v/>
      </c>
      <c r="AV203" s="124" t="s">
        <v>2572</v>
      </c>
      <c r="AW203" s="117"/>
      <c r="AX203" s="138" t="str">
        <f t="shared" si="66"/>
        <v/>
      </c>
      <c r="AY203" s="31" t="str">
        <f>IF(C203&lt;&gt;"",CREATE_QUERY($D$1,C$2:AW$2,C203:AW203),"")</f>
        <v/>
      </c>
    </row>
    <row r="204" spans="1:51">
      <c r="A204" s="1">
        <v>80</v>
      </c>
      <c r="B204" s="121" t="str">
        <f t="shared" si="67"/>
        <v/>
      </c>
      <c r="C204" s="27" t="str">
        <f t="shared" si="65"/>
        <v/>
      </c>
      <c r="D204" s="121"/>
      <c r="E204" s="27">
        <v>262016</v>
      </c>
      <c r="F204" s="121"/>
      <c r="G204" s="121"/>
      <c r="H204" s="121"/>
      <c r="I204" s="121"/>
      <c r="J204" s="121"/>
      <c r="K204" s="27" t="str">
        <f t="shared" si="50"/>
        <v/>
      </c>
      <c r="L204" s="27">
        <v>1</v>
      </c>
      <c r="M204" s="27" t="str">
        <f t="shared" si="51"/>
        <v>0</v>
      </c>
      <c r="N204" s="121"/>
      <c r="O204" s="121"/>
      <c r="P204" s="27" t="str">
        <f t="shared" si="52"/>
        <v>0</v>
      </c>
      <c r="Q204" s="27" t="str">
        <f t="shared" si="53"/>
        <v>0</v>
      </c>
      <c r="R204" s="27" t="str">
        <f t="shared" si="54"/>
        <v>0</v>
      </c>
      <c r="S204" s="27" t="str">
        <f t="shared" si="55"/>
        <v>0</v>
      </c>
      <c r="T204" s="27" t="str">
        <f t="shared" si="56"/>
        <v>0</v>
      </c>
      <c r="U204" s="27" t="str">
        <f t="shared" si="57"/>
        <v>0</v>
      </c>
      <c r="V204" s="27" t="str">
        <f t="shared" si="58"/>
        <v>1</v>
      </c>
      <c r="W204" s="27"/>
      <c r="X204" s="27" t="str">
        <f t="shared" si="59"/>
        <v/>
      </c>
      <c r="Y204" s="27" t="str">
        <f t="shared" si="60"/>
        <v/>
      </c>
      <c r="Z204" s="27" t="str">
        <f t="shared" si="61"/>
        <v/>
      </c>
      <c r="AA204" s="121"/>
      <c r="AB204" s="121"/>
      <c r="AC204" s="121"/>
      <c r="AD204" s="121"/>
      <c r="AE204" s="121" t="s">
        <v>51</v>
      </c>
      <c r="AF204" s="121"/>
      <c r="AG204" s="121"/>
      <c r="AH204" s="28" t="s">
        <v>171</v>
      </c>
      <c r="AI204" s="28" t="s">
        <v>113</v>
      </c>
      <c r="AJ204" s="28">
        <v>30950</v>
      </c>
      <c r="AK204" s="121" t="str">
        <f t="shared" si="63"/>
        <v/>
      </c>
      <c r="AL204" s="123" t="str">
        <f t="shared" si="45"/>
        <v/>
      </c>
      <c r="AM204" s="27"/>
      <c r="AN204" s="124"/>
      <c r="AO204" s="124"/>
      <c r="AP204" s="124"/>
      <c r="AQ204" s="124"/>
      <c r="AR204" s="124"/>
      <c r="AS204" s="124"/>
      <c r="AT204" s="124" t="s">
        <v>1939</v>
      </c>
      <c r="AU204" s="124" t="str">
        <f t="shared" si="49"/>
        <v/>
      </c>
      <c r="AV204" s="124" t="s">
        <v>2573</v>
      </c>
      <c r="AW204" s="117"/>
      <c r="AX204" s="138" t="str">
        <f t="shared" si="66"/>
        <v/>
      </c>
      <c r="AY204" s="31" t="str">
        <f>IF(C204&lt;&gt;"",CREATE_QUERY($D$1,C$2:AW$2,C204:AW204),"")</f>
        <v/>
      </c>
    </row>
    <row r="205" spans="1:51">
      <c r="A205" s="1">
        <v>80</v>
      </c>
      <c r="B205" s="121" t="str">
        <f t="shared" si="67"/>
        <v/>
      </c>
      <c r="C205" s="27" t="str">
        <f t="shared" si="65"/>
        <v/>
      </c>
      <c r="D205" s="121"/>
      <c r="E205" s="27">
        <v>262017</v>
      </c>
      <c r="F205" s="121"/>
      <c r="G205" s="121"/>
      <c r="H205" s="121"/>
      <c r="I205" s="121"/>
      <c r="J205" s="121"/>
      <c r="K205" s="27" t="str">
        <f t="shared" si="50"/>
        <v/>
      </c>
      <c r="L205" s="27">
        <v>1</v>
      </c>
      <c r="M205" s="27" t="str">
        <f t="shared" si="51"/>
        <v>0</v>
      </c>
      <c r="N205" s="121"/>
      <c r="O205" s="121"/>
      <c r="P205" s="27" t="str">
        <f t="shared" si="52"/>
        <v>0</v>
      </c>
      <c r="Q205" s="27" t="str">
        <f t="shared" si="53"/>
        <v>0</v>
      </c>
      <c r="R205" s="27" t="str">
        <f t="shared" si="54"/>
        <v>0</v>
      </c>
      <c r="S205" s="27" t="str">
        <f t="shared" si="55"/>
        <v>0</v>
      </c>
      <c r="T205" s="27" t="str">
        <f t="shared" si="56"/>
        <v>0</v>
      </c>
      <c r="U205" s="27" t="str">
        <f t="shared" si="57"/>
        <v>0</v>
      </c>
      <c r="V205" s="27" t="str">
        <f t="shared" si="58"/>
        <v>1</v>
      </c>
      <c r="W205" s="27"/>
      <c r="X205" s="27" t="str">
        <f t="shared" si="59"/>
        <v/>
      </c>
      <c r="Y205" s="27" t="str">
        <f t="shared" si="60"/>
        <v/>
      </c>
      <c r="Z205" s="27" t="str">
        <f t="shared" si="61"/>
        <v/>
      </c>
      <c r="AA205" s="121"/>
      <c r="AB205" s="121"/>
      <c r="AC205" s="121"/>
      <c r="AD205" s="121"/>
      <c r="AE205" s="121" t="s">
        <v>51</v>
      </c>
      <c r="AF205" s="121"/>
      <c r="AG205" s="121"/>
      <c r="AH205" s="28" t="s">
        <v>171</v>
      </c>
      <c r="AI205" s="28" t="s">
        <v>113</v>
      </c>
      <c r="AJ205" s="28">
        <v>31000</v>
      </c>
      <c r="AK205" s="121" t="str">
        <f t="shared" si="63"/>
        <v/>
      </c>
      <c r="AL205" s="123" t="str">
        <f t="shared" si="45"/>
        <v/>
      </c>
      <c r="AM205" s="27"/>
      <c r="AN205" s="124"/>
      <c r="AO205" s="124"/>
      <c r="AP205" s="124"/>
      <c r="AQ205" s="124"/>
      <c r="AR205" s="124"/>
      <c r="AS205" s="124"/>
      <c r="AT205" s="124" t="s">
        <v>1939</v>
      </c>
      <c r="AU205" s="124" t="str">
        <f t="shared" si="49"/>
        <v/>
      </c>
      <c r="AV205" s="124" t="s">
        <v>2574</v>
      </c>
      <c r="AW205" s="117"/>
      <c r="AX205" s="138" t="str">
        <f t="shared" si="66"/>
        <v/>
      </c>
      <c r="AY205" s="31" t="str">
        <f>IF(C205&lt;&gt;"",CREATE_QUERY($D$1,C$2:AW$2,C205:AW205),"")</f>
        <v/>
      </c>
    </row>
    <row r="206" spans="1:51">
      <c r="A206" s="1">
        <v>80</v>
      </c>
      <c r="B206" s="121" t="str">
        <f t="shared" si="67"/>
        <v/>
      </c>
      <c r="C206" s="27" t="str">
        <f t="shared" si="65"/>
        <v/>
      </c>
      <c r="D206" s="121"/>
      <c r="E206" s="27">
        <v>262018</v>
      </c>
      <c r="F206" s="121"/>
      <c r="G206" s="121"/>
      <c r="H206" s="121"/>
      <c r="I206" s="121"/>
      <c r="J206" s="121"/>
      <c r="K206" s="27" t="str">
        <f t="shared" si="50"/>
        <v/>
      </c>
      <c r="L206" s="27">
        <v>1</v>
      </c>
      <c r="M206" s="27" t="str">
        <f t="shared" si="51"/>
        <v>0</v>
      </c>
      <c r="N206" s="121"/>
      <c r="O206" s="121"/>
      <c r="P206" s="27" t="str">
        <f t="shared" si="52"/>
        <v>0</v>
      </c>
      <c r="Q206" s="27" t="str">
        <f t="shared" si="53"/>
        <v>0</v>
      </c>
      <c r="R206" s="27" t="str">
        <f t="shared" si="54"/>
        <v>0</v>
      </c>
      <c r="S206" s="27" t="str">
        <f t="shared" si="55"/>
        <v>0</v>
      </c>
      <c r="T206" s="27" t="str">
        <f t="shared" si="56"/>
        <v>0</v>
      </c>
      <c r="U206" s="27" t="str">
        <f t="shared" si="57"/>
        <v>0</v>
      </c>
      <c r="V206" s="27" t="str">
        <f t="shared" si="58"/>
        <v>1</v>
      </c>
      <c r="W206" s="27"/>
      <c r="X206" s="27" t="str">
        <f t="shared" si="59"/>
        <v/>
      </c>
      <c r="Y206" s="27" t="str">
        <f t="shared" si="60"/>
        <v/>
      </c>
      <c r="Z206" s="27" t="str">
        <f t="shared" si="61"/>
        <v/>
      </c>
      <c r="AA206" s="121"/>
      <c r="AB206" s="121"/>
      <c r="AC206" s="121"/>
      <c r="AD206" s="121"/>
      <c r="AE206" s="121" t="s">
        <v>51</v>
      </c>
      <c r="AF206" s="121"/>
      <c r="AG206" s="121"/>
      <c r="AH206" s="28" t="s">
        <v>171</v>
      </c>
      <c r="AI206" s="28" t="s">
        <v>113</v>
      </c>
      <c r="AJ206" s="28">
        <v>31050</v>
      </c>
      <c r="AK206" s="121" t="str">
        <f t="shared" si="63"/>
        <v/>
      </c>
      <c r="AL206" s="123" t="str">
        <f t="shared" si="45"/>
        <v/>
      </c>
      <c r="AM206" s="27"/>
      <c r="AN206" s="124"/>
      <c r="AO206" s="124"/>
      <c r="AP206" s="124"/>
      <c r="AQ206" s="124"/>
      <c r="AR206" s="124"/>
      <c r="AS206" s="124"/>
      <c r="AT206" s="124" t="s">
        <v>1939</v>
      </c>
      <c r="AU206" s="124" t="str">
        <f t="shared" si="49"/>
        <v/>
      </c>
      <c r="AV206" s="124" t="s">
        <v>2575</v>
      </c>
      <c r="AW206" s="117"/>
      <c r="AX206" s="138" t="str">
        <f t="shared" si="66"/>
        <v/>
      </c>
      <c r="AY206" s="31" t="str">
        <f>IF(C206&lt;&gt;"",CREATE_QUERY($D$1,C$2:AW$2,C206:AW206),"")</f>
        <v/>
      </c>
    </row>
    <row r="207" spans="1:51">
      <c r="A207" s="1">
        <v>81</v>
      </c>
      <c r="B207" s="121" t="str">
        <f t="shared" si="67"/>
        <v/>
      </c>
      <c r="C207" s="27" t="str">
        <f t="shared" si="65"/>
        <v/>
      </c>
      <c r="D207" s="121"/>
      <c r="E207" s="27"/>
      <c r="F207" s="121"/>
      <c r="G207" s="121"/>
      <c r="H207" s="121"/>
      <c r="I207" s="121"/>
      <c r="J207" s="121"/>
      <c r="K207" s="27" t="str">
        <f t="shared" si="50"/>
        <v/>
      </c>
      <c r="L207" s="27">
        <v>1</v>
      </c>
      <c r="M207" s="27" t="str">
        <f t="shared" si="51"/>
        <v>0</v>
      </c>
      <c r="N207" s="121"/>
      <c r="O207" s="121"/>
      <c r="P207" s="27" t="str">
        <f t="shared" si="52"/>
        <v>0</v>
      </c>
      <c r="Q207" s="27" t="str">
        <f t="shared" si="53"/>
        <v>0</v>
      </c>
      <c r="R207" s="27" t="str">
        <f t="shared" si="54"/>
        <v>0</v>
      </c>
      <c r="S207" s="27" t="str">
        <f t="shared" si="55"/>
        <v>0</v>
      </c>
      <c r="T207" s="27" t="str">
        <f t="shared" si="56"/>
        <v>0</v>
      </c>
      <c r="U207" s="27" t="str">
        <f t="shared" si="57"/>
        <v>0</v>
      </c>
      <c r="V207" s="27" t="str">
        <f t="shared" si="58"/>
        <v>1</v>
      </c>
      <c r="W207" s="27"/>
      <c r="X207" s="27" t="str">
        <f t="shared" si="59"/>
        <v/>
      </c>
      <c r="Y207" s="27" t="str">
        <f t="shared" si="60"/>
        <v/>
      </c>
      <c r="Z207" s="27" t="str">
        <f t="shared" si="61"/>
        <v/>
      </c>
      <c r="AA207" s="121"/>
      <c r="AB207" s="121"/>
      <c r="AC207" s="121"/>
      <c r="AD207" s="121"/>
      <c r="AE207" s="121"/>
      <c r="AF207" s="121"/>
      <c r="AG207" s="121"/>
      <c r="AH207" s="27"/>
      <c r="AI207" s="27"/>
      <c r="AJ207" s="27" t="s">
        <v>900</v>
      </c>
      <c r="AK207" s="121" t="str">
        <f t="shared" si="63"/>
        <v>0</v>
      </c>
      <c r="AL207" s="123" t="str">
        <f t="shared" si="45"/>
        <v/>
      </c>
      <c r="AM207" s="27"/>
      <c r="AN207" s="124"/>
      <c r="AO207" s="124"/>
      <c r="AP207" s="124"/>
      <c r="AQ207" s="124"/>
      <c r="AR207" s="124"/>
      <c r="AS207" s="124"/>
      <c r="AT207" s="124"/>
      <c r="AU207" s="124" t="str">
        <f t="shared" si="49"/>
        <v/>
      </c>
      <c r="AV207" s="124"/>
      <c r="AW207" s="117"/>
      <c r="AX207" s="138" t="str">
        <f t="shared" si="66"/>
        <v/>
      </c>
      <c r="AY207" s="31" t="str">
        <f>IF(C207&lt;&gt;"",CREATE_QUERY($D$1,C$2:AW$2,C207:AW207),"")</f>
        <v/>
      </c>
    </row>
    <row r="208" spans="1:51">
      <c r="A208" s="1">
        <v>82</v>
      </c>
      <c r="B208" s="121" t="str">
        <f t="shared" si="67"/>
        <v xml:space="preserve">  └ 재고관리</v>
      </c>
      <c r="C208" s="27" t="str">
        <f t="shared" si="65"/>
        <v>14821</v>
      </c>
      <c r="D208" s="121"/>
      <c r="E208" s="25" t="s">
        <v>173</v>
      </c>
      <c r="F208" s="127" t="s">
        <v>172</v>
      </c>
      <c r="G208" s="127"/>
      <c r="H208" s="127"/>
      <c r="I208" s="127"/>
      <c r="J208" s="127"/>
      <c r="K208" s="25" t="str">
        <f t="shared" si="50"/>
        <v/>
      </c>
      <c r="L208" s="25">
        <v>1</v>
      </c>
      <c r="M208" s="25" t="str">
        <f t="shared" si="51"/>
        <v>0</v>
      </c>
      <c r="N208" s="127"/>
      <c r="O208" s="127"/>
      <c r="P208" s="25" t="str">
        <f t="shared" si="52"/>
        <v>0</v>
      </c>
      <c r="Q208" s="25" t="str">
        <f t="shared" si="53"/>
        <v>0</v>
      </c>
      <c r="R208" s="25" t="str">
        <f t="shared" si="54"/>
        <v>0</v>
      </c>
      <c r="S208" s="25" t="str">
        <f t="shared" si="55"/>
        <v>0</v>
      </c>
      <c r="T208" s="25" t="str">
        <f t="shared" si="56"/>
        <v>0</v>
      </c>
      <c r="U208" s="25" t="str">
        <f t="shared" si="57"/>
        <v>0</v>
      </c>
      <c r="V208" s="25" t="str">
        <f t="shared" si="58"/>
        <v>1</v>
      </c>
      <c r="W208" s="25"/>
      <c r="X208" s="25" t="str">
        <f t="shared" si="59"/>
        <v/>
      </c>
      <c r="Y208" s="25" t="str">
        <f t="shared" si="60"/>
        <v/>
      </c>
      <c r="Z208" s="25" t="str">
        <f t="shared" si="61"/>
        <v/>
      </c>
      <c r="AA208" s="127"/>
      <c r="AB208" s="127"/>
      <c r="AC208" s="127"/>
      <c r="AD208" s="127"/>
      <c r="AE208" s="127" t="s">
        <v>51</v>
      </c>
      <c r="AF208" s="127"/>
      <c r="AG208" s="127"/>
      <c r="AH208" s="24" t="s">
        <v>120</v>
      </c>
      <c r="AI208" s="24" t="s">
        <v>111</v>
      </c>
      <c r="AJ208" s="24">
        <v>40000</v>
      </c>
      <c r="AK208" s="121" t="str">
        <f t="shared" si="63"/>
        <v>0</v>
      </c>
      <c r="AL208" s="123" t="str">
        <f t="shared" si="45"/>
        <v>14821/재고관리//</v>
      </c>
      <c r="AM208" s="25"/>
      <c r="AN208" s="124"/>
      <c r="AO208" s="124" t="s">
        <v>1829</v>
      </c>
      <c r="AP208" s="124" t="s">
        <v>1829</v>
      </c>
      <c r="AQ208" s="124"/>
      <c r="AR208" s="124" t="s">
        <v>1829</v>
      </c>
      <c r="AS208" s="124"/>
      <c r="AT208" s="124" t="s">
        <v>1940</v>
      </c>
      <c r="AU208" s="124" t="str">
        <f t="shared" si="49"/>
        <v/>
      </c>
      <c r="AV208" s="124"/>
      <c r="AW208" s="117"/>
      <c r="AX208" s="138" t="str">
        <f t="shared" si="66"/>
        <v>delete from module_mst where pjt_id = '14821' and menu_id = '270000';</v>
      </c>
      <c r="AY208" s="31" t="str">
        <f>IF(C208&lt;&gt;"",CREATE_QUERY($D$1,C$2:AW$2,C208:AW208),"")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'270000', '재고관리', '', '', '', '', '', '1', '0', '', '', '0', '0', '0', '0', '0', '0', '1', '', '', '', '', '', '', '', '', 'N', '', '', '200000', '3', '40000', '0', '14821/재고관리//', '', '', 'Y', 'Y', '', 'Y', '', 'W', '', '');</v>
      </c>
    </row>
    <row r="209" spans="1:51">
      <c r="A209" s="1">
        <v>83</v>
      </c>
      <c r="B209" s="121" t="str">
        <f t="shared" si="67"/>
        <v xml:space="preserve">    └ 입출고관리</v>
      </c>
      <c r="C209" s="27" t="str">
        <f t="shared" si="65"/>
        <v>14821</v>
      </c>
      <c r="D209" s="121"/>
      <c r="E209" s="21" t="s">
        <v>174</v>
      </c>
      <c r="F209" s="118" t="s">
        <v>179</v>
      </c>
      <c r="G209" s="118"/>
      <c r="H209" s="118"/>
      <c r="I209" s="118"/>
      <c r="J209" s="118"/>
      <c r="K209" s="21" t="str">
        <f t="shared" si="50"/>
        <v/>
      </c>
      <c r="L209" s="21">
        <v>1</v>
      </c>
      <c r="M209" s="21" t="str">
        <f t="shared" si="51"/>
        <v>0</v>
      </c>
      <c r="N209" s="118"/>
      <c r="O209" s="118"/>
      <c r="P209" s="21" t="str">
        <f t="shared" si="52"/>
        <v>0</v>
      </c>
      <c r="Q209" s="21" t="str">
        <f t="shared" si="53"/>
        <v>0</v>
      </c>
      <c r="R209" s="21" t="str">
        <f t="shared" si="54"/>
        <v>0</v>
      </c>
      <c r="S209" s="21" t="str">
        <f t="shared" si="55"/>
        <v>0</v>
      </c>
      <c r="T209" s="21" t="str">
        <f t="shared" si="56"/>
        <v>0</v>
      </c>
      <c r="U209" s="21" t="str">
        <f t="shared" si="57"/>
        <v>0</v>
      </c>
      <c r="V209" s="21" t="str">
        <f t="shared" si="58"/>
        <v>1</v>
      </c>
      <c r="W209" s="21"/>
      <c r="X209" s="21" t="str">
        <f t="shared" si="59"/>
        <v/>
      </c>
      <c r="Y209" s="21" t="str">
        <f t="shared" si="60"/>
        <v/>
      </c>
      <c r="Z209" s="21" t="str">
        <f t="shared" si="61"/>
        <v/>
      </c>
      <c r="AA209" s="118"/>
      <c r="AB209" s="118"/>
      <c r="AC209" s="118"/>
      <c r="AD209" s="118"/>
      <c r="AE209" s="118" t="s">
        <v>51</v>
      </c>
      <c r="AF209" s="118"/>
      <c r="AG209" s="118"/>
      <c r="AH209" s="26" t="s">
        <v>173</v>
      </c>
      <c r="AI209" s="26" t="s">
        <v>112</v>
      </c>
      <c r="AJ209" s="26">
        <v>40050</v>
      </c>
      <c r="AK209" s="121" t="str">
        <f t="shared" si="63"/>
        <v>0</v>
      </c>
      <c r="AL209" s="123" t="str">
        <f t="shared" si="45"/>
        <v>14821/입출고관리//</v>
      </c>
      <c r="AM209" s="21"/>
      <c r="AN209" s="124"/>
      <c r="AO209" s="124" t="s">
        <v>1829</v>
      </c>
      <c r="AP209" s="124" t="s">
        <v>1829</v>
      </c>
      <c r="AQ209" s="124"/>
      <c r="AR209" s="124" t="s">
        <v>1829</v>
      </c>
      <c r="AS209" s="124"/>
      <c r="AT209" s="124" t="s">
        <v>1940</v>
      </c>
      <c r="AU209" s="124" t="str">
        <f t="shared" si="49"/>
        <v/>
      </c>
      <c r="AV209" s="124"/>
      <c r="AW209" s="117"/>
      <c r="AX209" s="138" t="str">
        <f t="shared" si="66"/>
        <v>delete from module_mst where pjt_id = '14821' and menu_id = '271000';</v>
      </c>
      <c r="AY209" s="31" t="str">
        <f>IF(C209&lt;&gt;"",CREATE_QUERY($D$1,C$2:AW$2,C209:AW209),"")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'271000', '입출고관리', '', '', '', '', '', '1', '0', '', '', '0', '0', '0', '0', '0', '0', '1', '', '', '', '', '', '', '', '', 'N', '', '', '270000', '4', '40050', '0', '14821/입출고관리//', '', '', 'Y', 'Y', '', 'Y', '', 'W', '', '');</v>
      </c>
    </row>
    <row r="210" spans="1:51" ht="26">
      <c r="A210" s="1">
        <v>84</v>
      </c>
      <c r="B210" s="121" t="str">
        <f t="shared" si="67"/>
        <v xml:space="preserve">        └ 기타입고관리</v>
      </c>
      <c r="C210" s="27" t="str">
        <f t="shared" si="65"/>
        <v>14821</v>
      </c>
      <c r="D210" s="121"/>
      <c r="E210" s="27">
        <v>271001</v>
      </c>
      <c r="F210" s="121" t="s">
        <v>176</v>
      </c>
      <c r="G210" s="121"/>
      <c r="H210" s="121"/>
      <c r="I210" s="121"/>
      <c r="J210" s="121"/>
      <c r="K210" s="27" t="str">
        <f t="shared" si="50"/>
        <v>1</v>
      </c>
      <c r="L210" s="27">
        <v>1</v>
      </c>
      <c r="M210" s="27" t="str">
        <f t="shared" si="51"/>
        <v>1</v>
      </c>
      <c r="N210" s="121" t="s">
        <v>312</v>
      </c>
      <c r="O210" s="121" t="s">
        <v>306</v>
      </c>
      <c r="P210" s="27" t="str">
        <f t="shared" si="52"/>
        <v>1</v>
      </c>
      <c r="Q210" s="27" t="str">
        <f t="shared" si="53"/>
        <v>1</v>
      </c>
      <c r="R210" s="27" t="str">
        <f t="shared" si="54"/>
        <v>1</v>
      </c>
      <c r="S210" s="27" t="str">
        <f t="shared" si="55"/>
        <v>1</v>
      </c>
      <c r="T210" s="27" t="str">
        <f t="shared" si="56"/>
        <v>1</v>
      </c>
      <c r="U210" s="27" t="str">
        <f t="shared" si="57"/>
        <v>1</v>
      </c>
      <c r="V210" s="27" t="str">
        <f t="shared" si="58"/>
        <v>1</v>
      </c>
      <c r="W210" s="27"/>
      <c r="X210" s="27" t="str">
        <f t="shared" si="59"/>
        <v>0</v>
      </c>
      <c r="Y210" s="27" t="str">
        <f t="shared" si="60"/>
        <v>0</v>
      </c>
      <c r="Z210" s="27" t="str">
        <f t="shared" si="61"/>
        <v>0</v>
      </c>
      <c r="AA210" s="121"/>
      <c r="AB210" s="121"/>
      <c r="AC210" s="121"/>
      <c r="AD210" s="121"/>
      <c r="AE210" s="121" t="s">
        <v>51</v>
      </c>
      <c r="AF210" s="121"/>
      <c r="AG210" s="121"/>
      <c r="AH210" s="28" t="s">
        <v>174</v>
      </c>
      <c r="AI210" s="28" t="s">
        <v>113</v>
      </c>
      <c r="AJ210" s="28">
        <v>40100</v>
      </c>
      <c r="AK210" s="121" t="str">
        <f t="shared" si="63"/>
        <v>0</v>
      </c>
      <c r="AL210" s="123" t="str">
        <f t="shared" si="45"/>
        <v>14821/기타입고관리/stock.isos/EtcIsttWork</v>
      </c>
      <c r="AM210" s="27"/>
      <c r="AN210" s="124"/>
      <c r="AO210" s="124" t="s">
        <v>1829</v>
      </c>
      <c r="AP210" s="124" t="s">
        <v>1829</v>
      </c>
      <c r="AQ210" s="124"/>
      <c r="AR210" s="124" t="s">
        <v>1829</v>
      </c>
      <c r="AS210" s="124"/>
      <c r="AT210" s="124" t="s">
        <v>1940</v>
      </c>
      <c r="AU210" s="124" t="str">
        <f t="shared" si="49"/>
        <v>W271001</v>
      </c>
      <c r="AV210" s="124" t="s">
        <v>2650</v>
      </c>
      <c r="AW210" s="117" t="s">
        <v>1843</v>
      </c>
      <c r="AX210" s="138" t="str">
        <f t="shared" si="66"/>
        <v>delete from module_mst where pjt_id = '14821' and menu_id = '271001';</v>
      </c>
      <c r="AY210" s="31" t="str">
        <f>IF(C210&lt;&gt;"",CREATE_QUERY($D$1,C$2:AW$2,C210:AW210),"")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'271001', '기타입고관리', '', '', '', '', '1', '1', '1', 'stock.isos', 'EtcIsttWork', '1', '1', '1', '1', '1', '1', '1', '', '0', '0', '0', '', '', '', '', 'N', '', '', '271000', '5', '40100', '0', '14821/기타입고관리/stock.isos/EtcIsttWork', '', '', 'Y', 'Y', '', 'Y', '', 'W', 'MES-TD3-330', '기타 입고사항을 등록 관리(정상적인 발주품목 입고와 분리하여 관리 함.)');</v>
      </c>
    </row>
    <row r="211" spans="1:51">
      <c r="A211" s="1">
        <v>85</v>
      </c>
      <c r="B211" s="121" t="str">
        <f t="shared" si="67"/>
        <v xml:space="preserve">        └ 기타출고관리</v>
      </c>
      <c r="C211" s="27" t="str">
        <f t="shared" si="65"/>
        <v>14821</v>
      </c>
      <c r="D211" s="121"/>
      <c r="E211" s="27">
        <v>271002</v>
      </c>
      <c r="F211" s="121" t="s">
        <v>175</v>
      </c>
      <c r="G211" s="121"/>
      <c r="H211" s="121"/>
      <c r="I211" s="121"/>
      <c r="J211" s="121"/>
      <c r="K211" s="27" t="str">
        <f t="shared" si="50"/>
        <v>1</v>
      </c>
      <c r="L211" s="27">
        <v>1</v>
      </c>
      <c r="M211" s="27" t="str">
        <f t="shared" si="51"/>
        <v>1</v>
      </c>
      <c r="N211" s="121" t="s">
        <v>312</v>
      </c>
      <c r="O211" s="121" t="s">
        <v>307</v>
      </c>
      <c r="P211" s="27" t="str">
        <f t="shared" si="52"/>
        <v>1</v>
      </c>
      <c r="Q211" s="27" t="str">
        <f t="shared" si="53"/>
        <v>1</v>
      </c>
      <c r="R211" s="27" t="str">
        <f t="shared" si="54"/>
        <v>1</v>
      </c>
      <c r="S211" s="27" t="str">
        <f t="shared" si="55"/>
        <v>1</v>
      </c>
      <c r="T211" s="27" t="str">
        <f t="shared" si="56"/>
        <v>1</v>
      </c>
      <c r="U211" s="27" t="str">
        <f t="shared" si="57"/>
        <v>1</v>
      </c>
      <c r="V211" s="27" t="str">
        <f t="shared" si="58"/>
        <v>1</v>
      </c>
      <c r="W211" s="27"/>
      <c r="X211" s="27" t="str">
        <f t="shared" si="59"/>
        <v>0</v>
      </c>
      <c r="Y211" s="27" t="str">
        <f t="shared" si="60"/>
        <v>0</v>
      </c>
      <c r="Z211" s="27" t="str">
        <f t="shared" si="61"/>
        <v>0</v>
      </c>
      <c r="AA211" s="121"/>
      <c r="AB211" s="121"/>
      <c r="AC211" s="121"/>
      <c r="AD211" s="121"/>
      <c r="AE211" s="121" t="s">
        <v>51</v>
      </c>
      <c r="AF211" s="121"/>
      <c r="AG211" s="121"/>
      <c r="AH211" s="28" t="s">
        <v>174</v>
      </c>
      <c r="AI211" s="28" t="s">
        <v>113</v>
      </c>
      <c r="AJ211" s="28">
        <v>40150</v>
      </c>
      <c r="AK211" s="121" t="str">
        <f t="shared" si="63"/>
        <v>0</v>
      </c>
      <c r="AL211" s="123" t="str">
        <f t="shared" si="45"/>
        <v>14821/기타출고관리/stock.isos/EtcOsttWork</v>
      </c>
      <c r="AM211" s="27"/>
      <c r="AN211" s="124"/>
      <c r="AO211" s="124" t="s">
        <v>1829</v>
      </c>
      <c r="AP211" s="124" t="s">
        <v>1829</v>
      </c>
      <c r="AQ211" s="124"/>
      <c r="AR211" s="124" t="s">
        <v>1829</v>
      </c>
      <c r="AS211" s="124"/>
      <c r="AT211" s="124" t="s">
        <v>1940</v>
      </c>
      <c r="AU211" s="124" t="str">
        <f t="shared" si="49"/>
        <v>W271002</v>
      </c>
      <c r="AV211" s="124" t="s">
        <v>2651</v>
      </c>
      <c r="AW211" s="117" t="s">
        <v>1844</v>
      </c>
      <c r="AX211" s="138" t="str">
        <f t="shared" si="66"/>
        <v>delete from module_mst where pjt_id = '14821' and menu_id = '271002';</v>
      </c>
      <c r="AY211" s="31" t="str">
        <f>IF(C211&lt;&gt;"",CREATE_QUERY($D$1,C$2:AW$2,C211:AW211),"")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'271002', '기타출고관리', '', '', '', '', '1', '1', '1', 'stock.isos', 'EtcOsttWork', '1', '1', '1', '1', '1', '1', '1', '', '0', '0', '0', '', '', '', '', 'N', '', '', '271000', '5', '40150', '0', '14821/기타출고관리/stock.isos/EtcOsttWork', '', '', 'Y', 'Y', '', 'Y', '', 'W', 'MES-TD3-331', '기타 출고사항을 등록(생산출고와 분리하여 관리 함)');</v>
      </c>
    </row>
    <row r="212" spans="1:51" ht="26">
      <c r="A212" s="1">
        <v>86</v>
      </c>
      <c r="B212" s="121" t="str">
        <f t="shared" si="67"/>
        <v xml:space="preserve">        └ 생산출고관리</v>
      </c>
      <c r="C212" s="27" t="str">
        <f t="shared" si="65"/>
        <v>14821</v>
      </c>
      <c r="D212" s="121"/>
      <c r="E212" s="27">
        <v>271003</v>
      </c>
      <c r="F212" s="121" t="s">
        <v>177</v>
      </c>
      <c r="G212" s="121"/>
      <c r="H212" s="121"/>
      <c r="I212" s="121"/>
      <c r="J212" s="121"/>
      <c r="K212" s="27" t="str">
        <f t="shared" si="50"/>
        <v>1</v>
      </c>
      <c r="L212" s="27">
        <v>1</v>
      </c>
      <c r="M212" s="27" t="str">
        <f t="shared" si="51"/>
        <v>1</v>
      </c>
      <c r="N212" s="121" t="s">
        <v>312</v>
      </c>
      <c r="O212" s="121" t="s">
        <v>308</v>
      </c>
      <c r="P212" s="27" t="str">
        <f t="shared" si="52"/>
        <v>1</v>
      </c>
      <c r="Q212" s="27" t="str">
        <f t="shared" si="53"/>
        <v>1</v>
      </c>
      <c r="R212" s="27" t="str">
        <f t="shared" si="54"/>
        <v>1</v>
      </c>
      <c r="S212" s="27" t="str">
        <f t="shared" si="55"/>
        <v>1</v>
      </c>
      <c r="T212" s="27" t="str">
        <f t="shared" si="56"/>
        <v>1</v>
      </c>
      <c r="U212" s="27" t="str">
        <f t="shared" si="57"/>
        <v>1</v>
      </c>
      <c r="V212" s="27" t="str">
        <f t="shared" si="58"/>
        <v>1</v>
      </c>
      <c r="W212" s="27"/>
      <c r="X212" s="27" t="str">
        <f t="shared" si="59"/>
        <v>0</v>
      </c>
      <c r="Y212" s="27" t="str">
        <f t="shared" si="60"/>
        <v>0</v>
      </c>
      <c r="Z212" s="27" t="str">
        <f t="shared" si="61"/>
        <v>0</v>
      </c>
      <c r="AA212" s="121"/>
      <c r="AB212" s="121"/>
      <c r="AC212" s="121"/>
      <c r="AD212" s="121"/>
      <c r="AE212" s="121" t="s">
        <v>51</v>
      </c>
      <c r="AF212" s="121"/>
      <c r="AG212" s="121"/>
      <c r="AH212" s="28" t="s">
        <v>174</v>
      </c>
      <c r="AI212" s="28" t="s">
        <v>113</v>
      </c>
      <c r="AJ212" s="28">
        <v>40200</v>
      </c>
      <c r="AK212" s="121" t="str">
        <f t="shared" si="63"/>
        <v>0</v>
      </c>
      <c r="AL212" s="123" t="str">
        <f t="shared" si="45"/>
        <v>14821/생산출고관리/stock.isos/ProdOsttWork</v>
      </c>
      <c r="AM212" s="27"/>
      <c r="AN212" s="124"/>
      <c r="AO212" s="124" t="s">
        <v>1829</v>
      </c>
      <c r="AP212" s="124" t="s">
        <v>1829</v>
      </c>
      <c r="AQ212" s="124"/>
      <c r="AR212" s="124" t="s">
        <v>1829</v>
      </c>
      <c r="AS212" s="124"/>
      <c r="AT212" s="124" t="s">
        <v>1940</v>
      </c>
      <c r="AU212" s="124" t="str">
        <f t="shared" si="49"/>
        <v>W271003</v>
      </c>
      <c r="AV212" s="124" t="s">
        <v>2576</v>
      </c>
      <c r="AW212" s="117" t="s">
        <v>1845</v>
      </c>
      <c r="AX212" s="138" t="str">
        <f t="shared" si="66"/>
        <v>delete from module_mst where pjt_id = '14821' and menu_id = '271003';</v>
      </c>
      <c r="AY212" s="31" t="str">
        <f>IF(C212&lt;&gt;"",CREATE_QUERY($D$1,C$2:AW$2,C212:AW212),"")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'271003', '생산출고관리', '', '', '', '', '1', '1', '1', 'stock.isos', 'ProdOsttWork', '1', '1', '1', '1', '1', '1', '1', '', '0', '0', '0', '', '', '', '', 'N', '', '', '271000', '5', '40200', '0', '14821/생산출고관리/stock.isos/ProdOsttWork', '', '', 'Y', 'Y', '', 'Y', '', 'W', 'MES-TD3-332', '생산에 소요되는 출고 전표를 등록한다.(소요량 계산에 의하여 등록하여야 하나, 작업지시 번호별로 직접 입력하고 있음)');</v>
      </c>
    </row>
    <row r="213" spans="1:51">
      <c r="A213" s="1">
        <v>87</v>
      </c>
      <c r="B213" s="121" t="str">
        <f t="shared" si="67"/>
        <v xml:space="preserve">        └ 출고대기현황</v>
      </c>
      <c r="C213" s="27" t="str">
        <f t="shared" si="65"/>
        <v>14821</v>
      </c>
      <c r="D213" s="121"/>
      <c r="E213" s="27">
        <v>271004</v>
      </c>
      <c r="F213" s="121" t="s">
        <v>178</v>
      </c>
      <c r="G213" s="121"/>
      <c r="H213" s="121"/>
      <c r="I213" s="121"/>
      <c r="J213" s="121"/>
      <c r="K213" s="27" t="str">
        <f t="shared" si="50"/>
        <v>1</v>
      </c>
      <c r="L213" s="27">
        <v>1</v>
      </c>
      <c r="M213" s="27" t="str">
        <f t="shared" si="51"/>
        <v>1</v>
      </c>
      <c r="N213" s="121" t="s">
        <v>312</v>
      </c>
      <c r="O213" s="121" t="s">
        <v>309</v>
      </c>
      <c r="P213" s="27" t="str">
        <f t="shared" si="52"/>
        <v>1</v>
      </c>
      <c r="Q213" s="27" t="str">
        <f t="shared" si="53"/>
        <v>1</v>
      </c>
      <c r="R213" s="27" t="str">
        <f t="shared" si="54"/>
        <v>1</v>
      </c>
      <c r="S213" s="27" t="str">
        <f t="shared" si="55"/>
        <v>1</v>
      </c>
      <c r="T213" s="27" t="str">
        <f t="shared" si="56"/>
        <v>1</v>
      </c>
      <c r="U213" s="27" t="str">
        <f t="shared" si="57"/>
        <v>1</v>
      </c>
      <c r="V213" s="27" t="str">
        <f t="shared" si="58"/>
        <v>1</v>
      </c>
      <c r="W213" s="27"/>
      <c r="X213" s="27" t="str">
        <f t="shared" si="59"/>
        <v>0</v>
      </c>
      <c r="Y213" s="27" t="str">
        <f t="shared" si="60"/>
        <v>0</v>
      </c>
      <c r="Z213" s="27" t="str">
        <f t="shared" si="61"/>
        <v>0</v>
      </c>
      <c r="AA213" s="121"/>
      <c r="AB213" s="121"/>
      <c r="AC213" s="121"/>
      <c r="AD213" s="121"/>
      <c r="AE213" s="121" t="s">
        <v>51</v>
      </c>
      <c r="AF213" s="121"/>
      <c r="AG213" s="121"/>
      <c r="AH213" s="28" t="s">
        <v>174</v>
      </c>
      <c r="AI213" s="28" t="s">
        <v>113</v>
      </c>
      <c r="AJ213" s="28">
        <v>40250</v>
      </c>
      <c r="AK213" s="121" t="str">
        <f t="shared" si="63"/>
        <v>0</v>
      </c>
      <c r="AL213" s="123" t="str">
        <f t="shared" si="45"/>
        <v>14821/출고대기현황/stock.isos/ProdOsttWait</v>
      </c>
      <c r="AM213" s="27"/>
      <c r="AN213" s="124"/>
      <c r="AO213" s="124"/>
      <c r="AP213" s="124"/>
      <c r="AQ213" s="124"/>
      <c r="AR213" s="124"/>
      <c r="AS213" s="124"/>
      <c r="AT213" s="124" t="s">
        <v>1940</v>
      </c>
      <c r="AU213" s="124" t="str">
        <f t="shared" si="49"/>
        <v>W271004</v>
      </c>
      <c r="AV213" s="124" t="s">
        <v>2577</v>
      </c>
      <c r="AW213" s="117" t="s">
        <v>1846</v>
      </c>
      <c r="AX213" s="138" t="str">
        <f t="shared" si="66"/>
        <v>delete from module_mst where pjt_id = '14821' and menu_id = '271004';</v>
      </c>
      <c r="AY213" s="31" t="str">
        <f>IF(C213&lt;&gt;"",CREATE_QUERY($D$1,C$2:AW$2,C213:AW213),"")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'271004', '출고대기현황', '', '', '', '', '1', '1', '1', 'stock.isos', 'ProdOsttWait', '1', '1', '1', '1', '1', '1', '1', '', '0', '0', '0', '', '', '', '', 'N', '', '', '271000', '5', '40250', '0', '14821/출고대기현황/stock.isos/ProdOsttWait', '', '', '', '', '', '', '', 'W', 'MES-TD3-333', '생산 소요량 관리 기능 없으므로 현재 무의미한 메뉴');</v>
      </c>
    </row>
    <row r="214" spans="1:51">
      <c r="A214" s="1">
        <v>88</v>
      </c>
      <c r="B214" s="121" t="str">
        <f t="shared" si="67"/>
        <v xml:space="preserve">        └ 제품출고관리</v>
      </c>
      <c r="C214" s="27" t="str">
        <f t="shared" si="65"/>
        <v>14821</v>
      </c>
      <c r="D214" s="121"/>
      <c r="E214" s="27">
        <v>271005</v>
      </c>
      <c r="F214" s="121" t="s">
        <v>2941</v>
      </c>
      <c r="G214" s="121"/>
      <c r="H214" s="121"/>
      <c r="I214" s="121"/>
      <c r="J214" s="121"/>
      <c r="K214" s="27" t="str">
        <f t="shared" si="50"/>
        <v>1</v>
      </c>
      <c r="L214" s="27">
        <v>1</v>
      </c>
      <c r="M214" s="27" t="str">
        <f t="shared" si="51"/>
        <v>1</v>
      </c>
      <c r="N214" s="121" t="s">
        <v>312</v>
      </c>
      <c r="O214" s="121" t="s">
        <v>310</v>
      </c>
      <c r="P214" s="27" t="str">
        <f t="shared" si="52"/>
        <v>1</v>
      </c>
      <c r="Q214" s="27" t="str">
        <f t="shared" si="53"/>
        <v>1</v>
      </c>
      <c r="R214" s="27" t="str">
        <f t="shared" si="54"/>
        <v>1</v>
      </c>
      <c r="S214" s="27" t="str">
        <f t="shared" si="55"/>
        <v>1</v>
      </c>
      <c r="T214" s="27" t="str">
        <f t="shared" si="56"/>
        <v>1</v>
      </c>
      <c r="U214" s="27" t="str">
        <f t="shared" si="57"/>
        <v>1</v>
      </c>
      <c r="V214" s="27" t="str">
        <f t="shared" si="58"/>
        <v>1</v>
      </c>
      <c r="W214" s="27"/>
      <c r="X214" s="27" t="str">
        <f t="shared" si="59"/>
        <v>0</v>
      </c>
      <c r="Y214" s="27" t="str">
        <f t="shared" si="60"/>
        <v>0</v>
      </c>
      <c r="Z214" s="27" t="str">
        <f t="shared" si="61"/>
        <v>0</v>
      </c>
      <c r="AA214" s="121"/>
      <c r="AB214" s="121"/>
      <c r="AC214" s="121"/>
      <c r="AD214" s="121"/>
      <c r="AE214" s="121" t="s">
        <v>51</v>
      </c>
      <c r="AF214" s="121"/>
      <c r="AG214" s="121"/>
      <c r="AH214" s="28" t="s">
        <v>174</v>
      </c>
      <c r="AI214" s="28" t="s">
        <v>113</v>
      </c>
      <c r="AJ214" s="28">
        <v>40300</v>
      </c>
      <c r="AK214" s="121" t="str">
        <f t="shared" si="63"/>
        <v>0</v>
      </c>
      <c r="AL214" s="123" t="str">
        <f t="shared" si="45"/>
        <v>14821/제품출고관리/stock.isos/GoodsOsttWork</v>
      </c>
      <c r="AM214" s="27"/>
      <c r="AN214" s="124"/>
      <c r="AO214" s="124" t="s">
        <v>1829</v>
      </c>
      <c r="AP214" s="124" t="s">
        <v>1829</v>
      </c>
      <c r="AQ214" s="124"/>
      <c r="AR214" s="124" t="s">
        <v>1829</v>
      </c>
      <c r="AS214" s="124"/>
      <c r="AT214" s="124" t="s">
        <v>1940</v>
      </c>
      <c r="AU214" s="124" t="str">
        <f t="shared" si="49"/>
        <v>W271005</v>
      </c>
      <c r="AV214" s="124" t="s">
        <v>2578</v>
      </c>
      <c r="AW214" s="117" t="s">
        <v>1847</v>
      </c>
      <c r="AX214" s="138" t="str">
        <f t="shared" si="66"/>
        <v>delete from module_mst where pjt_id = '14821' and menu_id = '271005';</v>
      </c>
      <c r="AY214" s="31" t="str">
        <f>IF(C214&lt;&gt;"",CREATE_QUERY($D$1,C$2:AW$2,C214:AW214),"")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'271005', '제품출고관리', '', '', '', '', '1', '1', '1', 'stock.isos', 'GoodsOsttWork', '1', '1', '1', '1', '1', '1', '1', '', '0', '0', '0', '', '', '', '', 'N', '', '', '271000', '5', '40300', '0', '14821/제품출고관리/stock.isos/GoodsOsttWork', '', '', 'Y', 'Y', '', 'Y', '', 'W', 'MES-TD3-334', '제품 출고 전표 등록 관리');</v>
      </c>
    </row>
    <row r="215" spans="1:51">
      <c r="A215" s="1">
        <v>89</v>
      </c>
      <c r="B215" s="121" t="str">
        <f t="shared" si="67"/>
        <v xml:space="preserve">        └ 재고 이동 관리</v>
      </c>
      <c r="C215" s="27" t="str">
        <f t="shared" si="65"/>
        <v>14821</v>
      </c>
      <c r="D215" s="121"/>
      <c r="E215" s="27">
        <v>271006</v>
      </c>
      <c r="F215" s="121" t="s">
        <v>281</v>
      </c>
      <c r="G215" s="121"/>
      <c r="H215" s="121"/>
      <c r="I215" s="121"/>
      <c r="J215" s="121"/>
      <c r="K215" s="27" t="str">
        <f t="shared" si="50"/>
        <v>1</v>
      </c>
      <c r="L215" s="27">
        <v>1</v>
      </c>
      <c r="M215" s="27" t="str">
        <f t="shared" si="51"/>
        <v>1</v>
      </c>
      <c r="N215" s="121" t="s">
        <v>312</v>
      </c>
      <c r="O215" s="121" t="s">
        <v>311</v>
      </c>
      <c r="P215" s="27" t="str">
        <f t="shared" si="52"/>
        <v>1</v>
      </c>
      <c r="Q215" s="27" t="str">
        <f t="shared" si="53"/>
        <v>1</v>
      </c>
      <c r="R215" s="27" t="str">
        <f t="shared" si="54"/>
        <v>1</v>
      </c>
      <c r="S215" s="27" t="str">
        <f t="shared" si="55"/>
        <v>1</v>
      </c>
      <c r="T215" s="27" t="str">
        <f t="shared" si="56"/>
        <v>1</v>
      </c>
      <c r="U215" s="27" t="str">
        <f t="shared" si="57"/>
        <v>1</v>
      </c>
      <c r="V215" s="27" t="str">
        <f t="shared" si="58"/>
        <v>1</v>
      </c>
      <c r="W215" s="27"/>
      <c r="X215" s="27" t="str">
        <f t="shared" si="59"/>
        <v>0</v>
      </c>
      <c r="Y215" s="27" t="str">
        <f t="shared" si="60"/>
        <v>0</v>
      </c>
      <c r="Z215" s="27" t="str">
        <f t="shared" si="61"/>
        <v>0</v>
      </c>
      <c r="AA215" s="121"/>
      <c r="AB215" s="121"/>
      <c r="AC215" s="121"/>
      <c r="AD215" s="121"/>
      <c r="AE215" s="121" t="s">
        <v>51</v>
      </c>
      <c r="AF215" s="121"/>
      <c r="AG215" s="121"/>
      <c r="AH215" s="28" t="s">
        <v>174</v>
      </c>
      <c r="AI215" s="28" t="s">
        <v>113</v>
      </c>
      <c r="AJ215" s="28">
        <v>40350</v>
      </c>
      <c r="AK215" s="121" t="str">
        <f t="shared" si="63"/>
        <v>0</v>
      </c>
      <c r="AL215" s="123" t="str">
        <f t="shared" si="45"/>
        <v>14821/재고 이동 관리/stock.isos/MoveWork</v>
      </c>
      <c r="AM215" s="27"/>
      <c r="AN215" s="124"/>
      <c r="AO215" s="124" t="s">
        <v>1829</v>
      </c>
      <c r="AP215" s="124" t="s">
        <v>1829</v>
      </c>
      <c r="AQ215" s="124"/>
      <c r="AR215" s="124" t="s">
        <v>1829</v>
      </c>
      <c r="AS215" s="124"/>
      <c r="AT215" s="124" t="s">
        <v>1940</v>
      </c>
      <c r="AU215" s="124" t="str">
        <f t="shared" si="49"/>
        <v>W271006</v>
      </c>
      <c r="AV215" s="124" t="s">
        <v>2579</v>
      </c>
      <c r="AW215" s="117" t="s">
        <v>1848</v>
      </c>
      <c r="AX215" s="138" t="str">
        <f t="shared" si="66"/>
        <v>delete from module_mst where pjt_id = '14821' and menu_id = '271006';</v>
      </c>
      <c r="AY215" s="31" t="str">
        <f>IF(C215&lt;&gt;"",CREATE_QUERY($D$1,C$2:AW$2,C215:AW215),"")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'271006', '재고 이동 관리', '', '', '', '', '1', '1', '1', 'stock.isos', 'MoveWork', '1', '1', '1', '1', '1', '1', '1', '', '0', '0', '0', '', '', '', '', 'N', '', '', '271000', '5', '40350', '0', '14821/재고 이동 관리/stock.isos/MoveWork', '', '', 'Y', 'Y', '', 'Y', '', 'W', 'MES-TD3-335', '창고간 이동 전표 등록');</v>
      </c>
    </row>
    <row r="216" spans="1:51">
      <c r="A216" s="1">
        <v>89</v>
      </c>
      <c r="B216" s="121" t="str">
        <f t="shared" si="67"/>
        <v xml:space="preserve">        └ 외주 입출고 관리</v>
      </c>
      <c r="C216" s="27" t="str">
        <f t="shared" si="65"/>
        <v>14821</v>
      </c>
      <c r="D216" s="121"/>
      <c r="E216" s="27">
        <v>271007</v>
      </c>
      <c r="F216" s="121" t="s">
        <v>1924</v>
      </c>
      <c r="G216" s="121"/>
      <c r="H216" s="121"/>
      <c r="I216" s="121"/>
      <c r="J216" s="121"/>
      <c r="K216" s="27" t="str">
        <f t="shared" si="50"/>
        <v>1</v>
      </c>
      <c r="L216" s="27">
        <v>1</v>
      </c>
      <c r="M216" s="27" t="str">
        <f t="shared" si="51"/>
        <v>1</v>
      </c>
      <c r="N216" s="121" t="s">
        <v>312</v>
      </c>
      <c r="O216" s="121" t="s">
        <v>1925</v>
      </c>
      <c r="P216" s="27" t="str">
        <f t="shared" si="52"/>
        <v>1</v>
      </c>
      <c r="Q216" s="27" t="str">
        <f t="shared" si="53"/>
        <v>1</v>
      </c>
      <c r="R216" s="27" t="str">
        <f t="shared" si="54"/>
        <v>1</v>
      </c>
      <c r="S216" s="27" t="str">
        <f t="shared" si="55"/>
        <v>1</v>
      </c>
      <c r="T216" s="27" t="str">
        <f t="shared" si="56"/>
        <v>1</v>
      </c>
      <c r="U216" s="27" t="str">
        <f t="shared" si="57"/>
        <v>1</v>
      </c>
      <c r="V216" s="27" t="str">
        <f t="shared" si="58"/>
        <v>1</v>
      </c>
      <c r="W216" s="27"/>
      <c r="X216" s="27" t="str">
        <f t="shared" si="59"/>
        <v>0</v>
      </c>
      <c r="Y216" s="27" t="str">
        <f t="shared" si="60"/>
        <v>0</v>
      </c>
      <c r="Z216" s="27" t="str">
        <f t="shared" si="61"/>
        <v>0</v>
      </c>
      <c r="AA216" s="121"/>
      <c r="AB216" s="121"/>
      <c r="AC216" s="121"/>
      <c r="AD216" s="121"/>
      <c r="AE216" s="121" t="s">
        <v>51</v>
      </c>
      <c r="AF216" s="121"/>
      <c r="AG216" s="121"/>
      <c r="AH216" s="28" t="s">
        <v>174</v>
      </c>
      <c r="AI216" s="28" t="s">
        <v>113</v>
      </c>
      <c r="AJ216" s="28">
        <v>40400</v>
      </c>
      <c r="AK216" s="121" t="str">
        <f t="shared" si="63"/>
        <v>0</v>
      </c>
      <c r="AL216" s="123" t="str">
        <f t="shared" si="45"/>
        <v>14821/외주 입출고 관리/stock.isos/OtodWork</v>
      </c>
      <c r="AM216" s="27"/>
      <c r="AN216" s="124"/>
      <c r="AO216" s="124"/>
      <c r="AP216" s="124"/>
      <c r="AQ216" s="124"/>
      <c r="AR216" s="124" t="s">
        <v>1829</v>
      </c>
      <c r="AS216" s="124"/>
      <c r="AT216" s="124" t="s">
        <v>1940</v>
      </c>
      <c r="AU216" s="124" t="str">
        <f t="shared" si="49"/>
        <v>W271007</v>
      </c>
      <c r="AV216" s="124" t="s">
        <v>2580</v>
      </c>
      <c r="AW216" s="117" t="s">
        <v>1926</v>
      </c>
      <c r="AX216" s="138" t="str">
        <f t="shared" si="66"/>
        <v>delete from module_mst where pjt_id = '14821' and menu_id = '271007';</v>
      </c>
      <c r="AY216" s="31" t="str">
        <f>IF(C216&lt;&gt;"",CREATE_QUERY($D$1,C$2:AW$2,C216:AW216),"")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'271007', '외주 입출고 관리', '', '', '', '', '1', '1', '1', 'stock.isos', 'OtodWork', '1', '1', '1', '1', '1', '1', '1', '', '0', '0', '0', '', '', '', '', 'N', '', '', '271000', '5', '40400', '0', '14821/외주 입출고 관리/stock.isos/OtodWork', '', '', '', '', '', 'Y', '', 'W', 'MES-TD3-336', '외주 가공 오더별 소요자재의 출고 및 입고 실적 등록');</v>
      </c>
    </row>
    <row r="217" spans="1:51">
      <c r="A217" s="1">
        <v>89</v>
      </c>
      <c r="B217" s="121" t="str">
        <f t="shared" si="67"/>
        <v xml:space="preserve">        └ 판매 반품 관리</v>
      </c>
      <c r="C217" s="27" t="str">
        <f t="shared" si="65"/>
        <v>14821</v>
      </c>
      <c r="D217" s="121"/>
      <c r="E217" s="27">
        <v>271008</v>
      </c>
      <c r="F217" s="121" t="s">
        <v>2339</v>
      </c>
      <c r="G217" s="121"/>
      <c r="H217" s="121"/>
      <c r="I217" s="121"/>
      <c r="J217" s="121"/>
      <c r="K217" s="27" t="str">
        <f t="shared" si="50"/>
        <v>1</v>
      </c>
      <c r="L217" s="27">
        <v>1</v>
      </c>
      <c r="M217" s="27" t="str">
        <f t="shared" si="51"/>
        <v>1</v>
      </c>
      <c r="N217" s="121" t="s">
        <v>312</v>
      </c>
      <c r="O217" s="121" t="s">
        <v>2340</v>
      </c>
      <c r="P217" s="27" t="str">
        <f t="shared" si="52"/>
        <v>1</v>
      </c>
      <c r="Q217" s="27" t="str">
        <f t="shared" si="53"/>
        <v>1</v>
      </c>
      <c r="R217" s="27" t="str">
        <f t="shared" si="54"/>
        <v>1</v>
      </c>
      <c r="S217" s="27" t="str">
        <f t="shared" si="55"/>
        <v>1</v>
      </c>
      <c r="T217" s="27" t="str">
        <f t="shared" si="56"/>
        <v>1</v>
      </c>
      <c r="U217" s="27" t="str">
        <f t="shared" si="57"/>
        <v>1</v>
      </c>
      <c r="V217" s="27" t="str">
        <f t="shared" si="58"/>
        <v>1</v>
      </c>
      <c r="W217" s="27"/>
      <c r="X217" s="27" t="str">
        <f t="shared" si="59"/>
        <v>0</v>
      </c>
      <c r="Y217" s="27" t="str">
        <f t="shared" si="60"/>
        <v>0</v>
      </c>
      <c r="Z217" s="27" t="str">
        <f t="shared" si="61"/>
        <v>0</v>
      </c>
      <c r="AA217" s="121"/>
      <c r="AB217" s="121"/>
      <c r="AC217" s="121"/>
      <c r="AD217" s="121"/>
      <c r="AE217" s="121" t="s">
        <v>51</v>
      </c>
      <c r="AF217" s="121"/>
      <c r="AG217" s="121"/>
      <c r="AH217" s="28" t="s">
        <v>174</v>
      </c>
      <c r="AI217" s="28" t="s">
        <v>113</v>
      </c>
      <c r="AJ217" s="28">
        <v>40450</v>
      </c>
      <c r="AK217" s="121" t="str">
        <f t="shared" si="63"/>
        <v>0</v>
      </c>
      <c r="AL217" s="123" t="str">
        <f t="shared" si="45"/>
        <v>14821/판매 반품 관리/stock.isos/GoodsRettWork</v>
      </c>
      <c r="AM217" s="27"/>
      <c r="AN217" s="124"/>
      <c r="AO217" s="124" t="s">
        <v>1829</v>
      </c>
      <c r="AP217" s="124" t="s">
        <v>1829</v>
      </c>
      <c r="AQ217" s="124"/>
      <c r="AR217" s="124" t="s">
        <v>1829</v>
      </c>
      <c r="AS217" s="124"/>
      <c r="AT217" s="124" t="s">
        <v>1940</v>
      </c>
      <c r="AU217" s="124" t="str">
        <f t="shared" si="49"/>
        <v>W271008</v>
      </c>
      <c r="AV217" s="124" t="s">
        <v>2581</v>
      </c>
      <c r="AW217" s="117" t="s">
        <v>2341</v>
      </c>
      <c r="AX217" s="138" t="str">
        <f t="shared" si="66"/>
        <v>delete from module_mst where pjt_id = '14821' and menu_id = '271008';</v>
      </c>
      <c r="AY217" s="31" t="str">
        <f>IF(C217&lt;&gt;"",CREATE_QUERY($D$1,C$2:AW$2,C217:AW217),"")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'271008', '판매 반품 관리', '', '', '', '', '1', '1', '1', 'stock.isos', 'GoodsRettWork', '1', '1', '1', '1', '1', '1', '1', '', '0', '0', '0', '', '', '', '', 'N', '', '', '271000', '5', '40450', '0', '14821/판매 반품 관리/stock.isos/GoodsRettWork', '', '', 'Y', 'Y', '', 'Y', '', 'W', 'MES-TD3-337', '판매출고내역을 기준으로 반품 전표를 관리한다.');</v>
      </c>
    </row>
    <row r="218" spans="1:51" ht="26">
      <c r="A218" s="1">
        <v>86</v>
      </c>
      <c r="B218" s="121" t="str">
        <f t="shared" si="67"/>
        <v xml:space="preserve">        └ 생산출고관리(M)</v>
      </c>
      <c r="C218" s="27" t="str">
        <f t="shared" si="65"/>
        <v>14821</v>
      </c>
      <c r="D218" s="121"/>
      <c r="E218" s="27">
        <v>271009</v>
      </c>
      <c r="F218" s="121" t="s">
        <v>2410</v>
      </c>
      <c r="G218" s="121"/>
      <c r="H218" s="121"/>
      <c r="I218" s="121"/>
      <c r="J218" s="121"/>
      <c r="K218" s="27" t="str">
        <f t="shared" si="50"/>
        <v>1</v>
      </c>
      <c r="L218" s="27">
        <v>1</v>
      </c>
      <c r="M218" s="27" t="str">
        <f t="shared" si="51"/>
        <v>1</v>
      </c>
      <c r="N218" s="121" t="s">
        <v>312</v>
      </c>
      <c r="O218" s="121" t="s">
        <v>2409</v>
      </c>
      <c r="P218" s="27" t="str">
        <f t="shared" si="52"/>
        <v>1</v>
      </c>
      <c r="Q218" s="27" t="str">
        <f t="shared" si="53"/>
        <v>1</v>
      </c>
      <c r="R218" s="27" t="str">
        <f t="shared" si="54"/>
        <v>1</v>
      </c>
      <c r="S218" s="27" t="str">
        <f t="shared" si="55"/>
        <v>1</v>
      </c>
      <c r="T218" s="27" t="str">
        <f t="shared" si="56"/>
        <v>1</v>
      </c>
      <c r="U218" s="27" t="str">
        <f t="shared" si="57"/>
        <v>1</v>
      </c>
      <c r="V218" s="27" t="str">
        <f t="shared" si="58"/>
        <v>1</v>
      </c>
      <c r="W218" s="27"/>
      <c r="X218" s="27" t="str">
        <f t="shared" si="59"/>
        <v>0</v>
      </c>
      <c r="Y218" s="27" t="str">
        <f t="shared" si="60"/>
        <v>0</v>
      </c>
      <c r="Z218" s="27" t="str">
        <f t="shared" si="61"/>
        <v>0</v>
      </c>
      <c r="AA218" s="121"/>
      <c r="AB218" s="121"/>
      <c r="AC218" s="121"/>
      <c r="AD218" s="121"/>
      <c r="AE218" s="121" t="s">
        <v>51</v>
      </c>
      <c r="AF218" s="121"/>
      <c r="AG218" s="121"/>
      <c r="AH218" s="28" t="s">
        <v>174</v>
      </c>
      <c r="AI218" s="28" t="s">
        <v>113</v>
      </c>
      <c r="AJ218" s="28">
        <v>40500</v>
      </c>
      <c r="AK218" s="121" t="str">
        <f t="shared" si="63"/>
        <v>0</v>
      </c>
      <c r="AL218" s="123" t="str">
        <f t="shared" si="45"/>
        <v>14821/생산출고관리(M)/stock.isos/ProdOsttWorkV2</v>
      </c>
      <c r="AM218" s="27"/>
      <c r="AN218" s="124"/>
      <c r="AO218" s="124"/>
      <c r="AP218" s="124"/>
      <c r="AQ218" s="124"/>
      <c r="AR218" s="124"/>
      <c r="AS218" s="124"/>
      <c r="AT218" s="124" t="s">
        <v>1940</v>
      </c>
      <c r="AU218" s="124" t="str">
        <f t="shared" si="49"/>
        <v>W271009</v>
      </c>
      <c r="AV218" s="124" t="s">
        <v>2582</v>
      </c>
      <c r="AW218" s="117" t="s">
        <v>2411</v>
      </c>
      <c r="AX218" s="138" t="str">
        <f t="shared" si="66"/>
        <v>delete from module_mst where pjt_id = '14821' and menu_id = '271009';</v>
      </c>
      <c r="AY218" s="31" t="str">
        <f>IF(C218&lt;&gt;"",CREATE_QUERY($D$1,C$2:AW$2,C218:AW218),"")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'271009', '생산출고관리(M)', '', '', '', '', '1', '1', '1', 'stock.isos', 'ProdOsttWorkV2', '1', '1', '1', '1', '1', '1', '1', '', '0', '0', '0', '', '', '', '', 'N', '', '', '271000', '5', '40500', '0', '14821/생산출고관리(M)/stock.isos/ProdOsttWorkV2', '', '', '', '', '', '', '', 'W', 'MES-TD3-338', '(Mobile)
   Bar Code Reading 으로 출고 처리');</v>
      </c>
    </row>
    <row r="219" spans="1:51">
      <c r="A219" s="1">
        <v>87</v>
      </c>
      <c r="B219" s="121" t="str">
        <f t="shared" si="67"/>
        <v xml:space="preserve">        └ 자재입고처리</v>
      </c>
      <c r="C219" s="27" t="str">
        <f t="shared" si="65"/>
        <v>14821</v>
      </c>
      <c r="D219" s="121"/>
      <c r="E219" s="27">
        <v>271010</v>
      </c>
      <c r="F219" s="121" t="s">
        <v>2440</v>
      </c>
      <c r="G219" s="121"/>
      <c r="H219" s="121"/>
      <c r="I219" s="121"/>
      <c r="J219" s="121"/>
      <c r="K219" s="27" t="str">
        <f t="shared" si="50"/>
        <v>1</v>
      </c>
      <c r="L219" s="27">
        <v>1</v>
      </c>
      <c r="M219" s="27" t="str">
        <f t="shared" si="51"/>
        <v>1</v>
      </c>
      <c r="N219" s="121" t="s">
        <v>312</v>
      </c>
      <c r="O219" s="121" t="s">
        <v>2441</v>
      </c>
      <c r="P219" s="27" t="str">
        <f t="shared" si="52"/>
        <v>1</v>
      </c>
      <c r="Q219" s="27" t="str">
        <f t="shared" si="53"/>
        <v>1</v>
      </c>
      <c r="R219" s="27" t="str">
        <f t="shared" si="54"/>
        <v>1</v>
      </c>
      <c r="S219" s="27" t="str">
        <f t="shared" si="55"/>
        <v>1</v>
      </c>
      <c r="T219" s="27" t="str">
        <f t="shared" si="56"/>
        <v>1</v>
      </c>
      <c r="U219" s="27" t="str">
        <f t="shared" si="57"/>
        <v>1</v>
      </c>
      <c r="V219" s="27" t="str">
        <f t="shared" si="58"/>
        <v>1</v>
      </c>
      <c r="W219" s="27"/>
      <c r="X219" s="27" t="str">
        <f t="shared" si="59"/>
        <v>0</v>
      </c>
      <c r="Y219" s="27" t="str">
        <f t="shared" si="60"/>
        <v>0</v>
      </c>
      <c r="Z219" s="27" t="str">
        <f t="shared" si="61"/>
        <v>0</v>
      </c>
      <c r="AA219" s="121"/>
      <c r="AB219" s="121"/>
      <c r="AC219" s="121"/>
      <c r="AD219" s="121"/>
      <c r="AE219" s="121" t="s">
        <v>51</v>
      </c>
      <c r="AF219" s="121"/>
      <c r="AG219" s="121"/>
      <c r="AH219" s="28" t="s">
        <v>174</v>
      </c>
      <c r="AI219" s="28" t="s">
        <v>113</v>
      </c>
      <c r="AJ219" s="28">
        <v>40550</v>
      </c>
      <c r="AK219" s="121" t="str">
        <f t="shared" si="63"/>
        <v>0</v>
      </c>
      <c r="AL219" s="123" t="str">
        <f t="shared" si="45"/>
        <v>14821/자재입고처리/stock.isos/MtrlIsttWork</v>
      </c>
      <c r="AM219" s="27"/>
      <c r="AN219" s="124"/>
      <c r="AO219" s="124"/>
      <c r="AP219" s="124"/>
      <c r="AQ219" s="124"/>
      <c r="AR219" s="124"/>
      <c r="AS219" s="124"/>
      <c r="AT219" s="124" t="s">
        <v>1940</v>
      </c>
      <c r="AU219" s="124" t="str">
        <f t="shared" si="49"/>
        <v>W271010</v>
      </c>
      <c r="AV219" s="124" t="s">
        <v>2583</v>
      </c>
      <c r="AW219" s="117" t="s">
        <v>2442</v>
      </c>
      <c r="AX219" s="138" t="str">
        <f t="shared" si="66"/>
        <v>delete from module_mst where pjt_id = '14821' and menu_id = '271010';</v>
      </c>
      <c r="AY219" s="31" t="str">
        <f>IF(C219&lt;&gt;"",CREATE_QUERY($D$1,C$2:AW$2,C219:AW219),"")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'271010', '자재입고처리', '', '', '', '', '1', '1', '1', 'stock.isos', 'MtrlIsttWork', '1', '1', '1', '1', '1', '1', '1', '', '0', '0', '0', '', '', '', '', 'N', '', '', '271000', '5', '40550', '0', '14821/자재입고처리/stock.isos/MtrlIsttWork', '', '', '', '', '', '', '', 'W', 'MES-TD3-339', '수입검사완료된 입고대기 내역을 입고확정 처리');</v>
      </c>
    </row>
    <row r="220" spans="1:51" hidden="1">
      <c r="A220" s="1">
        <v>88</v>
      </c>
      <c r="B220" s="121" t="str">
        <f t="shared" si="67"/>
        <v xml:space="preserve">        └ (인코팩)배송Check List</v>
      </c>
      <c r="C220" s="27" t="str">
        <f t="shared" si="65"/>
        <v>14821</v>
      </c>
      <c r="D220" s="121"/>
      <c r="E220" s="27">
        <v>271011</v>
      </c>
      <c r="F220" s="121" t="s">
        <v>2943</v>
      </c>
      <c r="G220" s="121"/>
      <c r="H220" s="121"/>
      <c r="I220" s="121"/>
      <c r="J220" s="121"/>
      <c r="K220" s="27" t="str">
        <f t="shared" si="50"/>
        <v>1</v>
      </c>
      <c r="L220" s="27">
        <v>1</v>
      </c>
      <c r="M220" s="27" t="str">
        <f t="shared" si="51"/>
        <v>1</v>
      </c>
      <c r="N220" s="118" t="s">
        <v>2944</v>
      </c>
      <c r="O220" s="121" t="s">
        <v>2945</v>
      </c>
      <c r="P220" s="27" t="str">
        <f t="shared" si="52"/>
        <v>1</v>
      </c>
      <c r="Q220" s="27" t="str">
        <f t="shared" si="53"/>
        <v>1</v>
      </c>
      <c r="R220" s="27" t="str">
        <f t="shared" si="54"/>
        <v>1</v>
      </c>
      <c r="S220" s="27" t="str">
        <f t="shared" si="55"/>
        <v>1</v>
      </c>
      <c r="T220" s="27" t="str">
        <f t="shared" si="56"/>
        <v>1</v>
      </c>
      <c r="U220" s="27" t="str">
        <f t="shared" si="57"/>
        <v>1</v>
      </c>
      <c r="V220" s="27" t="str">
        <f t="shared" si="58"/>
        <v>1</v>
      </c>
      <c r="W220" s="27"/>
      <c r="X220" s="27" t="str">
        <f t="shared" si="59"/>
        <v>0</v>
      </c>
      <c r="Y220" s="27" t="str">
        <f t="shared" si="60"/>
        <v>0</v>
      </c>
      <c r="Z220" s="27" t="str">
        <f t="shared" si="61"/>
        <v>0</v>
      </c>
      <c r="AA220" s="121"/>
      <c r="AB220" s="121"/>
      <c r="AC220" s="121"/>
      <c r="AD220" s="121"/>
      <c r="AE220" s="121" t="s">
        <v>51</v>
      </c>
      <c r="AF220" s="121"/>
      <c r="AG220" s="121"/>
      <c r="AH220" s="28" t="s">
        <v>174</v>
      </c>
      <c r="AI220" s="28" t="s">
        <v>113</v>
      </c>
      <c r="AJ220" s="28">
        <v>40600</v>
      </c>
      <c r="AK220" s="121" t="str">
        <f t="shared" si="63"/>
        <v/>
      </c>
      <c r="AL220" s="123" t="str">
        <f t="shared" si="45"/>
        <v>14821/배송Check List/custom.inkopack.sale/DlvyList</v>
      </c>
      <c r="AM220" s="27" t="s">
        <v>2386</v>
      </c>
      <c r="AN220" s="124"/>
      <c r="AO220" s="124"/>
      <c r="AP220" s="124"/>
      <c r="AQ220" s="124"/>
      <c r="AR220" s="124"/>
      <c r="AS220" s="124"/>
      <c r="AT220" s="124" t="s">
        <v>1940</v>
      </c>
      <c r="AU220" s="124" t="str">
        <f t="shared" si="49"/>
        <v>W271011</v>
      </c>
      <c r="AV220" s="124" t="s">
        <v>2584</v>
      </c>
      <c r="AW220" s="117"/>
      <c r="AX220" s="138" t="str">
        <f t="shared" si="66"/>
        <v>delete from module_mst where pjt_id = '14821' and menu_id = '271011';</v>
      </c>
      <c r="AY220" s="31" t="str">
        <f>IF(C220&lt;&gt;"",CREATE_QUERY($D$1,C$2:AW$2,C220:AW220),"")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'271011', '배송Check List', '', '', '', '', '1', '1', '1', 'custom.inkopack.sale', 'DlvyList', '1', '1', '1', '1', '1', '1', '1', '', '0', '0', '0', '', '', '', '', 'N', '', '', '271000', '5', '40600', '', '14821/배송Check List/custom.inkopack.sale/DlvyList', '(인코팩)', '', '', '', '', '', '', 'W', 'MES-TD3-340', '');</v>
      </c>
    </row>
    <row r="221" spans="1:51">
      <c r="A221" s="1">
        <v>89</v>
      </c>
      <c r="B221" s="121" t="str">
        <f t="shared" si="67"/>
        <v/>
      </c>
      <c r="C221" s="27" t="str">
        <f t="shared" si="65"/>
        <v/>
      </c>
      <c r="D221" s="121"/>
      <c r="E221" s="27">
        <v>271012</v>
      </c>
      <c r="F221" s="121"/>
      <c r="G221" s="121"/>
      <c r="H221" s="121"/>
      <c r="I221" s="121"/>
      <c r="J221" s="121"/>
      <c r="K221" s="27" t="str">
        <f t="shared" si="50"/>
        <v/>
      </c>
      <c r="L221" s="27">
        <v>1</v>
      </c>
      <c r="M221" s="27" t="str">
        <f t="shared" si="51"/>
        <v>0</v>
      </c>
      <c r="N221" s="121"/>
      <c r="O221" s="121"/>
      <c r="P221" s="27" t="str">
        <f t="shared" si="52"/>
        <v>0</v>
      </c>
      <c r="Q221" s="27" t="str">
        <f t="shared" si="53"/>
        <v>0</v>
      </c>
      <c r="R221" s="27" t="str">
        <f t="shared" si="54"/>
        <v>0</v>
      </c>
      <c r="S221" s="27" t="str">
        <f t="shared" si="55"/>
        <v>0</v>
      </c>
      <c r="T221" s="27" t="str">
        <f t="shared" si="56"/>
        <v>0</v>
      </c>
      <c r="U221" s="27" t="str">
        <f t="shared" si="57"/>
        <v>0</v>
      </c>
      <c r="V221" s="27" t="str">
        <f t="shared" si="58"/>
        <v>1</v>
      </c>
      <c r="W221" s="27"/>
      <c r="X221" s="27" t="str">
        <f t="shared" si="59"/>
        <v/>
      </c>
      <c r="Y221" s="27" t="str">
        <f t="shared" si="60"/>
        <v/>
      </c>
      <c r="Z221" s="27" t="str">
        <f t="shared" si="61"/>
        <v/>
      </c>
      <c r="AA221" s="121"/>
      <c r="AB221" s="121"/>
      <c r="AC221" s="121"/>
      <c r="AD221" s="121"/>
      <c r="AE221" s="121" t="s">
        <v>51</v>
      </c>
      <c r="AF221" s="121"/>
      <c r="AG221" s="121"/>
      <c r="AH221" s="28" t="s">
        <v>174</v>
      </c>
      <c r="AI221" s="28" t="s">
        <v>113</v>
      </c>
      <c r="AJ221" s="28">
        <v>40650</v>
      </c>
      <c r="AK221" s="121" t="str">
        <f t="shared" si="63"/>
        <v/>
      </c>
      <c r="AL221" s="123" t="str">
        <f t="shared" si="45"/>
        <v/>
      </c>
      <c r="AM221" s="27"/>
      <c r="AN221" s="124"/>
      <c r="AO221" s="124"/>
      <c r="AP221" s="124"/>
      <c r="AQ221" s="124"/>
      <c r="AR221" s="124"/>
      <c r="AS221" s="124"/>
      <c r="AT221" s="124" t="s">
        <v>1940</v>
      </c>
      <c r="AU221" s="124" t="str">
        <f t="shared" si="49"/>
        <v/>
      </c>
      <c r="AV221" s="124" t="s">
        <v>2585</v>
      </c>
      <c r="AW221" s="117"/>
      <c r="AX221" s="138" t="str">
        <f t="shared" si="66"/>
        <v/>
      </c>
      <c r="AY221" s="31" t="str">
        <f>IF(C221&lt;&gt;"",CREATE_QUERY($D$1,C$2:AW$2,C221:AW221),"")</f>
        <v/>
      </c>
    </row>
    <row r="222" spans="1:51">
      <c r="A222" s="1">
        <v>89</v>
      </c>
      <c r="B222" s="121" t="str">
        <f t="shared" si="67"/>
        <v/>
      </c>
      <c r="C222" s="27" t="str">
        <f t="shared" si="65"/>
        <v/>
      </c>
      <c r="D222" s="121"/>
      <c r="E222" s="27">
        <v>271013</v>
      </c>
      <c r="F222" s="121"/>
      <c r="G222" s="121"/>
      <c r="H222" s="121"/>
      <c r="I222" s="121"/>
      <c r="J222" s="121"/>
      <c r="K222" s="27" t="str">
        <f t="shared" si="50"/>
        <v/>
      </c>
      <c r="L222" s="27">
        <v>1</v>
      </c>
      <c r="M222" s="27" t="str">
        <f t="shared" si="51"/>
        <v>0</v>
      </c>
      <c r="N222" s="121"/>
      <c r="O222" s="121"/>
      <c r="P222" s="27" t="str">
        <f t="shared" si="52"/>
        <v>0</v>
      </c>
      <c r="Q222" s="27" t="str">
        <f t="shared" si="53"/>
        <v>0</v>
      </c>
      <c r="R222" s="27" t="str">
        <f t="shared" si="54"/>
        <v>0</v>
      </c>
      <c r="S222" s="27" t="str">
        <f t="shared" si="55"/>
        <v>0</v>
      </c>
      <c r="T222" s="27" t="str">
        <f t="shared" si="56"/>
        <v>0</v>
      </c>
      <c r="U222" s="27" t="str">
        <f t="shared" si="57"/>
        <v>0</v>
      </c>
      <c r="V222" s="27" t="str">
        <f t="shared" si="58"/>
        <v>1</v>
      </c>
      <c r="W222" s="27"/>
      <c r="X222" s="27" t="str">
        <f t="shared" si="59"/>
        <v/>
      </c>
      <c r="Y222" s="27" t="str">
        <f t="shared" si="60"/>
        <v/>
      </c>
      <c r="Z222" s="27" t="str">
        <f t="shared" si="61"/>
        <v/>
      </c>
      <c r="AA222" s="121"/>
      <c r="AB222" s="121"/>
      <c r="AC222" s="121"/>
      <c r="AD222" s="121"/>
      <c r="AE222" s="121" t="s">
        <v>51</v>
      </c>
      <c r="AF222" s="121"/>
      <c r="AG222" s="121"/>
      <c r="AH222" s="28" t="s">
        <v>174</v>
      </c>
      <c r="AI222" s="28" t="s">
        <v>113</v>
      </c>
      <c r="AJ222" s="28">
        <v>40700</v>
      </c>
      <c r="AK222" s="121" t="str">
        <f t="shared" si="63"/>
        <v/>
      </c>
      <c r="AL222" s="123" t="str">
        <f t="shared" si="45"/>
        <v/>
      </c>
      <c r="AM222" s="27"/>
      <c r="AN222" s="124"/>
      <c r="AO222" s="124"/>
      <c r="AP222" s="124"/>
      <c r="AQ222" s="124"/>
      <c r="AR222" s="124"/>
      <c r="AS222" s="124"/>
      <c r="AT222" s="124" t="s">
        <v>1940</v>
      </c>
      <c r="AU222" s="124" t="str">
        <f t="shared" si="49"/>
        <v/>
      </c>
      <c r="AV222" s="124" t="s">
        <v>2586</v>
      </c>
      <c r="AW222" s="117"/>
      <c r="AX222" s="138" t="str">
        <f t="shared" si="66"/>
        <v/>
      </c>
      <c r="AY222" s="31" t="str">
        <f>IF(C222&lt;&gt;"",CREATE_QUERY($D$1,C$2:AW$2,C222:AW222),"")</f>
        <v/>
      </c>
    </row>
    <row r="223" spans="1:51">
      <c r="A223" s="1">
        <v>89</v>
      </c>
      <c r="B223" s="121" t="str">
        <f t="shared" si="67"/>
        <v/>
      </c>
      <c r="C223" s="27" t="str">
        <f t="shared" si="65"/>
        <v/>
      </c>
      <c r="D223" s="121"/>
      <c r="E223" s="27">
        <v>271014</v>
      </c>
      <c r="F223" s="121"/>
      <c r="G223" s="121"/>
      <c r="H223" s="121"/>
      <c r="I223" s="121"/>
      <c r="J223" s="121"/>
      <c r="K223" s="27" t="str">
        <f t="shared" si="50"/>
        <v/>
      </c>
      <c r="L223" s="27">
        <v>1</v>
      </c>
      <c r="M223" s="27" t="str">
        <f t="shared" si="51"/>
        <v>0</v>
      </c>
      <c r="N223" s="121"/>
      <c r="O223" s="121"/>
      <c r="P223" s="27" t="str">
        <f t="shared" si="52"/>
        <v>0</v>
      </c>
      <c r="Q223" s="27" t="str">
        <f t="shared" si="53"/>
        <v>0</v>
      </c>
      <c r="R223" s="27" t="str">
        <f t="shared" si="54"/>
        <v>0</v>
      </c>
      <c r="S223" s="27" t="str">
        <f t="shared" si="55"/>
        <v>0</v>
      </c>
      <c r="T223" s="27" t="str">
        <f t="shared" si="56"/>
        <v>0</v>
      </c>
      <c r="U223" s="27" t="str">
        <f t="shared" si="57"/>
        <v>0</v>
      </c>
      <c r="V223" s="27" t="str">
        <f t="shared" si="58"/>
        <v>1</v>
      </c>
      <c r="W223" s="27"/>
      <c r="X223" s="27" t="str">
        <f t="shared" si="59"/>
        <v/>
      </c>
      <c r="Y223" s="27" t="str">
        <f t="shared" si="60"/>
        <v/>
      </c>
      <c r="Z223" s="27" t="str">
        <f t="shared" si="61"/>
        <v/>
      </c>
      <c r="AA223" s="121"/>
      <c r="AB223" s="121"/>
      <c r="AC223" s="121"/>
      <c r="AD223" s="121"/>
      <c r="AE223" s="121" t="s">
        <v>51</v>
      </c>
      <c r="AF223" s="121"/>
      <c r="AG223" s="121"/>
      <c r="AH223" s="28" t="s">
        <v>174</v>
      </c>
      <c r="AI223" s="28" t="s">
        <v>113</v>
      </c>
      <c r="AJ223" s="28">
        <v>40750</v>
      </c>
      <c r="AK223" s="121" t="str">
        <f>IF(B232="","","0")</f>
        <v/>
      </c>
      <c r="AL223" s="123" t="str">
        <f t="shared" si="45"/>
        <v/>
      </c>
      <c r="AM223" s="27"/>
      <c r="AN223" s="124"/>
      <c r="AO223" s="124"/>
      <c r="AP223" s="124"/>
      <c r="AQ223" s="124"/>
      <c r="AR223" s="124"/>
      <c r="AS223" s="124"/>
      <c r="AT223" s="124" t="s">
        <v>1940</v>
      </c>
      <c r="AU223" s="124" t="str">
        <f t="shared" si="49"/>
        <v/>
      </c>
      <c r="AV223" s="124" t="s">
        <v>2587</v>
      </c>
      <c r="AW223" s="117"/>
      <c r="AX223" s="138" t="str">
        <f t="shared" si="66"/>
        <v/>
      </c>
      <c r="AY223" s="31" t="str">
        <f>IF(C223&lt;&gt;"",CREATE_QUERY($D$1,C$2:AW$2,C223:AW223),"")</f>
        <v/>
      </c>
    </row>
    <row r="224" spans="1:51">
      <c r="A224" s="1">
        <v>88</v>
      </c>
      <c r="B224" s="121" t="str">
        <f t="shared" si="67"/>
        <v/>
      </c>
      <c r="C224" s="27" t="str">
        <f t="shared" si="65"/>
        <v/>
      </c>
      <c r="D224" s="121"/>
      <c r="E224" s="27">
        <v>271015</v>
      </c>
      <c r="F224" s="121"/>
      <c r="G224" s="121"/>
      <c r="H224" s="121"/>
      <c r="I224" s="121"/>
      <c r="J224" s="121"/>
      <c r="K224" s="27" t="str">
        <f t="shared" si="50"/>
        <v/>
      </c>
      <c r="L224" s="27">
        <v>1</v>
      </c>
      <c r="M224" s="27" t="str">
        <f t="shared" si="51"/>
        <v>0</v>
      </c>
      <c r="N224" s="121"/>
      <c r="O224" s="121"/>
      <c r="P224" s="27" t="str">
        <f t="shared" si="52"/>
        <v>0</v>
      </c>
      <c r="Q224" s="27" t="str">
        <f t="shared" si="53"/>
        <v>0</v>
      </c>
      <c r="R224" s="27" t="str">
        <f t="shared" si="54"/>
        <v>0</v>
      </c>
      <c r="S224" s="27" t="str">
        <f t="shared" si="55"/>
        <v>0</v>
      </c>
      <c r="T224" s="27" t="str">
        <f t="shared" si="56"/>
        <v>0</v>
      </c>
      <c r="U224" s="27" t="str">
        <f t="shared" si="57"/>
        <v>0</v>
      </c>
      <c r="V224" s="27" t="str">
        <f t="shared" si="58"/>
        <v>1</v>
      </c>
      <c r="W224" s="27"/>
      <c r="X224" s="27" t="str">
        <f t="shared" si="59"/>
        <v/>
      </c>
      <c r="Y224" s="27" t="str">
        <f t="shared" si="60"/>
        <v/>
      </c>
      <c r="Z224" s="27" t="str">
        <f t="shared" si="61"/>
        <v/>
      </c>
      <c r="AA224" s="121"/>
      <c r="AB224" s="121"/>
      <c r="AC224" s="121"/>
      <c r="AD224" s="121"/>
      <c r="AE224" s="121" t="s">
        <v>51</v>
      </c>
      <c r="AF224" s="121"/>
      <c r="AG224" s="121"/>
      <c r="AH224" s="28" t="s">
        <v>174</v>
      </c>
      <c r="AI224" s="28" t="s">
        <v>113</v>
      </c>
      <c r="AJ224" s="28">
        <v>40800</v>
      </c>
      <c r="AK224" s="121" t="str">
        <f t="shared" ref="AK224:AK226" si="68">IF(B225="","","0")</f>
        <v/>
      </c>
      <c r="AL224" s="123" t="str">
        <f t="shared" si="45"/>
        <v/>
      </c>
      <c r="AM224" s="27"/>
      <c r="AN224" s="124"/>
      <c r="AO224" s="124"/>
      <c r="AP224" s="124"/>
      <c r="AQ224" s="124"/>
      <c r="AR224" s="124"/>
      <c r="AS224" s="124"/>
      <c r="AT224" s="124" t="s">
        <v>1940</v>
      </c>
      <c r="AU224" s="124" t="str">
        <f t="shared" si="49"/>
        <v/>
      </c>
      <c r="AV224" s="124" t="s">
        <v>2588</v>
      </c>
      <c r="AW224" s="117"/>
      <c r="AX224" s="138" t="str">
        <f t="shared" si="66"/>
        <v/>
      </c>
      <c r="AY224" s="31" t="str">
        <f>IF(C224&lt;&gt;"",CREATE_QUERY($D$1,C$2:AW$2,C224:AW224),"")</f>
        <v/>
      </c>
    </row>
    <row r="225" spans="1:51">
      <c r="A225" s="1">
        <v>89</v>
      </c>
      <c r="B225" s="121" t="str">
        <f t="shared" si="67"/>
        <v/>
      </c>
      <c r="C225" s="27" t="str">
        <f t="shared" si="65"/>
        <v/>
      </c>
      <c r="D225" s="121"/>
      <c r="E225" s="27">
        <v>271016</v>
      </c>
      <c r="F225" s="121"/>
      <c r="G225" s="121"/>
      <c r="H225" s="121"/>
      <c r="I225" s="121"/>
      <c r="J225" s="121"/>
      <c r="K225" s="27" t="str">
        <f t="shared" si="50"/>
        <v/>
      </c>
      <c r="L225" s="27">
        <v>1</v>
      </c>
      <c r="M225" s="27" t="str">
        <f t="shared" si="51"/>
        <v>0</v>
      </c>
      <c r="N225" s="121"/>
      <c r="O225" s="121"/>
      <c r="P225" s="27" t="str">
        <f t="shared" si="52"/>
        <v>0</v>
      </c>
      <c r="Q225" s="27" t="str">
        <f t="shared" si="53"/>
        <v>0</v>
      </c>
      <c r="R225" s="27" t="str">
        <f t="shared" si="54"/>
        <v>0</v>
      </c>
      <c r="S225" s="27" t="str">
        <f t="shared" si="55"/>
        <v>0</v>
      </c>
      <c r="T225" s="27" t="str">
        <f t="shared" si="56"/>
        <v>0</v>
      </c>
      <c r="U225" s="27" t="str">
        <f t="shared" si="57"/>
        <v>0</v>
      </c>
      <c r="V225" s="27" t="str">
        <f t="shared" si="58"/>
        <v>1</v>
      </c>
      <c r="W225" s="27"/>
      <c r="X225" s="27" t="str">
        <f t="shared" si="59"/>
        <v/>
      </c>
      <c r="Y225" s="27" t="str">
        <f t="shared" si="60"/>
        <v/>
      </c>
      <c r="Z225" s="27" t="str">
        <f t="shared" si="61"/>
        <v/>
      </c>
      <c r="AA225" s="121"/>
      <c r="AB225" s="121"/>
      <c r="AC225" s="121"/>
      <c r="AD225" s="121"/>
      <c r="AE225" s="121" t="s">
        <v>51</v>
      </c>
      <c r="AF225" s="121"/>
      <c r="AG225" s="121"/>
      <c r="AH225" s="28" t="s">
        <v>174</v>
      </c>
      <c r="AI225" s="28" t="s">
        <v>113</v>
      </c>
      <c r="AJ225" s="28">
        <v>40850</v>
      </c>
      <c r="AK225" s="121" t="str">
        <f t="shared" si="68"/>
        <v/>
      </c>
      <c r="AL225" s="123" t="str">
        <f t="shared" si="45"/>
        <v/>
      </c>
      <c r="AM225" s="27"/>
      <c r="AN225" s="124"/>
      <c r="AO225" s="124"/>
      <c r="AP225" s="124"/>
      <c r="AQ225" s="124"/>
      <c r="AR225" s="124"/>
      <c r="AS225" s="124"/>
      <c r="AT225" s="124" t="s">
        <v>1940</v>
      </c>
      <c r="AU225" s="124" t="str">
        <f t="shared" si="49"/>
        <v/>
      </c>
      <c r="AV225" s="124" t="s">
        <v>2589</v>
      </c>
      <c r="AW225" s="117"/>
      <c r="AX225" s="138" t="str">
        <f t="shared" si="66"/>
        <v/>
      </c>
      <c r="AY225" s="31" t="str">
        <f>IF(C225&lt;&gt;"",CREATE_QUERY($D$1,C$2:AW$2,C225:AW225),"")</f>
        <v/>
      </c>
    </row>
    <row r="226" spans="1:51">
      <c r="A226" s="1">
        <v>89</v>
      </c>
      <c r="B226" s="121" t="str">
        <f t="shared" si="67"/>
        <v/>
      </c>
      <c r="C226" s="27" t="str">
        <f t="shared" si="65"/>
        <v/>
      </c>
      <c r="D226" s="121"/>
      <c r="E226" s="27">
        <v>271017</v>
      </c>
      <c r="F226" s="121"/>
      <c r="G226" s="121"/>
      <c r="H226" s="121"/>
      <c r="I226" s="121"/>
      <c r="J226" s="121"/>
      <c r="K226" s="27" t="str">
        <f t="shared" si="50"/>
        <v/>
      </c>
      <c r="L226" s="27">
        <v>1</v>
      </c>
      <c r="M226" s="27" t="str">
        <f t="shared" si="51"/>
        <v>0</v>
      </c>
      <c r="N226" s="121"/>
      <c r="O226" s="121"/>
      <c r="P226" s="27" t="str">
        <f t="shared" si="52"/>
        <v>0</v>
      </c>
      <c r="Q226" s="27" t="str">
        <f t="shared" si="53"/>
        <v>0</v>
      </c>
      <c r="R226" s="27" t="str">
        <f t="shared" si="54"/>
        <v>0</v>
      </c>
      <c r="S226" s="27" t="str">
        <f t="shared" si="55"/>
        <v>0</v>
      </c>
      <c r="T226" s="27" t="str">
        <f t="shared" si="56"/>
        <v>0</v>
      </c>
      <c r="U226" s="27" t="str">
        <f t="shared" si="57"/>
        <v>0</v>
      </c>
      <c r="V226" s="27" t="str">
        <f t="shared" si="58"/>
        <v>1</v>
      </c>
      <c r="W226" s="27"/>
      <c r="X226" s="27" t="str">
        <f t="shared" si="59"/>
        <v/>
      </c>
      <c r="Y226" s="27" t="str">
        <f t="shared" si="60"/>
        <v/>
      </c>
      <c r="Z226" s="27" t="str">
        <f t="shared" si="61"/>
        <v/>
      </c>
      <c r="AA226" s="121"/>
      <c r="AB226" s="121"/>
      <c r="AC226" s="121"/>
      <c r="AD226" s="121"/>
      <c r="AE226" s="121" t="s">
        <v>51</v>
      </c>
      <c r="AF226" s="121"/>
      <c r="AG226" s="121"/>
      <c r="AH226" s="28" t="s">
        <v>174</v>
      </c>
      <c r="AI226" s="28" t="s">
        <v>113</v>
      </c>
      <c r="AJ226" s="28">
        <v>40900</v>
      </c>
      <c r="AK226" s="121" t="str">
        <f t="shared" si="68"/>
        <v/>
      </c>
      <c r="AL226" s="123" t="str">
        <f t="shared" si="45"/>
        <v/>
      </c>
      <c r="AM226" s="27"/>
      <c r="AN226" s="124"/>
      <c r="AO226" s="124"/>
      <c r="AP226" s="124"/>
      <c r="AQ226" s="124"/>
      <c r="AR226" s="124"/>
      <c r="AS226" s="124"/>
      <c r="AT226" s="124" t="s">
        <v>1940</v>
      </c>
      <c r="AU226" s="124" t="str">
        <f t="shared" si="49"/>
        <v/>
      </c>
      <c r="AV226" s="124" t="s">
        <v>2590</v>
      </c>
      <c r="AW226" s="117"/>
      <c r="AX226" s="138" t="str">
        <f t="shared" si="66"/>
        <v/>
      </c>
      <c r="AY226" s="31" t="str">
        <f>IF(C226&lt;&gt;"",CREATE_QUERY($D$1,C$2:AW$2,C226:AW226),"")</f>
        <v/>
      </c>
    </row>
    <row r="227" spans="1:51">
      <c r="A227" s="1">
        <v>89</v>
      </c>
      <c r="B227" s="121" t="str">
        <f t="shared" si="67"/>
        <v/>
      </c>
      <c r="C227" s="27" t="str">
        <f t="shared" si="65"/>
        <v/>
      </c>
      <c r="D227" s="121"/>
      <c r="E227" s="27">
        <v>271018</v>
      </c>
      <c r="F227" s="121"/>
      <c r="G227" s="121"/>
      <c r="H227" s="121"/>
      <c r="I227" s="121"/>
      <c r="J227" s="121"/>
      <c r="K227" s="27" t="str">
        <f t="shared" si="50"/>
        <v/>
      </c>
      <c r="L227" s="27">
        <v>1</v>
      </c>
      <c r="M227" s="27" t="str">
        <f t="shared" si="51"/>
        <v>0</v>
      </c>
      <c r="N227" s="121"/>
      <c r="O227" s="121"/>
      <c r="P227" s="27" t="str">
        <f t="shared" si="52"/>
        <v>0</v>
      </c>
      <c r="Q227" s="27" t="str">
        <f t="shared" si="53"/>
        <v>0</v>
      </c>
      <c r="R227" s="27" t="str">
        <f t="shared" si="54"/>
        <v>0</v>
      </c>
      <c r="S227" s="27" t="str">
        <f t="shared" si="55"/>
        <v>0</v>
      </c>
      <c r="T227" s="27" t="str">
        <f t="shared" si="56"/>
        <v>0</v>
      </c>
      <c r="U227" s="27" t="str">
        <f t="shared" si="57"/>
        <v>0</v>
      </c>
      <c r="V227" s="27" t="str">
        <f t="shared" si="58"/>
        <v>1</v>
      </c>
      <c r="W227" s="27"/>
      <c r="X227" s="27" t="str">
        <f t="shared" si="59"/>
        <v/>
      </c>
      <c r="Y227" s="27" t="str">
        <f t="shared" si="60"/>
        <v/>
      </c>
      <c r="Z227" s="27" t="str">
        <f t="shared" si="61"/>
        <v/>
      </c>
      <c r="AA227" s="121"/>
      <c r="AB227" s="121"/>
      <c r="AC227" s="121"/>
      <c r="AD227" s="121"/>
      <c r="AE227" s="121" t="s">
        <v>51</v>
      </c>
      <c r="AF227" s="121"/>
      <c r="AG227" s="121"/>
      <c r="AH227" s="28" t="s">
        <v>174</v>
      </c>
      <c r="AI227" s="28" t="s">
        <v>113</v>
      </c>
      <c r="AJ227" s="28">
        <v>40950</v>
      </c>
      <c r="AK227" s="121" t="str">
        <f>IF(B236="","","0")</f>
        <v>0</v>
      </c>
      <c r="AL227" s="123" t="str">
        <f t="shared" si="45"/>
        <v/>
      </c>
      <c r="AM227" s="27"/>
      <c r="AN227" s="124"/>
      <c r="AO227" s="124"/>
      <c r="AP227" s="124"/>
      <c r="AQ227" s="124"/>
      <c r="AR227" s="124"/>
      <c r="AS227" s="124"/>
      <c r="AT227" s="124" t="s">
        <v>1940</v>
      </c>
      <c r="AU227" s="124" t="str">
        <f t="shared" si="49"/>
        <v/>
      </c>
      <c r="AV227" s="124" t="s">
        <v>2591</v>
      </c>
      <c r="AW227" s="117"/>
      <c r="AX227" s="138" t="str">
        <f t="shared" si="66"/>
        <v/>
      </c>
      <c r="AY227" s="31" t="str">
        <f>IF(C227&lt;&gt;"",CREATE_QUERY($D$1,C$2:AW$2,C227:AW227),"")</f>
        <v/>
      </c>
    </row>
    <row r="228" spans="1:51">
      <c r="A228" s="1">
        <v>88</v>
      </c>
      <c r="B228" s="121" t="str">
        <f t="shared" si="67"/>
        <v/>
      </c>
      <c r="C228" s="27" t="str">
        <f t="shared" si="65"/>
        <v/>
      </c>
      <c r="D228" s="121"/>
      <c r="E228" s="27">
        <v>271019</v>
      </c>
      <c r="F228" s="121"/>
      <c r="G228" s="121"/>
      <c r="H228" s="121"/>
      <c r="I228" s="121"/>
      <c r="J228" s="121"/>
      <c r="K228" s="27" t="str">
        <f t="shared" si="50"/>
        <v/>
      </c>
      <c r="L228" s="27">
        <v>1</v>
      </c>
      <c r="M228" s="27" t="str">
        <f t="shared" si="51"/>
        <v>0</v>
      </c>
      <c r="N228" s="121"/>
      <c r="O228" s="121"/>
      <c r="P228" s="27" t="str">
        <f t="shared" si="52"/>
        <v>0</v>
      </c>
      <c r="Q228" s="27" t="str">
        <f t="shared" si="53"/>
        <v>0</v>
      </c>
      <c r="R228" s="27" t="str">
        <f t="shared" si="54"/>
        <v>0</v>
      </c>
      <c r="S228" s="27" t="str">
        <f t="shared" si="55"/>
        <v>0</v>
      </c>
      <c r="T228" s="27" t="str">
        <f t="shared" si="56"/>
        <v>0</v>
      </c>
      <c r="U228" s="27" t="str">
        <f t="shared" si="57"/>
        <v>0</v>
      </c>
      <c r="V228" s="27" t="str">
        <f t="shared" si="58"/>
        <v>1</v>
      </c>
      <c r="W228" s="27"/>
      <c r="X228" s="27" t="str">
        <f t="shared" si="59"/>
        <v/>
      </c>
      <c r="Y228" s="27" t="str">
        <f t="shared" si="60"/>
        <v/>
      </c>
      <c r="Z228" s="27" t="str">
        <f t="shared" si="61"/>
        <v/>
      </c>
      <c r="AA228" s="121"/>
      <c r="AB228" s="121"/>
      <c r="AC228" s="121"/>
      <c r="AD228" s="121"/>
      <c r="AE228" s="121" t="s">
        <v>51</v>
      </c>
      <c r="AF228" s="121"/>
      <c r="AG228" s="121"/>
      <c r="AH228" s="28" t="s">
        <v>174</v>
      </c>
      <c r="AI228" s="28" t="s">
        <v>113</v>
      </c>
      <c r="AJ228" s="28">
        <v>41000</v>
      </c>
      <c r="AK228" s="121" t="str">
        <f t="shared" ref="AK228:AK230" si="69">IF(B229="","","0")</f>
        <v/>
      </c>
      <c r="AL228" s="123" t="str">
        <f t="shared" si="45"/>
        <v/>
      </c>
      <c r="AM228" s="27"/>
      <c r="AN228" s="124"/>
      <c r="AO228" s="124"/>
      <c r="AP228" s="124"/>
      <c r="AQ228" s="124"/>
      <c r="AR228" s="124"/>
      <c r="AS228" s="124"/>
      <c r="AT228" s="124" t="s">
        <v>1940</v>
      </c>
      <c r="AU228" s="124" t="str">
        <f t="shared" ref="AU228:AU291" si="70">IF(O228="","",AT228&amp;E228)</f>
        <v/>
      </c>
      <c r="AV228" s="124" t="s">
        <v>2592</v>
      </c>
      <c r="AW228" s="117"/>
      <c r="AX228" s="138" t="str">
        <f t="shared" si="66"/>
        <v/>
      </c>
      <c r="AY228" s="31" t="str">
        <f>IF(C228&lt;&gt;"",CREATE_QUERY($D$1,C$2:AW$2,C228:AW228),"")</f>
        <v/>
      </c>
    </row>
    <row r="229" spans="1:51">
      <c r="A229" s="1">
        <v>89</v>
      </c>
      <c r="B229" s="121" t="str">
        <f t="shared" si="67"/>
        <v/>
      </c>
      <c r="C229" s="27" t="str">
        <f t="shared" si="65"/>
        <v/>
      </c>
      <c r="D229" s="121"/>
      <c r="E229" s="27">
        <v>271020</v>
      </c>
      <c r="F229" s="121"/>
      <c r="G229" s="121"/>
      <c r="H229" s="121"/>
      <c r="I229" s="121"/>
      <c r="J229" s="121"/>
      <c r="K229" s="27" t="str">
        <f t="shared" si="50"/>
        <v/>
      </c>
      <c r="L229" s="27">
        <v>1</v>
      </c>
      <c r="M229" s="27" t="str">
        <f t="shared" si="51"/>
        <v>0</v>
      </c>
      <c r="N229" s="121"/>
      <c r="O229" s="121"/>
      <c r="P229" s="27" t="str">
        <f t="shared" si="52"/>
        <v>0</v>
      </c>
      <c r="Q229" s="27" t="str">
        <f t="shared" si="53"/>
        <v>0</v>
      </c>
      <c r="R229" s="27" t="str">
        <f t="shared" si="54"/>
        <v>0</v>
      </c>
      <c r="S229" s="27" t="str">
        <f t="shared" si="55"/>
        <v>0</v>
      </c>
      <c r="T229" s="27" t="str">
        <f t="shared" si="56"/>
        <v>0</v>
      </c>
      <c r="U229" s="27" t="str">
        <f t="shared" si="57"/>
        <v>0</v>
      </c>
      <c r="V229" s="27" t="str">
        <f t="shared" si="58"/>
        <v>1</v>
      </c>
      <c r="W229" s="27"/>
      <c r="X229" s="27" t="str">
        <f t="shared" si="59"/>
        <v/>
      </c>
      <c r="Y229" s="27" t="str">
        <f t="shared" si="60"/>
        <v/>
      </c>
      <c r="Z229" s="27" t="str">
        <f t="shared" si="61"/>
        <v/>
      </c>
      <c r="AA229" s="121"/>
      <c r="AB229" s="121"/>
      <c r="AC229" s="121"/>
      <c r="AD229" s="121"/>
      <c r="AE229" s="121" t="s">
        <v>51</v>
      </c>
      <c r="AF229" s="121"/>
      <c r="AG229" s="121"/>
      <c r="AH229" s="28" t="s">
        <v>174</v>
      </c>
      <c r="AI229" s="28" t="s">
        <v>113</v>
      </c>
      <c r="AJ229" s="28">
        <v>41050</v>
      </c>
      <c r="AK229" s="121" t="str">
        <f t="shared" si="69"/>
        <v/>
      </c>
      <c r="AL229" s="123" t="str">
        <f t="shared" si="45"/>
        <v/>
      </c>
      <c r="AM229" s="27"/>
      <c r="AN229" s="124"/>
      <c r="AO229" s="124"/>
      <c r="AP229" s="124"/>
      <c r="AQ229" s="124"/>
      <c r="AR229" s="124"/>
      <c r="AS229" s="124"/>
      <c r="AT229" s="124" t="s">
        <v>1940</v>
      </c>
      <c r="AU229" s="124" t="str">
        <f t="shared" si="70"/>
        <v/>
      </c>
      <c r="AV229" s="124" t="s">
        <v>2593</v>
      </c>
      <c r="AW229" s="117"/>
      <c r="AX229" s="138" t="str">
        <f t="shared" si="66"/>
        <v/>
      </c>
      <c r="AY229" s="31" t="str">
        <f>IF(C229&lt;&gt;"",CREATE_QUERY($D$1,C$2:AW$2,C229:AW229),"")</f>
        <v/>
      </c>
    </row>
    <row r="230" spans="1:51">
      <c r="A230" s="1">
        <v>89</v>
      </c>
      <c r="B230" s="121" t="str">
        <f t="shared" si="67"/>
        <v/>
      </c>
      <c r="C230" s="27" t="str">
        <f t="shared" si="65"/>
        <v/>
      </c>
      <c r="D230" s="121"/>
      <c r="E230" s="27">
        <v>271021</v>
      </c>
      <c r="F230" s="121"/>
      <c r="G230" s="121"/>
      <c r="H230" s="121"/>
      <c r="I230" s="121"/>
      <c r="J230" s="121"/>
      <c r="K230" s="27" t="str">
        <f t="shared" si="50"/>
        <v/>
      </c>
      <c r="L230" s="27">
        <v>1</v>
      </c>
      <c r="M230" s="27" t="str">
        <f t="shared" si="51"/>
        <v>0</v>
      </c>
      <c r="N230" s="121"/>
      <c r="O230" s="121"/>
      <c r="P230" s="27" t="str">
        <f t="shared" si="52"/>
        <v>0</v>
      </c>
      <c r="Q230" s="27" t="str">
        <f t="shared" si="53"/>
        <v>0</v>
      </c>
      <c r="R230" s="27" t="str">
        <f t="shared" si="54"/>
        <v>0</v>
      </c>
      <c r="S230" s="27" t="str">
        <f t="shared" si="55"/>
        <v>0</v>
      </c>
      <c r="T230" s="27" t="str">
        <f t="shared" si="56"/>
        <v>0</v>
      </c>
      <c r="U230" s="27" t="str">
        <f t="shared" si="57"/>
        <v>0</v>
      </c>
      <c r="V230" s="27" t="str">
        <f t="shared" si="58"/>
        <v>1</v>
      </c>
      <c r="W230" s="27"/>
      <c r="X230" s="27" t="str">
        <f t="shared" si="59"/>
        <v/>
      </c>
      <c r="Y230" s="27" t="str">
        <f t="shared" si="60"/>
        <v/>
      </c>
      <c r="Z230" s="27" t="str">
        <f t="shared" si="61"/>
        <v/>
      </c>
      <c r="AA230" s="121"/>
      <c r="AB230" s="121"/>
      <c r="AC230" s="121"/>
      <c r="AD230" s="121"/>
      <c r="AE230" s="121" t="s">
        <v>51</v>
      </c>
      <c r="AF230" s="121"/>
      <c r="AG230" s="121"/>
      <c r="AH230" s="28" t="s">
        <v>174</v>
      </c>
      <c r="AI230" s="28" t="s">
        <v>113</v>
      </c>
      <c r="AJ230" s="28">
        <v>41100</v>
      </c>
      <c r="AK230" s="121" t="str">
        <f t="shared" si="69"/>
        <v/>
      </c>
      <c r="AL230" s="123" t="str">
        <f t="shared" si="45"/>
        <v/>
      </c>
      <c r="AM230" s="27"/>
      <c r="AN230" s="124"/>
      <c r="AO230" s="124"/>
      <c r="AP230" s="124"/>
      <c r="AQ230" s="124"/>
      <c r="AR230" s="124"/>
      <c r="AS230" s="124"/>
      <c r="AT230" s="124" t="s">
        <v>1940</v>
      </c>
      <c r="AU230" s="124" t="str">
        <f t="shared" si="70"/>
        <v/>
      </c>
      <c r="AV230" s="124" t="s">
        <v>2594</v>
      </c>
      <c r="AW230" s="117"/>
      <c r="AX230" s="138" t="str">
        <f t="shared" si="66"/>
        <v/>
      </c>
      <c r="AY230" s="31" t="str">
        <f>IF(C230&lt;&gt;"",CREATE_QUERY($D$1,C$2:AW$2,C230:AW230),"")</f>
        <v/>
      </c>
    </row>
    <row r="231" spans="1:51">
      <c r="A231" s="1">
        <v>89</v>
      </c>
      <c r="B231" s="121" t="str">
        <f t="shared" si="67"/>
        <v/>
      </c>
      <c r="C231" s="27" t="str">
        <f t="shared" si="65"/>
        <v/>
      </c>
      <c r="D231" s="121"/>
      <c r="E231" s="27">
        <v>271022</v>
      </c>
      <c r="F231" s="121"/>
      <c r="G231" s="121"/>
      <c r="H231" s="121"/>
      <c r="I231" s="121"/>
      <c r="J231" s="121"/>
      <c r="K231" s="27" t="str">
        <f t="shared" ref="K231:K265" si="71">IF(O231="","","1")</f>
        <v/>
      </c>
      <c r="L231" s="27">
        <v>1</v>
      </c>
      <c r="M231" s="27" t="str">
        <f t="shared" ref="M231:M265" si="72">IF(O231="","0","1")</f>
        <v>0</v>
      </c>
      <c r="N231" s="121"/>
      <c r="O231" s="121"/>
      <c r="P231" s="27" t="str">
        <f t="shared" ref="P231:P294" si="73">IF(O231="","0","1")</f>
        <v>0</v>
      </c>
      <c r="Q231" s="27" t="str">
        <f t="shared" ref="Q231:Q294" si="74">IF(O231="","0","1")</f>
        <v>0</v>
      </c>
      <c r="R231" s="27" t="str">
        <f t="shared" ref="R231:R294" si="75">IF(O231="","0","1")</f>
        <v>0</v>
      </c>
      <c r="S231" s="27" t="str">
        <f t="shared" ref="S231:S294" si="76">IF(O231="","0","1")</f>
        <v>0</v>
      </c>
      <c r="T231" s="27" t="str">
        <f t="shared" ref="T231:T294" si="77">IF(O231="","0","1")</f>
        <v>0</v>
      </c>
      <c r="U231" s="27" t="str">
        <f t="shared" ref="U231:U294" si="78">IF(O231="","0","1")</f>
        <v>0</v>
      </c>
      <c r="V231" s="27" t="str">
        <f t="shared" ref="V231:V294" si="79">IF(O231="","1","1")</f>
        <v>1</v>
      </c>
      <c r="W231" s="27"/>
      <c r="X231" s="27" t="str">
        <f t="shared" ref="X231:X294" si="80">IF(O231="","","0")</f>
        <v/>
      </c>
      <c r="Y231" s="27" t="str">
        <f t="shared" ref="Y231:Y294" si="81">IF(O231="","","0")</f>
        <v/>
      </c>
      <c r="Z231" s="27" t="str">
        <f t="shared" ref="Z231:Z294" si="82">IF(O231="","","0")</f>
        <v/>
      </c>
      <c r="AA231" s="121"/>
      <c r="AB231" s="121"/>
      <c r="AC231" s="121"/>
      <c r="AD231" s="121"/>
      <c r="AE231" s="121" t="s">
        <v>51</v>
      </c>
      <c r="AF231" s="121"/>
      <c r="AG231" s="121"/>
      <c r="AH231" s="28" t="s">
        <v>174</v>
      </c>
      <c r="AI231" s="28" t="s">
        <v>113</v>
      </c>
      <c r="AJ231" s="28">
        <v>41150</v>
      </c>
      <c r="AK231" s="121" t="str">
        <f>IF(B240="","","0")</f>
        <v/>
      </c>
      <c r="AL231" s="123" t="str">
        <f t="shared" si="45"/>
        <v/>
      </c>
      <c r="AM231" s="27"/>
      <c r="AN231" s="124"/>
      <c r="AO231" s="124"/>
      <c r="AP231" s="124"/>
      <c r="AQ231" s="124"/>
      <c r="AR231" s="124"/>
      <c r="AS231" s="124"/>
      <c r="AT231" s="124" t="s">
        <v>1940</v>
      </c>
      <c r="AU231" s="124" t="str">
        <f t="shared" si="70"/>
        <v/>
      </c>
      <c r="AV231" s="124" t="s">
        <v>2595</v>
      </c>
      <c r="AW231" s="117"/>
      <c r="AX231" s="138" t="str">
        <f t="shared" si="66"/>
        <v/>
      </c>
      <c r="AY231" s="31" t="str">
        <f>IF(C231&lt;&gt;"",CREATE_QUERY($D$1,C$2:AW$2,C231:AW231),"")</f>
        <v/>
      </c>
    </row>
    <row r="232" spans="1:51">
      <c r="A232" s="1">
        <v>90</v>
      </c>
      <c r="B232" s="121" t="str">
        <f t="shared" si="67"/>
        <v/>
      </c>
      <c r="C232" s="27" t="str">
        <f t="shared" si="65"/>
        <v/>
      </c>
      <c r="D232" s="121"/>
      <c r="E232" s="27"/>
      <c r="F232" s="121"/>
      <c r="G232" s="121"/>
      <c r="H232" s="121"/>
      <c r="I232" s="121"/>
      <c r="J232" s="121"/>
      <c r="K232" s="27" t="str">
        <f t="shared" si="71"/>
        <v/>
      </c>
      <c r="L232" s="27">
        <v>1</v>
      </c>
      <c r="M232" s="27" t="str">
        <f t="shared" si="72"/>
        <v>0</v>
      </c>
      <c r="N232" s="121"/>
      <c r="O232" s="121"/>
      <c r="P232" s="27" t="str">
        <f t="shared" si="73"/>
        <v>0</v>
      </c>
      <c r="Q232" s="27" t="str">
        <f t="shared" si="74"/>
        <v>0</v>
      </c>
      <c r="R232" s="27" t="str">
        <f t="shared" si="75"/>
        <v>0</v>
      </c>
      <c r="S232" s="27" t="str">
        <f t="shared" si="76"/>
        <v>0</v>
      </c>
      <c r="T232" s="27" t="str">
        <f t="shared" si="77"/>
        <v>0</v>
      </c>
      <c r="U232" s="27" t="str">
        <f t="shared" si="78"/>
        <v>0</v>
      </c>
      <c r="V232" s="27" t="str">
        <f t="shared" si="79"/>
        <v>1</v>
      </c>
      <c r="W232" s="27"/>
      <c r="X232" s="27" t="str">
        <f t="shared" si="80"/>
        <v/>
      </c>
      <c r="Y232" s="27" t="str">
        <f t="shared" si="81"/>
        <v/>
      </c>
      <c r="Z232" s="27" t="str">
        <f t="shared" si="82"/>
        <v/>
      </c>
      <c r="AA232" s="121"/>
      <c r="AB232" s="121"/>
      <c r="AC232" s="121"/>
      <c r="AD232" s="121"/>
      <c r="AE232" s="121"/>
      <c r="AF232" s="121"/>
      <c r="AG232" s="121"/>
      <c r="AH232" s="27"/>
      <c r="AI232" s="27"/>
      <c r="AJ232" s="27" t="s">
        <v>900</v>
      </c>
      <c r="AK232" s="121" t="str">
        <f t="shared" si="63"/>
        <v>0</v>
      </c>
      <c r="AL232" s="123" t="str">
        <f t="shared" si="45"/>
        <v/>
      </c>
      <c r="AM232" s="27"/>
      <c r="AN232" s="124"/>
      <c r="AO232" s="124"/>
      <c r="AP232" s="124"/>
      <c r="AQ232" s="124"/>
      <c r="AR232" s="124"/>
      <c r="AS232" s="124"/>
      <c r="AT232" s="124"/>
      <c r="AU232" s="124" t="str">
        <f t="shared" si="70"/>
        <v/>
      </c>
      <c r="AV232" s="124"/>
      <c r="AW232" s="117"/>
      <c r="AX232" s="138" t="str">
        <f t="shared" si="66"/>
        <v/>
      </c>
      <c r="AY232" s="31" t="str">
        <f>IF(C232&lt;&gt;"",CREATE_QUERY($D$1,C$2:AW$2,C232:AW232),"")</f>
        <v/>
      </c>
    </row>
    <row r="233" spans="1:51">
      <c r="A233" s="1">
        <v>91</v>
      </c>
      <c r="B233" s="121" t="str">
        <f t="shared" si="67"/>
        <v xml:space="preserve">    └ 수불마감</v>
      </c>
      <c r="C233" s="27" t="str">
        <f t="shared" si="65"/>
        <v>14821</v>
      </c>
      <c r="D233" s="121"/>
      <c r="E233" s="21" t="s">
        <v>181</v>
      </c>
      <c r="F233" s="118" t="s">
        <v>180</v>
      </c>
      <c r="G233" s="118"/>
      <c r="H233" s="118"/>
      <c r="I233" s="118"/>
      <c r="J233" s="118"/>
      <c r="K233" s="21" t="str">
        <f t="shared" si="71"/>
        <v/>
      </c>
      <c r="L233" s="21">
        <v>1</v>
      </c>
      <c r="M233" s="21" t="str">
        <f t="shared" si="72"/>
        <v>0</v>
      </c>
      <c r="N233" s="118"/>
      <c r="O233" s="118"/>
      <c r="P233" s="21" t="str">
        <f t="shared" si="73"/>
        <v>0</v>
      </c>
      <c r="Q233" s="21" t="str">
        <f t="shared" si="74"/>
        <v>0</v>
      </c>
      <c r="R233" s="21" t="str">
        <f t="shared" si="75"/>
        <v>0</v>
      </c>
      <c r="S233" s="21" t="str">
        <f t="shared" si="76"/>
        <v>0</v>
      </c>
      <c r="T233" s="21" t="str">
        <f t="shared" si="77"/>
        <v>0</v>
      </c>
      <c r="U233" s="21" t="str">
        <f t="shared" si="78"/>
        <v>0</v>
      </c>
      <c r="V233" s="21" t="str">
        <f t="shared" si="79"/>
        <v>1</v>
      </c>
      <c r="W233" s="21"/>
      <c r="X233" s="21" t="str">
        <f t="shared" si="80"/>
        <v/>
      </c>
      <c r="Y233" s="21" t="str">
        <f t="shared" si="81"/>
        <v/>
      </c>
      <c r="Z233" s="21" t="str">
        <f t="shared" si="82"/>
        <v/>
      </c>
      <c r="AA233" s="118"/>
      <c r="AB233" s="118"/>
      <c r="AC233" s="118"/>
      <c r="AD233" s="118"/>
      <c r="AE233" s="118" t="s">
        <v>51</v>
      </c>
      <c r="AF233" s="118"/>
      <c r="AG233" s="118"/>
      <c r="AH233" s="26" t="s">
        <v>173</v>
      </c>
      <c r="AI233" s="26" t="s">
        <v>112</v>
      </c>
      <c r="AJ233" s="26">
        <v>50500</v>
      </c>
      <c r="AK233" s="121" t="str">
        <f t="shared" si="63"/>
        <v>0</v>
      </c>
      <c r="AL233" s="123" t="str">
        <f t="shared" si="45"/>
        <v>14821/수불마감//</v>
      </c>
      <c r="AM233" s="21"/>
      <c r="AN233" s="124"/>
      <c r="AO233" s="124" t="s">
        <v>1829</v>
      </c>
      <c r="AP233" s="124" t="s">
        <v>1829</v>
      </c>
      <c r="AQ233" s="124"/>
      <c r="AR233" s="124" t="s">
        <v>1829</v>
      </c>
      <c r="AS233" s="124"/>
      <c r="AT233" s="124" t="s">
        <v>1940</v>
      </c>
      <c r="AU233" s="124" t="str">
        <f t="shared" si="70"/>
        <v/>
      </c>
      <c r="AV233" s="124"/>
      <c r="AW233" s="117"/>
      <c r="AX233" s="138" t="str">
        <f t="shared" si="66"/>
        <v>delete from module_mst where pjt_id = '14821' and menu_id = '272000';</v>
      </c>
      <c r="AY233" s="31" t="str">
        <f>IF(C233&lt;&gt;"",CREATE_QUERY($D$1,C$2:AW$2,C233:AW233),"")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'272000', '수불마감', '', '', '', '', '', '1', '0', '', '', '0', '0', '0', '0', '0', '0', '1', '', '', '', '', '', '', '', '', 'N', '', '', '270000', '4', '50500', '0', '14821/수불마감//', '', '', 'Y', 'Y', '', 'Y', '', 'W', '', '');</v>
      </c>
    </row>
    <row r="234" spans="1:51">
      <c r="A234" s="1">
        <v>92</v>
      </c>
      <c r="B234" s="121" t="str">
        <f t="shared" si="67"/>
        <v xml:space="preserve">        └ 자재재고현황</v>
      </c>
      <c r="C234" s="27" t="str">
        <f t="shared" si="65"/>
        <v>14821</v>
      </c>
      <c r="D234" s="121"/>
      <c r="E234" s="27">
        <v>272001</v>
      </c>
      <c r="F234" s="121" t="s">
        <v>182</v>
      </c>
      <c r="G234" s="121"/>
      <c r="H234" s="121"/>
      <c r="I234" s="121"/>
      <c r="J234" s="121"/>
      <c r="K234" s="27" t="str">
        <f t="shared" si="71"/>
        <v>1</v>
      </c>
      <c r="L234" s="27">
        <v>1</v>
      </c>
      <c r="M234" s="27" t="str">
        <f t="shared" si="72"/>
        <v>1</v>
      </c>
      <c r="N234" s="121" t="s">
        <v>315</v>
      </c>
      <c r="O234" s="121" t="s">
        <v>186</v>
      </c>
      <c r="P234" s="27" t="str">
        <f t="shared" si="73"/>
        <v>1</v>
      </c>
      <c r="Q234" s="27" t="str">
        <f t="shared" si="74"/>
        <v>1</v>
      </c>
      <c r="R234" s="27" t="str">
        <f t="shared" si="75"/>
        <v>1</v>
      </c>
      <c r="S234" s="27" t="str">
        <f t="shared" si="76"/>
        <v>1</v>
      </c>
      <c r="T234" s="27" t="str">
        <f t="shared" si="77"/>
        <v>1</v>
      </c>
      <c r="U234" s="27" t="str">
        <f t="shared" si="78"/>
        <v>1</v>
      </c>
      <c r="V234" s="27" t="str">
        <f t="shared" si="79"/>
        <v>1</v>
      </c>
      <c r="W234" s="27"/>
      <c r="X234" s="27" t="str">
        <f t="shared" si="80"/>
        <v>0</v>
      </c>
      <c r="Y234" s="27" t="str">
        <f t="shared" si="81"/>
        <v>0</v>
      </c>
      <c r="Z234" s="27" t="str">
        <f t="shared" si="82"/>
        <v>0</v>
      </c>
      <c r="AA234" s="121"/>
      <c r="AB234" s="121"/>
      <c r="AC234" s="121"/>
      <c r="AD234" s="121"/>
      <c r="AE234" s="121" t="s">
        <v>51</v>
      </c>
      <c r="AF234" s="121"/>
      <c r="AG234" s="121"/>
      <c r="AH234" s="28" t="s">
        <v>181</v>
      </c>
      <c r="AI234" s="28" t="s">
        <v>113</v>
      </c>
      <c r="AJ234" s="28">
        <v>50550</v>
      </c>
      <c r="AK234" s="121" t="str">
        <f t="shared" si="63"/>
        <v>0</v>
      </c>
      <c r="AL234" s="123" t="str">
        <f t="shared" si="45"/>
        <v>14821/자재재고현황/stock.close/MtrlStockList</v>
      </c>
      <c r="AM234" s="27"/>
      <c r="AN234" s="124"/>
      <c r="AO234" s="124" t="s">
        <v>1829</v>
      </c>
      <c r="AP234" s="124" t="s">
        <v>1829</v>
      </c>
      <c r="AQ234" s="124"/>
      <c r="AR234" s="124" t="s">
        <v>1829</v>
      </c>
      <c r="AS234" s="124"/>
      <c r="AT234" s="124" t="s">
        <v>1940</v>
      </c>
      <c r="AU234" s="124" t="str">
        <f t="shared" si="70"/>
        <v>W272001</v>
      </c>
      <c r="AV234" s="124" t="s">
        <v>2652</v>
      </c>
      <c r="AW234" s="117" t="s">
        <v>1855</v>
      </c>
      <c r="AX234" s="138" t="str">
        <f t="shared" si="66"/>
        <v>delete from module_mst where pjt_id = '14821' and menu_id = '272001';</v>
      </c>
      <c r="AY234" s="31" t="str">
        <f>IF(C234&lt;&gt;"",CREATE_QUERY($D$1,C$2:AW$2,C234:AW234),"")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'272001', '자재재고현황', '', '', '', '', '1', '1', '1', 'stock.close', 'MtrlStockList', '1', '1', '1', '1', '1', '1', '1', '', '0', '0', '0', '', '', '', '', 'N', '', '', '272000', '5', '50550', '0', '14821/자재재고현황/stock.close/MtrlStockList', '', '', 'Y', 'Y', '', 'Y', '', 'W', 'MES-TD3-360', '자재 재고 현황 조회');</v>
      </c>
    </row>
    <row r="235" spans="1:51">
      <c r="A235" s="1">
        <v>93</v>
      </c>
      <c r="B235" s="121" t="str">
        <f t="shared" si="67"/>
        <v xml:space="preserve">        └ 제품재고현황</v>
      </c>
      <c r="C235" s="27" t="str">
        <f t="shared" si="65"/>
        <v>14821</v>
      </c>
      <c r="D235" s="121"/>
      <c r="E235" s="27">
        <v>272002</v>
      </c>
      <c r="F235" s="121" t="s">
        <v>183</v>
      </c>
      <c r="G235" s="121"/>
      <c r="H235" s="121"/>
      <c r="I235" s="121"/>
      <c r="J235" s="121"/>
      <c r="K235" s="27" t="str">
        <f t="shared" si="71"/>
        <v>1</v>
      </c>
      <c r="L235" s="27">
        <v>1</v>
      </c>
      <c r="M235" s="27" t="str">
        <f t="shared" si="72"/>
        <v>1</v>
      </c>
      <c r="N235" s="121" t="s">
        <v>315</v>
      </c>
      <c r="O235" s="121" t="s">
        <v>187</v>
      </c>
      <c r="P235" s="27" t="str">
        <f t="shared" si="73"/>
        <v>1</v>
      </c>
      <c r="Q235" s="27" t="str">
        <f t="shared" si="74"/>
        <v>1</v>
      </c>
      <c r="R235" s="27" t="str">
        <f t="shared" si="75"/>
        <v>1</v>
      </c>
      <c r="S235" s="27" t="str">
        <f t="shared" si="76"/>
        <v>1</v>
      </c>
      <c r="T235" s="27" t="str">
        <f t="shared" si="77"/>
        <v>1</v>
      </c>
      <c r="U235" s="27" t="str">
        <f t="shared" si="78"/>
        <v>1</v>
      </c>
      <c r="V235" s="27" t="str">
        <f t="shared" si="79"/>
        <v>1</v>
      </c>
      <c r="W235" s="27"/>
      <c r="X235" s="27" t="str">
        <f t="shared" si="80"/>
        <v>0</v>
      </c>
      <c r="Y235" s="27" t="str">
        <f t="shared" si="81"/>
        <v>0</v>
      </c>
      <c r="Z235" s="27" t="str">
        <f t="shared" si="82"/>
        <v>0</v>
      </c>
      <c r="AA235" s="121"/>
      <c r="AB235" s="121"/>
      <c r="AC235" s="121"/>
      <c r="AD235" s="121"/>
      <c r="AE235" s="121" t="s">
        <v>51</v>
      </c>
      <c r="AF235" s="121"/>
      <c r="AG235" s="121"/>
      <c r="AH235" s="28" t="s">
        <v>181</v>
      </c>
      <c r="AI235" s="28" t="s">
        <v>113</v>
      </c>
      <c r="AJ235" s="28">
        <v>50552</v>
      </c>
      <c r="AK235" s="121" t="str">
        <f t="shared" si="63"/>
        <v>0</v>
      </c>
      <c r="AL235" s="123" t="str">
        <f t="shared" si="45"/>
        <v>14821/제품재고현황/stock.close/GoodsStockList</v>
      </c>
      <c r="AM235" s="27"/>
      <c r="AN235" s="124"/>
      <c r="AO235" s="124" t="s">
        <v>1829</v>
      </c>
      <c r="AP235" s="124" t="s">
        <v>1829</v>
      </c>
      <c r="AQ235" s="124"/>
      <c r="AR235" s="124" t="s">
        <v>1829</v>
      </c>
      <c r="AS235" s="124"/>
      <c r="AT235" s="124" t="s">
        <v>1940</v>
      </c>
      <c r="AU235" s="124" t="str">
        <f t="shared" si="70"/>
        <v>W272002</v>
      </c>
      <c r="AV235" s="124" t="s">
        <v>2653</v>
      </c>
      <c r="AW235" s="117" t="s">
        <v>1849</v>
      </c>
      <c r="AX235" s="138" t="str">
        <f t="shared" si="66"/>
        <v>delete from module_mst where pjt_id = '14821' and menu_id = '272002';</v>
      </c>
      <c r="AY235" s="31" t="str">
        <f>IF(C235&lt;&gt;"",CREATE_QUERY($D$1,C$2:AW$2,C235:AW235),"")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'272002', '제품재고현황', '', '', '', '', '1', '1', '1', 'stock.close', 'GoodsStockList', '1', '1', '1', '1', '1', '1', '1', '', '0', '0', '0', '', '', '', '', 'N', '', '', '272000', '5', '50552', '0', '14821/제품재고현황/stock.close/GoodsStockList', '', '', 'Y', 'Y', '', 'Y', '', 'W', 'MES-TD3-361', '제품 재고 현황 조회');</v>
      </c>
    </row>
    <row r="236" spans="1:51" ht="26">
      <c r="A236" s="1">
        <v>94</v>
      </c>
      <c r="B236" s="121" t="str">
        <f t="shared" si="67"/>
        <v xml:space="preserve">        └ 월수불마감</v>
      </c>
      <c r="C236" s="27" t="str">
        <f t="shared" si="65"/>
        <v>14821</v>
      </c>
      <c r="D236" s="121"/>
      <c r="E236" s="27">
        <v>272003</v>
      </c>
      <c r="F236" s="121" t="s">
        <v>184</v>
      </c>
      <c r="G236" s="121"/>
      <c r="H236" s="121"/>
      <c r="I236" s="121"/>
      <c r="J236" s="121"/>
      <c r="K236" s="27" t="str">
        <f t="shared" si="71"/>
        <v>1</v>
      </c>
      <c r="L236" s="27">
        <v>1</v>
      </c>
      <c r="M236" s="27" t="str">
        <f t="shared" si="72"/>
        <v>1</v>
      </c>
      <c r="N236" s="121" t="s">
        <v>315</v>
      </c>
      <c r="O236" s="121" t="s">
        <v>188</v>
      </c>
      <c r="P236" s="27" t="str">
        <f t="shared" si="73"/>
        <v>1</v>
      </c>
      <c r="Q236" s="27" t="str">
        <f t="shared" si="74"/>
        <v>1</v>
      </c>
      <c r="R236" s="27" t="str">
        <f t="shared" si="75"/>
        <v>1</v>
      </c>
      <c r="S236" s="27" t="str">
        <f t="shared" si="76"/>
        <v>1</v>
      </c>
      <c r="T236" s="27" t="str">
        <f t="shared" si="77"/>
        <v>1</v>
      </c>
      <c r="U236" s="27" t="str">
        <f t="shared" si="78"/>
        <v>1</v>
      </c>
      <c r="V236" s="27" t="str">
        <f t="shared" si="79"/>
        <v>1</v>
      </c>
      <c r="W236" s="27"/>
      <c r="X236" s="27" t="str">
        <f t="shared" si="80"/>
        <v>0</v>
      </c>
      <c r="Y236" s="27" t="str">
        <f t="shared" si="81"/>
        <v>0</v>
      </c>
      <c r="Z236" s="27" t="str">
        <f t="shared" si="82"/>
        <v>0</v>
      </c>
      <c r="AA236" s="121"/>
      <c r="AB236" s="121"/>
      <c r="AC236" s="121"/>
      <c r="AD236" s="121"/>
      <c r="AE236" s="121" t="s">
        <v>51</v>
      </c>
      <c r="AF236" s="121"/>
      <c r="AG236" s="121"/>
      <c r="AH236" s="28" t="s">
        <v>181</v>
      </c>
      <c r="AI236" s="28" t="s">
        <v>113</v>
      </c>
      <c r="AJ236" s="28">
        <v>50554</v>
      </c>
      <c r="AK236" s="121" t="str">
        <f t="shared" si="63"/>
        <v>0</v>
      </c>
      <c r="AL236" s="123" t="str">
        <f t="shared" si="45"/>
        <v>14821/월수불마감/stock.close/StockClose</v>
      </c>
      <c r="AM236" s="27"/>
      <c r="AN236" s="124"/>
      <c r="AO236" s="124" t="s">
        <v>1829</v>
      </c>
      <c r="AP236" s="124" t="s">
        <v>1829</v>
      </c>
      <c r="AQ236" s="124"/>
      <c r="AR236" s="124" t="s">
        <v>1829</v>
      </c>
      <c r="AS236" s="124"/>
      <c r="AT236" s="124" t="s">
        <v>1940</v>
      </c>
      <c r="AU236" s="124" t="str">
        <f t="shared" si="70"/>
        <v>W272003</v>
      </c>
      <c r="AV236" s="124" t="s">
        <v>2596</v>
      </c>
      <c r="AW236" s="117" t="s">
        <v>1850</v>
      </c>
      <c r="AX236" s="138" t="str">
        <f t="shared" si="66"/>
        <v>delete from module_mst where pjt_id = '14821' and menu_id = '272003';</v>
      </c>
      <c r="AY236" s="31" t="str">
        <f>IF(C236&lt;&gt;"",CREATE_QUERY($D$1,C$2:AW$2,C236:AW236),"")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'272003', '월수불마감', '', '', '', '', '1', '1', '1', 'stock.close', 'StockClose', '1', '1', '1', '1', '1', '1', '1', '', '0', '0', '0', '', '', '', '', 'N', '', '', '272000', '5', '50554', '0', '14821/월수불마감/stock.close/StockClose', '', '', 'Y', 'Y', '', 'Y', '', 'W', 'MES-TD3-362', '자재 및 제품의 수불내역을 품목별, LOT별로 집계하여 수불집계 테이블 생성');</v>
      </c>
    </row>
    <row r="237" spans="1:51">
      <c r="A237" s="1">
        <v>95</v>
      </c>
      <c r="B237" s="121" t="str">
        <f t="shared" si="67"/>
        <v xml:space="preserve">        └ 수불대장</v>
      </c>
      <c r="C237" s="27" t="str">
        <f t="shared" si="65"/>
        <v>14821</v>
      </c>
      <c r="D237" s="121"/>
      <c r="E237" s="27">
        <v>272004</v>
      </c>
      <c r="F237" s="121" t="s">
        <v>185</v>
      </c>
      <c r="G237" s="121"/>
      <c r="H237" s="121"/>
      <c r="I237" s="121"/>
      <c r="J237" s="121"/>
      <c r="K237" s="27" t="str">
        <f t="shared" si="71"/>
        <v>1</v>
      </c>
      <c r="L237" s="27">
        <v>1</v>
      </c>
      <c r="M237" s="27" t="str">
        <f t="shared" si="72"/>
        <v>1</v>
      </c>
      <c r="N237" s="121" t="s">
        <v>315</v>
      </c>
      <c r="O237" s="121" t="s">
        <v>313</v>
      </c>
      <c r="P237" s="27" t="str">
        <f t="shared" si="73"/>
        <v>1</v>
      </c>
      <c r="Q237" s="27" t="str">
        <f t="shared" si="74"/>
        <v>1</v>
      </c>
      <c r="R237" s="27" t="str">
        <f t="shared" si="75"/>
        <v>1</v>
      </c>
      <c r="S237" s="27" t="str">
        <f t="shared" si="76"/>
        <v>1</v>
      </c>
      <c r="T237" s="27" t="str">
        <f t="shared" si="77"/>
        <v>1</v>
      </c>
      <c r="U237" s="27" t="str">
        <f t="shared" si="78"/>
        <v>1</v>
      </c>
      <c r="V237" s="27" t="str">
        <f t="shared" si="79"/>
        <v>1</v>
      </c>
      <c r="W237" s="27"/>
      <c r="X237" s="27" t="str">
        <f t="shared" si="80"/>
        <v>0</v>
      </c>
      <c r="Y237" s="27" t="str">
        <f t="shared" si="81"/>
        <v>0</v>
      </c>
      <c r="Z237" s="27" t="str">
        <f t="shared" si="82"/>
        <v>0</v>
      </c>
      <c r="AA237" s="121"/>
      <c r="AB237" s="121"/>
      <c r="AC237" s="121"/>
      <c r="AD237" s="121"/>
      <c r="AE237" s="121" t="s">
        <v>51</v>
      </c>
      <c r="AF237" s="121"/>
      <c r="AG237" s="121"/>
      <c r="AH237" s="28" t="s">
        <v>181</v>
      </c>
      <c r="AI237" s="28" t="s">
        <v>113</v>
      </c>
      <c r="AJ237" s="28">
        <v>50556</v>
      </c>
      <c r="AK237" s="121" t="str">
        <f t="shared" si="63"/>
        <v>0</v>
      </c>
      <c r="AL237" s="123" t="str">
        <f t="shared" si="45"/>
        <v>14821/수불대장/stock.close/IsosList</v>
      </c>
      <c r="AM237" s="27"/>
      <c r="AN237" s="124"/>
      <c r="AO237" s="124" t="s">
        <v>1829</v>
      </c>
      <c r="AP237" s="124" t="s">
        <v>1829</v>
      </c>
      <c r="AQ237" s="124"/>
      <c r="AR237" s="124" t="s">
        <v>1829</v>
      </c>
      <c r="AS237" s="124"/>
      <c r="AT237" s="124" t="s">
        <v>1940</v>
      </c>
      <c r="AU237" s="124" t="str">
        <f t="shared" si="70"/>
        <v>W272004</v>
      </c>
      <c r="AV237" s="124" t="s">
        <v>2597</v>
      </c>
      <c r="AW237" s="117" t="s">
        <v>1851</v>
      </c>
      <c r="AX237" s="138" t="str">
        <f t="shared" si="66"/>
        <v>delete from module_mst where pjt_id = '14821' and menu_id = '272004';</v>
      </c>
      <c r="AY237" s="31" t="str">
        <f>IF(C237&lt;&gt;"",CREATE_QUERY($D$1,C$2:AW$2,C237:AW237),"")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'272004', '수불대장', '', '', '', '', '1', '1', '1', 'stock.close', 'IsosList', '1', '1', '1', '1', '1', '1', '1', '', '0', '0', '0', '', '', '', '', 'N', '', '', '272000', '5', '50556', '0', '14821/수불대장/stock.close/IsosList', '', '', 'Y', 'Y', '', 'Y', '', 'W', 'MES-TD3-363', '수불 품목별 수불 대장을 조회');</v>
      </c>
    </row>
    <row r="238" spans="1:51" hidden="1">
      <c r="A238" s="1">
        <v>92</v>
      </c>
      <c r="B238" s="121" t="str">
        <f t="shared" si="67"/>
        <v xml:space="preserve">        └ (대한솔)일자별 재고현황</v>
      </c>
      <c r="C238" s="27" t="str">
        <f t="shared" si="65"/>
        <v>14821</v>
      </c>
      <c r="D238" s="121"/>
      <c r="E238" s="27">
        <v>272005</v>
      </c>
      <c r="F238" s="121" t="s">
        <v>2376</v>
      </c>
      <c r="G238" s="121"/>
      <c r="H238" s="121"/>
      <c r="I238" s="121"/>
      <c r="J238" s="121"/>
      <c r="K238" s="27" t="str">
        <f t="shared" si="71"/>
        <v>1</v>
      </c>
      <c r="L238" s="27">
        <v>1</v>
      </c>
      <c r="M238" s="27" t="str">
        <f t="shared" si="72"/>
        <v>1</v>
      </c>
      <c r="N238" s="121" t="s">
        <v>315</v>
      </c>
      <c r="O238" s="121" t="s">
        <v>2379</v>
      </c>
      <c r="P238" s="27" t="str">
        <f t="shared" si="73"/>
        <v>1</v>
      </c>
      <c r="Q238" s="27" t="str">
        <f t="shared" si="74"/>
        <v>1</v>
      </c>
      <c r="R238" s="27" t="str">
        <f t="shared" si="75"/>
        <v>1</v>
      </c>
      <c r="S238" s="27" t="str">
        <f t="shared" si="76"/>
        <v>1</v>
      </c>
      <c r="T238" s="27" t="str">
        <f t="shared" si="77"/>
        <v>1</v>
      </c>
      <c r="U238" s="27" t="str">
        <f t="shared" si="78"/>
        <v>1</v>
      </c>
      <c r="V238" s="27" t="str">
        <f t="shared" si="79"/>
        <v>1</v>
      </c>
      <c r="W238" s="27"/>
      <c r="X238" s="27" t="str">
        <f t="shared" si="80"/>
        <v>0</v>
      </c>
      <c r="Y238" s="27" t="str">
        <f t="shared" si="81"/>
        <v>0</v>
      </c>
      <c r="Z238" s="27" t="str">
        <f t="shared" si="82"/>
        <v>0</v>
      </c>
      <c r="AA238" s="121"/>
      <c r="AB238" s="121"/>
      <c r="AC238" s="121"/>
      <c r="AD238" s="121"/>
      <c r="AE238" s="121" t="s">
        <v>51</v>
      </c>
      <c r="AF238" s="121"/>
      <c r="AG238" s="121"/>
      <c r="AH238" s="28" t="s">
        <v>181</v>
      </c>
      <c r="AI238" s="28" t="s">
        <v>113</v>
      </c>
      <c r="AJ238" s="28">
        <v>50558</v>
      </c>
      <c r="AK238" s="121" t="str">
        <f t="shared" si="63"/>
        <v/>
      </c>
      <c r="AL238" s="123" t="str">
        <f t="shared" si="45"/>
        <v>14821/일자별 재고현황/stock.close/DailyStockWork</v>
      </c>
      <c r="AM238" s="27" t="s">
        <v>2377</v>
      </c>
      <c r="AN238" s="124"/>
      <c r="AO238" s="124"/>
      <c r="AP238" s="124"/>
      <c r="AQ238" s="124"/>
      <c r="AR238" s="124"/>
      <c r="AS238" s="124"/>
      <c r="AT238" s="124" t="s">
        <v>1940</v>
      </c>
      <c r="AU238" s="124" t="str">
        <f t="shared" si="70"/>
        <v>W272005</v>
      </c>
      <c r="AV238" s="124" t="s">
        <v>2598</v>
      </c>
      <c r="AW238" s="117" t="s">
        <v>2378</v>
      </c>
      <c r="AX238" s="138" t="str">
        <f t="shared" si="66"/>
        <v>delete from module_mst where pjt_id = '14821' and menu_id = '272005';</v>
      </c>
      <c r="AY238" s="31" t="str">
        <f>IF(C238&lt;&gt;"",CREATE_QUERY($D$1,C$2:AW$2,C238:AW238),"")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'272005', '일자별 재고현황', '', '', '', '', '1', '1', '1', 'stock.close', 'DailyStockWork', '1', '1', '1', '1', '1', '1', '1', '', '0', '0', '0', '', '', '', '', 'N', '', '', '272000', '5', '50558', '', '14821/일자별 재고현황/stock.close/DailyStockWork', '(대한솔)', '', '', '', '', '', '', 'W', 'MES-TD3-364', 'for 대한솔 일자별 공정별 재고 현황을 조회하고 재고를 등록한다. ');</v>
      </c>
    </row>
    <row r="239" spans="1:51">
      <c r="A239" s="1">
        <v>93</v>
      </c>
      <c r="B239" s="121" t="str">
        <f t="shared" si="67"/>
        <v/>
      </c>
      <c r="C239" s="27" t="str">
        <f t="shared" si="65"/>
        <v/>
      </c>
      <c r="D239" s="121"/>
      <c r="E239" s="27">
        <v>272006</v>
      </c>
      <c r="F239" s="121"/>
      <c r="G239" s="121"/>
      <c r="H239" s="121"/>
      <c r="I239" s="121"/>
      <c r="J239" s="121"/>
      <c r="K239" s="27" t="str">
        <f t="shared" si="71"/>
        <v/>
      </c>
      <c r="L239" s="27">
        <v>1</v>
      </c>
      <c r="M239" s="27" t="str">
        <f t="shared" si="72"/>
        <v>0</v>
      </c>
      <c r="N239" s="121"/>
      <c r="O239" s="121"/>
      <c r="P239" s="27" t="str">
        <f t="shared" si="73"/>
        <v>0</v>
      </c>
      <c r="Q239" s="27" t="str">
        <f t="shared" si="74"/>
        <v>0</v>
      </c>
      <c r="R239" s="27" t="str">
        <f t="shared" si="75"/>
        <v>0</v>
      </c>
      <c r="S239" s="27" t="str">
        <f t="shared" si="76"/>
        <v>0</v>
      </c>
      <c r="T239" s="27" t="str">
        <f t="shared" si="77"/>
        <v>0</v>
      </c>
      <c r="U239" s="27" t="str">
        <f t="shared" si="78"/>
        <v>0</v>
      </c>
      <c r="V239" s="27" t="str">
        <f t="shared" si="79"/>
        <v>1</v>
      </c>
      <c r="W239" s="27"/>
      <c r="X239" s="27" t="str">
        <f t="shared" si="80"/>
        <v/>
      </c>
      <c r="Y239" s="27" t="str">
        <f t="shared" si="81"/>
        <v/>
      </c>
      <c r="Z239" s="27" t="str">
        <f t="shared" si="82"/>
        <v/>
      </c>
      <c r="AA239" s="121"/>
      <c r="AB239" s="121"/>
      <c r="AC239" s="121"/>
      <c r="AD239" s="121"/>
      <c r="AE239" s="121" t="s">
        <v>51</v>
      </c>
      <c r="AF239" s="121"/>
      <c r="AG239" s="121"/>
      <c r="AH239" s="28" t="s">
        <v>181</v>
      </c>
      <c r="AI239" s="28" t="s">
        <v>113</v>
      </c>
      <c r="AJ239" s="28">
        <v>50560</v>
      </c>
      <c r="AK239" s="121" t="str">
        <f t="shared" si="63"/>
        <v/>
      </c>
      <c r="AL239" s="123" t="str">
        <f t="shared" si="45"/>
        <v/>
      </c>
      <c r="AM239" s="27"/>
      <c r="AN239" s="124"/>
      <c r="AO239" s="124"/>
      <c r="AP239" s="124"/>
      <c r="AQ239" s="124"/>
      <c r="AR239" s="124"/>
      <c r="AS239" s="124"/>
      <c r="AT239" s="124" t="s">
        <v>1940</v>
      </c>
      <c r="AU239" s="124" t="str">
        <f t="shared" si="70"/>
        <v/>
      </c>
      <c r="AV239" s="124" t="s">
        <v>2599</v>
      </c>
      <c r="AW239" s="117"/>
      <c r="AX239" s="138" t="str">
        <f t="shared" si="66"/>
        <v/>
      </c>
      <c r="AY239" s="31" t="str">
        <f>IF(C239&lt;&gt;"",CREATE_QUERY($D$1,C$2:AW$2,C239:AW239),"")</f>
        <v/>
      </c>
    </row>
    <row r="240" spans="1:51">
      <c r="A240" s="1">
        <v>94</v>
      </c>
      <c r="B240" s="121" t="str">
        <f t="shared" si="67"/>
        <v/>
      </c>
      <c r="C240" s="27" t="str">
        <f t="shared" si="65"/>
        <v/>
      </c>
      <c r="D240" s="121"/>
      <c r="E240" s="27">
        <v>272007</v>
      </c>
      <c r="F240" s="121"/>
      <c r="G240" s="121"/>
      <c r="H240" s="121"/>
      <c r="I240" s="121"/>
      <c r="J240" s="121"/>
      <c r="K240" s="27" t="str">
        <f t="shared" si="71"/>
        <v/>
      </c>
      <c r="L240" s="27">
        <v>1</v>
      </c>
      <c r="M240" s="27" t="str">
        <f t="shared" si="72"/>
        <v>0</v>
      </c>
      <c r="N240" s="121"/>
      <c r="O240" s="121"/>
      <c r="P240" s="27" t="str">
        <f t="shared" si="73"/>
        <v>0</v>
      </c>
      <c r="Q240" s="27" t="str">
        <f t="shared" si="74"/>
        <v>0</v>
      </c>
      <c r="R240" s="27" t="str">
        <f t="shared" si="75"/>
        <v>0</v>
      </c>
      <c r="S240" s="27" t="str">
        <f t="shared" si="76"/>
        <v>0</v>
      </c>
      <c r="T240" s="27" t="str">
        <f t="shared" si="77"/>
        <v>0</v>
      </c>
      <c r="U240" s="27" t="str">
        <f t="shared" si="78"/>
        <v>0</v>
      </c>
      <c r="V240" s="27" t="str">
        <f t="shared" si="79"/>
        <v>1</v>
      </c>
      <c r="W240" s="27"/>
      <c r="X240" s="27" t="str">
        <f t="shared" si="80"/>
        <v/>
      </c>
      <c r="Y240" s="27" t="str">
        <f t="shared" si="81"/>
        <v/>
      </c>
      <c r="Z240" s="27" t="str">
        <f t="shared" si="82"/>
        <v/>
      </c>
      <c r="AA240" s="121"/>
      <c r="AB240" s="121"/>
      <c r="AC240" s="121"/>
      <c r="AD240" s="121"/>
      <c r="AE240" s="121" t="s">
        <v>51</v>
      </c>
      <c r="AF240" s="121"/>
      <c r="AG240" s="121"/>
      <c r="AH240" s="28" t="s">
        <v>181</v>
      </c>
      <c r="AI240" s="28" t="s">
        <v>113</v>
      </c>
      <c r="AJ240" s="28">
        <v>50562</v>
      </c>
      <c r="AK240" s="121" t="str">
        <f t="shared" si="63"/>
        <v/>
      </c>
      <c r="AL240" s="123" t="str">
        <f t="shared" si="45"/>
        <v/>
      </c>
      <c r="AM240" s="27"/>
      <c r="AN240" s="124"/>
      <c r="AO240" s="124"/>
      <c r="AP240" s="124"/>
      <c r="AQ240" s="124"/>
      <c r="AR240" s="124"/>
      <c r="AS240" s="124"/>
      <c r="AT240" s="124" t="s">
        <v>1940</v>
      </c>
      <c r="AU240" s="124" t="str">
        <f t="shared" si="70"/>
        <v/>
      </c>
      <c r="AV240" s="124" t="s">
        <v>2600</v>
      </c>
      <c r="AW240" s="117"/>
      <c r="AX240" s="138" t="str">
        <f t="shared" si="66"/>
        <v/>
      </c>
      <c r="AY240" s="31" t="str">
        <f>IF(C240&lt;&gt;"",CREATE_QUERY($D$1,C$2:AW$2,C240:AW240),"")</f>
        <v/>
      </c>
    </row>
    <row r="241" spans="1:51">
      <c r="A241" s="1">
        <v>95</v>
      </c>
      <c r="B241" s="121" t="str">
        <f t="shared" si="67"/>
        <v/>
      </c>
      <c r="C241" s="27" t="str">
        <f t="shared" si="65"/>
        <v/>
      </c>
      <c r="D241" s="121"/>
      <c r="E241" s="27">
        <v>272008</v>
      </c>
      <c r="F241" s="121"/>
      <c r="G241" s="121"/>
      <c r="H241" s="121"/>
      <c r="I241" s="121"/>
      <c r="J241" s="121"/>
      <c r="K241" s="27" t="str">
        <f t="shared" si="71"/>
        <v/>
      </c>
      <c r="L241" s="27">
        <v>1</v>
      </c>
      <c r="M241" s="27" t="str">
        <f t="shared" si="72"/>
        <v>0</v>
      </c>
      <c r="N241" s="121"/>
      <c r="O241" s="121"/>
      <c r="P241" s="27" t="str">
        <f t="shared" si="73"/>
        <v>0</v>
      </c>
      <c r="Q241" s="27" t="str">
        <f t="shared" si="74"/>
        <v>0</v>
      </c>
      <c r="R241" s="27" t="str">
        <f t="shared" si="75"/>
        <v>0</v>
      </c>
      <c r="S241" s="27" t="str">
        <f t="shared" si="76"/>
        <v>0</v>
      </c>
      <c r="T241" s="27" t="str">
        <f t="shared" si="77"/>
        <v>0</v>
      </c>
      <c r="U241" s="27" t="str">
        <f t="shared" si="78"/>
        <v>0</v>
      </c>
      <c r="V241" s="27" t="str">
        <f t="shared" si="79"/>
        <v>1</v>
      </c>
      <c r="W241" s="27"/>
      <c r="X241" s="27" t="str">
        <f t="shared" si="80"/>
        <v/>
      </c>
      <c r="Y241" s="27" t="str">
        <f t="shared" si="81"/>
        <v/>
      </c>
      <c r="Z241" s="27" t="str">
        <f t="shared" si="82"/>
        <v/>
      </c>
      <c r="AA241" s="121"/>
      <c r="AB241" s="121"/>
      <c r="AC241" s="121"/>
      <c r="AD241" s="121"/>
      <c r="AE241" s="121" t="s">
        <v>51</v>
      </c>
      <c r="AF241" s="121"/>
      <c r="AG241" s="121"/>
      <c r="AH241" s="28" t="s">
        <v>181</v>
      </c>
      <c r="AI241" s="28" t="s">
        <v>113</v>
      </c>
      <c r="AJ241" s="28">
        <v>50564</v>
      </c>
      <c r="AK241" s="121" t="str">
        <f t="shared" si="63"/>
        <v/>
      </c>
      <c r="AL241" s="123" t="str">
        <f t="shared" si="45"/>
        <v/>
      </c>
      <c r="AM241" s="27"/>
      <c r="AN241" s="124"/>
      <c r="AO241" s="124"/>
      <c r="AP241" s="124"/>
      <c r="AQ241" s="124"/>
      <c r="AR241" s="124"/>
      <c r="AS241" s="124"/>
      <c r="AT241" s="124" t="s">
        <v>1940</v>
      </c>
      <c r="AU241" s="124" t="str">
        <f t="shared" si="70"/>
        <v/>
      </c>
      <c r="AV241" s="124" t="s">
        <v>2601</v>
      </c>
      <c r="AW241" s="117"/>
      <c r="AX241" s="138" t="str">
        <f t="shared" si="66"/>
        <v/>
      </c>
      <c r="AY241" s="31" t="str">
        <f>IF(C241&lt;&gt;"",CREATE_QUERY($D$1,C$2:AW$2,C241:AW241),"")</f>
        <v/>
      </c>
    </row>
    <row r="242" spans="1:51">
      <c r="A242" s="1">
        <v>93</v>
      </c>
      <c r="B242" s="121" t="str">
        <f t="shared" si="67"/>
        <v/>
      </c>
      <c r="C242" s="27" t="str">
        <f t="shared" si="65"/>
        <v/>
      </c>
      <c r="D242" s="121"/>
      <c r="E242" s="27">
        <v>272009</v>
      </c>
      <c r="F242" s="121"/>
      <c r="G242" s="121"/>
      <c r="H242" s="121"/>
      <c r="I242" s="121"/>
      <c r="J242" s="121"/>
      <c r="K242" s="27" t="str">
        <f t="shared" si="71"/>
        <v/>
      </c>
      <c r="L242" s="27">
        <v>1</v>
      </c>
      <c r="M242" s="27" t="str">
        <f t="shared" si="72"/>
        <v>0</v>
      </c>
      <c r="N242" s="121"/>
      <c r="O242" s="121"/>
      <c r="P242" s="27" t="str">
        <f t="shared" si="73"/>
        <v>0</v>
      </c>
      <c r="Q242" s="27" t="str">
        <f t="shared" si="74"/>
        <v>0</v>
      </c>
      <c r="R242" s="27" t="str">
        <f t="shared" si="75"/>
        <v>0</v>
      </c>
      <c r="S242" s="27" t="str">
        <f t="shared" si="76"/>
        <v>0</v>
      </c>
      <c r="T242" s="27" t="str">
        <f t="shared" si="77"/>
        <v>0</v>
      </c>
      <c r="U242" s="27" t="str">
        <f t="shared" si="78"/>
        <v>0</v>
      </c>
      <c r="V242" s="27" t="str">
        <f t="shared" si="79"/>
        <v>1</v>
      </c>
      <c r="W242" s="27"/>
      <c r="X242" s="27" t="str">
        <f t="shared" si="80"/>
        <v/>
      </c>
      <c r="Y242" s="27" t="str">
        <f t="shared" si="81"/>
        <v/>
      </c>
      <c r="Z242" s="27" t="str">
        <f t="shared" si="82"/>
        <v/>
      </c>
      <c r="AA242" s="121"/>
      <c r="AB242" s="121"/>
      <c r="AC242" s="121"/>
      <c r="AD242" s="121"/>
      <c r="AE242" s="121" t="s">
        <v>51</v>
      </c>
      <c r="AF242" s="121"/>
      <c r="AG242" s="121"/>
      <c r="AH242" s="28" t="s">
        <v>181</v>
      </c>
      <c r="AI242" s="28" t="s">
        <v>113</v>
      </c>
      <c r="AJ242" s="28">
        <v>50566</v>
      </c>
      <c r="AK242" s="121" t="str">
        <f t="shared" si="63"/>
        <v/>
      </c>
      <c r="AL242" s="123" t="str">
        <f t="shared" si="45"/>
        <v/>
      </c>
      <c r="AM242" s="27"/>
      <c r="AN242" s="124"/>
      <c r="AO242" s="124"/>
      <c r="AP242" s="124"/>
      <c r="AQ242" s="124"/>
      <c r="AR242" s="124"/>
      <c r="AS242" s="124"/>
      <c r="AT242" s="124" t="s">
        <v>1940</v>
      </c>
      <c r="AU242" s="124" t="str">
        <f t="shared" si="70"/>
        <v/>
      </c>
      <c r="AV242" s="124" t="s">
        <v>2602</v>
      </c>
      <c r="AW242" s="117"/>
      <c r="AX242" s="138" t="str">
        <f t="shared" si="66"/>
        <v/>
      </c>
      <c r="AY242" s="31" t="str">
        <f>IF(C242&lt;&gt;"",CREATE_QUERY($D$1,C$2:AW$2,C242:AW242),"")</f>
        <v/>
      </c>
    </row>
    <row r="243" spans="1:51">
      <c r="A243" s="1">
        <v>94</v>
      </c>
      <c r="B243" s="121" t="str">
        <f t="shared" si="67"/>
        <v/>
      </c>
      <c r="C243" s="27" t="str">
        <f t="shared" si="65"/>
        <v/>
      </c>
      <c r="D243" s="121"/>
      <c r="E243" s="27">
        <v>272010</v>
      </c>
      <c r="F243" s="121"/>
      <c r="G243" s="121"/>
      <c r="H243" s="121"/>
      <c r="I243" s="121"/>
      <c r="J243" s="121"/>
      <c r="K243" s="27" t="str">
        <f t="shared" si="71"/>
        <v/>
      </c>
      <c r="L243" s="27">
        <v>1</v>
      </c>
      <c r="M243" s="27" t="str">
        <f t="shared" si="72"/>
        <v>0</v>
      </c>
      <c r="N243" s="121"/>
      <c r="O243" s="121"/>
      <c r="P243" s="27" t="str">
        <f t="shared" si="73"/>
        <v>0</v>
      </c>
      <c r="Q243" s="27" t="str">
        <f t="shared" si="74"/>
        <v>0</v>
      </c>
      <c r="R243" s="27" t="str">
        <f t="shared" si="75"/>
        <v>0</v>
      </c>
      <c r="S243" s="27" t="str">
        <f t="shared" si="76"/>
        <v>0</v>
      </c>
      <c r="T243" s="27" t="str">
        <f t="shared" si="77"/>
        <v>0</v>
      </c>
      <c r="U243" s="27" t="str">
        <f t="shared" si="78"/>
        <v>0</v>
      </c>
      <c r="V243" s="27" t="str">
        <f t="shared" si="79"/>
        <v>1</v>
      </c>
      <c r="W243" s="27"/>
      <c r="X243" s="27" t="str">
        <f t="shared" si="80"/>
        <v/>
      </c>
      <c r="Y243" s="27" t="str">
        <f t="shared" si="81"/>
        <v/>
      </c>
      <c r="Z243" s="27" t="str">
        <f t="shared" si="82"/>
        <v/>
      </c>
      <c r="AA243" s="121"/>
      <c r="AB243" s="121"/>
      <c r="AC243" s="121"/>
      <c r="AD243" s="121"/>
      <c r="AE243" s="121" t="s">
        <v>51</v>
      </c>
      <c r="AF243" s="121"/>
      <c r="AG243" s="121"/>
      <c r="AH243" s="28" t="s">
        <v>181</v>
      </c>
      <c r="AI243" s="28" t="s">
        <v>113</v>
      </c>
      <c r="AJ243" s="28">
        <v>50568</v>
      </c>
      <c r="AK243" s="121" t="str">
        <f t="shared" si="63"/>
        <v/>
      </c>
      <c r="AL243" s="123" t="str">
        <f t="shared" si="45"/>
        <v/>
      </c>
      <c r="AM243" s="27"/>
      <c r="AN243" s="124"/>
      <c r="AO243" s="124"/>
      <c r="AP243" s="124"/>
      <c r="AQ243" s="124"/>
      <c r="AR243" s="124"/>
      <c r="AS243" s="124"/>
      <c r="AT243" s="124" t="s">
        <v>1940</v>
      </c>
      <c r="AU243" s="124" t="str">
        <f t="shared" si="70"/>
        <v/>
      </c>
      <c r="AV243" s="124" t="s">
        <v>2603</v>
      </c>
      <c r="AW243" s="117"/>
      <c r="AX243" s="138" t="str">
        <f t="shared" si="66"/>
        <v/>
      </c>
      <c r="AY243" s="31" t="str">
        <f>IF(C243&lt;&gt;"",CREATE_QUERY($D$1,C$2:AW$2,C243:AW243),"")</f>
        <v/>
      </c>
    </row>
    <row r="244" spans="1:51">
      <c r="A244" s="1">
        <v>95</v>
      </c>
      <c r="B244" s="121" t="str">
        <f t="shared" si="67"/>
        <v/>
      </c>
      <c r="C244" s="27" t="str">
        <f t="shared" si="65"/>
        <v/>
      </c>
      <c r="D244" s="121"/>
      <c r="E244" s="27">
        <v>272011</v>
      </c>
      <c r="F244" s="121"/>
      <c r="G244" s="121"/>
      <c r="H244" s="121"/>
      <c r="I244" s="121"/>
      <c r="J244" s="121"/>
      <c r="K244" s="27" t="str">
        <f t="shared" si="71"/>
        <v/>
      </c>
      <c r="L244" s="27">
        <v>1</v>
      </c>
      <c r="M244" s="27" t="str">
        <f t="shared" si="72"/>
        <v>0</v>
      </c>
      <c r="N244" s="121"/>
      <c r="O244" s="121"/>
      <c r="P244" s="27" t="str">
        <f t="shared" si="73"/>
        <v>0</v>
      </c>
      <c r="Q244" s="27" t="str">
        <f t="shared" si="74"/>
        <v>0</v>
      </c>
      <c r="R244" s="27" t="str">
        <f t="shared" si="75"/>
        <v>0</v>
      </c>
      <c r="S244" s="27" t="str">
        <f t="shared" si="76"/>
        <v>0</v>
      </c>
      <c r="T244" s="27" t="str">
        <f t="shared" si="77"/>
        <v>0</v>
      </c>
      <c r="U244" s="27" t="str">
        <f t="shared" si="78"/>
        <v>0</v>
      </c>
      <c r="V244" s="27" t="str">
        <f t="shared" si="79"/>
        <v>1</v>
      </c>
      <c r="W244" s="27"/>
      <c r="X244" s="27" t="str">
        <f t="shared" si="80"/>
        <v/>
      </c>
      <c r="Y244" s="27" t="str">
        <f t="shared" si="81"/>
        <v/>
      </c>
      <c r="Z244" s="27" t="str">
        <f t="shared" si="82"/>
        <v/>
      </c>
      <c r="AA244" s="121"/>
      <c r="AB244" s="121"/>
      <c r="AC244" s="121"/>
      <c r="AD244" s="121"/>
      <c r="AE244" s="121" t="s">
        <v>51</v>
      </c>
      <c r="AF244" s="121"/>
      <c r="AG244" s="121"/>
      <c r="AH244" s="28" t="s">
        <v>181</v>
      </c>
      <c r="AI244" s="28" t="s">
        <v>113</v>
      </c>
      <c r="AJ244" s="28">
        <v>50570</v>
      </c>
      <c r="AK244" s="121" t="str">
        <f>IF(B251="","","0")</f>
        <v/>
      </c>
      <c r="AL244" s="123" t="str">
        <f t="shared" si="45"/>
        <v/>
      </c>
      <c r="AM244" s="27"/>
      <c r="AN244" s="124"/>
      <c r="AO244" s="124"/>
      <c r="AP244" s="124"/>
      <c r="AQ244" s="124"/>
      <c r="AR244" s="124"/>
      <c r="AS244" s="124"/>
      <c r="AT244" s="124" t="s">
        <v>1940</v>
      </c>
      <c r="AU244" s="124" t="str">
        <f t="shared" si="70"/>
        <v/>
      </c>
      <c r="AV244" s="124" t="s">
        <v>2604</v>
      </c>
      <c r="AW244" s="117"/>
      <c r="AX244" s="138" t="str">
        <f t="shared" si="66"/>
        <v/>
      </c>
      <c r="AY244" s="31" t="str">
        <f>IF(C244&lt;&gt;"",CREATE_QUERY($D$1,C$2:AW$2,C244:AW244),"")</f>
        <v/>
      </c>
    </row>
    <row r="245" spans="1:51">
      <c r="A245" s="1">
        <v>93</v>
      </c>
      <c r="B245" s="121" t="str">
        <f t="shared" si="67"/>
        <v/>
      </c>
      <c r="C245" s="27" t="str">
        <f t="shared" si="65"/>
        <v/>
      </c>
      <c r="D245" s="121"/>
      <c r="E245" s="27">
        <v>272012</v>
      </c>
      <c r="F245" s="121"/>
      <c r="G245" s="121"/>
      <c r="H245" s="121"/>
      <c r="I245" s="121"/>
      <c r="J245" s="121"/>
      <c r="K245" s="27" t="str">
        <f t="shared" si="71"/>
        <v/>
      </c>
      <c r="L245" s="27">
        <v>1</v>
      </c>
      <c r="M245" s="27" t="str">
        <f t="shared" si="72"/>
        <v>0</v>
      </c>
      <c r="N245" s="121"/>
      <c r="O245" s="121"/>
      <c r="P245" s="27" t="str">
        <f t="shared" si="73"/>
        <v>0</v>
      </c>
      <c r="Q245" s="27" t="str">
        <f t="shared" si="74"/>
        <v>0</v>
      </c>
      <c r="R245" s="27" t="str">
        <f t="shared" si="75"/>
        <v>0</v>
      </c>
      <c r="S245" s="27" t="str">
        <f t="shared" si="76"/>
        <v>0</v>
      </c>
      <c r="T245" s="27" t="str">
        <f t="shared" si="77"/>
        <v>0</v>
      </c>
      <c r="U245" s="27" t="str">
        <f t="shared" si="78"/>
        <v>0</v>
      </c>
      <c r="V245" s="27" t="str">
        <f t="shared" si="79"/>
        <v>1</v>
      </c>
      <c r="W245" s="27"/>
      <c r="X245" s="27" t="str">
        <f t="shared" si="80"/>
        <v/>
      </c>
      <c r="Y245" s="27" t="str">
        <f t="shared" si="81"/>
        <v/>
      </c>
      <c r="Z245" s="27" t="str">
        <f t="shared" si="82"/>
        <v/>
      </c>
      <c r="AA245" s="121"/>
      <c r="AB245" s="121"/>
      <c r="AC245" s="121"/>
      <c r="AD245" s="121"/>
      <c r="AE245" s="121" t="s">
        <v>51</v>
      </c>
      <c r="AF245" s="121"/>
      <c r="AG245" s="121"/>
      <c r="AH245" s="28" t="s">
        <v>181</v>
      </c>
      <c r="AI245" s="28" t="s">
        <v>113</v>
      </c>
      <c r="AJ245" s="28">
        <v>50572</v>
      </c>
      <c r="AK245" s="121" t="str">
        <f t="shared" ref="AK245:AK249" si="83">IF(B246="","","0")</f>
        <v/>
      </c>
      <c r="AL245" s="123" t="str">
        <f t="shared" si="45"/>
        <v/>
      </c>
      <c r="AM245" s="27"/>
      <c r="AN245" s="124"/>
      <c r="AO245" s="124"/>
      <c r="AP245" s="124"/>
      <c r="AQ245" s="124"/>
      <c r="AR245" s="124"/>
      <c r="AS245" s="124"/>
      <c r="AT245" s="124" t="s">
        <v>1940</v>
      </c>
      <c r="AU245" s="124" t="str">
        <f t="shared" si="70"/>
        <v/>
      </c>
      <c r="AV245" s="124" t="s">
        <v>2605</v>
      </c>
      <c r="AW245" s="117"/>
      <c r="AX245" s="138" t="str">
        <f t="shared" si="66"/>
        <v/>
      </c>
      <c r="AY245" s="31" t="str">
        <f>IF(C245&lt;&gt;"",CREATE_QUERY($D$1,C$2:AW$2,C245:AW245),"")</f>
        <v/>
      </c>
    </row>
    <row r="246" spans="1:51">
      <c r="A246" s="1">
        <v>94</v>
      </c>
      <c r="B246" s="121" t="str">
        <f t="shared" si="67"/>
        <v/>
      </c>
      <c r="C246" s="27" t="str">
        <f t="shared" si="65"/>
        <v/>
      </c>
      <c r="D246" s="121"/>
      <c r="E246" s="27">
        <v>272013</v>
      </c>
      <c r="F246" s="121"/>
      <c r="G246" s="121"/>
      <c r="H246" s="121"/>
      <c r="I246" s="121"/>
      <c r="J246" s="121"/>
      <c r="K246" s="27" t="str">
        <f t="shared" si="71"/>
        <v/>
      </c>
      <c r="L246" s="27">
        <v>1</v>
      </c>
      <c r="M246" s="27" t="str">
        <f t="shared" si="72"/>
        <v>0</v>
      </c>
      <c r="N246" s="121"/>
      <c r="O246" s="121"/>
      <c r="P246" s="27" t="str">
        <f t="shared" si="73"/>
        <v>0</v>
      </c>
      <c r="Q246" s="27" t="str">
        <f t="shared" si="74"/>
        <v>0</v>
      </c>
      <c r="R246" s="27" t="str">
        <f t="shared" si="75"/>
        <v>0</v>
      </c>
      <c r="S246" s="27" t="str">
        <f t="shared" si="76"/>
        <v>0</v>
      </c>
      <c r="T246" s="27" t="str">
        <f t="shared" si="77"/>
        <v>0</v>
      </c>
      <c r="U246" s="27" t="str">
        <f t="shared" si="78"/>
        <v>0</v>
      </c>
      <c r="V246" s="27" t="str">
        <f t="shared" si="79"/>
        <v>1</v>
      </c>
      <c r="W246" s="27"/>
      <c r="X246" s="27" t="str">
        <f t="shared" si="80"/>
        <v/>
      </c>
      <c r="Y246" s="27" t="str">
        <f t="shared" si="81"/>
        <v/>
      </c>
      <c r="Z246" s="27" t="str">
        <f t="shared" si="82"/>
        <v/>
      </c>
      <c r="AA246" s="121"/>
      <c r="AB246" s="121"/>
      <c r="AC246" s="121"/>
      <c r="AD246" s="121"/>
      <c r="AE246" s="121" t="s">
        <v>51</v>
      </c>
      <c r="AF246" s="121"/>
      <c r="AG246" s="121"/>
      <c r="AH246" s="28" t="s">
        <v>181</v>
      </c>
      <c r="AI246" s="28" t="s">
        <v>113</v>
      </c>
      <c r="AJ246" s="28">
        <v>50574</v>
      </c>
      <c r="AK246" s="121" t="str">
        <f t="shared" si="83"/>
        <v/>
      </c>
      <c r="AL246" s="123" t="str">
        <f t="shared" si="45"/>
        <v/>
      </c>
      <c r="AM246" s="27"/>
      <c r="AN246" s="124"/>
      <c r="AO246" s="124"/>
      <c r="AP246" s="124"/>
      <c r="AQ246" s="124"/>
      <c r="AR246" s="124"/>
      <c r="AS246" s="124"/>
      <c r="AT246" s="124" t="s">
        <v>1940</v>
      </c>
      <c r="AU246" s="124" t="str">
        <f t="shared" si="70"/>
        <v/>
      </c>
      <c r="AV246" s="124" t="s">
        <v>2606</v>
      </c>
      <c r="AW246" s="117"/>
      <c r="AX246" s="138" t="str">
        <f t="shared" si="66"/>
        <v/>
      </c>
      <c r="AY246" s="31" t="str">
        <f>IF(C246&lt;&gt;"",CREATE_QUERY($D$1,C$2:AW$2,C246:AW246),"")</f>
        <v/>
      </c>
    </row>
    <row r="247" spans="1:51">
      <c r="A247" s="1">
        <v>95</v>
      </c>
      <c r="B247" s="121" t="str">
        <f t="shared" si="67"/>
        <v/>
      </c>
      <c r="C247" s="27" t="str">
        <f t="shared" si="65"/>
        <v/>
      </c>
      <c r="D247" s="121"/>
      <c r="E247" s="27">
        <v>272014</v>
      </c>
      <c r="F247" s="121"/>
      <c r="G247" s="121"/>
      <c r="H247" s="121"/>
      <c r="I247" s="121"/>
      <c r="J247" s="121"/>
      <c r="K247" s="27" t="str">
        <f t="shared" si="71"/>
        <v/>
      </c>
      <c r="L247" s="27">
        <v>1</v>
      </c>
      <c r="M247" s="27" t="str">
        <f t="shared" si="72"/>
        <v>0</v>
      </c>
      <c r="N247" s="121"/>
      <c r="O247" s="121"/>
      <c r="P247" s="27" t="str">
        <f t="shared" si="73"/>
        <v>0</v>
      </c>
      <c r="Q247" s="27" t="str">
        <f t="shared" si="74"/>
        <v>0</v>
      </c>
      <c r="R247" s="27" t="str">
        <f t="shared" si="75"/>
        <v>0</v>
      </c>
      <c r="S247" s="27" t="str">
        <f t="shared" si="76"/>
        <v>0</v>
      </c>
      <c r="T247" s="27" t="str">
        <f t="shared" si="77"/>
        <v>0</v>
      </c>
      <c r="U247" s="27" t="str">
        <f t="shared" si="78"/>
        <v>0</v>
      </c>
      <c r="V247" s="27" t="str">
        <f t="shared" si="79"/>
        <v>1</v>
      </c>
      <c r="W247" s="27"/>
      <c r="X247" s="27" t="str">
        <f t="shared" si="80"/>
        <v/>
      </c>
      <c r="Y247" s="27" t="str">
        <f t="shared" si="81"/>
        <v/>
      </c>
      <c r="Z247" s="27" t="str">
        <f t="shared" si="82"/>
        <v/>
      </c>
      <c r="AA247" s="121"/>
      <c r="AB247" s="121"/>
      <c r="AC247" s="121"/>
      <c r="AD247" s="121"/>
      <c r="AE247" s="121" t="s">
        <v>51</v>
      </c>
      <c r="AF247" s="121"/>
      <c r="AG247" s="121"/>
      <c r="AH247" s="28" t="s">
        <v>181</v>
      </c>
      <c r="AI247" s="28" t="s">
        <v>113</v>
      </c>
      <c r="AJ247" s="28">
        <v>50576</v>
      </c>
      <c r="AK247" s="121" t="str">
        <f t="shared" si="83"/>
        <v/>
      </c>
      <c r="AL247" s="123" t="str">
        <f t="shared" si="45"/>
        <v/>
      </c>
      <c r="AM247" s="27"/>
      <c r="AN247" s="124"/>
      <c r="AO247" s="124"/>
      <c r="AP247" s="124"/>
      <c r="AQ247" s="124"/>
      <c r="AR247" s="124"/>
      <c r="AS247" s="124"/>
      <c r="AT247" s="124" t="s">
        <v>1940</v>
      </c>
      <c r="AU247" s="124" t="str">
        <f t="shared" si="70"/>
        <v/>
      </c>
      <c r="AV247" s="124" t="s">
        <v>2607</v>
      </c>
      <c r="AW247" s="117"/>
      <c r="AX247" s="138" t="str">
        <f t="shared" si="66"/>
        <v/>
      </c>
      <c r="AY247" s="31" t="str">
        <f>IF(C247&lt;&gt;"",CREATE_QUERY($D$1,C$2:AW$2,C247:AW247),"")</f>
        <v/>
      </c>
    </row>
    <row r="248" spans="1:51">
      <c r="A248" s="1">
        <v>93</v>
      </c>
      <c r="B248" s="121" t="str">
        <f t="shared" si="67"/>
        <v/>
      </c>
      <c r="C248" s="27" t="str">
        <f t="shared" si="65"/>
        <v/>
      </c>
      <c r="D248" s="121"/>
      <c r="E248" s="27">
        <v>272015</v>
      </c>
      <c r="F248" s="121"/>
      <c r="G248" s="121"/>
      <c r="H248" s="121"/>
      <c r="I248" s="121"/>
      <c r="J248" s="121"/>
      <c r="K248" s="27" t="str">
        <f t="shared" si="71"/>
        <v/>
      </c>
      <c r="L248" s="27">
        <v>1</v>
      </c>
      <c r="M248" s="27" t="str">
        <f t="shared" si="72"/>
        <v>0</v>
      </c>
      <c r="N248" s="121"/>
      <c r="O248" s="121"/>
      <c r="P248" s="27" t="str">
        <f t="shared" si="73"/>
        <v>0</v>
      </c>
      <c r="Q248" s="27" t="str">
        <f t="shared" si="74"/>
        <v>0</v>
      </c>
      <c r="R248" s="27" t="str">
        <f t="shared" si="75"/>
        <v>0</v>
      </c>
      <c r="S248" s="27" t="str">
        <f t="shared" si="76"/>
        <v>0</v>
      </c>
      <c r="T248" s="27" t="str">
        <f t="shared" si="77"/>
        <v>0</v>
      </c>
      <c r="U248" s="27" t="str">
        <f t="shared" si="78"/>
        <v>0</v>
      </c>
      <c r="V248" s="27" t="str">
        <f t="shared" si="79"/>
        <v>1</v>
      </c>
      <c r="W248" s="27"/>
      <c r="X248" s="27" t="str">
        <f t="shared" si="80"/>
        <v/>
      </c>
      <c r="Y248" s="27" t="str">
        <f t="shared" si="81"/>
        <v/>
      </c>
      <c r="Z248" s="27" t="str">
        <f t="shared" si="82"/>
        <v/>
      </c>
      <c r="AA248" s="121"/>
      <c r="AB248" s="121"/>
      <c r="AC248" s="121"/>
      <c r="AD248" s="121"/>
      <c r="AE248" s="121" t="s">
        <v>51</v>
      </c>
      <c r="AF248" s="121"/>
      <c r="AG248" s="121"/>
      <c r="AH248" s="28" t="s">
        <v>181</v>
      </c>
      <c r="AI248" s="28" t="s">
        <v>113</v>
      </c>
      <c r="AJ248" s="28">
        <v>50578</v>
      </c>
      <c r="AK248" s="121" t="str">
        <f t="shared" si="83"/>
        <v/>
      </c>
      <c r="AL248" s="123" t="str">
        <f t="shared" si="45"/>
        <v/>
      </c>
      <c r="AM248" s="27"/>
      <c r="AN248" s="124"/>
      <c r="AO248" s="124"/>
      <c r="AP248" s="124"/>
      <c r="AQ248" s="124"/>
      <c r="AR248" s="124"/>
      <c r="AS248" s="124"/>
      <c r="AT248" s="124" t="s">
        <v>1940</v>
      </c>
      <c r="AU248" s="124" t="str">
        <f t="shared" si="70"/>
        <v/>
      </c>
      <c r="AV248" s="124" t="s">
        <v>2608</v>
      </c>
      <c r="AW248" s="117"/>
      <c r="AX248" s="138" t="str">
        <f t="shared" si="66"/>
        <v/>
      </c>
      <c r="AY248" s="31" t="str">
        <f>IF(C248&lt;&gt;"",CREATE_QUERY($D$1,C$2:AW$2,C248:AW248),"")</f>
        <v/>
      </c>
    </row>
    <row r="249" spans="1:51">
      <c r="A249" s="1">
        <v>94</v>
      </c>
      <c r="B249" s="121" t="str">
        <f t="shared" si="67"/>
        <v/>
      </c>
      <c r="C249" s="27" t="str">
        <f t="shared" si="65"/>
        <v/>
      </c>
      <c r="D249" s="121"/>
      <c r="E249" s="27">
        <v>272016</v>
      </c>
      <c r="F249" s="121"/>
      <c r="G249" s="121"/>
      <c r="H249" s="121"/>
      <c r="I249" s="121"/>
      <c r="J249" s="121"/>
      <c r="K249" s="27" t="str">
        <f t="shared" si="71"/>
        <v/>
      </c>
      <c r="L249" s="27">
        <v>1</v>
      </c>
      <c r="M249" s="27" t="str">
        <f t="shared" si="72"/>
        <v>0</v>
      </c>
      <c r="N249" s="121"/>
      <c r="O249" s="121"/>
      <c r="P249" s="27" t="str">
        <f t="shared" si="73"/>
        <v>0</v>
      </c>
      <c r="Q249" s="27" t="str">
        <f t="shared" si="74"/>
        <v>0</v>
      </c>
      <c r="R249" s="27" t="str">
        <f t="shared" si="75"/>
        <v>0</v>
      </c>
      <c r="S249" s="27" t="str">
        <f t="shared" si="76"/>
        <v>0</v>
      </c>
      <c r="T249" s="27" t="str">
        <f t="shared" si="77"/>
        <v>0</v>
      </c>
      <c r="U249" s="27" t="str">
        <f t="shared" si="78"/>
        <v>0</v>
      </c>
      <c r="V249" s="27" t="str">
        <f t="shared" si="79"/>
        <v>1</v>
      </c>
      <c r="W249" s="27"/>
      <c r="X249" s="27" t="str">
        <f t="shared" si="80"/>
        <v/>
      </c>
      <c r="Y249" s="27" t="str">
        <f t="shared" si="81"/>
        <v/>
      </c>
      <c r="Z249" s="27" t="str">
        <f t="shared" si="82"/>
        <v/>
      </c>
      <c r="AA249" s="121"/>
      <c r="AB249" s="121"/>
      <c r="AC249" s="121"/>
      <c r="AD249" s="121"/>
      <c r="AE249" s="121" t="s">
        <v>51</v>
      </c>
      <c r="AF249" s="121"/>
      <c r="AG249" s="121"/>
      <c r="AH249" s="28" t="s">
        <v>181</v>
      </c>
      <c r="AI249" s="28" t="s">
        <v>113</v>
      </c>
      <c r="AJ249" s="28">
        <v>50580</v>
      </c>
      <c r="AK249" s="121" t="str">
        <f t="shared" si="83"/>
        <v/>
      </c>
      <c r="AL249" s="123" t="str">
        <f t="shared" si="45"/>
        <v/>
      </c>
      <c r="AM249" s="27"/>
      <c r="AN249" s="124"/>
      <c r="AO249" s="124"/>
      <c r="AP249" s="124"/>
      <c r="AQ249" s="124"/>
      <c r="AR249" s="124"/>
      <c r="AS249" s="124"/>
      <c r="AT249" s="124" t="s">
        <v>1940</v>
      </c>
      <c r="AU249" s="124" t="str">
        <f t="shared" si="70"/>
        <v/>
      </c>
      <c r="AV249" s="124" t="s">
        <v>2609</v>
      </c>
      <c r="AW249" s="117"/>
      <c r="AX249" s="138" t="str">
        <f t="shared" si="66"/>
        <v/>
      </c>
      <c r="AY249" s="31" t="str">
        <f>IF(C249&lt;&gt;"",CREATE_QUERY($D$1,C$2:AW$2,C249:AW249),"")</f>
        <v/>
      </c>
    </row>
    <row r="250" spans="1:51">
      <c r="A250" s="1">
        <v>95</v>
      </c>
      <c r="B250" s="121" t="str">
        <f t="shared" si="67"/>
        <v/>
      </c>
      <c r="C250" s="27" t="str">
        <f t="shared" si="65"/>
        <v/>
      </c>
      <c r="D250" s="121"/>
      <c r="E250" s="27">
        <v>272017</v>
      </c>
      <c r="F250" s="121"/>
      <c r="G250" s="121"/>
      <c r="H250" s="121"/>
      <c r="I250" s="121"/>
      <c r="J250" s="121"/>
      <c r="K250" s="27" t="str">
        <f t="shared" si="71"/>
        <v/>
      </c>
      <c r="L250" s="27">
        <v>1</v>
      </c>
      <c r="M250" s="27" t="str">
        <f t="shared" si="72"/>
        <v>0</v>
      </c>
      <c r="N250" s="121"/>
      <c r="O250" s="121"/>
      <c r="P250" s="27" t="str">
        <f t="shared" si="73"/>
        <v>0</v>
      </c>
      <c r="Q250" s="27" t="str">
        <f t="shared" si="74"/>
        <v>0</v>
      </c>
      <c r="R250" s="27" t="str">
        <f t="shared" si="75"/>
        <v>0</v>
      </c>
      <c r="S250" s="27" t="str">
        <f t="shared" si="76"/>
        <v>0</v>
      </c>
      <c r="T250" s="27" t="str">
        <f t="shared" si="77"/>
        <v>0</v>
      </c>
      <c r="U250" s="27" t="str">
        <f t="shared" si="78"/>
        <v>0</v>
      </c>
      <c r="V250" s="27" t="str">
        <f t="shared" si="79"/>
        <v>1</v>
      </c>
      <c r="W250" s="27"/>
      <c r="X250" s="27" t="str">
        <f t="shared" si="80"/>
        <v/>
      </c>
      <c r="Y250" s="27" t="str">
        <f t="shared" si="81"/>
        <v/>
      </c>
      <c r="Z250" s="27" t="str">
        <f t="shared" si="82"/>
        <v/>
      </c>
      <c r="AA250" s="121"/>
      <c r="AB250" s="121"/>
      <c r="AC250" s="121"/>
      <c r="AD250" s="121"/>
      <c r="AE250" s="121" t="s">
        <v>51</v>
      </c>
      <c r="AF250" s="121"/>
      <c r="AG250" s="121"/>
      <c r="AH250" s="28" t="s">
        <v>181</v>
      </c>
      <c r="AI250" s="28" t="s">
        <v>113</v>
      </c>
      <c r="AJ250" s="28">
        <v>50582</v>
      </c>
      <c r="AK250" s="121" t="str">
        <f>IF(B263="","","0")</f>
        <v>0</v>
      </c>
      <c r="AL250" s="123" t="str">
        <f t="shared" si="45"/>
        <v/>
      </c>
      <c r="AM250" s="27"/>
      <c r="AN250" s="124"/>
      <c r="AO250" s="124"/>
      <c r="AP250" s="124"/>
      <c r="AQ250" s="124"/>
      <c r="AR250" s="124"/>
      <c r="AS250" s="124"/>
      <c r="AT250" s="124" t="s">
        <v>1940</v>
      </c>
      <c r="AU250" s="124" t="str">
        <f t="shared" si="70"/>
        <v/>
      </c>
      <c r="AV250" s="124" t="s">
        <v>2610</v>
      </c>
      <c r="AW250" s="117"/>
      <c r="AX250" s="138" t="str">
        <f t="shared" si="66"/>
        <v/>
      </c>
      <c r="AY250" s="31" t="str">
        <f>IF(C250&lt;&gt;"",CREATE_QUERY($D$1,C$2:AW$2,C250:AW250),"")</f>
        <v/>
      </c>
    </row>
    <row r="251" spans="1:51">
      <c r="A251" s="1">
        <v>96</v>
      </c>
      <c r="B251" s="121" t="str">
        <f t="shared" si="67"/>
        <v/>
      </c>
      <c r="C251" s="27" t="str">
        <f t="shared" si="65"/>
        <v/>
      </c>
      <c r="D251" s="121"/>
      <c r="E251" s="27"/>
      <c r="F251" s="121"/>
      <c r="G251" s="121"/>
      <c r="H251" s="121"/>
      <c r="I251" s="121"/>
      <c r="J251" s="121"/>
      <c r="K251" s="27" t="str">
        <f t="shared" si="71"/>
        <v/>
      </c>
      <c r="L251" s="27">
        <v>1</v>
      </c>
      <c r="M251" s="27" t="str">
        <f t="shared" si="72"/>
        <v>0</v>
      </c>
      <c r="N251" s="121"/>
      <c r="O251" s="121"/>
      <c r="P251" s="27" t="str">
        <f t="shared" si="73"/>
        <v>0</v>
      </c>
      <c r="Q251" s="27" t="str">
        <f t="shared" si="74"/>
        <v>0</v>
      </c>
      <c r="R251" s="27" t="str">
        <f t="shared" si="75"/>
        <v>0</v>
      </c>
      <c r="S251" s="27" t="str">
        <f t="shared" si="76"/>
        <v>0</v>
      </c>
      <c r="T251" s="27" t="str">
        <f t="shared" si="77"/>
        <v>0</v>
      </c>
      <c r="U251" s="27" t="str">
        <f t="shared" si="78"/>
        <v>0</v>
      </c>
      <c r="V251" s="27" t="str">
        <f t="shared" si="79"/>
        <v>1</v>
      </c>
      <c r="W251" s="27"/>
      <c r="X251" s="27" t="str">
        <f t="shared" si="80"/>
        <v/>
      </c>
      <c r="Y251" s="27" t="str">
        <f t="shared" si="81"/>
        <v/>
      </c>
      <c r="Z251" s="27" t="str">
        <f t="shared" si="82"/>
        <v/>
      </c>
      <c r="AA251" s="121"/>
      <c r="AB251" s="121"/>
      <c r="AC251" s="121"/>
      <c r="AD251" s="121"/>
      <c r="AE251" s="121"/>
      <c r="AF251" s="121"/>
      <c r="AG251" s="121"/>
      <c r="AH251" s="27"/>
      <c r="AI251" s="27"/>
      <c r="AJ251" s="27" t="s">
        <v>900</v>
      </c>
      <c r="AK251" s="121" t="str">
        <f t="shared" si="63"/>
        <v>0</v>
      </c>
      <c r="AL251" s="123" t="str">
        <f t="shared" si="45"/>
        <v/>
      </c>
      <c r="AM251" s="27"/>
      <c r="AN251" s="124"/>
      <c r="AO251" s="124"/>
      <c r="AP251" s="124"/>
      <c r="AQ251" s="124"/>
      <c r="AR251" s="124"/>
      <c r="AS251" s="124"/>
      <c r="AT251" s="124"/>
      <c r="AU251" s="124" t="str">
        <f t="shared" si="70"/>
        <v/>
      </c>
      <c r="AV251" s="124"/>
      <c r="AW251" s="117"/>
      <c r="AX251" s="138" t="str">
        <f t="shared" si="66"/>
        <v/>
      </c>
      <c r="AY251" s="31" t="str">
        <f>IF(C251&lt;&gt;"",CREATE_QUERY($D$1,C$2:AW$2,C251:AW251),"")</f>
        <v/>
      </c>
    </row>
    <row r="252" spans="1:51">
      <c r="A252" s="1">
        <v>97</v>
      </c>
      <c r="B252" s="121" t="str">
        <f t="shared" si="67"/>
        <v xml:space="preserve">    └ Lot수불</v>
      </c>
      <c r="C252" s="27" t="str">
        <f t="shared" si="65"/>
        <v>14821</v>
      </c>
      <c r="D252" s="121"/>
      <c r="E252" s="21" t="s">
        <v>195</v>
      </c>
      <c r="F252" s="118" t="s">
        <v>189</v>
      </c>
      <c r="G252" s="118"/>
      <c r="H252" s="118"/>
      <c r="I252" s="118"/>
      <c r="J252" s="118"/>
      <c r="K252" s="21" t="str">
        <f t="shared" si="71"/>
        <v/>
      </c>
      <c r="L252" s="21">
        <v>1</v>
      </c>
      <c r="M252" s="21" t="str">
        <f t="shared" si="72"/>
        <v>0</v>
      </c>
      <c r="N252" s="118"/>
      <c r="O252" s="118"/>
      <c r="P252" s="21" t="str">
        <f t="shared" si="73"/>
        <v>0</v>
      </c>
      <c r="Q252" s="21" t="str">
        <f t="shared" si="74"/>
        <v>0</v>
      </c>
      <c r="R252" s="21" t="str">
        <f t="shared" si="75"/>
        <v>0</v>
      </c>
      <c r="S252" s="21" t="str">
        <f t="shared" si="76"/>
        <v>0</v>
      </c>
      <c r="T252" s="21" t="str">
        <f t="shared" si="77"/>
        <v>0</v>
      </c>
      <c r="U252" s="21" t="str">
        <f t="shared" si="78"/>
        <v>0</v>
      </c>
      <c r="V252" s="21" t="str">
        <f t="shared" si="79"/>
        <v>1</v>
      </c>
      <c r="W252" s="21"/>
      <c r="X252" s="21" t="str">
        <f t="shared" si="80"/>
        <v/>
      </c>
      <c r="Y252" s="21" t="str">
        <f t="shared" si="81"/>
        <v/>
      </c>
      <c r="Z252" s="21" t="str">
        <f t="shared" si="82"/>
        <v/>
      </c>
      <c r="AA252" s="118"/>
      <c r="AB252" s="118"/>
      <c r="AC252" s="118"/>
      <c r="AD252" s="118"/>
      <c r="AE252" s="118" t="s">
        <v>51</v>
      </c>
      <c r="AF252" s="118"/>
      <c r="AG252" s="118"/>
      <c r="AH252" s="26" t="s">
        <v>173</v>
      </c>
      <c r="AI252" s="26" t="s">
        <v>112</v>
      </c>
      <c r="AJ252" s="26">
        <v>50750</v>
      </c>
      <c r="AK252" s="121" t="str">
        <f t="shared" si="63"/>
        <v>0</v>
      </c>
      <c r="AL252" s="123" t="str">
        <f t="shared" si="45"/>
        <v>14821/Lot수불//</v>
      </c>
      <c r="AM252" s="21"/>
      <c r="AN252" s="124"/>
      <c r="AO252" s="124" t="s">
        <v>1829</v>
      </c>
      <c r="AP252" s="124" t="s">
        <v>1829</v>
      </c>
      <c r="AQ252" s="124"/>
      <c r="AR252" s="124" t="s">
        <v>1829</v>
      </c>
      <c r="AS252" s="124"/>
      <c r="AT252" s="124" t="s">
        <v>1940</v>
      </c>
      <c r="AU252" s="124" t="str">
        <f t="shared" si="70"/>
        <v/>
      </c>
      <c r="AV252" s="124"/>
      <c r="AW252" s="117"/>
      <c r="AX252" s="138" t="str">
        <f t="shared" si="66"/>
        <v>delete from module_mst where pjt_id = '14821' and menu_id = '273000';</v>
      </c>
      <c r="AY252" s="31" t="str">
        <f>IF(C252&lt;&gt;"",CREATE_QUERY($D$1,C$2:AW$2,C252:AW252),"")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'273000', 'Lot수불', '', '', '', '', '', '1', '0', '', '', '0', '0', '0', '0', '0', '0', '1', '', '', '', '', '', '', '', '', 'N', '', '', '270000', '4', '50750', '0', '14821/Lot수불//', '', '', 'Y', 'Y', '', 'Y', '', 'W', '', '');</v>
      </c>
    </row>
    <row r="253" spans="1:51">
      <c r="A253" s="1">
        <v>98</v>
      </c>
      <c r="B253" s="121" t="str">
        <f t="shared" si="67"/>
        <v xml:space="preserve">        └ Lot재고현황</v>
      </c>
      <c r="C253" s="27" t="str">
        <f t="shared" si="65"/>
        <v>14821</v>
      </c>
      <c r="D253" s="121"/>
      <c r="E253" s="27">
        <v>273001</v>
      </c>
      <c r="F253" s="121" t="s">
        <v>190</v>
      </c>
      <c r="G253" s="121"/>
      <c r="H253" s="121"/>
      <c r="I253" s="121"/>
      <c r="J253" s="121"/>
      <c r="K253" s="27" t="str">
        <f t="shared" si="71"/>
        <v>1</v>
      </c>
      <c r="L253" s="27">
        <v>1</v>
      </c>
      <c r="M253" s="27" t="str">
        <f t="shared" si="72"/>
        <v>1</v>
      </c>
      <c r="N253" s="121" t="s">
        <v>316</v>
      </c>
      <c r="O253" s="121" t="s">
        <v>193</v>
      </c>
      <c r="P253" s="27" t="str">
        <f t="shared" si="73"/>
        <v>1</v>
      </c>
      <c r="Q253" s="27" t="str">
        <f t="shared" si="74"/>
        <v>1</v>
      </c>
      <c r="R253" s="27" t="str">
        <f t="shared" si="75"/>
        <v>1</v>
      </c>
      <c r="S253" s="27" t="str">
        <f t="shared" si="76"/>
        <v>1</v>
      </c>
      <c r="T253" s="27" t="str">
        <f t="shared" si="77"/>
        <v>1</v>
      </c>
      <c r="U253" s="27" t="str">
        <f t="shared" si="78"/>
        <v>1</v>
      </c>
      <c r="V253" s="27" t="str">
        <f t="shared" si="79"/>
        <v>1</v>
      </c>
      <c r="W253" s="27"/>
      <c r="X253" s="27" t="str">
        <f t="shared" si="80"/>
        <v>0</v>
      </c>
      <c r="Y253" s="27" t="str">
        <f t="shared" si="81"/>
        <v>0</v>
      </c>
      <c r="Z253" s="27" t="str">
        <f t="shared" si="82"/>
        <v>0</v>
      </c>
      <c r="AA253" s="121"/>
      <c r="AB253" s="121"/>
      <c r="AC253" s="121"/>
      <c r="AD253" s="121"/>
      <c r="AE253" s="121" t="s">
        <v>51</v>
      </c>
      <c r="AF253" s="121"/>
      <c r="AG253" s="121"/>
      <c r="AH253" s="28" t="s">
        <v>195</v>
      </c>
      <c r="AI253" s="28" t="s">
        <v>113</v>
      </c>
      <c r="AJ253" s="28">
        <v>50800</v>
      </c>
      <c r="AK253" s="121" t="str">
        <f t="shared" si="63"/>
        <v>0</v>
      </c>
      <c r="AL253" s="123" t="str">
        <f t="shared" si="45"/>
        <v>14821/Lot재고현황/stock.lot/LotlStockList</v>
      </c>
      <c r="AM253" s="27"/>
      <c r="AN253" s="124"/>
      <c r="AO253" s="124" t="s">
        <v>1829</v>
      </c>
      <c r="AP253" s="124" t="s">
        <v>1829</v>
      </c>
      <c r="AQ253" s="124"/>
      <c r="AR253" s="124" t="s">
        <v>1829</v>
      </c>
      <c r="AS253" s="124"/>
      <c r="AT253" s="124" t="s">
        <v>1940</v>
      </c>
      <c r="AU253" s="124" t="str">
        <f t="shared" si="70"/>
        <v>W273001</v>
      </c>
      <c r="AV253" s="124" t="s">
        <v>2654</v>
      </c>
      <c r="AW253" s="117" t="s">
        <v>1852</v>
      </c>
      <c r="AX253" s="138" t="str">
        <f t="shared" si="66"/>
        <v>delete from module_mst where pjt_id = '14821' and menu_id = '273001';</v>
      </c>
      <c r="AY253" s="31" t="str">
        <f>IF(C253&lt;&gt;"",CREATE_QUERY($D$1,C$2:AW$2,C253:AW253),"")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'273001', 'Lot재고현황', '', '', '', '', '1', '1', '1', 'stock.lot', 'LotlStockList', '1', '1', '1', '1', '1', '1', '1', '', '0', '0', '0', '', '', '', '', 'N', '', '', '273000', '5', '50800', '0', '14821/Lot재고현황/stock.lot/LotlStockList', '', '', 'Y', 'Y', '', 'Y', '', 'W', 'MES-TD3-380', '품목별 lot별 재고 현황 조회');</v>
      </c>
    </row>
    <row r="254" spans="1:51">
      <c r="A254" s="1">
        <v>99</v>
      </c>
      <c r="B254" s="121" t="str">
        <f t="shared" si="67"/>
        <v xml:space="preserve">        └ Lot수불대장</v>
      </c>
      <c r="C254" s="27" t="str">
        <f t="shared" si="65"/>
        <v>14821</v>
      </c>
      <c r="D254" s="121"/>
      <c r="E254" s="27">
        <v>273002</v>
      </c>
      <c r="F254" s="121" t="s">
        <v>191</v>
      </c>
      <c r="G254" s="121"/>
      <c r="H254" s="121"/>
      <c r="I254" s="121"/>
      <c r="J254" s="121"/>
      <c r="K254" s="27" t="str">
        <f t="shared" si="71"/>
        <v>1</v>
      </c>
      <c r="L254" s="27">
        <v>1</v>
      </c>
      <c r="M254" s="27" t="str">
        <f t="shared" si="72"/>
        <v>1</v>
      </c>
      <c r="N254" s="121" t="s">
        <v>316</v>
      </c>
      <c r="O254" s="121" t="s">
        <v>330</v>
      </c>
      <c r="P254" s="27" t="str">
        <f t="shared" si="73"/>
        <v>1</v>
      </c>
      <c r="Q254" s="27" t="str">
        <f t="shared" si="74"/>
        <v>1</v>
      </c>
      <c r="R254" s="27" t="str">
        <f t="shared" si="75"/>
        <v>1</v>
      </c>
      <c r="S254" s="27" t="str">
        <f t="shared" si="76"/>
        <v>1</v>
      </c>
      <c r="T254" s="27" t="str">
        <f t="shared" si="77"/>
        <v>1</v>
      </c>
      <c r="U254" s="27" t="str">
        <f t="shared" si="78"/>
        <v>1</v>
      </c>
      <c r="V254" s="27" t="str">
        <f t="shared" si="79"/>
        <v>1</v>
      </c>
      <c r="W254" s="27"/>
      <c r="X254" s="27" t="str">
        <f t="shared" si="80"/>
        <v>0</v>
      </c>
      <c r="Y254" s="27" t="str">
        <f t="shared" si="81"/>
        <v>0</v>
      </c>
      <c r="Z254" s="27" t="str">
        <f t="shared" si="82"/>
        <v>0</v>
      </c>
      <c r="AA254" s="121"/>
      <c r="AB254" s="121"/>
      <c r="AC254" s="121"/>
      <c r="AD254" s="121"/>
      <c r="AE254" s="121" t="s">
        <v>51</v>
      </c>
      <c r="AF254" s="121"/>
      <c r="AG254" s="121"/>
      <c r="AH254" s="28" t="s">
        <v>195</v>
      </c>
      <c r="AI254" s="28" t="s">
        <v>113</v>
      </c>
      <c r="AJ254" s="28">
        <v>50802</v>
      </c>
      <c r="AK254" s="121" t="str">
        <f t="shared" si="63"/>
        <v>0</v>
      </c>
      <c r="AL254" s="123" t="str">
        <f t="shared" si="45"/>
        <v>14821/Lot수불대장/stock.lot/LotIsttOsttList</v>
      </c>
      <c r="AM254" s="27"/>
      <c r="AN254" s="124"/>
      <c r="AO254" s="124" t="s">
        <v>1829</v>
      </c>
      <c r="AP254" s="124" t="s">
        <v>1829</v>
      </c>
      <c r="AQ254" s="124"/>
      <c r="AR254" s="124" t="s">
        <v>1829</v>
      </c>
      <c r="AS254" s="124"/>
      <c r="AT254" s="124" t="s">
        <v>1940</v>
      </c>
      <c r="AU254" s="124" t="str">
        <f t="shared" si="70"/>
        <v>W273002</v>
      </c>
      <c r="AV254" s="124" t="s">
        <v>2655</v>
      </c>
      <c r="AW254" s="117" t="s">
        <v>1853</v>
      </c>
      <c r="AX254" s="138" t="str">
        <f t="shared" si="66"/>
        <v>delete from module_mst where pjt_id = '14821' and menu_id = '273002';</v>
      </c>
      <c r="AY254" s="31" t="str">
        <f>IF(C254&lt;&gt;"",CREATE_QUERY($D$1,C$2:AW$2,C254:AW254),"")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'273002', 'Lot수불대장', '', '', '', '', '1', '1', '1', 'stock.lot', 'LotIsttOsttList', '1', '1', '1', '1', '1', '1', '1', '', '0', '0', '0', '', '', '', '', 'N', '', '', '273000', '5', '50802', '0', '14821/Lot수불대장/stock.lot/LotIsttOsttList', '', '', 'Y', 'Y', '', 'Y', '', 'W', 'MES-TD3-381', '품목별 LOT별 수불 현황 조회');</v>
      </c>
    </row>
    <row r="255" spans="1:51">
      <c r="A255" s="1">
        <v>100</v>
      </c>
      <c r="B255" s="121" t="str">
        <f t="shared" si="67"/>
        <v xml:space="preserve">        └ Lot 조정 등록</v>
      </c>
      <c r="C255" s="27" t="str">
        <f t="shared" si="65"/>
        <v>14821</v>
      </c>
      <c r="D255" s="121"/>
      <c r="E255" s="27">
        <v>273003</v>
      </c>
      <c r="F255" s="121" t="s">
        <v>192</v>
      </c>
      <c r="G255" s="121"/>
      <c r="H255" s="121"/>
      <c r="I255" s="121"/>
      <c r="J255" s="121"/>
      <c r="K255" s="27" t="str">
        <f t="shared" si="71"/>
        <v>1</v>
      </c>
      <c r="L255" s="27">
        <v>1</v>
      </c>
      <c r="M255" s="27" t="str">
        <f t="shared" si="72"/>
        <v>1</v>
      </c>
      <c r="N255" s="121" t="s">
        <v>316</v>
      </c>
      <c r="O255" s="121" t="s">
        <v>194</v>
      </c>
      <c r="P255" s="27" t="str">
        <f t="shared" si="73"/>
        <v>1</v>
      </c>
      <c r="Q255" s="27" t="str">
        <f t="shared" si="74"/>
        <v>1</v>
      </c>
      <c r="R255" s="27" t="str">
        <f t="shared" si="75"/>
        <v>1</v>
      </c>
      <c r="S255" s="27" t="str">
        <f t="shared" si="76"/>
        <v>1</v>
      </c>
      <c r="T255" s="27" t="str">
        <f t="shared" si="77"/>
        <v>1</v>
      </c>
      <c r="U255" s="27" t="str">
        <f t="shared" si="78"/>
        <v>1</v>
      </c>
      <c r="V255" s="27" t="str">
        <f t="shared" si="79"/>
        <v>1</v>
      </c>
      <c r="W255" s="27"/>
      <c r="X255" s="27" t="str">
        <f t="shared" si="80"/>
        <v>0</v>
      </c>
      <c r="Y255" s="27" t="str">
        <f t="shared" si="81"/>
        <v>0</v>
      </c>
      <c r="Z255" s="27" t="str">
        <f t="shared" si="82"/>
        <v>0</v>
      </c>
      <c r="AA255" s="121"/>
      <c r="AB255" s="121"/>
      <c r="AC255" s="121"/>
      <c r="AD255" s="121"/>
      <c r="AE255" s="121" t="s">
        <v>51</v>
      </c>
      <c r="AF255" s="121"/>
      <c r="AG255" s="121"/>
      <c r="AH255" s="28" t="s">
        <v>195</v>
      </c>
      <c r="AI255" s="28" t="s">
        <v>113</v>
      </c>
      <c r="AJ255" s="28">
        <v>50804</v>
      </c>
      <c r="AK255" s="121" t="str">
        <f>IF(B262="","","0")</f>
        <v/>
      </c>
      <c r="AL255" s="123" t="str">
        <f t="shared" si="45"/>
        <v>14821/Lot 조정 등록/stock.lot/LotChange</v>
      </c>
      <c r="AM255" s="27"/>
      <c r="AN255" s="124"/>
      <c r="AO255" s="124" t="s">
        <v>1829</v>
      </c>
      <c r="AP255" s="124" t="s">
        <v>1829</v>
      </c>
      <c r="AQ255" s="124"/>
      <c r="AR255" s="124" t="s">
        <v>1829</v>
      </c>
      <c r="AS255" s="124"/>
      <c r="AT255" s="124" t="s">
        <v>1940</v>
      </c>
      <c r="AU255" s="124" t="str">
        <f t="shared" si="70"/>
        <v>W273003</v>
      </c>
      <c r="AV255" s="124" t="s">
        <v>2611</v>
      </c>
      <c r="AW255" s="117" t="s">
        <v>1854</v>
      </c>
      <c r="AX255" s="138" t="str">
        <f t="shared" si="66"/>
        <v>delete from module_mst where pjt_id = '14821' and menu_id = '273003';</v>
      </c>
      <c r="AY255" s="31" t="str">
        <f>IF(C255&lt;&gt;"",CREATE_QUERY($D$1,C$2:AW$2,C255:AW255),"")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'273003', 'Lot 조정 등록', '', '', '', '', '1', '1', '1', 'stock.lot', 'LotChange', '1', '1', '1', '1', '1', '1', '1', '', '0', '0', '0', '', '', '', '', 'N', '', '', '273000', '5', '50804', '', '14821/Lot 조정 등록/stock.lot/LotChange', '', '', 'Y', 'Y', '', 'Y', '', 'W', 'MES-TD3-382', 'LOT별 재고 조정 전표를 등록');</v>
      </c>
    </row>
    <row r="256" spans="1:51">
      <c r="A256" s="1">
        <v>98</v>
      </c>
      <c r="B256" s="121" t="str">
        <f t="shared" si="67"/>
        <v/>
      </c>
      <c r="C256" s="27" t="str">
        <f t="shared" si="65"/>
        <v/>
      </c>
      <c r="D256" s="121"/>
      <c r="E256" s="27">
        <v>273004</v>
      </c>
      <c r="F256" s="121"/>
      <c r="G256" s="121"/>
      <c r="H256" s="121"/>
      <c r="I256" s="121"/>
      <c r="J256" s="121"/>
      <c r="K256" s="27"/>
      <c r="L256" s="27"/>
      <c r="M256" s="27"/>
      <c r="N256" s="121"/>
      <c r="O256" s="121"/>
      <c r="P256" s="27" t="str">
        <f t="shared" si="73"/>
        <v>0</v>
      </c>
      <c r="Q256" s="27" t="str">
        <f t="shared" si="74"/>
        <v>0</v>
      </c>
      <c r="R256" s="27" t="str">
        <f t="shared" si="75"/>
        <v>0</v>
      </c>
      <c r="S256" s="27" t="str">
        <f t="shared" si="76"/>
        <v>0</v>
      </c>
      <c r="T256" s="27" t="str">
        <f t="shared" si="77"/>
        <v>0</v>
      </c>
      <c r="U256" s="27" t="str">
        <f t="shared" si="78"/>
        <v>0</v>
      </c>
      <c r="V256" s="27" t="str">
        <f t="shared" si="79"/>
        <v>1</v>
      </c>
      <c r="W256" s="27"/>
      <c r="X256" s="27" t="str">
        <f t="shared" si="80"/>
        <v/>
      </c>
      <c r="Y256" s="27" t="str">
        <f t="shared" si="81"/>
        <v/>
      </c>
      <c r="Z256" s="27" t="str">
        <f t="shared" si="82"/>
        <v/>
      </c>
      <c r="AA256" s="121"/>
      <c r="AB256" s="121"/>
      <c r="AC256" s="121"/>
      <c r="AD256" s="121"/>
      <c r="AE256" s="121" t="s">
        <v>51</v>
      </c>
      <c r="AF256" s="121"/>
      <c r="AG256" s="121"/>
      <c r="AH256" s="28" t="s">
        <v>195</v>
      </c>
      <c r="AI256" s="28" t="s">
        <v>113</v>
      </c>
      <c r="AJ256" s="28">
        <v>50806</v>
      </c>
      <c r="AK256" s="121" t="str">
        <f t="shared" ref="AK256:AK257" si="84">IF(B257="","","0")</f>
        <v/>
      </c>
      <c r="AL256" s="123" t="str">
        <f t="shared" si="45"/>
        <v/>
      </c>
      <c r="AM256" s="27"/>
      <c r="AN256" s="124"/>
      <c r="AO256" s="124" t="s">
        <v>1829</v>
      </c>
      <c r="AP256" s="124" t="s">
        <v>1829</v>
      </c>
      <c r="AQ256" s="124"/>
      <c r="AR256" s="124" t="s">
        <v>1829</v>
      </c>
      <c r="AS256" s="124"/>
      <c r="AT256" s="124" t="s">
        <v>1940</v>
      </c>
      <c r="AU256" s="124" t="str">
        <f t="shared" si="70"/>
        <v/>
      </c>
      <c r="AV256" s="124" t="s">
        <v>2612</v>
      </c>
      <c r="AW256" s="117"/>
      <c r="AX256" s="138" t="str">
        <f t="shared" si="66"/>
        <v/>
      </c>
      <c r="AY256" s="31" t="str">
        <f>IF(C256&lt;&gt;"",CREATE_QUERY($D$1,C$2:AW$2,C256:AW256),"")</f>
        <v/>
      </c>
    </row>
    <row r="257" spans="1:51">
      <c r="A257" s="1">
        <v>99</v>
      </c>
      <c r="B257" s="121" t="str">
        <f t="shared" si="67"/>
        <v/>
      </c>
      <c r="C257" s="27" t="str">
        <f t="shared" si="65"/>
        <v/>
      </c>
      <c r="D257" s="121"/>
      <c r="E257" s="27">
        <v>273005</v>
      </c>
      <c r="F257" s="121"/>
      <c r="G257" s="121"/>
      <c r="H257" s="121"/>
      <c r="I257" s="121"/>
      <c r="J257" s="121"/>
      <c r="K257" s="27"/>
      <c r="L257" s="27"/>
      <c r="M257" s="27"/>
      <c r="N257" s="121"/>
      <c r="O257" s="121"/>
      <c r="P257" s="27" t="str">
        <f t="shared" si="73"/>
        <v>0</v>
      </c>
      <c r="Q257" s="27" t="str">
        <f t="shared" si="74"/>
        <v>0</v>
      </c>
      <c r="R257" s="27" t="str">
        <f t="shared" si="75"/>
        <v>0</v>
      </c>
      <c r="S257" s="27" t="str">
        <f t="shared" si="76"/>
        <v>0</v>
      </c>
      <c r="T257" s="27" t="str">
        <f t="shared" si="77"/>
        <v>0</v>
      </c>
      <c r="U257" s="27" t="str">
        <f t="shared" si="78"/>
        <v>0</v>
      </c>
      <c r="V257" s="27" t="str">
        <f t="shared" si="79"/>
        <v>1</v>
      </c>
      <c r="W257" s="27"/>
      <c r="X257" s="27" t="str">
        <f t="shared" si="80"/>
        <v/>
      </c>
      <c r="Y257" s="27" t="str">
        <f t="shared" si="81"/>
        <v/>
      </c>
      <c r="Z257" s="27" t="str">
        <f t="shared" si="82"/>
        <v/>
      </c>
      <c r="AA257" s="121"/>
      <c r="AB257" s="121"/>
      <c r="AC257" s="121"/>
      <c r="AD257" s="121"/>
      <c r="AE257" s="121" t="s">
        <v>51</v>
      </c>
      <c r="AF257" s="121"/>
      <c r="AG257" s="121"/>
      <c r="AH257" s="28" t="s">
        <v>195</v>
      </c>
      <c r="AI257" s="28" t="s">
        <v>113</v>
      </c>
      <c r="AJ257" s="28">
        <v>50808</v>
      </c>
      <c r="AK257" s="121" t="str">
        <f t="shared" si="84"/>
        <v/>
      </c>
      <c r="AL257" s="123" t="str">
        <f t="shared" si="45"/>
        <v/>
      </c>
      <c r="AM257" s="27"/>
      <c r="AN257" s="124"/>
      <c r="AO257" s="124" t="s">
        <v>1829</v>
      </c>
      <c r="AP257" s="124" t="s">
        <v>1829</v>
      </c>
      <c r="AQ257" s="124"/>
      <c r="AR257" s="124" t="s">
        <v>1829</v>
      </c>
      <c r="AS257" s="124"/>
      <c r="AT257" s="124" t="s">
        <v>1940</v>
      </c>
      <c r="AU257" s="124" t="str">
        <f t="shared" si="70"/>
        <v/>
      </c>
      <c r="AV257" s="124" t="s">
        <v>2613</v>
      </c>
      <c r="AW257" s="117"/>
      <c r="AX257" s="138" t="str">
        <f t="shared" si="66"/>
        <v/>
      </c>
      <c r="AY257" s="31" t="str">
        <f>IF(C257&lt;&gt;"",CREATE_QUERY($D$1,C$2:AW$2,C257:AW257),"")</f>
        <v/>
      </c>
    </row>
    <row r="258" spans="1:51">
      <c r="A258" s="1">
        <v>100</v>
      </c>
      <c r="B258" s="121" t="str">
        <f t="shared" si="67"/>
        <v/>
      </c>
      <c r="C258" s="27" t="str">
        <f t="shared" si="65"/>
        <v/>
      </c>
      <c r="D258" s="121"/>
      <c r="E258" s="27">
        <v>273006</v>
      </c>
      <c r="F258" s="121"/>
      <c r="G258" s="121"/>
      <c r="H258" s="121"/>
      <c r="I258" s="121"/>
      <c r="J258" s="121"/>
      <c r="K258" s="27"/>
      <c r="L258" s="27"/>
      <c r="M258" s="27"/>
      <c r="N258" s="121"/>
      <c r="O258" s="121"/>
      <c r="P258" s="27" t="str">
        <f t="shared" si="73"/>
        <v>0</v>
      </c>
      <c r="Q258" s="27" t="str">
        <f t="shared" si="74"/>
        <v>0</v>
      </c>
      <c r="R258" s="27" t="str">
        <f t="shared" si="75"/>
        <v>0</v>
      </c>
      <c r="S258" s="27" t="str">
        <f t="shared" si="76"/>
        <v>0</v>
      </c>
      <c r="T258" s="27" t="str">
        <f t="shared" si="77"/>
        <v>0</v>
      </c>
      <c r="U258" s="27" t="str">
        <f t="shared" si="78"/>
        <v>0</v>
      </c>
      <c r="V258" s="27" t="str">
        <f t="shared" si="79"/>
        <v>1</v>
      </c>
      <c r="W258" s="27"/>
      <c r="X258" s="27" t="str">
        <f t="shared" si="80"/>
        <v/>
      </c>
      <c r="Y258" s="27" t="str">
        <f t="shared" si="81"/>
        <v/>
      </c>
      <c r="Z258" s="27" t="str">
        <f t="shared" si="82"/>
        <v/>
      </c>
      <c r="AA258" s="121"/>
      <c r="AB258" s="121"/>
      <c r="AC258" s="121"/>
      <c r="AD258" s="121"/>
      <c r="AE258" s="121" t="s">
        <v>51</v>
      </c>
      <c r="AF258" s="121"/>
      <c r="AG258" s="121"/>
      <c r="AH258" s="28" t="s">
        <v>195</v>
      </c>
      <c r="AI258" s="28" t="s">
        <v>113</v>
      </c>
      <c r="AJ258" s="28">
        <v>50810</v>
      </c>
      <c r="AK258" s="121" t="str">
        <f>IF(B265="","","0")</f>
        <v>0</v>
      </c>
      <c r="AL258" s="123" t="str">
        <f t="shared" si="45"/>
        <v/>
      </c>
      <c r="AM258" s="27"/>
      <c r="AN258" s="124"/>
      <c r="AO258" s="124" t="s">
        <v>1829</v>
      </c>
      <c r="AP258" s="124" t="s">
        <v>1829</v>
      </c>
      <c r="AQ258" s="124"/>
      <c r="AR258" s="124" t="s">
        <v>1829</v>
      </c>
      <c r="AS258" s="124"/>
      <c r="AT258" s="124" t="s">
        <v>1940</v>
      </c>
      <c r="AU258" s="124" t="str">
        <f t="shared" si="70"/>
        <v/>
      </c>
      <c r="AV258" s="124" t="s">
        <v>2614</v>
      </c>
      <c r="AW258" s="117"/>
      <c r="AX258" s="138" t="str">
        <f t="shared" si="66"/>
        <v/>
      </c>
      <c r="AY258" s="31" t="str">
        <f>IF(C258&lt;&gt;"",CREATE_QUERY($D$1,C$2:AW$2,C258:AW258),"")</f>
        <v/>
      </c>
    </row>
    <row r="259" spans="1:51">
      <c r="A259" s="1">
        <v>98</v>
      </c>
      <c r="B259" s="121" t="str">
        <f t="shared" si="67"/>
        <v/>
      </c>
      <c r="C259" s="27" t="str">
        <f t="shared" si="65"/>
        <v/>
      </c>
      <c r="D259" s="121"/>
      <c r="E259" s="27">
        <v>273007</v>
      </c>
      <c r="F259" s="121"/>
      <c r="G259" s="121"/>
      <c r="H259" s="121"/>
      <c r="I259" s="121"/>
      <c r="J259" s="121"/>
      <c r="K259" s="27"/>
      <c r="L259" s="27"/>
      <c r="M259" s="27"/>
      <c r="N259" s="121"/>
      <c r="O259" s="121"/>
      <c r="P259" s="27" t="str">
        <f t="shared" si="73"/>
        <v>0</v>
      </c>
      <c r="Q259" s="27" t="str">
        <f t="shared" si="74"/>
        <v>0</v>
      </c>
      <c r="R259" s="27" t="str">
        <f t="shared" si="75"/>
        <v>0</v>
      </c>
      <c r="S259" s="27" t="str">
        <f t="shared" si="76"/>
        <v>0</v>
      </c>
      <c r="T259" s="27" t="str">
        <f t="shared" si="77"/>
        <v>0</v>
      </c>
      <c r="U259" s="27" t="str">
        <f t="shared" si="78"/>
        <v>0</v>
      </c>
      <c r="V259" s="27" t="str">
        <f t="shared" si="79"/>
        <v>1</v>
      </c>
      <c r="W259" s="27"/>
      <c r="X259" s="27" t="str">
        <f t="shared" si="80"/>
        <v/>
      </c>
      <c r="Y259" s="27" t="str">
        <f t="shared" si="81"/>
        <v/>
      </c>
      <c r="Z259" s="27" t="str">
        <f t="shared" si="82"/>
        <v/>
      </c>
      <c r="AA259" s="121"/>
      <c r="AB259" s="121"/>
      <c r="AC259" s="121"/>
      <c r="AD259" s="121"/>
      <c r="AE259" s="121" t="s">
        <v>51</v>
      </c>
      <c r="AF259" s="121"/>
      <c r="AG259" s="121"/>
      <c r="AH259" s="28" t="s">
        <v>195</v>
      </c>
      <c r="AI259" s="28" t="s">
        <v>113</v>
      </c>
      <c r="AJ259" s="28">
        <v>50812</v>
      </c>
      <c r="AK259" s="121" t="str">
        <f t="shared" ref="AK259:AK260" si="85">IF(B260="","","0")</f>
        <v/>
      </c>
      <c r="AL259" s="123" t="str">
        <f t="shared" si="45"/>
        <v/>
      </c>
      <c r="AM259" s="27"/>
      <c r="AN259" s="124"/>
      <c r="AO259" s="124" t="s">
        <v>1829</v>
      </c>
      <c r="AP259" s="124" t="s">
        <v>1829</v>
      </c>
      <c r="AQ259" s="124"/>
      <c r="AR259" s="124" t="s">
        <v>1829</v>
      </c>
      <c r="AS259" s="124"/>
      <c r="AT259" s="124" t="s">
        <v>1940</v>
      </c>
      <c r="AU259" s="124" t="str">
        <f t="shared" si="70"/>
        <v/>
      </c>
      <c r="AV259" s="124" t="s">
        <v>2615</v>
      </c>
      <c r="AW259" s="117"/>
      <c r="AX259" s="138" t="str">
        <f t="shared" si="66"/>
        <v/>
      </c>
      <c r="AY259" s="31" t="str">
        <f>IF(C259&lt;&gt;"",CREATE_QUERY($D$1,C$2:AW$2,C259:AW259),"")</f>
        <v/>
      </c>
    </row>
    <row r="260" spans="1:51">
      <c r="A260" s="1">
        <v>99</v>
      </c>
      <c r="B260" s="121" t="str">
        <f t="shared" si="67"/>
        <v/>
      </c>
      <c r="C260" s="27" t="str">
        <f t="shared" si="65"/>
        <v/>
      </c>
      <c r="D260" s="121"/>
      <c r="E260" s="27">
        <v>273008</v>
      </c>
      <c r="F260" s="121"/>
      <c r="G260" s="121"/>
      <c r="H260" s="121"/>
      <c r="I260" s="121"/>
      <c r="J260" s="121"/>
      <c r="K260" s="27"/>
      <c r="L260" s="27"/>
      <c r="M260" s="27"/>
      <c r="N260" s="121"/>
      <c r="O260" s="121"/>
      <c r="P260" s="27" t="str">
        <f t="shared" si="73"/>
        <v>0</v>
      </c>
      <c r="Q260" s="27" t="str">
        <f t="shared" si="74"/>
        <v>0</v>
      </c>
      <c r="R260" s="27" t="str">
        <f t="shared" si="75"/>
        <v>0</v>
      </c>
      <c r="S260" s="27" t="str">
        <f t="shared" si="76"/>
        <v>0</v>
      </c>
      <c r="T260" s="27" t="str">
        <f t="shared" si="77"/>
        <v>0</v>
      </c>
      <c r="U260" s="27" t="str">
        <f t="shared" si="78"/>
        <v>0</v>
      </c>
      <c r="V260" s="27" t="str">
        <f t="shared" si="79"/>
        <v>1</v>
      </c>
      <c r="W260" s="27"/>
      <c r="X260" s="27" t="str">
        <f t="shared" si="80"/>
        <v/>
      </c>
      <c r="Y260" s="27" t="str">
        <f t="shared" si="81"/>
        <v/>
      </c>
      <c r="Z260" s="27" t="str">
        <f t="shared" si="82"/>
        <v/>
      </c>
      <c r="AA260" s="121"/>
      <c r="AB260" s="121"/>
      <c r="AC260" s="121"/>
      <c r="AD260" s="121"/>
      <c r="AE260" s="121" t="s">
        <v>51</v>
      </c>
      <c r="AF260" s="121"/>
      <c r="AG260" s="121"/>
      <c r="AH260" s="28" t="s">
        <v>195</v>
      </c>
      <c r="AI260" s="28" t="s">
        <v>113</v>
      </c>
      <c r="AJ260" s="28">
        <v>50814</v>
      </c>
      <c r="AK260" s="121" t="str">
        <f t="shared" si="85"/>
        <v/>
      </c>
      <c r="AL260" s="123" t="str">
        <f t="shared" si="45"/>
        <v/>
      </c>
      <c r="AM260" s="27"/>
      <c r="AN260" s="124"/>
      <c r="AO260" s="124" t="s">
        <v>1829</v>
      </c>
      <c r="AP260" s="124" t="s">
        <v>1829</v>
      </c>
      <c r="AQ260" s="124"/>
      <c r="AR260" s="124" t="s">
        <v>1829</v>
      </c>
      <c r="AS260" s="124"/>
      <c r="AT260" s="124" t="s">
        <v>1940</v>
      </c>
      <c r="AU260" s="124" t="str">
        <f t="shared" si="70"/>
        <v/>
      </c>
      <c r="AV260" s="124" t="s">
        <v>2616</v>
      </c>
      <c r="AW260" s="117"/>
      <c r="AX260" s="138" t="str">
        <f t="shared" si="66"/>
        <v/>
      </c>
      <c r="AY260" s="31" t="str">
        <f>IF(C260&lt;&gt;"",CREATE_QUERY($D$1,C$2:AW$2,C260:AW260),"")</f>
        <v/>
      </c>
    </row>
    <row r="261" spans="1:51">
      <c r="A261" s="1">
        <v>100</v>
      </c>
      <c r="B261" s="121" t="str">
        <f t="shared" si="67"/>
        <v/>
      </c>
      <c r="C261" s="27" t="str">
        <f t="shared" si="65"/>
        <v/>
      </c>
      <c r="D261" s="121"/>
      <c r="E261" s="27">
        <v>273009</v>
      </c>
      <c r="F261" s="121"/>
      <c r="G261" s="121"/>
      <c r="H261" s="121"/>
      <c r="I261" s="121"/>
      <c r="J261" s="121"/>
      <c r="K261" s="27"/>
      <c r="L261" s="27"/>
      <c r="M261" s="27"/>
      <c r="N261" s="121"/>
      <c r="O261" s="121"/>
      <c r="P261" s="27" t="str">
        <f t="shared" si="73"/>
        <v>0</v>
      </c>
      <c r="Q261" s="27" t="str">
        <f t="shared" si="74"/>
        <v>0</v>
      </c>
      <c r="R261" s="27" t="str">
        <f t="shared" si="75"/>
        <v>0</v>
      </c>
      <c r="S261" s="27" t="str">
        <f t="shared" si="76"/>
        <v>0</v>
      </c>
      <c r="T261" s="27" t="str">
        <f t="shared" si="77"/>
        <v>0</v>
      </c>
      <c r="U261" s="27" t="str">
        <f t="shared" si="78"/>
        <v>0</v>
      </c>
      <c r="V261" s="27" t="str">
        <f t="shared" si="79"/>
        <v>1</v>
      </c>
      <c r="W261" s="27"/>
      <c r="X261" s="27" t="str">
        <f t="shared" si="80"/>
        <v/>
      </c>
      <c r="Y261" s="27" t="str">
        <f t="shared" si="81"/>
        <v/>
      </c>
      <c r="Z261" s="27" t="str">
        <f t="shared" si="82"/>
        <v/>
      </c>
      <c r="AA261" s="121"/>
      <c r="AB261" s="121"/>
      <c r="AC261" s="121"/>
      <c r="AD261" s="121"/>
      <c r="AE261" s="121" t="s">
        <v>51</v>
      </c>
      <c r="AF261" s="121"/>
      <c r="AG261" s="121"/>
      <c r="AH261" s="28" t="s">
        <v>195</v>
      </c>
      <c r="AI261" s="28" t="s">
        <v>113</v>
      </c>
      <c r="AJ261" s="28">
        <v>50816</v>
      </c>
      <c r="AK261" s="121" t="str">
        <f>IF(B274="","","0")</f>
        <v>0</v>
      </c>
      <c r="AL261" s="123" t="str">
        <f t="shared" si="45"/>
        <v/>
      </c>
      <c r="AM261" s="27"/>
      <c r="AN261" s="124"/>
      <c r="AO261" s="124" t="s">
        <v>1829</v>
      </c>
      <c r="AP261" s="124" t="s">
        <v>1829</v>
      </c>
      <c r="AQ261" s="124"/>
      <c r="AR261" s="124" t="s">
        <v>1829</v>
      </c>
      <c r="AS261" s="124"/>
      <c r="AT261" s="124" t="s">
        <v>1940</v>
      </c>
      <c r="AU261" s="124" t="str">
        <f t="shared" si="70"/>
        <v/>
      </c>
      <c r="AV261" s="124" t="s">
        <v>2617</v>
      </c>
      <c r="AW261" s="117"/>
      <c r="AX261" s="138" t="str">
        <f t="shared" ref="AX261:AX324" si="86">IF(C261="","","delete from module_mst where pjt_id = '"&amp;C261&amp;"' and menu_id = '"&amp;E261&amp;"';")</f>
        <v/>
      </c>
      <c r="AY261" s="31" t="str">
        <f>IF(C261&lt;&gt;"",CREATE_QUERY($D$1,C$2:AW$2,C261:AW261),"")</f>
        <v/>
      </c>
    </row>
    <row r="262" spans="1:51">
      <c r="A262" s="1">
        <v>101</v>
      </c>
      <c r="B262" s="121" t="str">
        <f t="shared" ref="B262:B325" si="87">IF(F262="","",IF(AI262="1","",IF(AI262="2","└ ",IF(AI262="3","  └ ",IF(AI262="4","    └ ",IF(AI262="5","        └ ",IF(AI262="6","         └ ",IF(AI262="7"="            └ ",""))))))))&amp;AM262&amp;F262</f>
        <v/>
      </c>
      <c r="C262" s="27" t="str">
        <f t="shared" si="65"/>
        <v/>
      </c>
      <c r="D262" s="121"/>
      <c r="E262" s="27"/>
      <c r="F262" s="121"/>
      <c r="G262" s="121"/>
      <c r="H262" s="121"/>
      <c r="I262" s="121"/>
      <c r="J262" s="121"/>
      <c r="K262" s="27" t="str">
        <f t="shared" si="71"/>
        <v/>
      </c>
      <c r="L262" s="27">
        <v>1</v>
      </c>
      <c r="M262" s="27" t="str">
        <f t="shared" si="72"/>
        <v>0</v>
      </c>
      <c r="N262" s="121"/>
      <c r="O262" s="121"/>
      <c r="P262" s="27" t="str">
        <f t="shared" si="73"/>
        <v>0</v>
      </c>
      <c r="Q262" s="27" t="str">
        <f t="shared" si="74"/>
        <v>0</v>
      </c>
      <c r="R262" s="27" t="str">
        <f t="shared" si="75"/>
        <v>0</v>
      </c>
      <c r="S262" s="27" t="str">
        <f t="shared" si="76"/>
        <v>0</v>
      </c>
      <c r="T262" s="27" t="str">
        <f t="shared" si="77"/>
        <v>0</v>
      </c>
      <c r="U262" s="27" t="str">
        <f t="shared" si="78"/>
        <v>0</v>
      </c>
      <c r="V262" s="27" t="str">
        <f t="shared" si="79"/>
        <v>1</v>
      </c>
      <c r="W262" s="27"/>
      <c r="X262" s="27" t="str">
        <f t="shared" si="80"/>
        <v/>
      </c>
      <c r="Y262" s="27" t="str">
        <f t="shared" si="81"/>
        <v/>
      </c>
      <c r="Z262" s="27" t="str">
        <f t="shared" si="82"/>
        <v/>
      </c>
      <c r="AA262" s="121"/>
      <c r="AB262" s="121"/>
      <c r="AC262" s="121"/>
      <c r="AD262" s="121"/>
      <c r="AE262" s="121"/>
      <c r="AF262" s="121"/>
      <c r="AG262" s="121"/>
      <c r="AH262" s="27"/>
      <c r="AI262" s="27"/>
      <c r="AJ262" s="27"/>
      <c r="AK262" s="121" t="str">
        <f t="shared" si="63"/>
        <v>0</v>
      </c>
      <c r="AL262" s="123" t="str">
        <f t="shared" si="45"/>
        <v/>
      </c>
      <c r="AM262" s="27"/>
      <c r="AN262" s="124"/>
      <c r="AO262" s="124"/>
      <c r="AP262" s="124"/>
      <c r="AQ262" s="124"/>
      <c r="AR262" s="124"/>
      <c r="AS262" s="124"/>
      <c r="AT262" s="124"/>
      <c r="AU262" s="124" t="str">
        <f t="shared" si="70"/>
        <v/>
      </c>
      <c r="AV262" s="124"/>
      <c r="AW262" s="117"/>
      <c r="AX262" s="138" t="str">
        <f t="shared" si="86"/>
        <v/>
      </c>
      <c r="AY262" s="31" t="str">
        <f>IF(C262&lt;&gt;"",CREATE_QUERY($D$1,C$2:AW$2,C262:AW262),"")</f>
        <v/>
      </c>
    </row>
    <row r="263" spans="1:51">
      <c r="A263" s="1">
        <v>102</v>
      </c>
      <c r="B263" s="121" t="str">
        <f t="shared" si="87"/>
        <v xml:space="preserve">    └ 재고실사</v>
      </c>
      <c r="C263" s="27" t="str">
        <f t="shared" si="65"/>
        <v>14821</v>
      </c>
      <c r="D263" s="121"/>
      <c r="E263" s="21" t="s">
        <v>243</v>
      </c>
      <c r="F263" s="118" t="s">
        <v>244</v>
      </c>
      <c r="G263" s="118"/>
      <c r="H263" s="118"/>
      <c r="I263" s="118"/>
      <c r="J263" s="118"/>
      <c r="K263" s="21" t="str">
        <f t="shared" si="71"/>
        <v/>
      </c>
      <c r="L263" s="21">
        <v>1</v>
      </c>
      <c r="M263" s="21" t="str">
        <f t="shared" si="72"/>
        <v>0</v>
      </c>
      <c r="N263" s="118"/>
      <c r="O263" s="118"/>
      <c r="P263" s="21" t="str">
        <f t="shared" si="73"/>
        <v>0</v>
      </c>
      <c r="Q263" s="21" t="str">
        <f t="shared" si="74"/>
        <v>0</v>
      </c>
      <c r="R263" s="21" t="str">
        <f t="shared" si="75"/>
        <v>0</v>
      </c>
      <c r="S263" s="21" t="str">
        <f t="shared" si="76"/>
        <v>0</v>
      </c>
      <c r="T263" s="21" t="str">
        <f t="shared" si="77"/>
        <v>0</v>
      </c>
      <c r="U263" s="21" t="str">
        <f t="shared" si="78"/>
        <v>0</v>
      </c>
      <c r="V263" s="21" t="str">
        <f t="shared" si="79"/>
        <v>1</v>
      </c>
      <c r="W263" s="21"/>
      <c r="X263" s="21" t="str">
        <f t="shared" si="80"/>
        <v/>
      </c>
      <c r="Y263" s="21" t="str">
        <f t="shared" si="81"/>
        <v/>
      </c>
      <c r="Z263" s="21" t="str">
        <f t="shared" si="82"/>
        <v/>
      </c>
      <c r="AA263" s="118"/>
      <c r="AB263" s="118"/>
      <c r="AC263" s="118"/>
      <c r="AD263" s="118"/>
      <c r="AE263" s="118" t="s">
        <v>51</v>
      </c>
      <c r="AF263" s="118"/>
      <c r="AG263" s="118"/>
      <c r="AH263" s="26" t="s">
        <v>173</v>
      </c>
      <c r="AI263" s="26" t="s">
        <v>112</v>
      </c>
      <c r="AJ263" s="26">
        <v>51050</v>
      </c>
      <c r="AK263" s="121" t="str">
        <f t="shared" si="63"/>
        <v>0</v>
      </c>
      <c r="AL263" s="123" t="str">
        <f t="shared" si="45"/>
        <v>14821/재고실사//</v>
      </c>
      <c r="AM263" s="21"/>
      <c r="AN263" s="124"/>
      <c r="AO263" s="124" t="s">
        <v>1829</v>
      </c>
      <c r="AP263" s="124" t="s">
        <v>1829</v>
      </c>
      <c r="AQ263" s="124"/>
      <c r="AR263" s="124" t="s">
        <v>1829</v>
      </c>
      <c r="AS263" s="124"/>
      <c r="AT263" s="124" t="s">
        <v>1940</v>
      </c>
      <c r="AU263" s="124" t="str">
        <f t="shared" si="70"/>
        <v/>
      </c>
      <c r="AV263" s="124"/>
      <c r="AW263" s="117"/>
      <c r="AX263" s="138" t="str">
        <f t="shared" si="86"/>
        <v>delete from module_mst where pjt_id = '14821' and menu_id = '274000';</v>
      </c>
      <c r="AY263" s="31" t="str">
        <f>IF(C263&lt;&gt;"",CREATE_QUERY($D$1,C$2:AW$2,C263:AW263),"")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'274000', '재고실사', '', '', '', '', '', '1', '0', '', '', '0', '0', '0', '0', '0', '0', '1', '', '', '', '', '', '', '', '', 'N', '', '', '270000', '4', '51050', '0', '14821/재고실사//', '', '', 'Y', 'Y', '', 'Y', '', 'W', '', '');</v>
      </c>
    </row>
    <row r="264" spans="1:51">
      <c r="A264" s="1">
        <v>103</v>
      </c>
      <c r="B264" s="121" t="str">
        <f t="shared" si="87"/>
        <v xml:space="preserve">        └ 재고실사관리</v>
      </c>
      <c r="C264" s="27" t="str">
        <f t="shared" si="65"/>
        <v>14821</v>
      </c>
      <c r="D264" s="121"/>
      <c r="E264" s="27">
        <v>274001</v>
      </c>
      <c r="F264" s="121" t="s">
        <v>331</v>
      </c>
      <c r="G264" s="121"/>
      <c r="H264" s="121"/>
      <c r="I264" s="121"/>
      <c r="J264" s="121"/>
      <c r="K264" s="27" t="str">
        <f t="shared" si="71"/>
        <v>1</v>
      </c>
      <c r="L264" s="27">
        <v>1</v>
      </c>
      <c r="M264" s="27" t="str">
        <f t="shared" si="72"/>
        <v>1</v>
      </c>
      <c r="N264" s="121" t="s">
        <v>317</v>
      </c>
      <c r="O264" s="121" t="s">
        <v>287</v>
      </c>
      <c r="P264" s="27" t="str">
        <f t="shared" si="73"/>
        <v>1</v>
      </c>
      <c r="Q264" s="27" t="str">
        <f t="shared" si="74"/>
        <v>1</v>
      </c>
      <c r="R264" s="27" t="str">
        <f t="shared" si="75"/>
        <v>1</v>
      </c>
      <c r="S264" s="27" t="str">
        <f t="shared" si="76"/>
        <v>1</v>
      </c>
      <c r="T264" s="27" t="str">
        <f t="shared" si="77"/>
        <v>1</v>
      </c>
      <c r="U264" s="27" t="str">
        <f t="shared" si="78"/>
        <v>1</v>
      </c>
      <c r="V264" s="27" t="str">
        <f t="shared" si="79"/>
        <v>1</v>
      </c>
      <c r="W264" s="27"/>
      <c r="X264" s="27" t="str">
        <f t="shared" si="80"/>
        <v>0</v>
      </c>
      <c r="Y264" s="27" t="str">
        <f t="shared" si="81"/>
        <v>0</v>
      </c>
      <c r="Z264" s="27" t="str">
        <f t="shared" si="82"/>
        <v>0</v>
      </c>
      <c r="AA264" s="121"/>
      <c r="AB264" s="121"/>
      <c r="AC264" s="121"/>
      <c r="AD264" s="121"/>
      <c r="AE264" s="121" t="s">
        <v>51</v>
      </c>
      <c r="AF264" s="121"/>
      <c r="AG264" s="121"/>
      <c r="AH264" s="28" t="s">
        <v>243</v>
      </c>
      <c r="AI264" s="28" t="s">
        <v>113</v>
      </c>
      <c r="AJ264" s="28">
        <v>51100</v>
      </c>
      <c r="AK264" s="121" t="str">
        <f t="shared" si="63"/>
        <v>0</v>
      </c>
      <c r="AL264" s="123" t="str">
        <f t="shared" si="45"/>
        <v>14821/재고실사관리/stock.ddil/DdilMake</v>
      </c>
      <c r="AM264" s="27"/>
      <c r="AN264" s="124"/>
      <c r="AO264" s="124" t="s">
        <v>1829</v>
      </c>
      <c r="AP264" s="124" t="s">
        <v>1829</v>
      </c>
      <c r="AQ264" s="124"/>
      <c r="AR264" s="124" t="s">
        <v>1829</v>
      </c>
      <c r="AS264" s="124"/>
      <c r="AT264" s="124" t="s">
        <v>1940</v>
      </c>
      <c r="AU264" s="124" t="str">
        <f t="shared" si="70"/>
        <v>W274001</v>
      </c>
      <c r="AV264" s="124" t="s">
        <v>2656</v>
      </c>
      <c r="AW264" s="117" t="s">
        <v>1856</v>
      </c>
      <c r="AX264" s="138" t="str">
        <f t="shared" si="86"/>
        <v>delete from module_mst where pjt_id = '14821' and menu_id = '274001';</v>
      </c>
      <c r="AY264" s="31" t="str">
        <f>IF(C264&lt;&gt;"",CREATE_QUERY($D$1,C$2:AW$2,C264:AW264),"")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'274001', '재고실사관리', '', '', '', '', '1', '1', '1', 'stock.ddil', 'DdilMake', '1', '1', '1', '1', '1', '1', '1', '', '0', '0', '0', '', '', '', '', 'N', '', '', '274000', '5', '51100', '0', '14821/재고실사관리/stock.ddil/DdilMake', '', '', 'Y', 'Y', '', 'Y', '', 'W', 'MES-TD3-390', '품목별 재고 실사 자료 관리(재고실사 자료 작성 및 결과 등록 포함)');</v>
      </c>
    </row>
    <row r="265" spans="1:51" ht="26">
      <c r="A265" s="1">
        <v>105</v>
      </c>
      <c r="B265" s="121" t="str">
        <f t="shared" si="87"/>
        <v xml:space="preserve">        └ LOT재고실사관리</v>
      </c>
      <c r="C265" s="27" t="str">
        <f t="shared" si="65"/>
        <v>14821</v>
      </c>
      <c r="D265" s="121"/>
      <c r="E265" s="27">
        <v>274002</v>
      </c>
      <c r="F265" s="121" t="s">
        <v>332</v>
      </c>
      <c r="G265" s="121"/>
      <c r="H265" s="121"/>
      <c r="I265" s="121"/>
      <c r="J265" s="121"/>
      <c r="K265" s="27" t="str">
        <f t="shared" si="71"/>
        <v>1</v>
      </c>
      <c r="L265" s="27">
        <v>1</v>
      </c>
      <c r="M265" s="27" t="str">
        <f t="shared" si="72"/>
        <v>1</v>
      </c>
      <c r="N265" s="121" t="s">
        <v>317</v>
      </c>
      <c r="O265" s="121" t="s">
        <v>288</v>
      </c>
      <c r="P265" s="27" t="str">
        <f t="shared" si="73"/>
        <v>1</v>
      </c>
      <c r="Q265" s="27" t="str">
        <f t="shared" si="74"/>
        <v>1</v>
      </c>
      <c r="R265" s="27" t="str">
        <f t="shared" si="75"/>
        <v>1</v>
      </c>
      <c r="S265" s="27" t="str">
        <f t="shared" si="76"/>
        <v>1</v>
      </c>
      <c r="T265" s="27" t="str">
        <f t="shared" si="77"/>
        <v>1</v>
      </c>
      <c r="U265" s="27" t="str">
        <f t="shared" si="78"/>
        <v>1</v>
      </c>
      <c r="V265" s="27" t="str">
        <f t="shared" si="79"/>
        <v>1</v>
      </c>
      <c r="W265" s="27"/>
      <c r="X265" s="27" t="str">
        <f t="shared" si="80"/>
        <v>0</v>
      </c>
      <c r="Y265" s="27" t="str">
        <f t="shared" si="81"/>
        <v>0</v>
      </c>
      <c r="Z265" s="27" t="str">
        <f t="shared" si="82"/>
        <v>0</v>
      </c>
      <c r="AA265" s="121"/>
      <c r="AB265" s="121"/>
      <c r="AC265" s="121"/>
      <c r="AD265" s="121"/>
      <c r="AE265" s="121" t="s">
        <v>51</v>
      </c>
      <c r="AF265" s="121"/>
      <c r="AG265" s="121"/>
      <c r="AH265" s="28" t="s">
        <v>243</v>
      </c>
      <c r="AI265" s="28" t="s">
        <v>113</v>
      </c>
      <c r="AJ265" s="28">
        <v>51150</v>
      </c>
      <c r="AK265" s="121" t="str">
        <f>IF(B272="","","0")</f>
        <v/>
      </c>
      <c r="AL265" s="123" t="str">
        <f t="shared" si="45"/>
        <v>14821/LOT재고실사관리/stock.ddil/LotDdillEntry</v>
      </c>
      <c r="AM265" s="27"/>
      <c r="AN265" s="124"/>
      <c r="AO265" s="124" t="s">
        <v>1829</v>
      </c>
      <c r="AP265" s="124" t="s">
        <v>1829</v>
      </c>
      <c r="AQ265" s="124"/>
      <c r="AR265" s="124" t="s">
        <v>1829</v>
      </c>
      <c r="AS265" s="124"/>
      <c r="AT265" s="124" t="s">
        <v>1940</v>
      </c>
      <c r="AU265" s="124" t="str">
        <f t="shared" si="70"/>
        <v>W274002</v>
      </c>
      <c r="AV265" s="124" t="s">
        <v>2657</v>
      </c>
      <c r="AW265" s="117" t="s">
        <v>1857</v>
      </c>
      <c r="AX265" s="138" t="str">
        <f t="shared" si="86"/>
        <v>delete from module_mst where pjt_id = '14821' and menu_id = '274002';</v>
      </c>
      <c r="AY265" s="31" t="str">
        <f>IF(C265&lt;&gt;"",CREATE_QUERY($D$1,C$2:AW$2,C265:AW265),"")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'274002', 'LOT재고실사관리', '', '', '', '', '1', '1', '1', 'stock.ddil', 'LotDdillEntry', '1', '1', '1', '1', '1', '1', '1', '', '0', '0', '0', '', '', '', '', 'N', '', '', '274000', '5', '51150', '', '14821/LOT재고실사관리/stock.ddil/LotDdillEntry', '', '', 'Y', 'Y', '', 'Y', '', 'W', 'MES-TD3-391', 'LOT별 재고 실사 자료 관리(재고실사 자료 작성 및 결과 등록 기능 포함)');</v>
      </c>
    </row>
    <row r="266" spans="1:51">
      <c r="A266" s="1">
        <v>103</v>
      </c>
      <c r="B266" s="121" t="str">
        <f t="shared" si="87"/>
        <v/>
      </c>
      <c r="C266" s="27" t="str">
        <f t="shared" si="65"/>
        <v/>
      </c>
      <c r="D266" s="121"/>
      <c r="E266" s="27">
        <v>274003</v>
      </c>
      <c r="F266" s="121"/>
      <c r="G266" s="121"/>
      <c r="H266" s="121"/>
      <c r="I266" s="121"/>
      <c r="J266" s="121"/>
      <c r="K266" s="27"/>
      <c r="L266" s="27"/>
      <c r="M266" s="27"/>
      <c r="N266" s="121"/>
      <c r="O266" s="121"/>
      <c r="P266" s="27" t="str">
        <f t="shared" si="73"/>
        <v>0</v>
      </c>
      <c r="Q266" s="27" t="str">
        <f t="shared" si="74"/>
        <v>0</v>
      </c>
      <c r="R266" s="27" t="str">
        <f t="shared" si="75"/>
        <v>0</v>
      </c>
      <c r="S266" s="27" t="str">
        <f t="shared" si="76"/>
        <v>0</v>
      </c>
      <c r="T266" s="27" t="str">
        <f t="shared" si="77"/>
        <v>0</v>
      </c>
      <c r="U266" s="27" t="str">
        <f t="shared" si="78"/>
        <v>0</v>
      </c>
      <c r="V266" s="27" t="str">
        <f t="shared" si="79"/>
        <v>1</v>
      </c>
      <c r="W266" s="27"/>
      <c r="X266" s="27" t="str">
        <f t="shared" si="80"/>
        <v/>
      </c>
      <c r="Y266" s="27" t="str">
        <f t="shared" si="81"/>
        <v/>
      </c>
      <c r="Z266" s="27" t="str">
        <f t="shared" si="82"/>
        <v/>
      </c>
      <c r="AA266" s="121"/>
      <c r="AB266" s="121"/>
      <c r="AC266" s="121"/>
      <c r="AD266" s="121"/>
      <c r="AE266" s="121" t="s">
        <v>51</v>
      </c>
      <c r="AF266" s="121"/>
      <c r="AG266" s="121"/>
      <c r="AH266" s="28" t="s">
        <v>243</v>
      </c>
      <c r="AI266" s="28" t="s">
        <v>113</v>
      </c>
      <c r="AJ266" s="28">
        <v>51100</v>
      </c>
      <c r="AK266" s="121" t="str">
        <f t="shared" ref="AK266" si="88">IF(B267="","","0")</f>
        <v/>
      </c>
      <c r="AL266" s="123" t="str">
        <f t="shared" si="45"/>
        <v/>
      </c>
      <c r="AM266" s="27"/>
      <c r="AN266" s="124"/>
      <c r="AO266" s="124" t="s">
        <v>1829</v>
      </c>
      <c r="AP266" s="124" t="s">
        <v>1829</v>
      </c>
      <c r="AQ266" s="124"/>
      <c r="AR266" s="124" t="s">
        <v>1829</v>
      </c>
      <c r="AS266" s="124"/>
      <c r="AT266" s="124" t="s">
        <v>1940</v>
      </c>
      <c r="AU266" s="124" t="str">
        <f t="shared" si="70"/>
        <v/>
      </c>
      <c r="AV266" s="124" t="s">
        <v>2618</v>
      </c>
      <c r="AW266" s="117"/>
      <c r="AX266" s="138" t="str">
        <f t="shared" si="86"/>
        <v/>
      </c>
      <c r="AY266" s="31" t="str">
        <f>IF(C266&lt;&gt;"",CREATE_QUERY($D$1,C$2:AW$2,C266:AW266),"")</f>
        <v/>
      </c>
    </row>
    <row r="267" spans="1:51">
      <c r="A267" s="1">
        <v>105</v>
      </c>
      <c r="B267" s="121" t="str">
        <f t="shared" si="87"/>
        <v/>
      </c>
      <c r="C267" s="27" t="str">
        <f t="shared" si="65"/>
        <v/>
      </c>
      <c r="D267" s="121"/>
      <c r="E267" s="27">
        <v>274004</v>
      </c>
      <c r="F267" s="121"/>
      <c r="G267" s="121"/>
      <c r="H267" s="121"/>
      <c r="I267" s="121"/>
      <c r="J267" s="121"/>
      <c r="K267" s="27"/>
      <c r="L267" s="27"/>
      <c r="M267" s="27"/>
      <c r="N267" s="121"/>
      <c r="O267" s="121"/>
      <c r="P267" s="27" t="str">
        <f t="shared" si="73"/>
        <v>0</v>
      </c>
      <c r="Q267" s="27" t="str">
        <f t="shared" si="74"/>
        <v>0</v>
      </c>
      <c r="R267" s="27" t="str">
        <f t="shared" si="75"/>
        <v>0</v>
      </c>
      <c r="S267" s="27" t="str">
        <f t="shared" si="76"/>
        <v>0</v>
      </c>
      <c r="T267" s="27" t="str">
        <f t="shared" si="77"/>
        <v>0</v>
      </c>
      <c r="U267" s="27" t="str">
        <f t="shared" si="78"/>
        <v>0</v>
      </c>
      <c r="V267" s="27" t="str">
        <f t="shared" si="79"/>
        <v>1</v>
      </c>
      <c r="W267" s="27"/>
      <c r="X267" s="27" t="str">
        <f t="shared" si="80"/>
        <v/>
      </c>
      <c r="Y267" s="27" t="str">
        <f t="shared" si="81"/>
        <v/>
      </c>
      <c r="Z267" s="27" t="str">
        <f t="shared" si="82"/>
        <v/>
      </c>
      <c r="AA267" s="121"/>
      <c r="AB267" s="121"/>
      <c r="AC267" s="121"/>
      <c r="AD267" s="121"/>
      <c r="AE267" s="121" t="s">
        <v>51</v>
      </c>
      <c r="AF267" s="121"/>
      <c r="AG267" s="121"/>
      <c r="AH267" s="28" t="s">
        <v>243</v>
      </c>
      <c r="AI267" s="28" t="s">
        <v>113</v>
      </c>
      <c r="AJ267" s="28">
        <v>51150</v>
      </c>
      <c r="AK267" s="121" t="str">
        <f>IF(B274="","","0")</f>
        <v>0</v>
      </c>
      <c r="AL267" s="123" t="str">
        <f t="shared" si="45"/>
        <v/>
      </c>
      <c r="AM267" s="27"/>
      <c r="AN267" s="124"/>
      <c r="AO267" s="124" t="s">
        <v>1829</v>
      </c>
      <c r="AP267" s="124" t="s">
        <v>1829</v>
      </c>
      <c r="AQ267" s="124"/>
      <c r="AR267" s="124" t="s">
        <v>1829</v>
      </c>
      <c r="AS267" s="124"/>
      <c r="AT267" s="124" t="s">
        <v>1940</v>
      </c>
      <c r="AU267" s="124" t="str">
        <f t="shared" si="70"/>
        <v/>
      </c>
      <c r="AV267" s="124" t="s">
        <v>2619</v>
      </c>
      <c r="AW267" s="117"/>
      <c r="AX267" s="138" t="str">
        <f t="shared" si="86"/>
        <v/>
      </c>
      <c r="AY267" s="31" t="str">
        <f>IF(C267&lt;&gt;"",CREATE_QUERY($D$1,C$2:AW$2,C267:AW267),"")</f>
        <v/>
      </c>
    </row>
    <row r="268" spans="1:51">
      <c r="A268" s="1">
        <v>103</v>
      </c>
      <c r="B268" s="121" t="str">
        <f t="shared" si="87"/>
        <v/>
      </c>
      <c r="C268" s="27" t="str">
        <f t="shared" si="65"/>
        <v/>
      </c>
      <c r="D268" s="121"/>
      <c r="E268" s="27">
        <v>274005</v>
      </c>
      <c r="F268" s="121"/>
      <c r="G268" s="121"/>
      <c r="H268" s="121"/>
      <c r="I268" s="121"/>
      <c r="J268" s="121"/>
      <c r="K268" s="27"/>
      <c r="L268" s="27"/>
      <c r="M268" s="27"/>
      <c r="N268" s="121"/>
      <c r="O268" s="121"/>
      <c r="P268" s="27" t="str">
        <f t="shared" si="73"/>
        <v>0</v>
      </c>
      <c r="Q268" s="27" t="str">
        <f t="shared" si="74"/>
        <v>0</v>
      </c>
      <c r="R268" s="27" t="str">
        <f t="shared" si="75"/>
        <v>0</v>
      </c>
      <c r="S268" s="27" t="str">
        <f t="shared" si="76"/>
        <v>0</v>
      </c>
      <c r="T268" s="27" t="str">
        <f t="shared" si="77"/>
        <v>0</v>
      </c>
      <c r="U268" s="27" t="str">
        <f t="shared" si="78"/>
        <v>0</v>
      </c>
      <c r="V268" s="27" t="str">
        <f t="shared" si="79"/>
        <v>1</v>
      </c>
      <c r="W268" s="27"/>
      <c r="X268" s="27" t="str">
        <f t="shared" si="80"/>
        <v/>
      </c>
      <c r="Y268" s="27" t="str">
        <f t="shared" si="81"/>
        <v/>
      </c>
      <c r="Z268" s="27" t="str">
        <f t="shared" si="82"/>
        <v/>
      </c>
      <c r="AA268" s="121"/>
      <c r="AB268" s="121"/>
      <c r="AC268" s="121"/>
      <c r="AD268" s="121"/>
      <c r="AE268" s="121" t="s">
        <v>51</v>
      </c>
      <c r="AF268" s="121"/>
      <c r="AG268" s="121"/>
      <c r="AH268" s="28" t="s">
        <v>243</v>
      </c>
      <c r="AI268" s="28" t="s">
        <v>113</v>
      </c>
      <c r="AJ268" s="28">
        <v>51100</v>
      </c>
      <c r="AK268" s="121" t="str">
        <f t="shared" ref="AK268" si="89">IF(B269="","","0")</f>
        <v/>
      </c>
      <c r="AL268" s="123" t="str">
        <f t="shared" si="45"/>
        <v/>
      </c>
      <c r="AM268" s="27"/>
      <c r="AN268" s="124"/>
      <c r="AO268" s="124" t="s">
        <v>1829</v>
      </c>
      <c r="AP268" s="124" t="s">
        <v>1829</v>
      </c>
      <c r="AQ268" s="124"/>
      <c r="AR268" s="124" t="s">
        <v>1829</v>
      </c>
      <c r="AS268" s="124"/>
      <c r="AT268" s="124" t="s">
        <v>1940</v>
      </c>
      <c r="AU268" s="124" t="str">
        <f t="shared" si="70"/>
        <v/>
      </c>
      <c r="AV268" s="124" t="s">
        <v>2620</v>
      </c>
      <c r="AW268" s="117"/>
      <c r="AX268" s="138" t="str">
        <f t="shared" si="86"/>
        <v/>
      </c>
      <c r="AY268" s="31" t="str">
        <f>IF(C268&lt;&gt;"",CREATE_QUERY($D$1,C$2:AW$2,C268:AW268),"")</f>
        <v/>
      </c>
    </row>
    <row r="269" spans="1:51">
      <c r="A269" s="1">
        <v>105</v>
      </c>
      <c r="B269" s="121" t="str">
        <f t="shared" si="87"/>
        <v/>
      </c>
      <c r="C269" s="27" t="str">
        <f t="shared" si="65"/>
        <v/>
      </c>
      <c r="D269" s="121"/>
      <c r="E269" s="27">
        <v>274006</v>
      </c>
      <c r="F269" s="121"/>
      <c r="G269" s="121"/>
      <c r="H269" s="121"/>
      <c r="I269" s="121"/>
      <c r="J269" s="121"/>
      <c r="K269" s="27"/>
      <c r="L269" s="27"/>
      <c r="M269" s="27"/>
      <c r="N269" s="121"/>
      <c r="O269" s="121"/>
      <c r="P269" s="27" t="str">
        <f t="shared" si="73"/>
        <v>0</v>
      </c>
      <c r="Q269" s="27" t="str">
        <f t="shared" si="74"/>
        <v>0</v>
      </c>
      <c r="R269" s="27" t="str">
        <f t="shared" si="75"/>
        <v>0</v>
      </c>
      <c r="S269" s="27" t="str">
        <f t="shared" si="76"/>
        <v>0</v>
      </c>
      <c r="T269" s="27" t="str">
        <f t="shared" si="77"/>
        <v>0</v>
      </c>
      <c r="U269" s="27" t="str">
        <f t="shared" si="78"/>
        <v>0</v>
      </c>
      <c r="V269" s="27" t="str">
        <f t="shared" si="79"/>
        <v>1</v>
      </c>
      <c r="W269" s="27"/>
      <c r="X269" s="27" t="str">
        <f t="shared" si="80"/>
        <v/>
      </c>
      <c r="Y269" s="27" t="str">
        <f t="shared" si="81"/>
        <v/>
      </c>
      <c r="Z269" s="27" t="str">
        <f t="shared" si="82"/>
        <v/>
      </c>
      <c r="AA269" s="121"/>
      <c r="AB269" s="121"/>
      <c r="AC269" s="121"/>
      <c r="AD269" s="121"/>
      <c r="AE269" s="121" t="s">
        <v>51</v>
      </c>
      <c r="AF269" s="121"/>
      <c r="AG269" s="121"/>
      <c r="AH269" s="28" t="s">
        <v>243</v>
      </c>
      <c r="AI269" s="28" t="s">
        <v>113</v>
      </c>
      <c r="AJ269" s="28">
        <v>51150</v>
      </c>
      <c r="AK269" s="121" t="str">
        <f>IF(B276="","","0")</f>
        <v>0</v>
      </c>
      <c r="AL269" s="123" t="str">
        <f t="shared" si="45"/>
        <v/>
      </c>
      <c r="AM269" s="27"/>
      <c r="AN269" s="124"/>
      <c r="AO269" s="124" t="s">
        <v>1829</v>
      </c>
      <c r="AP269" s="124" t="s">
        <v>1829</v>
      </c>
      <c r="AQ269" s="124"/>
      <c r="AR269" s="124" t="s">
        <v>1829</v>
      </c>
      <c r="AS269" s="124"/>
      <c r="AT269" s="124" t="s">
        <v>1940</v>
      </c>
      <c r="AU269" s="124" t="str">
        <f t="shared" si="70"/>
        <v/>
      </c>
      <c r="AV269" s="124" t="s">
        <v>2621</v>
      </c>
      <c r="AW269" s="117"/>
      <c r="AX269" s="138" t="str">
        <f t="shared" si="86"/>
        <v/>
      </c>
      <c r="AY269" s="31" t="str">
        <f>IF(C269&lt;&gt;"",CREATE_QUERY($D$1,C$2:AW$2,C269:AW269),"")</f>
        <v/>
      </c>
    </row>
    <row r="270" spans="1:51">
      <c r="A270" s="1">
        <v>103</v>
      </c>
      <c r="B270" s="121" t="str">
        <f t="shared" si="87"/>
        <v/>
      </c>
      <c r="C270" s="27" t="str">
        <f t="shared" si="65"/>
        <v/>
      </c>
      <c r="D270" s="121"/>
      <c r="E270" s="27">
        <v>274007</v>
      </c>
      <c r="F270" s="121"/>
      <c r="G270" s="121"/>
      <c r="H270" s="121"/>
      <c r="I270" s="121"/>
      <c r="J270" s="121"/>
      <c r="K270" s="27"/>
      <c r="L270" s="27"/>
      <c r="M270" s="27"/>
      <c r="N270" s="121"/>
      <c r="O270" s="121"/>
      <c r="P270" s="27" t="str">
        <f t="shared" si="73"/>
        <v>0</v>
      </c>
      <c r="Q270" s="27" t="str">
        <f t="shared" si="74"/>
        <v>0</v>
      </c>
      <c r="R270" s="27" t="str">
        <f t="shared" si="75"/>
        <v>0</v>
      </c>
      <c r="S270" s="27" t="str">
        <f t="shared" si="76"/>
        <v>0</v>
      </c>
      <c r="T270" s="27" t="str">
        <f t="shared" si="77"/>
        <v>0</v>
      </c>
      <c r="U270" s="27" t="str">
        <f t="shared" si="78"/>
        <v>0</v>
      </c>
      <c r="V270" s="27" t="str">
        <f t="shared" si="79"/>
        <v>1</v>
      </c>
      <c r="W270" s="27"/>
      <c r="X270" s="27" t="str">
        <f t="shared" si="80"/>
        <v/>
      </c>
      <c r="Y270" s="27" t="str">
        <f t="shared" si="81"/>
        <v/>
      </c>
      <c r="Z270" s="27" t="str">
        <f t="shared" si="82"/>
        <v/>
      </c>
      <c r="AA270" s="121"/>
      <c r="AB270" s="121"/>
      <c r="AC270" s="121"/>
      <c r="AD270" s="121"/>
      <c r="AE270" s="121" t="s">
        <v>51</v>
      </c>
      <c r="AF270" s="121"/>
      <c r="AG270" s="121"/>
      <c r="AH270" s="28" t="s">
        <v>243</v>
      </c>
      <c r="AI270" s="28" t="s">
        <v>113</v>
      </c>
      <c r="AJ270" s="28">
        <v>51100</v>
      </c>
      <c r="AK270" s="121" t="str">
        <f t="shared" ref="AK270" si="90">IF(B271="","","0")</f>
        <v/>
      </c>
      <c r="AL270" s="123" t="str">
        <f t="shared" si="45"/>
        <v/>
      </c>
      <c r="AM270" s="27"/>
      <c r="AN270" s="124"/>
      <c r="AO270" s="124" t="s">
        <v>1829</v>
      </c>
      <c r="AP270" s="124" t="s">
        <v>1829</v>
      </c>
      <c r="AQ270" s="124"/>
      <c r="AR270" s="124" t="s">
        <v>1829</v>
      </c>
      <c r="AS270" s="124"/>
      <c r="AT270" s="124" t="s">
        <v>1940</v>
      </c>
      <c r="AU270" s="124" t="str">
        <f t="shared" si="70"/>
        <v/>
      </c>
      <c r="AV270" s="124" t="s">
        <v>2622</v>
      </c>
      <c r="AW270" s="117"/>
      <c r="AX270" s="138" t="str">
        <f t="shared" si="86"/>
        <v/>
      </c>
      <c r="AY270" s="31" t="str">
        <f>IF(C270&lt;&gt;"",CREATE_QUERY($D$1,C$2:AW$2,C270:AW270),"")</f>
        <v/>
      </c>
    </row>
    <row r="271" spans="1:51">
      <c r="A271" s="1">
        <v>105</v>
      </c>
      <c r="B271" s="121" t="str">
        <f t="shared" si="87"/>
        <v/>
      </c>
      <c r="C271" s="27" t="str">
        <f t="shared" si="65"/>
        <v/>
      </c>
      <c r="D271" s="121"/>
      <c r="E271" s="27">
        <v>274008</v>
      </c>
      <c r="F271" s="121"/>
      <c r="G271" s="121"/>
      <c r="H271" s="121"/>
      <c r="I271" s="121"/>
      <c r="J271" s="121"/>
      <c r="K271" s="27"/>
      <c r="L271" s="27"/>
      <c r="M271" s="27"/>
      <c r="N271" s="121"/>
      <c r="O271" s="121"/>
      <c r="P271" s="27" t="str">
        <f t="shared" si="73"/>
        <v>0</v>
      </c>
      <c r="Q271" s="27" t="str">
        <f t="shared" si="74"/>
        <v>0</v>
      </c>
      <c r="R271" s="27" t="str">
        <f t="shared" si="75"/>
        <v>0</v>
      </c>
      <c r="S271" s="27" t="str">
        <f t="shared" si="76"/>
        <v>0</v>
      </c>
      <c r="T271" s="27" t="str">
        <f t="shared" si="77"/>
        <v>0</v>
      </c>
      <c r="U271" s="27" t="str">
        <f t="shared" si="78"/>
        <v>0</v>
      </c>
      <c r="V271" s="27" t="str">
        <f t="shared" si="79"/>
        <v>1</v>
      </c>
      <c r="W271" s="27"/>
      <c r="X271" s="27" t="str">
        <f t="shared" si="80"/>
        <v/>
      </c>
      <c r="Y271" s="27" t="str">
        <f t="shared" si="81"/>
        <v/>
      </c>
      <c r="Z271" s="27" t="str">
        <f t="shared" si="82"/>
        <v/>
      </c>
      <c r="AA271" s="121"/>
      <c r="AB271" s="121"/>
      <c r="AC271" s="121"/>
      <c r="AD271" s="121"/>
      <c r="AE271" s="121" t="s">
        <v>51</v>
      </c>
      <c r="AF271" s="121"/>
      <c r="AG271" s="121"/>
      <c r="AH271" s="28" t="s">
        <v>243</v>
      </c>
      <c r="AI271" s="28" t="s">
        <v>113</v>
      </c>
      <c r="AJ271" s="28">
        <v>51150</v>
      </c>
      <c r="AK271" s="121" t="str">
        <f>IF(B278="","","0")</f>
        <v>0</v>
      </c>
      <c r="AL271" s="123" t="str">
        <f t="shared" si="45"/>
        <v/>
      </c>
      <c r="AM271" s="27"/>
      <c r="AN271" s="124"/>
      <c r="AO271" s="124" t="s">
        <v>1829</v>
      </c>
      <c r="AP271" s="124" t="s">
        <v>1829</v>
      </c>
      <c r="AQ271" s="124"/>
      <c r="AR271" s="124" t="s">
        <v>1829</v>
      </c>
      <c r="AS271" s="124"/>
      <c r="AT271" s="124" t="s">
        <v>1940</v>
      </c>
      <c r="AU271" s="124" t="str">
        <f t="shared" si="70"/>
        <v/>
      </c>
      <c r="AV271" s="124" t="s">
        <v>2623</v>
      </c>
      <c r="AW271" s="117"/>
      <c r="AX271" s="138" t="str">
        <f t="shared" si="86"/>
        <v/>
      </c>
      <c r="AY271" s="31" t="str">
        <f>IF(C271&lt;&gt;"",CREATE_QUERY($D$1,C$2:AW$2,C271:AW271),"")</f>
        <v/>
      </c>
    </row>
    <row r="272" spans="1:51">
      <c r="A272" s="1">
        <v>108</v>
      </c>
      <c r="B272" s="121" t="str">
        <f t="shared" si="87"/>
        <v/>
      </c>
      <c r="C272" s="27" t="str">
        <f t="shared" si="65"/>
        <v/>
      </c>
      <c r="D272" s="121"/>
      <c r="E272" s="27"/>
      <c r="F272" s="121"/>
      <c r="G272" s="121"/>
      <c r="H272" s="121"/>
      <c r="I272" s="121"/>
      <c r="J272" s="121"/>
      <c r="K272" s="27" t="str">
        <f t="shared" ref="K272:K338" si="91">IF(O272="","","1")</f>
        <v/>
      </c>
      <c r="L272" s="27">
        <v>1</v>
      </c>
      <c r="M272" s="27" t="str">
        <f t="shared" ref="M272:M338" si="92">IF(O272="","0","1")</f>
        <v>0</v>
      </c>
      <c r="N272" s="121"/>
      <c r="O272" s="121"/>
      <c r="P272" s="27" t="str">
        <f t="shared" si="73"/>
        <v>0</v>
      </c>
      <c r="Q272" s="27" t="str">
        <f t="shared" si="74"/>
        <v>0</v>
      </c>
      <c r="R272" s="27" t="str">
        <f t="shared" si="75"/>
        <v>0</v>
      </c>
      <c r="S272" s="27" t="str">
        <f t="shared" si="76"/>
        <v>0</v>
      </c>
      <c r="T272" s="27" t="str">
        <f t="shared" si="77"/>
        <v>0</v>
      </c>
      <c r="U272" s="27" t="str">
        <f t="shared" si="78"/>
        <v>0</v>
      </c>
      <c r="V272" s="27" t="str">
        <f t="shared" si="79"/>
        <v>1</v>
      </c>
      <c r="W272" s="27"/>
      <c r="X272" s="27" t="str">
        <f t="shared" si="80"/>
        <v/>
      </c>
      <c r="Y272" s="27" t="str">
        <f t="shared" si="81"/>
        <v/>
      </c>
      <c r="Z272" s="27" t="str">
        <f t="shared" si="82"/>
        <v/>
      </c>
      <c r="AA272" s="121"/>
      <c r="AB272" s="121"/>
      <c r="AC272" s="121"/>
      <c r="AD272" s="121"/>
      <c r="AE272" s="121"/>
      <c r="AF272" s="121"/>
      <c r="AG272" s="121"/>
      <c r="AH272" s="27"/>
      <c r="AI272" s="27"/>
      <c r="AJ272" s="27" t="s">
        <v>900</v>
      </c>
      <c r="AK272" s="121" t="str">
        <f t="shared" ref="AK272:AK337" si="93">IF(B273="","","0")</f>
        <v>0</v>
      </c>
      <c r="AL272" s="123" t="str">
        <f t="shared" si="45"/>
        <v/>
      </c>
      <c r="AM272" s="27"/>
      <c r="AN272" s="124"/>
      <c r="AO272" s="124"/>
      <c r="AP272" s="124"/>
      <c r="AQ272" s="124"/>
      <c r="AR272" s="124"/>
      <c r="AS272" s="124"/>
      <c r="AT272" s="124"/>
      <c r="AU272" s="124" t="str">
        <f t="shared" si="70"/>
        <v/>
      </c>
      <c r="AV272" s="124"/>
      <c r="AW272" s="117"/>
      <c r="AX272" s="138" t="str">
        <f t="shared" si="86"/>
        <v/>
      </c>
      <c r="AY272" s="31" t="str">
        <f>IF(C272&lt;&gt;"",CREATE_QUERY($D$1,C$2:AW$2,C272:AW272),"")</f>
        <v/>
      </c>
    </row>
    <row r="273" spans="1:51">
      <c r="A273" s="1">
        <v>109</v>
      </c>
      <c r="B273" s="121" t="str">
        <f t="shared" si="87"/>
        <v xml:space="preserve">  └ 생산관리</v>
      </c>
      <c r="C273" s="27" t="str">
        <f t="shared" si="65"/>
        <v>14821</v>
      </c>
      <c r="D273" s="121"/>
      <c r="E273" s="25" t="s">
        <v>197</v>
      </c>
      <c r="F273" s="127" t="s">
        <v>196</v>
      </c>
      <c r="G273" s="127"/>
      <c r="H273" s="127"/>
      <c r="I273" s="127"/>
      <c r="J273" s="127"/>
      <c r="K273" s="25" t="str">
        <f t="shared" si="91"/>
        <v/>
      </c>
      <c r="L273" s="25">
        <v>1</v>
      </c>
      <c r="M273" s="25" t="str">
        <f t="shared" si="92"/>
        <v>0</v>
      </c>
      <c r="N273" s="127"/>
      <c r="O273" s="127"/>
      <c r="P273" s="25" t="str">
        <f t="shared" si="73"/>
        <v>0</v>
      </c>
      <c r="Q273" s="25" t="str">
        <f t="shared" si="74"/>
        <v>0</v>
      </c>
      <c r="R273" s="25" t="str">
        <f t="shared" si="75"/>
        <v>0</v>
      </c>
      <c r="S273" s="25" t="str">
        <f t="shared" si="76"/>
        <v>0</v>
      </c>
      <c r="T273" s="25" t="str">
        <f t="shared" si="77"/>
        <v>0</v>
      </c>
      <c r="U273" s="25" t="str">
        <f t="shared" si="78"/>
        <v>0</v>
      </c>
      <c r="V273" s="25" t="str">
        <f t="shared" si="79"/>
        <v>1</v>
      </c>
      <c r="W273" s="25"/>
      <c r="X273" s="25" t="str">
        <f t="shared" si="80"/>
        <v/>
      </c>
      <c r="Y273" s="25" t="str">
        <f t="shared" si="81"/>
        <v/>
      </c>
      <c r="Z273" s="25" t="str">
        <f t="shared" si="82"/>
        <v/>
      </c>
      <c r="AA273" s="127"/>
      <c r="AB273" s="127"/>
      <c r="AC273" s="127"/>
      <c r="AD273" s="127"/>
      <c r="AE273" s="127" t="s">
        <v>51</v>
      </c>
      <c r="AF273" s="127"/>
      <c r="AG273" s="127"/>
      <c r="AH273" s="24" t="s">
        <v>120</v>
      </c>
      <c r="AI273" s="24" t="s">
        <v>111</v>
      </c>
      <c r="AJ273" s="24">
        <v>60000</v>
      </c>
      <c r="AK273" s="121" t="str">
        <f t="shared" si="93"/>
        <v>0</v>
      </c>
      <c r="AL273" s="123" t="str">
        <f t="shared" si="45"/>
        <v>14821/생산관리//</v>
      </c>
      <c r="AM273" s="25"/>
      <c r="AN273" s="124"/>
      <c r="AO273" s="124" t="s">
        <v>1829</v>
      </c>
      <c r="AP273" s="124" t="s">
        <v>1829</v>
      </c>
      <c r="AQ273" s="124" t="s">
        <v>1829</v>
      </c>
      <c r="AR273" s="124" t="s">
        <v>1829</v>
      </c>
      <c r="AS273" s="124"/>
      <c r="AT273" s="124" t="s">
        <v>1941</v>
      </c>
      <c r="AU273" s="124" t="str">
        <f t="shared" si="70"/>
        <v/>
      </c>
      <c r="AV273" s="124"/>
      <c r="AW273" s="117"/>
      <c r="AX273" s="138" t="str">
        <f t="shared" si="86"/>
        <v>delete from module_mst where pjt_id = '14821' and menu_id = '280000';</v>
      </c>
      <c r="AY273" s="31" t="str">
        <f>IF(C273&lt;&gt;"",CREATE_QUERY($D$1,C$2:AW$2,C273:AW273),"")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'280000', '생산관리', '', '', '', '', '', '1', '0', '', '', '0', '0', '0', '0', '0', '0', '1', '', '', '', '', '', '', '', '', 'N', '', '', '200000', '3', '60000', '0', '14821/생산관리//', '', '', 'Y', 'Y', 'Y', 'Y', '', 'P', '', '');</v>
      </c>
    </row>
    <row r="274" spans="1:51">
      <c r="A274" s="1">
        <v>110</v>
      </c>
      <c r="B274" s="121" t="str">
        <f t="shared" si="87"/>
        <v xml:space="preserve">    └ 기준정보관리</v>
      </c>
      <c r="C274" s="27" t="str">
        <f t="shared" si="65"/>
        <v>14821</v>
      </c>
      <c r="D274" s="121"/>
      <c r="E274" s="21" t="s">
        <v>199</v>
      </c>
      <c r="F274" s="118" t="s">
        <v>198</v>
      </c>
      <c r="G274" s="118"/>
      <c r="H274" s="118"/>
      <c r="I274" s="118"/>
      <c r="J274" s="118"/>
      <c r="K274" s="21" t="str">
        <f t="shared" si="91"/>
        <v/>
      </c>
      <c r="L274" s="21">
        <v>1</v>
      </c>
      <c r="M274" s="21" t="str">
        <f t="shared" si="92"/>
        <v>0</v>
      </c>
      <c r="N274" s="118"/>
      <c r="O274" s="118"/>
      <c r="P274" s="21" t="str">
        <f t="shared" si="73"/>
        <v>0</v>
      </c>
      <c r="Q274" s="21" t="str">
        <f t="shared" si="74"/>
        <v>0</v>
      </c>
      <c r="R274" s="21" t="str">
        <f t="shared" si="75"/>
        <v>0</v>
      </c>
      <c r="S274" s="21" t="str">
        <f t="shared" si="76"/>
        <v>0</v>
      </c>
      <c r="T274" s="21" t="str">
        <f t="shared" si="77"/>
        <v>0</v>
      </c>
      <c r="U274" s="21" t="str">
        <f t="shared" si="78"/>
        <v>0</v>
      </c>
      <c r="V274" s="21" t="str">
        <f t="shared" si="79"/>
        <v>1</v>
      </c>
      <c r="W274" s="21"/>
      <c r="X274" s="21" t="str">
        <f t="shared" si="80"/>
        <v/>
      </c>
      <c r="Y274" s="21" t="str">
        <f t="shared" si="81"/>
        <v/>
      </c>
      <c r="Z274" s="21" t="str">
        <f t="shared" si="82"/>
        <v/>
      </c>
      <c r="AA274" s="118"/>
      <c r="AB274" s="118"/>
      <c r="AC274" s="118"/>
      <c r="AD274" s="118"/>
      <c r="AE274" s="118" t="s">
        <v>51</v>
      </c>
      <c r="AF274" s="118"/>
      <c r="AG274" s="118"/>
      <c r="AH274" s="26" t="s">
        <v>197</v>
      </c>
      <c r="AI274" s="26" t="s">
        <v>112</v>
      </c>
      <c r="AJ274" s="26">
        <v>60050</v>
      </c>
      <c r="AK274" s="121" t="str">
        <f t="shared" si="93"/>
        <v>0</v>
      </c>
      <c r="AL274" s="123" t="str">
        <f t="shared" si="45"/>
        <v>14821/기준정보관리//</v>
      </c>
      <c r="AM274" s="21"/>
      <c r="AN274" s="124"/>
      <c r="AO274" s="124" t="s">
        <v>1829</v>
      </c>
      <c r="AP274" s="124" t="s">
        <v>1829</v>
      </c>
      <c r="AQ274" s="124" t="s">
        <v>1829</v>
      </c>
      <c r="AR274" s="124" t="s">
        <v>1829</v>
      </c>
      <c r="AS274" s="124"/>
      <c r="AT274" s="124" t="s">
        <v>1941</v>
      </c>
      <c r="AU274" s="124" t="str">
        <f t="shared" si="70"/>
        <v/>
      </c>
      <c r="AV274" s="124"/>
      <c r="AW274" s="117"/>
      <c r="AX274" s="138" t="str">
        <f t="shared" si="86"/>
        <v>delete from module_mst where pjt_id = '14821' and menu_id = '281000';</v>
      </c>
      <c r="AY274" s="31" t="str">
        <f>IF(C274&lt;&gt;"",CREATE_QUERY($D$1,C$2:AW$2,C274:AW274),"")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'281000', '기준정보관리', '', '', '', '', '', '1', '0', '', '', '0', '0', '0', '0', '0', '0', '1', '', '', '', '', '', '', '', '', 'N', '', '', '280000', '4', '60050', '0', '14821/기준정보관리//', '', '', 'Y', 'Y', 'Y', 'Y', '', 'P', '', '');</v>
      </c>
    </row>
    <row r="275" spans="1:51" ht="26">
      <c r="A275" s="1">
        <v>111</v>
      </c>
      <c r="B275" s="121" t="str">
        <f t="shared" si="87"/>
        <v xml:space="preserve">        └ 공정코드 관리</v>
      </c>
      <c r="C275" s="27" t="str">
        <f t="shared" si="65"/>
        <v>14821</v>
      </c>
      <c r="D275" s="121"/>
      <c r="E275" s="27">
        <v>281001</v>
      </c>
      <c r="F275" s="121" t="s">
        <v>200</v>
      </c>
      <c r="G275" s="121"/>
      <c r="H275" s="121"/>
      <c r="I275" s="121"/>
      <c r="J275" s="121"/>
      <c r="K275" s="27" t="str">
        <f t="shared" si="91"/>
        <v>1</v>
      </c>
      <c r="L275" s="27">
        <v>1</v>
      </c>
      <c r="M275" s="27" t="str">
        <f t="shared" si="92"/>
        <v>1</v>
      </c>
      <c r="N275" s="121" t="s">
        <v>314</v>
      </c>
      <c r="O275" s="121" t="s">
        <v>204</v>
      </c>
      <c r="P275" s="27" t="str">
        <f t="shared" si="73"/>
        <v>1</v>
      </c>
      <c r="Q275" s="27" t="str">
        <f t="shared" si="74"/>
        <v>1</v>
      </c>
      <c r="R275" s="27" t="str">
        <f t="shared" si="75"/>
        <v>1</v>
      </c>
      <c r="S275" s="27" t="str">
        <f t="shared" si="76"/>
        <v>1</v>
      </c>
      <c r="T275" s="27" t="str">
        <f t="shared" si="77"/>
        <v>1</v>
      </c>
      <c r="U275" s="27" t="str">
        <f t="shared" si="78"/>
        <v>1</v>
      </c>
      <c r="V275" s="27" t="str">
        <f t="shared" si="79"/>
        <v>1</v>
      </c>
      <c r="W275" s="27"/>
      <c r="X275" s="27" t="str">
        <f t="shared" si="80"/>
        <v>0</v>
      </c>
      <c r="Y275" s="27" t="str">
        <f t="shared" si="81"/>
        <v>0</v>
      </c>
      <c r="Z275" s="27" t="str">
        <f t="shared" si="82"/>
        <v>0</v>
      </c>
      <c r="AA275" s="121"/>
      <c r="AB275" s="121"/>
      <c r="AC275" s="121"/>
      <c r="AD275" s="121"/>
      <c r="AE275" s="121" t="s">
        <v>51</v>
      </c>
      <c r="AF275" s="121"/>
      <c r="AG275" s="121"/>
      <c r="AH275" s="28" t="s">
        <v>199</v>
      </c>
      <c r="AI275" s="28" t="s">
        <v>113</v>
      </c>
      <c r="AJ275" s="28">
        <v>60100</v>
      </c>
      <c r="AK275" s="121" t="str">
        <f t="shared" si="93"/>
        <v>0</v>
      </c>
      <c r="AL275" s="123" t="str">
        <f t="shared" si="45"/>
        <v>14821/공정코드 관리/prod.basic/WkctMast</v>
      </c>
      <c r="AM275" s="27"/>
      <c r="AN275" s="124"/>
      <c r="AO275" s="124" t="s">
        <v>1829</v>
      </c>
      <c r="AP275" s="124" t="s">
        <v>1829</v>
      </c>
      <c r="AQ275" s="124" t="s">
        <v>1829</v>
      </c>
      <c r="AR275" s="124" t="s">
        <v>1829</v>
      </c>
      <c r="AS275" s="124"/>
      <c r="AT275" s="124" t="s">
        <v>1941</v>
      </c>
      <c r="AU275" s="124" t="str">
        <f t="shared" si="70"/>
        <v>P281001</v>
      </c>
      <c r="AV275" s="124" t="s">
        <v>2658</v>
      </c>
      <c r="AW275" s="117" t="s">
        <v>1858</v>
      </c>
      <c r="AX275" s="138" t="str">
        <f t="shared" si="86"/>
        <v>delete from module_mst where pjt_id = '14821' and menu_id = '281001';</v>
      </c>
      <c r="AY275" s="31" t="str">
        <f>IF(C275&lt;&gt;"",CREATE_QUERY($D$1,C$2:AW$2,C275:AW275),"")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'281001', '공정코드 관리', '', '', '', '', '1', '1', '1', 'prod.basic', 'WkctMast', '1', '1', '1', '1', '1', '1', '1', '', '0', '0', '0', '', '', '', '', 'N', '', '', '281000', '5', '60100', '0', '14821/공정코드 관리/prod.basic/WkctMast', '', '', 'Y', 'Y', 'Y', 'Y', '', 'P', 'MES-TD3-401', 'WORK CENTER 정보를 등록(소속부서 및 공정명, 검사여부 및 외주공정일 경우 외주업체 정보 등)');</v>
      </c>
    </row>
    <row r="276" spans="1:51">
      <c r="A276" s="1">
        <v>112</v>
      </c>
      <c r="B276" s="121" t="str">
        <f t="shared" si="87"/>
        <v xml:space="preserve">        └ 공정별 설비 관리</v>
      </c>
      <c r="C276" s="27" t="str">
        <f t="shared" si="65"/>
        <v>14821</v>
      </c>
      <c r="D276" s="121"/>
      <c r="E276" s="27">
        <v>281002</v>
      </c>
      <c r="F276" s="121" t="s">
        <v>319</v>
      </c>
      <c r="G276" s="121"/>
      <c r="H276" s="121"/>
      <c r="I276" s="121"/>
      <c r="J276" s="121"/>
      <c r="K276" s="27" t="str">
        <f t="shared" si="91"/>
        <v>1</v>
      </c>
      <c r="L276" s="27">
        <v>1</v>
      </c>
      <c r="M276" s="27" t="str">
        <f t="shared" si="92"/>
        <v>1</v>
      </c>
      <c r="N276" s="121" t="s">
        <v>314</v>
      </c>
      <c r="O276" s="121" t="s">
        <v>320</v>
      </c>
      <c r="P276" s="27" t="str">
        <f t="shared" si="73"/>
        <v>1</v>
      </c>
      <c r="Q276" s="27" t="str">
        <f t="shared" si="74"/>
        <v>1</v>
      </c>
      <c r="R276" s="27" t="str">
        <f t="shared" si="75"/>
        <v>1</v>
      </c>
      <c r="S276" s="27" t="str">
        <f t="shared" si="76"/>
        <v>1</v>
      </c>
      <c r="T276" s="27" t="str">
        <f t="shared" si="77"/>
        <v>1</v>
      </c>
      <c r="U276" s="27" t="str">
        <f t="shared" si="78"/>
        <v>1</v>
      </c>
      <c r="V276" s="27" t="str">
        <f t="shared" si="79"/>
        <v>1</v>
      </c>
      <c r="W276" s="27"/>
      <c r="X276" s="27" t="str">
        <f t="shared" si="80"/>
        <v>0</v>
      </c>
      <c r="Y276" s="27" t="str">
        <f t="shared" si="81"/>
        <v>0</v>
      </c>
      <c r="Z276" s="27" t="str">
        <f t="shared" si="82"/>
        <v>0</v>
      </c>
      <c r="AA276" s="121"/>
      <c r="AB276" s="121"/>
      <c r="AC276" s="121"/>
      <c r="AD276" s="121"/>
      <c r="AE276" s="121" t="s">
        <v>51</v>
      </c>
      <c r="AF276" s="121"/>
      <c r="AG276" s="121"/>
      <c r="AH276" s="28" t="s">
        <v>199</v>
      </c>
      <c r="AI276" s="28" t="s">
        <v>113</v>
      </c>
      <c r="AJ276" s="28">
        <v>60150</v>
      </c>
      <c r="AK276" s="121" t="str">
        <f t="shared" si="93"/>
        <v>0</v>
      </c>
      <c r="AL276" s="123" t="str">
        <f t="shared" si="45"/>
        <v>14821/공정별 설비 관리/prod.basic/WkctCvicMast</v>
      </c>
      <c r="AM276" s="27"/>
      <c r="AN276" s="124"/>
      <c r="AO276" s="124" t="s">
        <v>1829</v>
      </c>
      <c r="AP276" s="124" t="s">
        <v>1829</v>
      </c>
      <c r="AQ276" s="124" t="s">
        <v>1829</v>
      </c>
      <c r="AR276" s="124" t="s">
        <v>1829</v>
      </c>
      <c r="AS276" s="124"/>
      <c r="AT276" s="124" t="s">
        <v>1941</v>
      </c>
      <c r="AU276" s="124" t="str">
        <f t="shared" si="70"/>
        <v>P281002</v>
      </c>
      <c r="AV276" s="124" t="s">
        <v>2659</v>
      </c>
      <c r="AW276" s="117" t="s">
        <v>1859</v>
      </c>
      <c r="AX276" s="138" t="str">
        <f t="shared" si="86"/>
        <v>delete from module_mst where pjt_id = '14821' and menu_id = '281002';</v>
      </c>
      <c r="AY276" s="31" t="str">
        <f>IF(C276&lt;&gt;"",CREATE_QUERY($D$1,C$2:AW$2,C276:AW276),"")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'281002', '공정별 설비 관리', '', '', '', '', '1', '1', '1', 'prod.basic', 'WkctCvicMast', '1', '1', '1', '1', '1', '1', '1', '', '0', '0', '0', '', '', '', '', 'N', '', '', '281000', '5', '60150', '0', '14821/공정별 설비 관리/prod.basic/WkctCvicMast', '', '', 'Y', 'Y', 'Y', 'Y', '', 'P', 'MES-TD3-402', '공정별 운영 설비 등록(사전에 설비코드 등록되어 있어야 함)');</v>
      </c>
    </row>
    <row r="277" spans="1:51">
      <c r="A277" s="1">
        <v>112</v>
      </c>
      <c r="B277" s="121" t="str">
        <f t="shared" si="87"/>
        <v xml:space="preserve">        └ 공정별 작업자 관리</v>
      </c>
      <c r="C277" s="27" t="str">
        <f t="shared" si="65"/>
        <v>14821</v>
      </c>
      <c r="D277" s="121"/>
      <c r="E277" s="27">
        <v>281003</v>
      </c>
      <c r="F277" s="121" t="s">
        <v>321</v>
      </c>
      <c r="G277" s="121"/>
      <c r="H277" s="121"/>
      <c r="I277" s="121"/>
      <c r="J277" s="121"/>
      <c r="K277" s="27" t="str">
        <f t="shared" si="91"/>
        <v>1</v>
      </c>
      <c r="L277" s="27">
        <v>1</v>
      </c>
      <c r="M277" s="27" t="str">
        <f t="shared" si="92"/>
        <v>1</v>
      </c>
      <c r="N277" s="121" t="s">
        <v>314</v>
      </c>
      <c r="O277" s="121" t="s">
        <v>322</v>
      </c>
      <c r="P277" s="27" t="str">
        <f t="shared" si="73"/>
        <v>1</v>
      </c>
      <c r="Q277" s="27" t="str">
        <f t="shared" si="74"/>
        <v>1</v>
      </c>
      <c r="R277" s="27" t="str">
        <f t="shared" si="75"/>
        <v>1</v>
      </c>
      <c r="S277" s="27" t="str">
        <f t="shared" si="76"/>
        <v>1</v>
      </c>
      <c r="T277" s="27" t="str">
        <f t="shared" si="77"/>
        <v>1</v>
      </c>
      <c r="U277" s="27" t="str">
        <f t="shared" si="78"/>
        <v>1</v>
      </c>
      <c r="V277" s="27" t="str">
        <f t="shared" si="79"/>
        <v>1</v>
      </c>
      <c r="W277" s="27"/>
      <c r="X277" s="27" t="str">
        <f t="shared" si="80"/>
        <v>0</v>
      </c>
      <c r="Y277" s="27" t="str">
        <f t="shared" si="81"/>
        <v>0</v>
      </c>
      <c r="Z277" s="27" t="str">
        <f t="shared" si="82"/>
        <v>0</v>
      </c>
      <c r="AA277" s="121"/>
      <c r="AB277" s="121"/>
      <c r="AC277" s="121"/>
      <c r="AD277" s="121"/>
      <c r="AE277" s="121" t="s">
        <v>51</v>
      </c>
      <c r="AF277" s="121"/>
      <c r="AG277" s="121"/>
      <c r="AH277" s="28" t="s">
        <v>199</v>
      </c>
      <c r="AI277" s="28" t="s">
        <v>113</v>
      </c>
      <c r="AJ277" s="28">
        <v>60200</v>
      </c>
      <c r="AK277" s="121" t="str">
        <f t="shared" si="93"/>
        <v>0</v>
      </c>
      <c r="AL277" s="123" t="str">
        <f t="shared" si="45"/>
        <v>14821/공정별 작업자 관리/prod.basic/WkctUserMast</v>
      </c>
      <c r="AM277" s="27"/>
      <c r="AN277" s="124"/>
      <c r="AO277" s="124" t="s">
        <v>1829</v>
      </c>
      <c r="AP277" s="124" t="s">
        <v>1829</v>
      </c>
      <c r="AQ277" s="124" t="s">
        <v>1829</v>
      </c>
      <c r="AR277" s="124" t="s">
        <v>1829</v>
      </c>
      <c r="AS277" s="124"/>
      <c r="AT277" s="124" t="s">
        <v>1941</v>
      </c>
      <c r="AU277" s="124" t="str">
        <f t="shared" si="70"/>
        <v>P281003</v>
      </c>
      <c r="AV277" s="124" t="s">
        <v>2624</v>
      </c>
      <c r="AW277" s="117" t="s">
        <v>1896</v>
      </c>
      <c r="AX277" s="138" t="str">
        <f t="shared" si="86"/>
        <v>delete from module_mst where pjt_id = '14821' and menu_id = '281003';</v>
      </c>
      <c r="AY277" s="31" t="str">
        <f>IF(C277&lt;&gt;"",CREATE_QUERY($D$1,C$2:AW$2,C277:AW277),"")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'281003', '공정별 작업자 관리', '', '', '', '', '1', '1', '1', 'prod.basic', 'WkctUserMast', '1', '1', '1', '1', '1', '1', '1', '', '0', '0', '0', '', '', '', '', 'N', '', '', '281000', '5', '60200', '0', '14821/공정별 작업자 관리/prod.basic/WkctUserMast', '', '', 'Y', 'Y', 'Y', 'Y', '', 'P', 'MES-TD3-403', '공정별 근무중인 작업자 관리');</v>
      </c>
    </row>
    <row r="278" spans="1:51">
      <c r="A278" s="1">
        <v>112</v>
      </c>
      <c r="B278" s="121" t="str">
        <f t="shared" si="87"/>
        <v xml:space="preserve">        └ 생산라인관리</v>
      </c>
      <c r="C278" s="27" t="str">
        <f t="shared" si="65"/>
        <v>14821</v>
      </c>
      <c r="D278" s="121"/>
      <c r="E278" s="27">
        <v>281004</v>
      </c>
      <c r="F278" s="121" t="s">
        <v>201</v>
      </c>
      <c r="G278" s="121"/>
      <c r="H278" s="121"/>
      <c r="I278" s="121"/>
      <c r="J278" s="121"/>
      <c r="K278" s="27" t="str">
        <f t="shared" si="91"/>
        <v>1</v>
      </c>
      <c r="L278" s="27">
        <v>1</v>
      </c>
      <c r="M278" s="27" t="str">
        <f t="shared" si="92"/>
        <v>1</v>
      </c>
      <c r="N278" s="121" t="s">
        <v>314</v>
      </c>
      <c r="O278" s="121" t="s">
        <v>205</v>
      </c>
      <c r="P278" s="27" t="str">
        <f t="shared" si="73"/>
        <v>1</v>
      </c>
      <c r="Q278" s="27" t="str">
        <f t="shared" si="74"/>
        <v>1</v>
      </c>
      <c r="R278" s="27" t="str">
        <f t="shared" si="75"/>
        <v>1</v>
      </c>
      <c r="S278" s="27" t="str">
        <f t="shared" si="76"/>
        <v>1</v>
      </c>
      <c r="T278" s="27" t="str">
        <f t="shared" si="77"/>
        <v>1</v>
      </c>
      <c r="U278" s="27" t="str">
        <f t="shared" si="78"/>
        <v>1</v>
      </c>
      <c r="V278" s="27" t="str">
        <f t="shared" si="79"/>
        <v>1</v>
      </c>
      <c r="W278" s="27"/>
      <c r="X278" s="27" t="str">
        <f t="shared" si="80"/>
        <v>0</v>
      </c>
      <c r="Y278" s="27" t="str">
        <f t="shared" si="81"/>
        <v>0</v>
      </c>
      <c r="Z278" s="27" t="str">
        <f t="shared" si="82"/>
        <v>0</v>
      </c>
      <c r="AA278" s="121"/>
      <c r="AB278" s="121"/>
      <c r="AC278" s="121"/>
      <c r="AD278" s="121"/>
      <c r="AE278" s="121" t="s">
        <v>51</v>
      </c>
      <c r="AF278" s="121"/>
      <c r="AG278" s="121"/>
      <c r="AH278" s="28" t="s">
        <v>199</v>
      </c>
      <c r="AI278" s="28" t="s">
        <v>113</v>
      </c>
      <c r="AJ278" s="28">
        <v>60250</v>
      </c>
      <c r="AK278" s="121" t="str">
        <f t="shared" si="93"/>
        <v>0</v>
      </c>
      <c r="AL278" s="123" t="str">
        <f t="shared" si="45"/>
        <v>14821/생산라인관리/prod.basic/ProdLineMast</v>
      </c>
      <c r="AM278" s="27"/>
      <c r="AN278" s="124"/>
      <c r="AO278" s="124" t="s">
        <v>1829</v>
      </c>
      <c r="AP278" s="124" t="s">
        <v>1829</v>
      </c>
      <c r="AQ278" s="124" t="s">
        <v>1829</v>
      </c>
      <c r="AR278" s="124" t="s">
        <v>1829</v>
      </c>
      <c r="AS278" s="124"/>
      <c r="AT278" s="124" t="s">
        <v>1941</v>
      </c>
      <c r="AU278" s="124" t="str">
        <f t="shared" si="70"/>
        <v>P281004</v>
      </c>
      <c r="AV278" s="124" t="s">
        <v>2625</v>
      </c>
      <c r="AW278" s="117" t="s">
        <v>2089</v>
      </c>
      <c r="AX278" s="138" t="str">
        <f t="shared" si="86"/>
        <v>delete from module_mst where pjt_id = '14821' and menu_id = '281004';</v>
      </c>
      <c r="AY278" s="31" t="str">
        <f>IF(C278&lt;&gt;"",CREATE_QUERY($D$1,C$2:AW$2,C278:AW278),"")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'281004', '생산라인관리', '', '', '', '', '1', '1', '1', 'prod.basic', 'ProdLineMast', '1', '1', '1', '1', '1', '1', '1', '', '0', '0', '0', '', '', '', '', 'N', '', '', '281000', '5', '60250', '0', '14821/생산라인관리/prod.basic/ProdLineMast', '', '', 'Y', 'Y', 'Y', 'Y', '', 'P', 'MES-TD3-404', '생산 공정도 코드를 등록');</v>
      </c>
    </row>
    <row r="279" spans="1:51">
      <c r="A279" s="1">
        <v>113</v>
      </c>
      <c r="B279" s="121" t="str">
        <f t="shared" si="87"/>
        <v xml:space="preserve">        └ 생산라인별 작업순서</v>
      </c>
      <c r="C279" s="27" t="str">
        <f t="shared" si="65"/>
        <v>14821</v>
      </c>
      <c r="D279" s="121"/>
      <c r="E279" s="27">
        <v>281005</v>
      </c>
      <c r="F279" s="121" t="s">
        <v>202</v>
      </c>
      <c r="G279" s="121"/>
      <c r="H279" s="121"/>
      <c r="I279" s="121"/>
      <c r="J279" s="121"/>
      <c r="K279" s="27" t="str">
        <f t="shared" si="91"/>
        <v>1</v>
      </c>
      <c r="L279" s="27">
        <v>1</v>
      </c>
      <c r="M279" s="27" t="str">
        <f t="shared" si="92"/>
        <v>1</v>
      </c>
      <c r="N279" s="121" t="s">
        <v>314</v>
      </c>
      <c r="O279" s="121" t="s">
        <v>206</v>
      </c>
      <c r="P279" s="27" t="str">
        <f t="shared" si="73"/>
        <v>1</v>
      </c>
      <c r="Q279" s="27" t="str">
        <f t="shared" si="74"/>
        <v>1</v>
      </c>
      <c r="R279" s="27" t="str">
        <f t="shared" si="75"/>
        <v>1</v>
      </c>
      <c r="S279" s="27" t="str">
        <f t="shared" si="76"/>
        <v>1</v>
      </c>
      <c r="T279" s="27" t="str">
        <f t="shared" si="77"/>
        <v>1</v>
      </c>
      <c r="U279" s="27" t="str">
        <f t="shared" si="78"/>
        <v>1</v>
      </c>
      <c r="V279" s="27" t="str">
        <f t="shared" si="79"/>
        <v>1</v>
      </c>
      <c r="W279" s="27"/>
      <c r="X279" s="27" t="str">
        <f t="shared" si="80"/>
        <v>0</v>
      </c>
      <c r="Y279" s="27" t="str">
        <f t="shared" si="81"/>
        <v>0</v>
      </c>
      <c r="Z279" s="27" t="str">
        <f t="shared" si="82"/>
        <v>0</v>
      </c>
      <c r="AA279" s="121"/>
      <c r="AB279" s="121"/>
      <c r="AC279" s="121"/>
      <c r="AD279" s="121"/>
      <c r="AE279" s="121" t="s">
        <v>51</v>
      </c>
      <c r="AF279" s="121"/>
      <c r="AG279" s="121"/>
      <c r="AH279" s="28" t="s">
        <v>199</v>
      </c>
      <c r="AI279" s="28" t="s">
        <v>113</v>
      </c>
      <c r="AJ279" s="28">
        <v>60300</v>
      </c>
      <c r="AK279" s="121" t="str">
        <f t="shared" si="93"/>
        <v>0</v>
      </c>
      <c r="AL279" s="123" t="str">
        <f t="shared" si="45"/>
        <v>14821/생산라인별 작업순서/prod.basic/ProdLineRoute</v>
      </c>
      <c r="AM279" s="27"/>
      <c r="AN279" s="124"/>
      <c r="AO279" s="124" t="s">
        <v>1829</v>
      </c>
      <c r="AP279" s="124" t="s">
        <v>1829</v>
      </c>
      <c r="AQ279" s="124" t="s">
        <v>1829</v>
      </c>
      <c r="AR279" s="124" t="s">
        <v>1829</v>
      </c>
      <c r="AS279" s="124"/>
      <c r="AT279" s="124" t="s">
        <v>1941</v>
      </c>
      <c r="AU279" s="124" t="str">
        <f t="shared" si="70"/>
        <v>P281005</v>
      </c>
      <c r="AV279" s="124" t="s">
        <v>2626</v>
      </c>
      <c r="AW279" s="117" t="s">
        <v>2090</v>
      </c>
      <c r="AX279" s="138" t="str">
        <f t="shared" si="86"/>
        <v>delete from module_mst where pjt_id = '14821' and menu_id = '281005';</v>
      </c>
      <c r="AY279" s="31" t="str">
        <f>IF(C279&lt;&gt;"",CREATE_QUERY($D$1,C$2:AW$2,C279:AW279),"")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'281005', '생산라인별 작업순서', '', '', '', '', '1', '1', '1', 'prod.basic', 'ProdLineRoute', '1', '1', '1', '1', '1', '1', '1', '', '0', '0', '0', '', '', '', '', 'N', '', '', '281000', '5', '60300', '0', '14821/생산라인별 작업순서/prod.basic/ProdLineRoute', '', '', 'Y', 'Y', 'Y', 'Y', '', 'P', 'MES-TD3-405', '생산 공정도별 공정 배치 등록');</v>
      </c>
    </row>
    <row r="280" spans="1:51" ht="26">
      <c r="A280" s="1">
        <v>113</v>
      </c>
      <c r="B280" s="121" t="str">
        <f t="shared" si="87"/>
        <v xml:space="preserve">        └ (프로젝트)BOP 관리</v>
      </c>
      <c r="C280" s="27" t="str">
        <f t="shared" si="65"/>
        <v>14821</v>
      </c>
      <c r="D280" s="121"/>
      <c r="E280" s="27">
        <v>281006</v>
      </c>
      <c r="F280" s="121" t="s">
        <v>2045</v>
      </c>
      <c r="G280" s="121"/>
      <c r="H280" s="121"/>
      <c r="I280" s="121"/>
      <c r="J280" s="121"/>
      <c r="K280" s="27" t="str">
        <f t="shared" si="91"/>
        <v>1</v>
      </c>
      <c r="L280" s="27">
        <v>1</v>
      </c>
      <c r="M280" s="27" t="str">
        <f t="shared" si="92"/>
        <v>1</v>
      </c>
      <c r="N280" s="121" t="s">
        <v>314</v>
      </c>
      <c r="O280" s="121" t="s">
        <v>2046</v>
      </c>
      <c r="P280" s="27" t="str">
        <f t="shared" si="73"/>
        <v>1</v>
      </c>
      <c r="Q280" s="27" t="str">
        <f t="shared" si="74"/>
        <v>1</v>
      </c>
      <c r="R280" s="27" t="str">
        <f t="shared" si="75"/>
        <v>1</v>
      </c>
      <c r="S280" s="27" t="str">
        <f t="shared" si="76"/>
        <v>1</v>
      </c>
      <c r="T280" s="27" t="str">
        <f t="shared" si="77"/>
        <v>1</v>
      </c>
      <c r="U280" s="27" t="str">
        <f t="shared" si="78"/>
        <v>1</v>
      </c>
      <c r="V280" s="27" t="str">
        <f t="shared" si="79"/>
        <v>1</v>
      </c>
      <c r="W280" s="27"/>
      <c r="X280" s="27" t="str">
        <f t="shared" si="80"/>
        <v>0</v>
      </c>
      <c r="Y280" s="27" t="str">
        <f t="shared" si="81"/>
        <v>0</v>
      </c>
      <c r="Z280" s="27" t="str">
        <f t="shared" si="82"/>
        <v>0</v>
      </c>
      <c r="AA280" s="121"/>
      <c r="AB280" s="121"/>
      <c r="AC280" s="121"/>
      <c r="AD280" s="121"/>
      <c r="AE280" s="121" t="s">
        <v>51</v>
      </c>
      <c r="AF280" s="121"/>
      <c r="AG280" s="121"/>
      <c r="AH280" s="28" t="s">
        <v>199</v>
      </c>
      <c r="AI280" s="28" t="s">
        <v>113</v>
      </c>
      <c r="AJ280" s="28">
        <v>60350</v>
      </c>
      <c r="AK280" s="121" t="str">
        <f t="shared" si="93"/>
        <v/>
      </c>
      <c r="AL280" s="123" t="str">
        <f t="shared" si="45"/>
        <v>14821/BOP 관리/prod.basic/BopWork</v>
      </c>
      <c r="AM280" s="27" t="s">
        <v>1887</v>
      </c>
      <c r="AN280" s="124"/>
      <c r="AO280" s="124" t="s">
        <v>1829</v>
      </c>
      <c r="AP280" s="124" t="s">
        <v>1829</v>
      </c>
      <c r="AQ280" s="124" t="s">
        <v>1829</v>
      </c>
      <c r="AR280" s="124" t="s">
        <v>1829</v>
      </c>
      <c r="AS280" s="124"/>
      <c r="AT280" s="124" t="s">
        <v>1941</v>
      </c>
      <c r="AU280" s="124" t="str">
        <f t="shared" si="70"/>
        <v>P281006</v>
      </c>
      <c r="AV280" s="124" t="s">
        <v>2627</v>
      </c>
      <c r="AW280" s="117" t="s">
        <v>2363</v>
      </c>
      <c r="AX280" s="138" t="str">
        <f t="shared" si="86"/>
        <v>delete from module_mst where pjt_id = '14821' and menu_id = '281006';</v>
      </c>
      <c r="AY280" s="31" t="str">
        <f>IF(C280&lt;&gt;"",CREATE_QUERY($D$1,C$2:AW$2,C280:AW280),"")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'281006', 'BOP 관리', '', '', '', '', '1', '1', '1', 'prod.basic', 'BopWork', '1', '1', '1', '1', '1', '1', '1', '', '0', '0', '0', '', '', '', '', 'N', '', '', '281000', '5', '60350', '', '14821/BOP 관리/prod.basic/BopWork', '(프로젝트)', '', 'Y', 'Y', 'Y', 'Y', '', 'P', 'MES-TD3-406', '프로젝트 번호별 BOP를 작성하고, 세부 일정계획을 작성, BOP 승인 처리');</v>
      </c>
    </row>
    <row r="281" spans="1:51">
      <c r="A281" s="1">
        <v>111</v>
      </c>
      <c r="B281" s="121" t="str">
        <f t="shared" si="87"/>
        <v/>
      </c>
      <c r="C281" s="27" t="str">
        <f t="shared" si="65"/>
        <v/>
      </c>
      <c r="D281" s="121"/>
      <c r="E281" s="27">
        <v>281007</v>
      </c>
      <c r="F281" s="121"/>
      <c r="G281" s="121"/>
      <c r="H281" s="121"/>
      <c r="I281" s="121"/>
      <c r="J281" s="121"/>
      <c r="K281" s="27" t="str">
        <f t="shared" si="91"/>
        <v/>
      </c>
      <c r="L281" s="27">
        <v>1</v>
      </c>
      <c r="M281" s="27" t="str">
        <f t="shared" si="92"/>
        <v>0</v>
      </c>
      <c r="N281" s="121"/>
      <c r="O281" s="121"/>
      <c r="P281" s="27" t="str">
        <f t="shared" si="73"/>
        <v>0</v>
      </c>
      <c r="Q281" s="27" t="str">
        <f t="shared" si="74"/>
        <v>0</v>
      </c>
      <c r="R281" s="27" t="str">
        <f t="shared" si="75"/>
        <v>0</v>
      </c>
      <c r="S281" s="27" t="str">
        <f t="shared" si="76"/>
        <v>0</v>
      </c>
      <c r="T281" s="27" t="str">
        <f t="shared" si="77"/>
        <v>0</v>
      </c>
      <c r="U281" s="27" t="str">
        <f t="shared" si="78"/>
        <v>0</v>
      </c>
      <c r="V281" s="27" t="str">
        <f t="shared" si="79"/>
        <v>1</v>
      </c>
      <c r="W281" s="27"/>
      <c r="X281" s="27" t="str">
        <f t="shared" si="80"/>
        <v/>
      </c>
      <c r="Y281" s="27" t="str">
        <f t="shared" si="81"/>
        <v/>
      </c>
      <c r="Z281" s="27" t="str">
        <f t="shared" si="82"/>
        <v/>
      </c>
      <c r="AA281" s="121"/>
      <c r="AB281" s="121"/>
      <c r="AC281" s="121"/>
      <c r="AD281" s="121"/>
      <c r="AE281" s="121" t="s">
        <v>51</v>
      </c>
      <c r="AF281" s="121"/>
      <c r="AG281" s="121"/>
      <c r="AH281" s="28" t="s">
        <v>199</v>
      </c>
      <c r="AI281" s="28" t="s">
        <v>113</v>
      </c>
      <c r="AJ281" s="28">
        <v>60400</v>
      </c>
      <c r="AK281" s="121" t="str">
        <f t="shared" si="93"/>
        <v/>
      </c>
      <c r="AL281" s="123" t="str">
        <f t="shared" si="45"/>
        <v/>
      </c>
      <c r="AM281" s="27"/>
      <c r="AN281" s="124"/>
      <c r="AO281" s="124"/>
      <c r="AP281" s="124"/>
      <c r="AQ281" s="124"/>
      <c r="AR281" s="124"/>
      <c r="AS281" s="124"/>
      <c r="AT281" s="124" t="s">
        <v>1941</v>
      </c>
      <c r="AU281" s="124" t="str">
        <f t="shared" si="70"/>
        <v/>
      </c>
      <c r="AV281" s="124" t="s">
        <v>2628</v>
      </c>
      <c r="AW281" s="117"/>
      <c r="AX281" s="138" t="str">
        <f t="shared" si="86"/>
        <v/>
      </c>
      <c r="AY281" s="31" t="str">
        <f>IF(C281&lt;&gt;"",CREATE_QUERY($D$1,C$2:AW$2,C281:AW281),"")</f>
        <v/>
      </c>
    </row>
    <row r="282" spans="1:51">
      <c r="A282" s="1">
        <v>112</v>
      </c>
      <c r="B282" s="121" t="str">
        <f t="shared" si="87"/>
        <v/>
      </c>
      <c r="C282" s="27" t="str">
        <f t="shared" si="65"/>
        <v/>
      </c>
      <c r="D282" s="121"/>
      <c r="E282" s="27">
        <v>281008</v>
      </c>
      <c r="F282" s="121"/>
      <c r="G282" s="121"/>
      <c r="H282" s="121"/>
      <c r="I282" s="121"/>
      <c r="J282" s="121"/>
      <c r="K282" s="27" t="str">
        <f t="shared" si="91"/>
        <v/>
      </c>
      <c r="L282" s="27">
        <v>1</v>
      </c>
      <c r="M282" s="27" t="str">
        <f t="shared" si="92"/>
        <v>0</v>
      </c>
      <c r="N282" s="121"/>
      <c r="O282" s="121"/>
      <c r="P282" s="27" t="str">
        <f t="shared" si="73"/>
        <v>0</v>
      </c>
      <c r="Q282" s="27" t="str">
        <f t="shared" si="74"/>
        <v>0</v>
      </c>
      <c r="R282" s="27" t="str">
        <f t="shared" si="75"/>
        <v>0</v>
      </c>
      <c r="S282" s="27" t="str">
        <f t="shared" si="76"/>
        <v>0</v>
      </c>
      <c r="T282" s="27" t="str">
        <f t="shared" si="77"/>
        <v>0</v>
      </c>
      <c r="U282" s="27" t="str">
        <f t="shared" si="78"/>
        <v>0</v>
      </c>
      <c r="V282" s="27" t="str">
        <f t="shared" si="79"/>
        <v>1</v>
      </c>
      <c r="W282" s="27"/>
      <c r="X282" s="27" t="str">
        <f t="shared" si="80"/>
        <v/>
      </c>
      <c r="Y282" s="27" t="str">
        <f t="shared" si="81"/>
        <v/>
      </c>
      <c r="Z282" s="27" t="str">
        <f t="shared" si="82"/>
        <v/>
      </c>
      <c r="AA282" s="121"/>
      <c r="AB282" s="121"/>
      <c r="AC282" s="121"/>
      <c r="AD282" s="121"/>
      <c r="AE282" s="121" t="s">
        <v>51</v>
      </c>
      <c r="AF282" s="121"/>
      <c r="AG282" s="121"/>
      <c r="AH282" s="28" t="s">
        <v>199</v>
      </c>
      <c r="AI282" s="28" t="s">
        <v>113</v>
      </c>
      <c r="AJ282" s="28">
        <v>60450</v>
      </c>
      <c r="AK282" s="121" t="str">
        <f t="shared" si="93"/>
        <v/>
      </c>
      <c r="AL282" s="123" t="str">
        <f t="shared" si="45"/>
        <v/>
      </c>
      <c r="AM282" s="27"/>
      <c r="AN282" s="124"/>
      <c r="AO282" s="124"/>
      <c r="AP282" s="124"/>
      <c r="AQ282" s="124"/>
      <c r="AR282" s="124"/>
      <c r="AS282" s="124"/>
      <c r="AT282" s="124" t="s">
        <v>1941</v>
      </c>
      <c r="AU282" s="124" t="str">
        <f t="shared" si="70"/>
        <v/>
      </c>
      <c r="AV282" s="124" t="s">
        <v>2629</v>
      </c>
      <c r="AW282" s="117"/>
      <c r="AX282" s="138" t="str">
        <f t="shared" si="86"/>
        <v/>
      </c>
      <c r="AY282" s="31" t="str">
        <f>IF(C282&lt;&gt;"",CREATE_QUERY($D$1,C$2:AW$2,C282:AW282),"")</f>
        <v/>
      </c>
    </row>
    <row r="283" spans="1:51">
      <c r="A283" s="1">
        <v>112</v>
      </c>
      <c r="B283" s="121" t="str">
        <f t="shared" si="87"/>
        <v/>
      </c>
      <c r="C283" s="27" t="str">
        <f t="shared" si="65"/>
        <v/>
      </c>
      <c r="D283" s="121"/>
      <c r="E283" s="27">
        <v>281009</v>
      </c>
      <c r="F283" s="121"/>
      <c r="G283" s="121"/>
      <c r="H283" s="121"/>
      <c r="I283" s="121"/>
      <c r="J283" s="121"/>
      <c r="K283" s="27" t="str">
        <f t="shared" si="91"/>
        <v/>
      </c>
      <c r="L283" s="27">
        <v>1</v>
      </c>
      <c r="M283" s="27" t="str">
        <f t="shared" si="92"/>
        <v>0</v>
      </c>
      <c r="N283" s="121"/>
      <c r="O283" s="121"/>
      <c r="P283" s="27" t="str">
        <f t="shared" si="73"/>
        <v>0</v>
      </c>
      <c r="Q283" s="27" t="str">
        <f t="shared" si="74"/>
        <v>0</v>
      </c>
      <c r="R283" s="27" t="str">
        <f t="shared" si="75"/>
        <v>0</v>
      </c>
      <c r="S283" s="27" t="str">
        <f t="shared" si="76"/>
        <v>0</v>
      </c>
      <c r="T283" s="27" t="str">
        <f t="shared" si="77"/>
        <v>0</v>
      </c>
      <c r="U283" s="27" t="str">
        <f t="shared" si="78"/>
        <v>0</v>
      </c>
      <c r="V283" s="27" t="str">
        <f t="shared" si="79"/>
        <v>1</v>
      </c>
      <c r="W283" s="27"/>
      <c r="X283" s="27" t="str">
        <f t="shared" si="80"/>
        <v/>
      </c>
      <c r="Y283" s="27" t="str">
        <f t="shared" si="81"/>
        <v/>
      </c>
      <c r="Z283" s="27" t="str">
        <f t="shared" si="82"/>
        <v/>
      </c>
      <c r="AA283" s="121"/>
      <c r="AB283" s="121"/>
      <c r="AC283" s="121"/>
      <c r="AD283" s="121"/>
      <c r="AE283" s="121" t="s">
        <v>51</v>
      </c>
      <c r="AF283" s="121"/>
      <c r="AG283" s="121"/>
      <c r="AH283" s="28" t="s">
        <v>199</v>
      </c>
      <c r="AI283" s="28" t="s">
        <v>113</v>
      </c>
      <c r="AJ283" s="28">
        <v>60500</v>
      </c>
      <c r="AK283" s="121" t="str">
        <f t="shared" si="93"/>
        <v/>
      </c>
      <c r="AL283" s="123" t="str">
        <f t="shared" si="45"/>
        <v/>
      </c>
      <c r="AM283" s="27"/>
      <c r="AN283" s="124"/>
      <c r="AO283" s="124"/>
      <c r="AP283" s="124"/>
      <c r="AQ283" s="124"/>
      <c r="AR283" s="124"/>
      <c r="AS283" s="124"/>
      <c r="AT283" s="124" t="s">
        <v>1941</v>
      </c>
      <c r="AU283" s="124" t="str">
        <f t="shared" si="70"/>
        <v/>
      </c>
      <c r="AV283" s="124" t="s">
        <v>2630</v>
      </c>
      <c r="AW283" s="117"/>
      <c r="AX283" s="138" t="str">
        <f t="shared" si="86"/>
        <v/>
      </c>
      <c r="AY283" s="31" t="str">
        <f>IF(C283&lt;&gt;"",CREATE_QUERY($D$1,C$2:AW$2,C283:AW283),"")</f>
        <v/>
      </c>
    </row>
    <row r="284" spans="1:51">
      <c r="A284" s="1">
        <v>112</v>
      </c>
      <c r="B284" s="121" t="str">
        <f t="shared" si="87"/>
        <v/>
      </c>
      <c r="C284" s="27" t="str">
        <f t="shared" si="65"/>
        <v/>
      </c>
      <c r="D284" s="121"/>
      <c r="E284" s="27">
        <v>281010</v>
      </c>
      <c r="F284" s="121"/>
      <c r="G284" s="121"/>
      <c r="H284" s="121"/>
      <c r="I284" s="121"/>
      <c r="J284" s="121"/>
      <c r="K284" s="27" t="str">
        <f t="shared" si="91"/>
        <v/>
      </c>
      <c r="L284" s="27">
        <v>1</v>
      </c>
      <c r="M284" s="27" t="str">
        <f t="shared" si="92"/>
        <v>0</v>
      </c>
      <c r="N284" s="121"/>
      <c r="O284" s="121"/>
      <c r="P284" s="27" t="str">
        <f t="shared" si="73"/>
        <v>0</v>
      </c>
      <c r="Q284" s="27" t="str">
        <f t="shared" si="74"/>
        <v>0</v>
      </c>
      <c r="R284" s="27" t="str">
        <f t="shared" si="75"/>
        <v>0</v>
      </c>
      <c r="S284" s="27" t="str">
        <f t="shared" si="76"/>
        <v>0</v>
      </c>
      <c r="T284" s="27" t="str">
        <f t="shared" si="77"/>
        <v>0</v>
      </c>
      <c r="U284" s="27" t="str">
        <f t="shared" si="78"/>
        <v>0</v>
      </c>
      <c r="V284" s="27" t="str">
        <f t="shared" si="79"/>
        <v>1</v>
      </c>
      <c r="W284" s="27"/>
      <c r="X284" s="27" t="str">
        <f t="shared" si="80"/>
        <v/>
      </c>
      <c r="Y284" s="27" t="str">
        <f t="shared" si="81"/>
        <v/>
      </c>
      <c r="Z284" s="27" t="str">
        <f t="shared" si="82"/>
        <v/>
      </c>
      <c r="AA284" s="121"/>
      <c r="AB284" s="121"/>
      <c r="AC284" s="121"/>
      <c r="AD284" s="121"/>
      <c r="AE284" s="121" t="s">
        <v>51</v>
      </c>
      <c r="AF284" s="121"/>
      <c r="AG284" s="121"/>
      <c r="AH284" s="28" t="s">
        <v>199</v>
      </c>
      <c r="AI284" s="28" t="s">
        <v>113</v>
      </c>
      <c r="AJ284" s="28">
        <v>60550</v>
      </c>
      <c r="AK284" s="121" t="str">
        <f t="shared" si="93"/>
        <v/>
      </c>
      <c r="AL284" s="123" t="str">
        <f t="shared" si="45"/>
        <v/>
      </c>
      <c r="AM284" s="27"/>
      <c r="AN284" s="124"/>
      <c r="AO284" s="124"/>
      <c r="AP284" s="124"/>
      <c r="AQ284" s="124"/>
      <c r="AR284" s="124"/>
      <c r="AS284" s="124"/>
      <c r="AT284" s="124" t="s">
        <v>1941</v>
      </c>
      <c r="AU284" s="124" t="str">
        <f t="shared" si="70"/>
        <v/>
      </c>
      <c r="AV284" s="124" t="s">
        <v>2631</v>
      </c>
      <c r="AW284" s="117"/>
      <c r="AX284" s="138" t="str">
        <f t="shared" si="86"/>
        <v/>
      </c>
      <c r="AY284" s="31" t="str">
        <f>IF(C284&lt;&gt;"",CREATE_QUERY($D$1,C$2:AW$2,C284:AW284),"")</f>
        <v/>
      </c>
    </row>
    <row r="285" spans="1:51">
      <c r="A285" s="1">
        <v>113</v>
      </c>
      <c r="B285" s="121" t="str">
        <f t="shared" si="87"/>
        <v/>
      </c>
      <c r="C285" s="27" t="str">
        <f t="shared" si="65"/>
        <v/>
      </c>
      <c r="D285" s="121"/>
      <c r="E285" s="27">
        <v>281011</v>
      </c>
      <c r="F285" s="121"/>
      <c r="G285" s="121"/>
      <c r="H285" s="121"/>
      <c r="I285" s="121"/>
      <c r="J285" s="121"/>
      <c r="K285" s="27" t="str">
        <f t="shared" si="91"/>
        <v/>
      </c>
      <c r="L285" s="27">
        <v>1</v>
      </c>
      <c r="M285" s="27" t="str">
        <f t="shared" si="92"/>
        <v>0</v>
      </c>
      <c r="N285" s="121"/>
      <c r="O285" s="121"/>
      <c r="P285" s="27" t="str">
        <f t="shared" si="73"/>
        <v>0</v>
      </c>
      <c r="Q285" s="27" t="str">
        <f t="shared" si="74"/>
        <v>0</v>
      </c>
      <c r="R285" s="27" t="str">
        <f t="shared" si="75"/>
        <v>0</v>
      </c>
      <c r="S285" s="27" t="str">
        <f t="shared" si="76"/>
        <v>0</v>
      </c>
      <c r="T285" s="27" t="str">
        <f t="shared" si="77"/>
        <v>0</v>
      </c>
      <c r="U285" s="27" t="str">
        <f t="shared" si="78"/>
        <v>0</v>
      </c>
      <c r="V285" s="27" t="str">
        <f t="shared" si="79"/>
        <v>1</v>
      </c>
      <c r="W285" s="27"/>
      <c r="X285" s="27" t="str">
        <f t="shared" si="80"/>
        <v/>
      </c>
      <c r="Y285" s="27" t="str">
        <f t="shared" si="81"/>
        <v/>
      </c>
      <c r="Z285" s="27" t="str">
        <f t="shared" si="82"/>
        <v/>
      </c>
      <c r="AA285" s="121"/>
      <c r="AB285" s="121"/>
      <c r="AC285" s="121"/>
      <c r="AD285" s="121"/>
      <c r="AE285" s="121" t="s">
        <v>51</v>
      </c>
      <c r="AF285" s="121"/>
      <c r="AG285" s="121"/>
      <c r="AH285" s="28" t="s">
        <v>199</v>
      </c>
      <c r="AI285" s="28" t="s">
        <v>113</v>
      </c>
      <c r="AJ285" s="28">
        <v>60600</v>
      </c>
      <c r="AK285" s="121" t="str">
        <f t="shared" si="93"/>
        <v/>
      </c>
      <c r="AL285" s="123" t="str">
        <f t="shared" si="45"/>
        <v/>
      </c>
      <c r="AM285" s="27"/>
      <c r="AN285" s="124"/>
      <c r="AO285" s="124"/>
      <c r="AP285" s="124"/>
      <c r="AQ285" s="124"/>
      <c r="AR285" s="124"/>
      <c r="AS285" s="124"/>
      <c r="AT285" s="124" t="s">
        <v>1941</v>
      </c>
      <c r="AU285" s="124" t="str">
        <f t="shared" si="70"/>
        <v/>
      </c>
      <c r="AV285" s="124" t="s">
        <v>2632</v>
      </c>
      <c r="AW285" s="117"/>
      <c r="AX285" s="138" t="str">
        <f t="shared" si="86"/>
        <v/>
      </c>
      <c r="AY285" s="31" t="str">
        <f>IF(C285&lt;&gt;"",CREATE_QUERY($D$1,C$2:AW$2,C285:AW285),"")</f>
        <v/>
      </c>
    </row>
    <row r="286" spans="1:51">
      <c r="A286" s="1">
        <v>113</v>
      </c>
      <c r="B286" s="121" t="str">
        <f t="shared" si="87"/>
        <v/>
      </c>
      <c r="C286" s="27" t="str">
        <f t="shared" si="65"/>
        <v/>
      </c>
      <c r="D286" s="121"/>
      <c r="E286" s="27">
        <v>281012</v>
      </c>
      <c r="F286" s="121"/>
      <c r="G286" s="121"/>
      <c r="H286" s="121"/>
      <c r="I286" s="121"/>
      <c r="J286" s="121"/>
      <c r="K286" s="27" t="str">
        <f t="shared" si="91"/>
        <v/>
      </c>
      <c r="L286" s="27">
        <v>1</v>
      </c>
      <c r="M286" s="27" t="str">
        <f t="shared" si="92"/>
        <v>0</v>
      </c>
      <c r="N286" s="121"/>
      <c r="O286" s="121"/>
      <c r="P286" s="27" t="str">
        <f t="shared" si="73"/>
        <v>0</v>
      </c>
      <c r="Q286" s="27" t="str">
        <f t="shared" si="74"/>
        <v>0</v>
      </c>
      <c r="R286" s="27" t="str">
        <f t="shared" si="75"/>
        <v>0</v>
      </c>
      <c r="S286" s="27" t="str">
        <f t="shared" si="76"/>
        <v>0</v>
      </c>
      <c r="T286" s="27" t="str">
        <f t="shared" si="77"/>
        <v>0</v>
      </c>
      <c r="U286" s="27" t="str">
        <f t="shared" si="78"/>
        <v>0</v>
      </c>
      <c r="V286" s="27" t="str">
        <f t="shared" si="79"/>
        <v>1</v>
      </c>
      <c r="W286" s="27"/>
      <c r="X286" s="27" t="str">
        <f t="shared" si="80"/>
        <v/>
      </c>
      <c r="Y286" s="27" t="str">
        <f t="shared" si="81"/>
        <v/>
      </c>
      <c r="Z286" s="27" t="str">
        <f t="shared" si="82"/>
        <v/>
      </c>
      <c r="AA286" s="121"/>
      <c r="AB286" s="121"/>
      <c r="AC286" s="121"/>
      <c r="AD286" s="121"/>
      <c r="AE286" s="121" t="s">
        <v>51</v>
      </c>
      <c r="AF286" s="121"/>
      <c r="AG286" s="121"/>
      <c r="AH286" s="28" t="s">
        <v>199</v>
      </c>
      <c r="AI286" s="28" t="s">
        <v>113</v>
      </c>
      <c r="AJ286" s="28">
        <v>60650</v>
      </c>
      <c r="AK286" s="121" t="str">
        <f t="shared" si="93"/>
        <v/>
      </c>
      <c r="AL286" s="123" t="str">
        <f t="shared" si="45"/>
        <v/>
      </c>
      <c r="AM286" s="27"/>
      <c r="AN286" s="124"/>
      <c r="AO286" s="124"/>
      <c r="AP286" s="124"/>
      <c r="AQ286" s="124"/>
      <c r="AR286" s="124"/>
      <c r="AS286" s="124"/>
      <c r="AT286" s="124" t="s">
        <v>1941</v>
      </c>
      <c r="AU286" s="124" t="str">
        <f t="shared" si="70"/>
        <v/>
      </c>
      <c r="AV286" s="124" t="s">
        <v>2633</v>
      </c>
      <c r="AW286" s="117"/>
      <c r="AX286" s="138" t="str">
        <f t="shared" si="86"/>
        <v/>
      </c>
      <c r="AY286" s="31" t="str">
        <f>IF(C286&lt;&gt;"",CREATE_QUERY($D$1,C$2:AW$2,C286:AW286),"")</f>
        <v/>
      </c>
    </row>
    <row r="287" spans="1:51">
      <c r="A287" s="1">
        <v>114</v>
      </c>
      <c r="B287" s="121" t="str">
        <f t="shared" si="87"/>
        <v/>
      </c>
      <c r="C287" s="27" t="str">
        <f t="shared" si="65"/>
        <v/>
      </c>
      <c r="D287" s="121"/>
      <c r="E287" s="27"/>
      <c r="F287" s="121"/>
      <c r="G287" s="121"/>
      <c r="H287" s="121"/>
      <c r="I287" s="121"/>
      <c r="J287" s="121"/>
      <c r="K287" s="27" t="str">
        <f t="shared" si="91"/>
        <v/>
      </c>
      <c r="L287" s="27">
        <v>1</v>
      </c>
      <c r="M287" s="27" t="str">
        <f t="shared" si="92"/>
        <v>0</v>
      </c>
      <c r="N287" s="121"/>
      <c r="O287" s="121"/>
      <c r="P287" s="27" t="str">
        <f t="shared" si="73"/>
        <v>0</v>
      </c>
      <c r="Q287" s="27" t="str">
        <f t="shared" si="74"/>
        <v>0</v>
      </c>
      <c r="R287" s="27" t="str">
        <f t="shared" si="75"/>
        <v>0</v>
      </c>
      <c r="S287" s="27" t="str">
        <f t="shared" si="76"/>
        <v>0</v>
      </c>
      <c r="T287" s="27" t="str">
        <f t="shared" si="77"/>
        <v>0</v>
      </c>
      <c r="U287" s="27" t="str">
        <f t="shared" si="78"/>
        <v>0</v>
      </c>
      <c r="V287" s="27" t="str">
        <f t="shared" si="79"/>
        <v>1</v>
      </c>
      <c r="W287" s="27"/>
      <c r="X287" s="27" t="str">
        <f t="shared" si="80"/>
        <v/>
      </c>
      <c r="Y287" s="27" t="str">
        <f t="shared" si="81"/>
        <v/>
      </c>
      <c r="Z287" s="27" t="str">
        <f t="shared" si="82"/>
        <v/>
      </c>
      <c r="AA287" s="121"/>
      <c r="AB287" s="121"/>
      <c r="AC287" s="121"/>
      <c r="AD287" s="121"/>
      <c r="AE287" s="121"/>
      <c r="AF287" s="121"/>
      <c r="AG287" s="121"/>
      <c r="AH287" s="27"/>
      <c r="AI287" s="27"/>
      <c r="AJ287" s="27" t="s">
        <v>900</v>
      </c>
      <c r="AK287" s="121" t="str">
        <f t="shared" si="93"/>
        <v>0</v>
      </c>
      <c r="AL287" s="123" t="str">
        <f t="shared" si="45"/>
        <v/>
      </c>
      <c r="AM287" s="27"/>
      <c r="AN287" s="124"/>
      <c r="AO287" s="124"/>
      <c r="AP287" s="124"/>
      <c r="AQ287" s="124"/>
      <c r="AR287" s="124"/>
      <c r="AS287" s="124"/>
      <c r="AT287" s="124"/>
      <c r="AU287" s="124" t="str">
        <f t="shared" si="70"/>
        <v/>
      </c>
      <c r="AV287" s="124"/>
      <c r="AW287" s="117"/>
      <c r="AX287" s="138" t="str">
        <f t="shared" si="86"/>
        <v/>
      </c>
      <c r="AY287" s="31" t="str">
        <f>IF(C287&lt;&gt;"",CREATE_QUERY($D$1,C$2:AW$2,C287:AW287),"")</f>
        <v/>
      </c>
    </row>
    <row r="288" spans="1:51">
      <c r="A288" s="1">
        <v>115</v>
      </c>
      <c r="B288" s="121" t="str">
        <f t="shared" si="87"/>
        <v xml:space="preserve">    └ 생산설비관리</v>
      </c>
      <c r="C288" s="27" t="str">
        <f t="shared" si="65"/>
        <v>14821</v>
      </c>
      <c r="D288" s="121"/>
      <c r="E288" s="21" t="s">
        <v>211</v>
      </c>
      <c r="F288" s="118" t="s">
        <v>220</v>
      </c>
      <c r="G288" s="118"/>
      <c r="H288" s="118"/>
      <c r="I288" s="118"/>
      <c r="J288" s="118"/>
      <c r="K288" s="21" t="str">
        <f t="shared" si="91"/>
        <v/>
      </c>
      <c r="L288" s="21">
        <v>1</v>
      </c>
      <c r="M288" s="21" t="str">
        <f t="shared" si="92"/>
        <v>0</v>
      </c>
      <c r="N288" s="118"/>
      <c r="O288" s="118"/>
      <c r="P288" s="21" t="str">
        <f t="shared" si="73"/>
        <v>0</v>
      </c>
      <c r="Q288" s="21" t="str">
        <f t="shared" si="74"/>
        <v>0</v>
      </c>
      <c r="R288" s="21" t="str">
        <f t="shared" si="75"/>
        <v>0</v>
      </c>
      <c r="S288" s="21" t="str">
        <f t="shared" si="76"/>
        <v>0</v>
      </c>
      <c r="T288" s="21" t="str">
        <f t="shared" si="77"/>
        <v>0</v>
      </c>
      <c r="U288" s="21" t="str">
        <f t="shared" si="78"/>
        <v>0</v>
      </c>
      <c r="V288" s="21" t="str">
        <f t="shared" si="79"/>
        <v>1</v>
      </c>
      <c r="W288" s="21"/>
      <c r="X288" s="21" t="str">
        <f t="shared" si="80"/>
        <v/>
      </c>
      <c r="Y288" s="21" t="str">
        <f t="shared" si="81"/>
        <v/>
      </c>
      <c r="Z288" s="21" t="str">
        <f t="shared" si="82"/>
        <v/>
      </c>
      <c r="AA288" s="118"/>
      <c r="AB288" s="118"/>
      <c r="AC288" s="118"/>
      <c r="AD288" s="118"/>
      <c r="AE288" s="118" t="s">
        <v>51</v>
      </c>
      <c r="AF288" s="118"/>
      <c r="AG288" s="118"/>
      <c r="AH288" s="26" t="s">
        <v>197</v>
      </c>
      <c r="AI288" s="26" t="s">
        <v>112</v>
      </c>
      <c r="AJ288" s="26">
        <v>62000</v>
      </c>
      <c r="AK288" s="121" t="str">
        <f t="shared" si="93"/>
        <v>0</v>
      </c>
      <c r="AL288" s="123" t="str">
        <f t="shared" si="45"/>
        <v>14821/생산설비관리//</v>
      </c>
      <c r="AM288" s="21"/>
      <c r="AN288" s="124"/>
      <c r="AO288" s="124" t="s">
        <v>1829</v>
      </c>
      <c r="AP288" s="124" t="s">
        <v>1829</v>
      </c>
      <c r="AQ288" s="124" t="s">
        <v>1829</v>
      </c>
      <c r="AR288" s="124" t="s">
        <v>1829</v>
      </c>
      <c r="AS288" s="124"/>
      <c r="AT288" s="124" t="s">
        <v>1941</v>
      </c>
      <c r="AU288" s="124" t="str">
        <f t="shared" si="70"/>
        <v/>
      </c>
      <c r="AV288" s="124"/>
      <c r="AW288" s="117"/>
      <c r="AX288" s="138" t="str">
        <f t="shared" si="86"/>
        <v>delete from module_mst where pjt_id = '14821' and menu_id = '282000';</v>
      </c>
      <c r="AY288" s="31" t="str">
        <f>IF(C288&lt;&gt;"",CREATE_QUERY($D$1,C$2:AW$2,C288:AW288),"")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'282000', '생산설비관리', '', '', '', '', '', '1', '0', '', '', '0', '0', '0', '0', '0', '0', '1', '', '', '', '', '', '', '', '', 'N', '', '', '280000', '4', '62000', '0', '14821/생산설비관리//', '', '', 'Y', 'Y', 'Y', 'Y', '', 'P', '', '');</v>
      </c>
    </row>
    <row r="289" spans="1:51">
      <c r="A289" s="1">
        <v>116</v>
      </c>
      <c r="B289" s="121" t="str">
        <f t="shared" si="87"/>
        <v xml:space="preserve">        └ 생산설비등록</v>
      </c>
      <c r="C289" s="27" t="str">
        <f t="shared" si="65"/>
        <v>14821</v>
      </c>
      <c r="D289" s="121"/>
      <c r="E289" s="27">
        <v>282001</v>
      </c>
      <c r="F289" s="121" t="s">
        <v>221</v>
      </c>
      <c r="G289" s="121"/>
      <c r="H289" s="121"/>
      <c r="I289" s="121"/>
      <c r="J289" s="121"/>
      <c r="K289" s="27" t="str">
        <f t="shared" si="91"/>
        <v>1</v>
      </c>
      <c r="L289" s="27">
        <v>1</v>
      </c>
      <c r="M289" s="27" t="str">
        <f t="shared" si="92"/>
        <v>1</v>
      </c>
      <c r="N289" s="121" t="s">
        <v>292</v>
      </c>
      <c r="O289" s="121" t="s">
        <v>226</v>
      </c>
      <c r="P289" s="27" t="str">
        <f t="shared" si="73"/>
        <v>1</v>
      </c>
      <c r="Q289" s="27" t="str">
        <f t="shared" si="74"/>
        <v>1</v>
      </c>
      <c r="R289" s="27" t="str">
        <f t="shared" si="75"/>
        <v>1</v>
      </c>
      <c r="S289" s="27" t="str">
        <f t="shared" si="76"/>
        <v>1</v>
      </c>
      <c r="T289" s="27" t="str">
        <f t="shared" si="77"/>
        <v>1</v>
      </c>
      <c r="U289" s="27" t="str">
        <f t="shared" si="78"/>
        <v>1</v>
      </c>
      <c r="V289" s="27" t="str">
        <f t="shared" si="79"/>
        <v>1</v>
      </c>
      <c r="W289" s="27"/>
      <c r="X289" s="27" t="str">
        <f t="shared" si="80"/>
        <v>0</v>
      </c>
      <c r="Y289" s="27" t="str">
        <f t="shared" si="81"/>
        <v>0</v>
      </c>
      <c r="Z289" s="27" t="str">
        <f t="shared" si="82"/>
        <v>0</v>
      </c>
      <c r="AA289" s="121"/>
      <c r="AB289" s="121"/>
      <c r="AC289" s="121"/>
      <c r="AD289" s="121"/>
      <c r="AE289" s="121" t="s">
        <v>51</v>
      </c>
      <c r="AF289" s="121"/>
      <c r="AG289" s="121"/>
      <c r="AH289" s="28" t="s">
        <v>211</v>
      </c>
      <c r="AI289" s="28" t="s">
        <v>113</v>
      </c>
      <c r="AJ289" s="28">
        <v>62050</v>
      </c>
      <c r="AK289" s="121" t="str">
        <f t="shared" si="93"/>
        <v>0</v>
      </c>
      <c r="AL289" s="123" t="str">
        <f t="shared" si="45"/>
        <v>14821/생산설비등록/prod.cvic/CvicMast</v>
      </c>
      <c r="AM289" s="27"/>
      <c r="AN289" s="124"/>
      <c r="AO289" s="124" t="s">
        <v>1829</v>
      </c>
      <c r="AP289" s="124" t="s">
        <v>1829</v>
      </c>
      <c r="AQ289" s="124" t="s">
        <v>1829</v>
      </c>
      <c r="AR289" s="124" t="s">
        <v>1829</v>
      </c>
      <c r="AS289" s="124"/>
      <c r="AT289" s="124" t="s">
        <v>1941</v>
      </c>
      <c r="AU289" s="124" t="str">
        <f t="shared" si="70"/>
        <v>P282001</v>
      </c>
      <c r="AV289" s="124" t="s">
        <v>2660</v>
      </c>
      <c r="AW289" s="117" t="s">
        <v>2092</v>
      </c>
      <c r="AX289" s="138" t="str">
        <f t="shared" si="86"/>
        <v>delete from module_mst where pjt_id = '14821' and menu_id = '282001';</v>
      </c>
      <c r="AY289" s="31" t="str">
        <f>IF(C289&lt;&gt;"",CREATE_QUERY($D$1,C$2:AW$2,C289:AW289),"")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'282001', '생산설비등록', '', '', '', '', '1', '1', '1', 'prod.cvic', 'CvicMast', '1', '1', '1', '1', '1', '1', '1', '', '0', '0', '0', '', '', '', '', 'N', '', '', '282000', '5', '62050', '0', '14821/생산설비등록/prod.cvic/CvicMast', '', '', 'Y', 'Y', 'Y', 'Y', '', 'P', 'MES-TD3-420', '생산 현장에 운영 중인 생산 설비를 등록 또는 조회, 수정');</v>
      </c>
    </row>
    <row r="290" spans="1:51">
      <c r="A290" s="1">
        <v>117</v>
      </c>
      <c r="B290" s="121" t="str">
        <f t="shared" si="87"/>
        <v xml:space="preserve">        └ 생산설비현황</v>
      </c>
      <c r="C290" s="27" t="str">
        <f t="shared" si="65"/>
        <v>14821</v>
      </c>
      <c r="D290" s="121"/>
      <c r="E290" s="27">
        <v>282002</v>
      </c>
      <c r="F290" s="121" t="s">
        <v>222</v>
      </c>
      <c r="G290" s="121"/>
      <c r="H290" s="121"/>
      <c r="I290" s="121"/>
      <c r="J290" s="121"/>
      <c r="K290" s="27" t="str">
        <f t="shared" si="91"/>
        <v>1</v>
      </c>
      <c r="L290" s="27">
        <v>1</v>
      </c>
      <c r="M290" s="27" t="str">
        <f t="shared" si="92"/>
        <v>1</v>
      </c>
      <c r="N290" s="121" t="s">
        <v>292</v>
      </c>
      <c r="O290" s="121" t="s">
        <v>227</v>
      </c>
      <c r="P290" s="27" t="str">
        <f t="shared" si="73"/>
        <v>1</v>
      </c>
      <c r="Q290" s="27" t="str">
        <f t="shared" si="74"/>
        <v>1</v>
      </c>
      <c r="R290" s="27" t="str">
        <f t="shared" si="75"/>
        <v>1</v>
      </c>
      <c r="S290" s="27" t="str">
        <f t="shared" si="76"/>
        <v>1</v>
      </c>
      <c r="T290" s="27" t="str">
        <f t="shared" si="77"/>
        <v>1</v>
      </c>
      <c r="U290" s="27" t="str">
        <f t="shared" si="78"/>
        <v>1</v>
      </c>
      <c r="V290" s="27" t="str">
        <f t="shared" si="79"/>
        <v>1</v>
      </c>
      <c r="W290" s="27"/>
      <c r="X290" s="27" t="str">
        <f t="shared" si="80"/>
        <v>0</v>
      </c>
      <c r="Y290" s="27" t="str">
        <f t="shared" si="81"/>
        <v>0</v>
      </c>
      <c r="Z290" s="27" t="str">
        <f t="shared" si="82"/>
        <v>0</v>
      </c>
      <c r="AA290" s="121"/>
      <c r="AB290" s="121"/>
      <c r="AC290" s="121"/>
      <c r="AD290" s="121"/>
      <c r="AE290" s="121" t="s">
        <v>51</v>
      </c>
      <c r="AF290" s="121"/>
      <c r="AG290" s="121"/>
      <c r="AH290" s="28" t="s">
        <v>211</v>
      </c>
      <c r="AI290" s="28" t="s">
        <v>113</v>
      </c>
      <c r="AJ290" s="28">
        <v>62100</v>
      </c>
      <c r="AK290" s="121" t="str">
        <f t="shared" si="93"/>
        <v>0</v>
      </c>
      <c r="AL290" s="123" t="str">
        <f t="shared" si="45"/>
        <v>14821/생산설비현황/prod.cvic/CvicList</v>
      </c>
      <c r="AM290" s="27"/>
      <c r="AN290" s="124"/>
      <c r="AO290" s="124" t="s">
        <v>1829</v>
      </c>
      <c r="AP290" s="124" t="s">
        <v>1829</v>
      </c>
      <c r="AQ290" s="124" t="s">
        <v>1829</v>
      </c>
      <c r="AR290" s="124" t="s">
        <v>1829</v>
      </c>
      <c r="AS290" s="124"/>
      <c r="AT290" s="124" t="s">
        <v>1941</v>
      </c>
      <c r="AU290" s="124" t="str">
        <f t="shared" si="70"/>
        <v>P282002</v>
      </c>
      <c r="AV290" s="124" t="s">
        <v>2661</v>
      </c>
      <c r="AW290" s="117" t="s">
        <v>2094</v>
      </c>
      <c r="AX290" s="138" t="str">
        <f t="shared" si="86"/>
        <v>delete from module_mst where pjt_id = '14821' and menu_id = '282002';</v>
      </c>
      <c r="AY290" s="31" t="str">
        <f>IF(C290&lt;&gt;"",CREATE_QUERY($D$1,C$2:AW$2,C290:AW290),"")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'282002', '생산설비현황', '', '', '', '', '1', '1', '1', 'prod.cvic', 'CvicList', '1', '1', '1', '1', '1', '1', '1', '', '0', '0', '0', '', '', '', '', 'N', '', '', '282000', '5', '62100', '0', '14821/생산설비현황/prod.cvic/CvicList', '', '', 'Y', 'Y', 'Y', 'Y', '', 'P', 'MES-TD3-421', '생산 설비 현황 조회');</v>
      </c>
    </row>
    <row r="291" spans="1:51">
      <c r="A291" s="1">
        <v>118</v>
      </c>
      <c r="B291" s="121" t="str">
        <f t="shared" si="87"/>
        <v xml:space="preserve">        └ 설비점검유형관리</v>
      </c>
      <c r="C291" s="27" t="str">
        <f t="shared" si="65"/>
        <v>14821</v>
      </c>
      <c r="D291" s="121"/>
      <c r="E291" s="27">
        <v>282003</v>
      </c>
      <c r="F291" s="121" t="s">
        <v>1935</v>
      </c>
      <c r="G291" s="121"/>
      <c r="H291" s="121"/>
      <c r="I291" s="121"/>
      <c r="J291" s="121"/>
      <c r="K291" s="27" t="str">
        <f t="shared" si="91"/>
        <v>1</v>
      </c>
      <c r="L291" s="27">
        <v>1</v>
      </c>
      <c r="M291" s="27" t="str">
        <f t="shared" si="92"/>
        <v>1</v>
      </c>
      <c r="N291" s="121" t="s">
        <v>292</v>
      </c>
      <c r="O291" s="121" t="s">
        <v>1933</v>
      </c>
      <c r="P291" s="27" t="str">
        <f t="shared" si="73"/>
        <v>1</v>
      </c>
      <c r="Q291" s="27" t="str">
        <f t="shared" si="74"/>
        <v>1</v>
      </c>
      <c r="R291" s="27" t="str">
        <f t="shared" si="75"/>
        <v>1</v>
      </c>
      <c r="S291" s="27" t="str">
        <f t="shared" si="76"/>
        <v>1</v>
      </c>
      <c r="T291" s="27" t="str">
        <f t="shared" si="77"/>
        <v>1</v>
      </c>
      <c r="U291" s="27" t="str">
        <f t="shared" si="78"/>
        <v>1</v>
      </c>
      <c r="V291" s="27" t="str">
        <f t="shared" si="79"/>
        <v>1</v>
      </c>
      <c r="W291" s="27"/>
      <c r="X291" s="27" t="str">
        <f t="shared" si="80"/>
        <v>0</v>
      </c>
      <c r="Y291" s="27" t="str">
        <f t="shared" si="81"/>
        <v>0</v>
      </c>
      <c r="Z291" s="27" t="str">
        <f t="shared" si="82"/>
        <v>0</v>
      </c>
      <c r="AA291" s="121"/>
      <c r="AB291" s="121"/>
      <c r="AC291" s="121"/>
      <c r="AD291" s="121"/>
      <c r="AE291" s="121" t="s">
        <v>51</v>
      </c>
      <c r="AF291" s="121"/>
      <c r="AG291" s="121"/>
      <c r="AH291" s="28" t="s">
        <v>211</v>
      </c>
      <c r="AI291" s="28" t="s">
        <v>113</v>
      </c>
      <c r="AJ291" s="28">
        <v>62150</v>
      </c>
      <c r="AK291" s="121" t="str">
        <f t="shared" si="93"/>
        <v>0</v>
      </c>
      <c r="AL291" s="123" t="str">
        <f t="shared" si="45"/>
        <v>14821/설비점검유형관리/prod.cvic/CvicCheckType</v>
      </c>
      <c r="AM291" s="27"/>
      <c r="AN291" s="124"/>
      <c r="AO291" s="124" t="s">
        <v>1829</v>
      </c>
      <c r="AP291" s="124" t="s">
        <v>1829</v>
      </c>
      <c r="AQ291" s="124" t="s">
        <v>1829</v>
      </c>
      <c r="AR291" s="124" t="s">
        <v>1829</v>
      </c>
      <c r="AS291" s="124"/>
      <c r="AT291" s="124" t="s">
        <v>1941</v>
      </c>
      <c r="AU291" s="124" t="str">
        <f t="shared" si="70"/>
        <v>P282003</v>
      </c>
      <c r="AV291" s="124" t="s">
        <v>2634</v>
      </c>
      <c r="AW291" s="117" t="s">
        <v>2096</v>
      </c>
      <c r="AX291" s="138" t="str">
        <f t="shared" si="86"/>
        <v>delete from module_mst where pjt_id = '14821' and menu_id = '282003';</v>
      </c>
      <c r="AY291" s="31" t="str">
        <f>IF(C291&lt;&gt;"",CREATE_QUERY($D$1,C$2:AW$2,C291:AW291),"")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'282003', '설비점검유형관리', '', '', '', '', '1', '1', '1', 'prod.cvic', 'CvicCheckType', '1', '1', '1', '1', '1', '1', '1', '', '0', '0', '0', '', '', '', '', 'N', '', '', '282000', '5', '62150', '0', '14821/설비점검유형관리/prod.cvic/CvicCheckType', '', '', 'Y', 'Y', 'Y', 'Y', '', 'P', 'MES-TD3-422', '생산 설비 점검 유형 코드를 추가 또는 수정');</v>
      </c>
    </row>
    <row r="292" spans="1:51">
      <c r="A292" s="1">
        <v>119</v>
      </c>
      <c r="B292" s="121" t="str">
        <f t="shared" si="87"/>
        <v xml:space="preserve">        └ 설비점검항목관리</v>
      </c>
      <c r="C292" s="27" t="str">
        <f t="shared" si="65"/>
        <v>14821</v>
      </c>
      <c r="D292" s="121"/>
      <c r="E292" s="27">
        <v>282004</v>
      </c>
      <c r="F292" s="121" t="s">
        <v>1936</v>
      </c>
      <c r="G292" s="121"/>
      <c r="H292" s="121"/>
      <c r="I292" s="121"/>
      <c r="J292" s="121"/>
      <c r="K292" s="27" t="str">
        <f t="shared" si="91"/>
        <v>1</v>
      </c>
      <c r="L292" s="27">
        <v>1</v>
      </c>
      <c r="M292" s="27" t="str">
        <f t="shared" si="92"/>
        <v>1</v>
      </c>
      <c r="N292" s="121" t="s">
        <v>292</v>
      </c>
      <c r="O292" s="121" t="s">
        <v>1934</v>
      </c>
      <c r="P292" s="27" t="str">
        <f t="shared" si="73"/>
        <v>1</v>
      </c>
      <c r="Q292" s="27" t="str">
        <f t="shared" si="74"/>
        <v>1</v>
      </c>
      <c r="R292" s="27" t="str">
        <f t="shared" si="75"/>
        <v>1</v>
      </c>
      <c r="S292" s="27" t="str">
        <f t="shared" si="76"/>
        <v>1</v>
      </c>
      <c r="T292" s="27" t="str">
        <f t="shared" si="77"/>
        <v>1</v>
      </c>
      <c r="U292" s="27" t="str">
        <f t="shared" si="78"/>
        <v>1</v>
      </c>
      <c r="V292" s="27" t="str">
        <f t="shared" si="79"/>
        <v>1</v>
      </c>
      <c r="W292" s="27"/>
      <c r="X292" s="27" t="str">
        <f t="shared" si="80"/>
        <v>0</v>
      </c>
      <c r="Y292" s="27" t="str">
        <f t="shared" si="81"/>
        <v>0</v>
      </c>
      <c r="Z292" s="27" t="str">
        <f t="shared" si="82"/>
        <v>0</v>
      </c>
      <c r="AA292" s="121"/>
      <c r="AB292" s="121"/>
      <c r="AC292" s="121"/>
      <c r="AD292" s="121"/>
      <c r="AE292" s="121" t="s">
        <v>51</v>
      </c>
      <c r="AF292" s="121"/>
      <c r="AG292" s="121"/>
      <c r="AH292" s="28" t="s">
        <v>211</v>
      </c>
      <c r="AI292" s="28" t="s">
        <v>113</v>
      </c>
      <c r="AJ292" s="28">
        <v>62200</v>
      </c>
      <c r="AK292" s="121" t="str">
        <f t="shared" si="93"/>
        <v>0</v>
      </c>
      <c r="AL292" s="123" t="str">
        <f t="shared" si="45"/>
        <v>14821/설비점검항목관리/prod.cvic/CvicCheckTypeItem</v>
      </c>
      <c r="AM292" s="27"/>
      <c r="AN292" s="124"/>
      <c r="AO292" s="124" t="s">
        <v>1829</v>
      </c>
      <c r="AP292" s="124" t="s">
        <v>1829</v>
      </c>
      <c r="AQ292" s="124" t="s">
        <v>1829</v>
      </c>
      <c r="AR292" s="124" t="s">
        <v>1829</v>
      </c>
      <c r="AS292" s="124"/>
      <c r="AT292" s="124" t="s">
        <v>1941</v>
      </c>
      <c r="AU292" s="124" t="str">
        <f t="shared" ref="AU292:AU355" si="94">IF(O292="","",AT292&amp;E292)</f>
        <v>P282004</v>
      </c>
      <c r="AV292" s="124" t="s">
        <v>2635</v>
      </c>
      <c r="AW292" s="117" t="s">
        <v>2098</v>
      </c>
      <c r="AX292" s="138" t="str">
        <f t="shared" si="86"/>
        <v>delete from module_mst where pjt_id = '14821' and menu_id = '282004';</v>
      </c>
      <c r="AY292" s="31" t="str">
        <f>IF(C292&lt;&gt;"",CREATE_QUERY($D$1,C$2:AW$2,C292:AW292),"")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'282004', '설비점검항목관리', '', '', '', '', '1', '1', '1', 'prod.cvic', 'CvicCheckTypeItem', '1', '1', '1', '1', '1', '1', '1', '', '0', '0', '0', '', '', '', '', 'N', '', '', '282000', '5', '62200', '0', '14821/설비점검항목관리/prod.cvic/CvicCheckTypeItem', '', '', 'Y', 'Y', 'Y', 'Y', '', 'P', 'MES-TD3-423', '검검 유형별 점검 항목을 등록');</v>
      </c>
    </row>
    <row r="293" spans="1:51">
      <c r="A293" s="1">
        <v>118</v>
      </c>
      <c r="B293" s="121" t="str">
        <f t="shared" si="87"/>
        <v xml:space="preserve">        └ 생산설비점검</v>
      </c>
      <c r="C293" s="27" t="str">
        <f t="shared" si="65"/>
        <v>14821</v>
      </c>
      <c r="D293" s="121"/>
      <c r="E293" s="27">
        <v>282005</v>
      </c>
      <c r="F293" s="121" t="s">
        <v>223</v>
      </c>
      <c r="G293" s="121"/>
      <c r="H293" s="121"/>
      <c r="I293" s="121"/>
      <c r="J293" s="121"/>
      <c r="K293" s="27" t="str">
        <f t="shared" si="91"/>
        <v>1</v>
      </c>
      <c r="L293" s="27">
        <v>1</v>
      </c>
      <c r="M293" s="27" t="str">
        <f t="shared" si="92"/>
        <v>1</v>
      </c>
      <c r="N293" s="121" t="s">
        <v>292</v>
      </c>
      <c r="O293" s="121" t="s">
        <v>228</v>
      </c>
      <c r="P293" s="27" t="str">
        <f t="shared" si="73"/>
        <v>1</v>
      </c>
      <c r="Q293" s="27" t="str">
        <f t="shared" si="74"/>
        <v>1</v>
      </c>
      <c r="R293" s="27" t="str">
        <f t="shared" si="75"/>
        <v>1</v>
      </c>
      <c r="S293" s="27" t="str">
        <f t="shared" si="76"/>
        <v>1</v>
      </c>
      <c r="T293" s="27" t="str">
        <f t="shared" si="77"/>
        <v>1</v>
      </c>
      <c r="U293" s="27" t="str">
        <f t="shared" si="78"/>
        <v>1</v>
      </c>
      <c r="V293" s="27" t="str">
        <f t="shared" si="79"/>
        <v>1</v>
      </c>
      <c r="W293" s="27"/>
      <c r="X293" s="27" t="str">
        <f t="shared" si="80"/>
        <v>0</v>
      </c>
      <c r="Y293" s="27" t="str">
        <f t="shared" si="81"/>
        <v>0</v>
      </c>
      <c r="Z293" s="27" t="str">
        <f t="shared" si="82"/>
        <v>0</v>
      </c>
      <c r="AA293" s="121"/>
      <c r="AB293" s="121"/>
      <c r="AC293" s="121"/>
      <c r="AD293" s="121"/>
      <c r="AE293" s="121" t="s">
        <v>51</v>
      </c>
      <c r="AF293" s="121"/>
      <c r="AG293" s="121"/>
      <c r="AH293" s="28" t="s">
        <v>211</v>
      </c>
      <c r="AI293" s="28" t="s">
        <v>113</v>
      </c>
      <c r="AJ293" s="28">
        <v>62250</v>
      </c>
      <c r="AK293" s="121" t="str">
        <f t="shared" si="93"/>
        <v>0</v>
      </c>
      <c r="AL293" s="123" t="str">
        <f t="shared" si="45"/>
        <v>14821/생산설비점검/prod.cvic/CvicCheck</v>
      </c>
      <c r="AM293" s="27"/>
      <c r="AN293" s="124"/>
      <c r="AO293" s="124" t="s">
        <v>1829</v>
      </c>
      <c r="AP293" s="124" t="s">
        <v>1829</v>
      </c>
      <c r="AQ293" s="124" t="s">
        <v>1829</v>
      </c>
      <c r="AR293" s="124" t="s">
        <v>1829</v>
      </c>
      <c r="AS293" s="124"/>
      <c r="AT293" s="124" t="s">
        <v>1941</v>
      </c>
      <c r="AU293" s="124" t="str">
        <f t="shared" si="94"/>
        <v>P282005</v>
      </c>
      <c r="AV293" s="124" t="s">
        <v>2636</v>
      </c>
      <c r="AW293" s="117" t="s">
        <v>2100</v>
      </c>
      <c r="AX293" s="138" t="str">
        <f t="shared" si="86"/>
        <v>delete from module_mst where pjt_id = '14821' and menu_id = '282005';</v>
      </c>
      <c r="AY293" s="31" t="str">
        <f>IF(C293&lt;&gt;"",CREATE_QUERY($D$1,C$2:AW$2,C293:AW293),"")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'282005', '생산설비점검', '', '', '', '', '1', '1', '1', 'prod.cvic', 'CvicCheck', '1', '1', '1', '1', '1', '1', '1', '', '0', '0', '0', '', '', '', '', 'N', '', '', '282000', '5', '62250', '0', '14821/생산설비점검/prod.cvic/CvicCheck', '', '', 'Y', 'Y', 'Y', 'Y', '', 'P', 'MES-TD3-424', '생산 설비 점검 사항을 보고');</v>
      </c>
    </row>
    <row r="294" spans="1:51">
      <c r="A294" s="1">
        <v>119</v>
      </c>
      <c r="B294" s="121" t="str">
        <f t="shared" si="87"/>
        <v xml:space="preserve">        └ 생산설비모니터링</v>
      </c>
      <c r="C294" s="27" t="str">
        <f t="shared" si="65"/>
        <v>14821</v>
      </c>
      <c r="D294" s="121"/>
      <c r="E294" s="27">
        <v>282006</v>
      </c>
      <c r="F294" s="121" t="s">
        <v>224</v>
      </c>
      <c r="G294" s="121"/>
      <c r="H294" s="121"/>
      <c r="I294" s="121"/>
      <c r="J294" s="121"/>
      <c r="K294" s="27" t="str">
        <f t="shared" si="91"/>
        <v>1</v>
      </c>
      <c r="L294" s="27">
        <v>1</v>
      </c>
      <c r="M294" s="27" t="str">
        <f t="shared" si="92"/>
        <v>1</v>
      </c>
      <c r="N294" s="121" t="s">
        <v>292</v>
      </c>
      <c r="O294" s="121" t="s">
        <v>229</v>
      </c>
      <c r="P294" s="27" t="str">
        <f t="shared" si="73"/>
        <v>1</v>
      </c>
      <c r="Q294" s="27" t="str">
        <f t="shared" si="74"/>
        <v>1</v>
      </c>
      <c r="R294" s="27" t="str">
        <f t="shared" si="75"/>
        <v>1</v>
      </c>
      <c r="S294" s="27" t="str">
        <f t="shared" si="76"/>
        <v>1</v>
      </c>
      <c r="T294" s="27" t="str">
        <f t="shared" si="77"/>
        <v>1</v>
      </c>
      <c r="U294" s="27" t="str">
        <f t="shared" si="78"/>
        <v>1</v>
      </c>
      <c r="V294" s="27" t="str">
        <f t="shared" si="79"/>
        <v>1</v>
      </c>
      <c r="W294" s="27"/>
      <c r="X294" s="27" t="str">
        <f t="shared" si="80"/>
        <v>0</v>
      </c>
      <c r="Y294" s="27" t="str">
        <f t="shared" si="81"/>
        <v>0</v>
      </c>
      <c r="Z294" s="27" t="str">
        <f t="shared" si="82"/>
        <v>0</v>
      </c>
      <c r="AA294" s="121"/>
      <c r="AB294" s="121"/>
      <c r="AC294" s="121"/>
      <c r="AD294" s="121"/>
      <c r="AE294" s="121" t="s">
        <v>51</v>
      </c>
      <c r="AF294" s="121"/>
      <c r="AG294" s="121"/>
      <c r="AH294" s="28" t="s">
        <v>211</v>
      </c>
      <c r="AI294" s="28" t="s">
        <v>113</v>
      </c>
      <c r="AJ294" s="28">
        <v>62300</v>
      </c>
      <c r="AK294" s="121" t="str">
        <f t="shared" si="93"/>
        <v>0</v>
      </c>
      <c r="AL294" s="123" t="str">
        <f t="shared" si="45"/>
        <v>14821/생산설비모니터링/prod.cvic/CvicMonitring</v>
      </c>
      <c r="AM294" s="27"/>
      <c r="AN294" s="124"/>
      <c r="AO294" s="124" t="s">
        <v>1829</v>
      </c>
      <c r="AP294" s="124" t="s">
        <v>1829</v>
      </c>
      <c r="AQ294" s="124" t="s">
        <v>1829</v>
      </c>
      <c r="AR294" s="124" t="s">
        <v>1829</v>
      </c>
      <c r="AS294" s="124"/>
      <c r="AT294" s="124" t="s">
        <v>1941</v>
      </c>
      <c r="AU294" s="124" t="str">
        <f t="shared" si="94"/>
        <v>P282006</v>
      </c>
      <c r="AV294" s="124" t="s">
        <v>2637</v>
      </c>
      <c r="AW294" s="117" t="s">
        <v>2102</v>
      </c>
      <c r="AX294" s="138" t="str">
        <f t="shared" si="86"/>
        <v>delete from module_mst where pjt_id = '14821' and menu_id = '282006';</v>
      </c>
      <c r="AY294" s="31" t="str">
        <f>IF(C294&lt;&gt;"",CREATE_QUERY($D$1,C$2:AW$2,C294:AW294),"")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'282006', '생산설비모니터링', '', '', '', '', '1', '1', '1', 'prod.cvic', 'CvicMonitring', '1', '1', '1', '1', '1', '1', '1', '', '0', '0', '0', '', '', '', '', 'N', '', '', '282000', '5', '62300', '0', '14821/생산설비모니터링/prod.cvic/CvicMonitring', '', '', 'Y', 'Y', 'Y', 'Y', '', 'P', 'MES-TD3-425', '실시간 생산 설비의 가동 현황 모니터링');</v>
      </c>
    </row>
    <row r="295" spans="1:51">
      <c r="A295" s="1">
        <v>120</v>
      </c>
      <c r="B295" s="121" t="str">
        <f t="shared" si="87"/>
        <v xml:space="preserve">        └ 생산설비가동율</v>
      </c>
      <c r="C295" s="27" t="str">
        <f t="shared" si="65"/>
        <v>14821</v>
      </c>
      <c r="D295" s="121"/>
      <c r="E295" s="27">
        <v>282007</v>
      </c>
      <c r="F295" s="121" t="s">
        <v>235</v>
      </c>
      <c r="G295" s="121"/>
      <c r="H295" s="121"/>
      <c r="I295" s="121"/>
      <c r="J295" s="121"/>
      <c r="K295" s="27" t="str">
        <f t="shared" si="91"/>
        <v>1</v>
      </c>
      <c r="L295" s="27">
        <v>1</v>
      </c>
      <c r="M295" s="27" t="str">
        <f t="shared" si="92"/>
        <v>1</v>
      </c>
      <c r="N295" s="121" t="s">
        <v>292</v>
      </c>
      <c r="O295" s="121" t="s">
        <v>289</v>
      </c>
      <c r="P295" s="27" t="str">
        <f t="shared" ref="P295:P361" si="95">IF(O295="","0","1")</f>
        <v>1</v>
      </c>
      <c r="Q295" s="27" t="str">
        <f t="shared" ref="Q295:Q361" si="96">IF(O295="","0","1")</f>
        <v>1</v>
      </c>
      <c r="R295" s="27" t="str">
        <f t="shared" ref="R295:R361" si="97">IF(O295="","0","1")</f>
        <v>1</v>
      </c>
      <c r="S295" s="27" t="str">
        <f t="shared" ref="S295:S361" si="98">IF(O295="","0","1")</f>
        <v>1</v>
      </c>
      <c r="T295" s="27" t="str">
        <f t="shared" ref="T295:T361" si="99">IF(O295="","0","1")</f>
        <v>1</v>
      </c>
      <c r="U295" s="27" t="str">
        <f t="shared" ref="U295:U361" si="100">IF(O295="","0","1")</f>
        <v>1</v>
      </c>
      <c r="V295" s="27" t="str">
        <f t="shared" ref="V295:V361" si="101">IF(O295="","1","1")</f>
        <v>1</v>
      </c>
      <c r="W295" s="27"/>
      <c r="X295" s="27" t="str">
        <f t="shared" ref="X295:X361" si="102">IF(O295="","","0")</f>
        <v>0</v>
      </c>
      <c r="Y295" s="27" t="str">
        <f t="shared" ref="Y295:Y361" si="103">IF(O295="","","0")</f>
        <v>0</v>
      </c>
      <c r="Z295" s="27" t="str">
        <f t="shared" ref="Z295:Z361" si="104">IF(O295="","","0")</f>
        <v>0</v>
      </c>
      <c r="AA295" s="121"/>
      <c r="AB295" s="121"/>
      <c r="AC295" s="121"/>
      <c r="AD295" s="121"/>
      <c r="AE295" s="121" t="s">
        <v>51</v>
      </c>
      <c r="AF295" s="121"/>
      <c r="AG295" s="121"/>
      <c r="AH295" s="28" t="s">
        <v>211</v>
      </c>
      <c r="AI295" s="28" t="s">
        <v>113</v>
      </c>
      <c r="AJ295" s="28">
        <v>62350</v>
      </c>
      <c r="AK295" s="121" t="str">
        <f t="shared" si="93"/>
        <v>0</v>
      </c>
      <c r="AL295" s="123" t="str">
        <f t="shared" si="45"/>
        <v>14821/생산설비가동율/prod.cvic/CvicAnal</v>
      </c>
      <c r="AM295" s="27"/>
      <c r="AN295" s="124"/>
      <c r="AO295" s="124" t="s">
        <v>1829</v>
      </c>
      <c r="AP295" s="124" t="s">
        <v>1829</v>
      </c>
      <c r="AQ295" s="124" t="s">
        <v>1829</v>
      </c>
      <c r="AR295" s="124" t="s">
        <v>1829</v>
      </c>
      <c r="AS295" s="124"/>
      <c r="AT295" s="124" t="s">
        <v>1941</v>
      </c>
      <c r="AU295" s="124" t="str">
        <f t="shared" si="94"/>
        <v>P282007</v>
      </c>
      <c r="AV295" s="124" t="s">
        <v>2638</v>
      </c>
      <c r="AW295" s="117" t="s">
        <v>2104</v>
      </c>
      <c r="AX295" s="138" t="str">
        <f t="shared" si="86"/>
        <v>delete from module_mst where pjt_id = '14821' and menu_id = '282007';</v>
      </c>
      <c r="AY295" s="31" t="str">
        <f>IF(C295&lt;&gt;"",CREATE_QUERY($D$1,C$2:AW$2,C295:AW295),"")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'282007', '생산설비가동율', '', '', '', '', '1', '1', '1', 'prod.cvic', 'CvicAnal', '1', '1', '1', '1', '1', '1', '1', '', '0', '0', '0', '', '', '', '', 'N', '', '', '282000', '5', '62350', '0', '14821/생산설비가동율/prod.cvic/CvicAnal', '', '', 'Y', 'Y', 'Y', 'Y', '', 'P', 'MES-TD3-426', '주간, 월간 생산 설비의 가동율 분석');</v>
      </c>
    </row>
    <row r="296" spans="1:51">
      <c r="A296" s="1">
        <v>120</v>
      </c>
      <c r="B296" s="121" t="str">
        <f t="shared" si="87"/>
        <v xml:space="preserve">        └ 생산설비가동현황</v>
      </c>
      <c r="C296" s="27" t="str">
        <f t="shared" si="65"/>
        <v>14821</v>
      </c>
      <c r="D296" s="121"/>
      <c r="E296" s="27">
        <v>282008</v>
      </c>
      <c r="F296" s="121" t="s">
        <v>2314</v>
      </c>
      <c r="G296" s="121"/>
      <c r="H296" s="121"/>
      <c r="I296" s="121"/>
      <c r="J296" s="121"/>
      <c r="K296" s="27" t="str">
        <f t="shared" si="91"/>
        <v>1</v>
      </c>
      <c r="L296" s="27">
        <v>1</v>
      </c>
      <c r="M296" s="27" t="str">
        <f t="shared" si="92"/>
        <v>1</v>
      </c>
      <c r="N296" s="121" t="s">
        <v>292</v>
      </c>
      <c r="O296" s="121" t="s">
        <v>2316</v>
      </c>
      <c r="P296" s="27" t="str">
        <f t="shared" si="95"/>
        <v>1</v>
      </c>
      <c r="Q296" s="27" t="str">
        <f t="shared" si="96"/>
        <v>1</v>
      </c>
      <c r="R296" s="27" t="str">
        <f t="shared" si="97"/>
        <v>1</v>
      </c>
      <c r="S296" s="27" t="str">
        <f t="shared" si="98"/>
        <v>1</v>
      </c>
      <c r="T296" s="27" t="str">
        <f t="shared" si="99"/>
        <v>1</v>
      </c>
      <c r="U296" s="27" t="str">
        <f t="shared" si="100"/>
        <v>1</v>
      </c>
      <c r="V296" s="27" t="str">
        <f t="shared" si="101"/>
        <v>1</v>
      </c>
      <c r="W296" s="27"/>
      <c r="X296" s="27" t="str">
        <f t="shared" si="102"/>
        <v>0</v>
      </c>
      <c r="Y296" s="27" t="str">
        <f t="shared" si="103"/>
        <v>0</v>
      </c>
      <c r="Z296" s="27" t="str">
        <f t="shared" si="104"/>
        <v>0</v>
      </c>
      <c r="AA296" s="121"/>
      <c r="AB296" s="121"/>
      <c r="AC296" s="121"/>
      <c r="AD296" s="121"/>
      <c r="AE296" s="121" t="s">
        <v>51</v>
      </c>
      <c r="AF296" s="121"/>
      <c r="AG296" s="121"/>
      <c r="AH296" s="28" t="s">
        <v>211</v>
      </c>
      <c r="AI296" s="28" t="s">
        <v>113</v>
      </c>
      <c r="AJ296" s="28">
        <v>62400</v>
      </c>
      <c r="AK296" s="121" t="str">
        <f t="shared" si="93"/>
        <v/>
      </c>
      <c r="AL296" s="123" t="str">
        <f t="shared" si="45"/>
        <v>14821/생산설비가동현황/prod.cvic/CvicList2</v>
      </c>
      <c r="AM296" s="27"/>
      <c r="AN296" s="124"/>
      <c r="AO296" s="124" t="s">
        <v>1829</v>
      </c>
      <c r="AP296" s="124" t="s">
        <v>1829</v>
      </c>
      <c r="AQ296" s="124" t="s">
        <v>1829</v>
      </c>
      <c r="AR296" s="124" t="s">
        <v>1829</v>
      </c>
      <c r="AS296" s="124"/>
      <c r="AT296" s="124" t="s">
        <v>1941</v>
      </c>
      <c r="AU296" s="124" t="str">
        <f t="shared" si="94"/>
        <v>P282008</v>
      </c>
      <c r="AV296" s="124" t="s">
        <v>2639</v>
      </c>
      <c r="AW296" s="117" t="s">
        <v>2315</v>
      </c>
      <c r="AX296" s="138" t="str">
        <f t="shared" si="86"/>
        <v>delete from module_mst where pjt_id = '14821' and menu_id = '282008';</v>
      </c>
      <c r="AY296" s="31" t="str">
        <f>IF(C296&lt;&gt;"",CREATE_QUERY($D$1,C$2:AW$2,C296:AW296),"")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'282008', '생산설비가동현황', '', '', '', '', '1', '1', '1', 'prod.cvic', 'CvicList2', '1', '1', '1', '1', '1', '1', '1', '', '0', '0', '0', '', '', '', '', 'N', '', '', '282000', '5', '62400', '', '14821/생산설비가동현황/prod.cvic/CvicList2', '', '', 'Y', 'Y', 'Y', 'Y', '', 'P', 'MES-TD3-427', '생산설비 가동 및 비 가동 현황 조회');</v>
      </c>
    </row>
    <row r="297" spans="1:51">
      <c r="A297" s="1">
        <v>118</v>
      </c>
      <c r="B297" s="121" t="str">
        <f t="shared" si="87"/>
        <v/>
      </c>
      <c r="C297" s="27" t="str">
        <f t="shared" si="65"/>
        <v/>
      </c>
      <c r="D297" s="121"/>
      <c r="E297" s="27">
        <v>282009</v>
      </c>
      <c r="F297" s="121"/>
      <c r="G297" s="121"/>
      <c r="H297" s="121"/>
      <c r="I297" s="121"/>
      <c r="J297" s="121"/>
      <c r="K297" s="27" t="str">
        <f t="shared" si="91"/>
        <v/>
      </c>
      <c r="L297" s="27">
        <v>1</v>
      </c>
      <c r="M297" s="27" t="str">
        <f t="shared" si="92"/>
        <v>0</v>
      </c>
      <c r="N297" s="121"/>
      <c r="O297" s="121"/>
      <c r="P297" s="27" t="str">
        <f t="shared" si="95"/>
        <v>0</v>
      </c>
      <c r="Q297" s="27" t="str">
        <f t="shared" si="96"/>
        <v>0</v>
      </c>
      <c r="R297" s="27" t="str">
        <f t="shared" si="97"/>
        <v>0</v>
      </c>
      <c r="S297" s="27" t="str">
        <f t="shared" si="98"/>
        <v>0</v>
      </c>
      <c r="T297" s="27" t="str">
        <f t="shared" si="99"/>
        <v>0</v>
      </c>
      <c r="U297" s="27" t="str">
        <f t="shared" si="100"/>
        <v>0</v>
      </c>
      <c r="V297" s="27" t="str">
        <f t="shared" si="101"/>
        <v>1</v>
      </c>
      <c r="W297" s="27"/>
      <c r="X297" s="27" t="str">
        <f t="shared" si="102"/>
        <v/>
      </c>
      <c r="Y297" s="27" t="str">
        <f t="shared" si="103"/>
        <v/>
      </c>
      <c r="Z297" s="27" t="str">
        <f t="shared" si="104"/>
        <v/>
      </c>
      <c r="AA297" s="121"/>
      <c r="AB297" s="121"/>
      <c r="AC297" s="121"/>
      <c r="AD297" s="121"/>
      <c r="AE297" s="121" t="s">
        <v>51</v>
      </c>
      <c r="AF297" s="121"/>
      <c r="AG297" s="121"/>
      <c r="AH297" s="28" t="s">
        <v>211</v>
      </c>
      <c r="AI297" s="28" t="s">
        <v>113</v>
      </c>
      <c r="AJ297" s="28">
        <v>62450</v>
      </c>
      <c r="AK297" s="121" t="str">
        <f t="shared" si="93"/>
        <v/>
      </c>
      <c r="AL297" s="123" t="str">
        <f t="shared" si="45"/>
        <v/>
      </c>
      <c r="AM297" s="27"/>
      <c r="AN297" s="124"/>
      <c r="AO297" s="124"/>
      <c r="AP297" s="124"/>
      <c r="AQ297" s="124"/>
      <c r="AR297" s="124"/>
      <c r="AS297" s="124"/>
      <c r="AT297" s="124" t="s">
        <v>1941</v>
      </c>
      <c r="AU297" s="124" t="str">
        <f t="shared" si="94"/>
        <v/>
      </c>
      <c r="AV297" s="124" t="s">
        <v>2640</v>
      </c>
      <c r="AW297" s="117"/>
      <c r="AX297" s="138" t="str">
        <f t="shared" si="86"/>
        <v/>
      </c>
      <c r="AY297" s="31" t="str">
        <f>IF(C297&lt;&gt;"",CREATE_QUERY($D$1,C$2:AW$2,C297:AW297),"")</f>
        <v/>
      </c>
    </row>
    <row r="298" spans="1:51">
      <c r="A298" s="1">
        <v>119</v>
      </c>
      <c r="B298" s="121" t="str">
        <f t="shared" si="87"/>
        <v/>
      </c>
      <c r="C298" s="27" t="str">
        <f t="shared" si="65"/>
        <v/>
      </c>
      <c r="D298" s="121"/>
      <c r="E298" s="27">
        <v>282010</v>
      </c>
      <c r="F298" s="121"/>
      <c r="G298" s="121"/>
      <c r="H298" s="121"/>
      <c r="I298" s="121"/>
      <c r="J298" s="121"/>
      <c r="K298" s="27" t="str">
        <f t="shared" si="91"/>
        <v/>
      </c>
      <c r="L298" s="27">
        <v>1</v>
      </c>
      <c r="M298" s="27" t="str">
        <f t="shared" si="92"/>
        <v>0</v>
      </c>
      <c r="N298" s="121"/>
      <c r="O298" s="121"/>
      <c r="P298" s="27" t="str">
        <f t="shared" si="95"/>
        <v>0</v>
      </c>
      <c r="Q298" s="27" t="str">
        <f t="shared" si="96"/>
        <v>0</v>
      </c>
      <c r="R298" s="27" t="str">
        <f t="shared" si="97"/>
        <v>0</v>
      </c>
      <c r="S298" s="27" t="str">
        <f t="shared" si="98"/>
        <v>0</v>
      </c>
      <c r="T298" s="27" t="str">
        <f t="shared" si="99"/>
        <v>0</v>
      </c>
      <c r="U298" s="27" t="str">
        <f t="shared" si="100"/>
        <v>0</v>
      </c>
      <c r="V298" s="27" t="str">
        <f t="shared" si="101"/>
        <v>1</v>
      </c>
      <c r="W298" s="27"/>
      <c r="X298" s="27" t="str">
        <f t="shared" si="102"/>
        <v/>
      </c>
      <c r="Y298" s="27" t="str">
        <f t="shared" si="103"/>
        <v/>
      </c>
      <c r="Z298" s="27" t="str">
        <f t="shared" si="104"/>
        <v/>
      </c>
      <c r="AA298" s="121"/>
      <c r="AB298" s="121"/>
      <c r="AC298" s="121"/>
      <c r="AD298" s="121"/>
      <c r="AE298" s="121" t="s">
        <v>51</v>
      </c>
      <c r="AF298" s="121"/>
      <c r="AG298" s="121"/>
      <c r="AH298" s="28" t="s">
        <v>211</v>
      </c>
      <c r="AI298" s="28" t="s">
        <v>113</v>
      </c>
      <c r="AJ298" s="28">
        <v>62500</v>
      </c>
      <c r="AK298" s="121" t="str">
        <f t="shared" si="93"/>
        <v/>
      </c>
      <c r="AL298" s="123" t="str">
        <f t="shared" si="45"/>
        <v/>
      </c>
      <c r="AM298" s="27"/>
      <c r="AN298" s="124"/>
      <c r="AO298" s="124"/>
      <c r="AP298" s="124"/>
      <c r="AQ298" s="124"/>
      <c r="AR298" s="124"/>
      <c r="AS298" s="124"/>
      <c r="AT298" s="124" t="s">
        <v>1941</v>
      </c>
      <c r="AU298" s="124" t="str">
        <f t="shared" si="94"/>
        <v/>
      </c>
      <c r="AV298" s="124" t="s">
        <v>2641</v>
      </c>
      <c r="AW298" s="117"/>
      <c r="AX298" s="138" t="str">
        <f t="shared" si="86"/>
        <v/>
      </c>
      <c r="AY298" s="31" t="str">
        <f>IF(C298&lt;&gt;"",CREATE_QUERY($D$1,C$2:AW$2,C298:AW298),"")</f>
        <v/>
      </c>
    </row>
    <row r="299" spans="1:51">
      <c r="A299" s="1">
        <v>118</v>
      </c>
      <c r="B299" s="121" t="str">
        <f t="shared" si="87"/>
        <v/>
      </c>
      <c r="C299" s="27" t="str">
        <f t="shared" si="65"/>
        <v/>
      </c>
      <c r="D299" s="121"/>
      <c r="E299" s="27">
        <v>282011</v>
      </c>
      <c r="F299" s="121"/>
      <c r="G299" s="121"/>
      <c r="H299" s="121"/>
      <c r="I299" s="121"/>
      <c r="J299" s="121"/>
      <c r="K299" s="27" t="str">
        <f t="shared" si="91"/>
        <v/>
      </c>
      <c r="L299" s="27">
        <v>1</v>
      </c>
      <c r="M299" s="27" t="str">
        <f t="shared" si="92"/>
        <v>0</v>
      </c>
      <c r="N299" s="121"/>
      <c r="O299" s="121"/>
      <c r="P299" s="27" t="str">
        <f t="shared" si="95"/>
        <v>0</v>
      </c>
      <c r="Q299" s="27" t="str">
        <f t="shared" si="96"/>
        <v>0</v>
      </c>
      <c r="R299" s="27" t="str">
        <f t="shared" si="97"/>
        <v>0</v>
      </c>
      <c r="S299" s="27" t="str">
        <f t="shared" si="98"/>
        <v>0</v>
      </c>
      <c r="T299" s="27" t="str">
        <f t="shared" si="99"/>
        <v>0</v>
      </c>
      <c r="U299" s="27" t="str">
        <f t="shared" si="100"/>
        <v>0</v>
      </c>
      <c r="V299" s="27" t="str">
        <f t="shared" si="101"/>
        <v>1</v>
      </c>
      <c r="W299" s="27"/>
      <c r="X299" s="27" t="str">
        <f t="shared" si="102"/>
        <v/>
      </c>
      <c r="Y299" s="27" t="str">
        <f t="shared" si="103"/>
        <v/>
      </c>
      <c r="Z299" s="27" t="str">
        <f t="shared" si="104"/>
        <v/>
      </c>
      <c r="AA299" s="121"/>
      <c r="AB299" s="121"/>
      <c r="AC299" s="121"/>
      <c r="AD299" s="121"/>
      <c r="AE299" s="121" t="s">
        <v>51</v>
      </c>
      <c r="AF299" s="121"/>
      <c r="AG299" s="121"/>
      <c r="AH299" s="28" t="s">
        <v>211</v>
      </c>
      <c r="AI299" s="28" t="s">
        <v>113</v>
      </c>
      <c r="AJ299" s="28">
        <v>62550</v>
      </c>
      <c r="AK299" s="121" t="str">
        <f t="shared" si="93"/>
        <v/>
      </c>
      <c r="AL299" s="123" t="str">
        <f t="shared" si="45"/>
        <v/>
      </c>
      <c r="AM299" s="27"/>
      <c r="AN299" s="124"/>
      <c r="AO299" s="124"/>
      <c r="AP299" s="124"/>
      <c r="AQ299" s="124"/>
      <c r="AR299" s="124"/>
      <c r="AS299" s="124"/>
      <c r="AT299" s="124" t="s">
        <v>1941</v>
      </c>
      <c r="AU299" s="124" t="str">
        <f t="shared" si="94"/>
        <v/>
      </c>
      <c r="AV299" s="124" t="s">
        <v>2642</v>
      </c>
      <c r="AW299" s="117"/>
      <c r="AX299" s="138" t="str">
        <f t="shared" si="86"/>
        <v/>
      </c>
      <c r="AY299" s="31" t="str">
        <f>IF(C299&lt;&gt;"",CREATE_QUERY($D$1,C$2:AW$2,C299:AW299),"")</f>
        <v/>
      </c>
    </row>
    <row r="300" spans="1:51">
      <c r="A300" s="1">
        <v>119</v>
      </c>
      <c r="B300" s="121" t="str">
        <f t="shared" si="87"/>
        <v/>
      </c>
      <c r="C300" s="27" t="str">
        <f t="shared" si="65"/>
        <v/>
      </c>
      <c r="D300" s="121"/>
      <c r="E300" s="27">
        <v>282012</v>
      </c>
      <c r="F300" s="121"/>
      <c r="G300" s="121"/>
      <c r="H300" s="121"/>
      <c r="I300" s="121"/>
      <c r="J300" s="121"/>
      <c r="K300" s="27" t="str">
        <f t="shared" si="91"/>
        <v/>
      </c>
      <c r="L300" s="27">
        <v>1</v>
      </c>
      <c r="M300" s="27" t="str">
        <f t="shared" si="92"/>
        <v>0</v>
      </c>
      <c r="N300" s="121"/>
      <c r="O300" s="121"/>
      <c r="P300" s="27" t="str">
        <f t="shared" si="95"/>
        <v>0</v>
      </c>
      <c r="Q300" s="27" t="str">
        <f t="shared" si="96"/>
        <v>0</v>
      </c>
      <c r="R300" s="27" t="str">
        <f t="shared" si="97"/>
        <v>0</v>
      </c>
      <c r="S300" s="27" t="str">
        <f t="shared" si="98"/>
        <v>0</v>
      </c>
      <c r="T300" s="27" t="str">
        <f t="shared" si="99"/>
        <v>0</v>
      </c>
      <c r="U300" s="27" t="str">
        <f t="shared" si="100"/>
        <v>0</v>
      </c>
      <c r="V300" s="27" t="str">
        <f t="shared" si="101"/>
        <v>1</v>
      </c>
      <c r="W300" s="27"/>
      <c r="X300" s="27" t="str">
        <f t="shared" si="102"/>
        <v/>
      </c>
      <c r="Y300" s="27" t="str">
        <f t="shared" si="103"/>
        <v/>
      </c>
      <c r="Z300" s="27" t="str">
        <f t="shared" si="104"/>
        <v/>
      </c>
      <c r="AA300" s="121"/>
      <c r="AB300" s="121"/>
      <c r="AC300" s="121"/>
      <c r="AD300" s="121"/>
      <c r="AE300" s="121" t="s">
        <v>51</v>
      </c>
      <c r="AF300" s="121"/>
      <c r="AG300" s="121"/>
      <c r="AH300" s="28" t="s">
        <v>211</v>
      </c>
      <c r="AI300" s="28" t="s">
        <v>113</v>
      </c>
      <c r="AJ300" s="28">
        <v>62600</v>
      </c>
      <c r="AK300" s="121" t="str">
        <f t="shared" si="93"/>
        <v/>
      </c>
      <c r="AL300" s="123" t="str">
        <f t="shared" si="45"/>
        <v/>
      </c>
      <c r="AM300" s="27"/>
      <c r="AN300" s="124"/>
      <c r="AO300" s="124"/>
      <c r="AP300" s="124"/>
      <c r="AQ300" s="124"/>
      <c r="AR300" s="124"/>
      <c r="AS300" s="124"/>
      <c r="AT300" s="124" t="s">
        <v>1941</v>
      </c>
      <c r="AU300" s="124" t="str">
        <f t="shared" si="94"/>
        <v/>
      </c>
      <c r="AV300" s="124" t="s">
        <v>2643</v>
      </c>
      <c r="AW300" s="117"/>
      <c r="AX300" s="138" t="str">
        <f t="shared" si="86"/>
        <v/>
      </c>
      <c r="AY300" s="31" t="str">
        <f>IF(C300&lt;&gt;"",CREATE_QUERY($D$1,C$2:AW$2,C300:AW300),"")</f>
        <v/>
      </c>
    </row>
    <row r="301" spans="1:51">
      <c r="A301" s="1">
        <v>120</v>
      </c>
      <c r="B301" s="121" t="str">
        <f t="shared" si="87"/>
        <v/>
      </c>
      <c r="C301" s="27" t="str">
        <f t="shared" si="65"/>
        <v/>
      </c>
      <c r="D301" s="121"/>
      <c r="E301" s="27">
        <v>282013</v>
      </c>
      <c r="F301" s="121"/>
      <c r="G301" s="121"/>
      <c r="H301" s="121"/>
      <c r="I301" s="121"/>
      <c r="J301" s="121"/>
      <c r="K301" s="27" t="str">
        <f t="shared" si="91"/>
        <v/>
      </c>
      <c r="L301" s="27">
        <v>1</v>
      </c>
      <c r="M301" s="27" t="str">
        <f t="shared" si="92"/>
        <v>0</v>
      </c>
      <c r="N301" s="121"/>
      <c r="O301" s="121"/>
      <c r="P301" s="27" t="str">
        <f t="shared" si="95"/>
        <v>0</v>
      </c>
      <c r="Q301" s="27" t="str">
        <f t="shared" si="96"/>
        <v>0</v>
      </c>
      <c r="R301" s="27" t="str">
        <f t="shared" si="97"/>
        <v>0</v>
      </c>
      <c r="S301" s="27" t="str">
        <f t="shared" si="98"/>
        <v>0</v>
      </c>
      <c r="T301" s="27" t="str">
        <f t="shared" si="99"/>
        <v>0</v>
      </c>
      <c r="U301" s="27" t="str">
        <f t="shared" si="100"/>
        <v>0</v>
      </c>
      <c r="V301" s="27" t="str">
        <f t="shared" si="101"/>
        <v>1</v>
      </c>
      <c r="W301" s="27"/>
      <c r="X301" s="27" t="str">
        <f t="shared" si="102"/>
        <v/>
      </c>
      <c r="Y301" s="27" t="str">
        <f t="shared" si="103"/>
        <v/>
      </c>
      <c r="Z301" s="27" t="str">
        <f t="shared" si="104"/>
        <v/>
      </c>
      <c r="AA301" s="121"/>
      <c r="AB301" s="121"/>
      <c r="AC301" s="121"/>
      <c r="AD301" s="121"/>
      <c r="AE301" s="121" t="s">
        <v>51</v>
      </c>
      <c r="AF301" s="121"/>
      <c r="AG301" s="121"/>
      <c r="AH301" s="28" t="s">
        <v>211</v>
      </c>
      <c r="AI301" s="28" t="s">
        <v>113</v>
      </c>
      <c r="AJ301" s="28">
        <v>62650</v>
      </c>
      <c r="AK301" s="121" t="str">
        <f t="shared" si="93"/>
        <v/>
      </c>
      <c r="AL301" s="123" t="str">
        <f t="shared" si="45"/>
        <v/>
      </c>
      <c r="AM301" s="27"/>
      <c r="AN301" s="124"/>
      <c r="AO301" s="124"/>
      <c r="AP301" s="124"/>
      <c r="AQ301" s="124"/>
      <c r="AR301" s="124"/>
      <c r="AS301" s="124"/>
      <c r="AT301" s="124" t="s">
        <v>1941</v>
      </c>
      <c r="AU301" s="124" t="str">
        <f t="shared" si="94"/>
        <v/>
      </c>
      <c r="AV301" s="124" t="s">
        <v>2644</v>
      </c>
      <c r="AW301" s="117"/>
      <c r="AX301" s="138" t="str">
        <f t="shared" si="86"/>
        <v/>
      </c>
      <c r="AY301" s="31" t="str">
        <f>IF(C301&lt;&gt;"",CREATE_QUERY($D$1,C$2:AW$2,C301:AW301),"")</f>
        <v/>
      </c>
    </row>
    <row r="302" spans="1:51">
      <c r="A302" s="1">
        <v>120</v>
      </c>
      <c r="B302" s="121" t="str">
        <f t="shared" si="87"/>
        <v/>
      </c>
      <c r="C302" s="27" t="str">
        <f t="shared" si="65"/>
        <v/>
      </c>
      <c r="D302" s="121"/>
      <c r="E302" s="27">
        <v>282014</v>
      </c>
      <c r="F302" s="121"/>
      <c r="G302" s="121"/>
      <c r="H302" s="121"/>
      <c r="I302" s="121"/>
      <c r="J302" s="121"/>
      <c r="K302" s="27" t="str">
        <f t="shared" si="91"/>
        <v/>
      </c>
      <c r="L302" s="27">
        <v>1</v>
      </c>
      <c r="M302" s="27" t="str">
        <f t="shared" si="92"/>
        <v>0</v>
      </c>
      <c r="N302" s="121"/>
      <c r="O302" s="121"/>
      <c r="P302" s="27" t="str">
        <f t="shared" si="95"/>
        <v>0</v>
      </c>
      <c r="Q302" s="27" t="str">
        <f t="shared" si="96"/>
        <v>0</v>
      </c>
      <c r="R302" s="27" t="str">
        <f t="shared" si="97"/>
        <v>0</v>
      </c>
      <c r="S302" s="27" t="str">
        <f t="shared" si="98"/>
        <v>0</v>
      </c>
      <c r="T302" s="27" t="str">
        <f t="shared" si="99"/>
        <v>0</v>
      </c>
      <c r="U302" s="27" t="str">
        <f t="shared" si="100"/>
        <v>0</v>
      </c>
      <c r="V302" s="27" t="str">
        <f t="shared" si="101"/>
        <v>1</v>
      </c>
      <c r="W302" s="27"/>
      <c r="X302" s="27" t="str">
        <f t="shared" si="102"/>
        <v/>
      </c>
      <c r="Y302" s="27" t="str">
        <f t="shared" si="103"/>
        <v/>
      </c>
      <c r="Z302" s="27" t="str">
        <f t="shared" si="104"/>
        <v/>
      </c>
      <c r="AA302" s="121"/>
      <c r="AB302" s="121"/>
      <c r="AC302" s="121"/>
      <c r="AD302" s="121"/>
      <c r="AE302" s="121" t="s">
        <v>51</v>
      </c>
      <c r="AF302" s="121"/>
      <c r="AG302" s="121"/>
      <c r="AH302" s="28" t="s">
        <v>211</v>
      </c>
      <c r="AI302" s="28" t="s">
        <v>113</v>
      </c>
      <c r="AJ302" s="28">
        <v>62700</v>
      </c>
      <c r="AK302" s="121" t="str">
        <f t="shared" si="93"/>
        <v/>
      </c>
      <c r="AL302" s="123" t="str">
        <f t="shared" si="45"/>
        <v/>
      </c>
      <c r="AM302" s="27"/>
      <c r="AN302" s="124"/>
      <c r="AO302" s="124"/>
      <c r="AP302" s="124"/>
      <c r="AQ302" s="124"/>
      <c r="AR302" s="124"/>
      <c r="AS302" s="124"/>
      <c r="AT302" s="124" t="s">
        <v>1941</v>
      </c>
      <c r="AU302" s="124" t="str">
        <f t="shared" si="94"/>
        <v/>
      </c>
      <c r="AV302" s="124" t="s">
        <v>2645</v>
      </c>
      <c r="AW302" s="117"/>
      <c r="AX302" s="138" t="str">
        <f t="shared" si="86"/>
        <v/>
      </c>
      <c r="AY302" s="31" t="str">
        <f>IF(C302&lt;&gt;"",CREATE_QUERY($D$1,C$2:AW$2,C302:AW302),"")</f>
        <v/>
      </c>
    </row>
    <row r="303" spans="1:51">
      <c r="A303" s="1">
        <v>121</v>
      </c>
      <c r="B303" s="121" t="str">
        <f t="shared" si="87"/>
        <v/>
      </c>
      <c r="C303" s="27" t="str">
        <f t="shared" si="65"/>
        <v/>
      </c>
      <c r="D303" s="121"/>
      <c r="E303" s="27"/>
      <c r="F303" s="121"/>
      <c r="G303" s="121"/>
      <c r="H303" s="121"/>
      <c r="I303" s="121"/>
      <c r="J303" s="121"/>
      <c r="K303" s="27" t="str">
        <f t="shared" si="91"/>
        <v/>
      </c>
      <c r="L303" s="27">
        <v>1</v>
      </c>
      <c r="M303" s="27" t="str">
        <f t="shared" si="92"/>
        <v>0</v>
      </c>
      <c r="N303" s="121"/>
      <c r="O303" s="121"/>
      <c r="P303" s="27" t="str">
        <f t="shared" si="95"/>
        <v>0</v>
      </c>
      <c r="Q303" s="27" t="str">
        <f t="shared" si="96"/>
        <v>0</v>
      </c>
      <c r="R303" s="27" t="str">
        <f t="shared" si="97"/>
        <v>0</v>
      </c>
      <c r="S303" s="27" t="str">
        <f t="shared" si="98"/>
        <v>0</v>
      </c>
      <c r="T303" s="27" t="str">
        <f t="shared" si="99"/>
        <v>0</v>
      </c>
      <c r="U303" s="27" t="str">
        <f t="shared" si="100"/>
        <v>0</v>
      </c>
      <c r="V303" s="27" t="str">
        <f t="shared" si="101"/>
        <v>1</v>
      </c>
      <c r="W303" s="27"/>
      <c r="X303" s="27" t="str">
        <f t="shared" si="102"/>
        <v/>
      </c>
      <c r="Y303" s="27" t="str">
        <f t="shared" si="103"/>
        <v/>
      </c>
      <c r="Z303" s="27" t="str">
        <f t="shared" si="104"/>
        <v/>
      </c>
      <c r="AA303" s="121"/>
      <c r="AB303" s="121"/>
      <c r="AC303" s="121"/>
      <c r="AD303" s="121"/>
      <c r="AE303" s="121"/>
      <c r="AF303" s="121"/>
      <c r="AG303" s="121"/>
      <c r="AH303" s="27"/>
      <c r="AI303" s="27"/>
      <c r="AJ303" s="27" t="s">
        <v>900</v>
      </c>
      <c r="AK303" s="121" t="str">
        <f t="shared" si="93"/>
        <v>0</v>
      </c>
      <c r="AL303" s="123" t="str">
        <f t="shared" si="45"/>
        <v/>
      </c>
      <c r="AM303" s="27"/>
      <c r="AN303" s="124"/>
      <c r="AO303" s="124"/>
      <c r="AP303" s="124"/>
      <c r="AQ303" s="124"/>
      <c r="AR303" s="124"/>
      <c r="AS303" s="124"/>
      <c r="AT303" s="124"/>
      <c r="AU303" s="124" t="str">
        <f t="shared" si="94"/>
        <v/>
      </c>
      <c r="AV303" s="124"/>
      <c r="AW303" s="117"/>
      <c r="AX303" s="138" t="str">
        <f t="shared" si="86"/>
        <v/>
      </c>
      <c r="AY303" s="31" t="str">
        <f>IF(C303&lt;&gt;"",CREATE_QUERY($D$1,C$2:AW$2,C303:AW303),"")</f>
        <v/>
      </c>
    </row>
    <row r="304" spans="1:51">
      <c r="A304" s="1">
        <v>122</v>
      </c>
      <c r="B304" s="121" t="str">
        <f t="shared" si="87"/>
        <v xml:space="preserve">    └ 금형관리</v>
      </c>
      <c r="C304" s="27" t="str">
        <f t="shared" si="65"/>
        <v>14821</v>
      </c>
      <c r="D304" s="121"/>
      <c r="E304" s="21" t="s">
        <v>219</v>
      </c>
      <c r="F304" s="118" t="s">
        <v>225</v>
      </c>
      <c r="G304" s="118"/>
      <c r="H304" s="118"/>
      <c r="I304" s="118"/>
      <c r="J304" s="118"/>
      <c r="K304" s="21" t="str">
        <f t="shared" si="91"/>
        <v/>
      </c>
      <c r="L304" s="21">
        <v>1</v>
      </c>
      <c r="M304" s="21" t="str">
        <f t="shared" si="92"/>
        <v>0</v>
      </c>
      <c r="N304" s="118"/>
      <c r="O304" s="118"/>
      <c r="P304" s="21" t="str">
        <f t="shared" si="95"/>
        <v>0</v>
      </c>
      <c r="Q304" s="21" t="str">
        <f t="shared" si="96"/>
        <v>0</v>
      </c>
      <c r="R304" s="21" t="str">
        <f t="shared" si="97"/>
        <v>0</v>
      </c>
      <c r="S304" s="21" t="str">
        <f t="shared" si="98"/>
        <v>0</v>
      </c>
      <c r="T304" s="21" t="str">
        <f t="shared" si="99"/>
        <v>0</v>
      </c>
      <c r="U304" s="21" t="str">
        <f t="shared" si="100"/>
        <v>0</v>
      </c>
      <c r="V304" s="21" t="str">
        <f t="shared" si="101"/>
        <v>1</v>
      </c>
      <c r="W304" s="21"/>
      <c r="X304" s="21" t="str">
        <f t="shared" si="102"/>
        <v/>
      </c>
      <c r="Y304" s="21" t="str">
        <f t="shared" si="103"/>
        <v/>
      </c>
      <c r="Z304" s="21" t="str">
        <f t="shared" si="104"/>
        <v/>
      </c>
      <c r="AA304" s="118"/>
      <c r="AB304" s="118"/>
      <c r="AC304" s="118"/>
      <c r="AD304" s="118"/>
      <c r="AE304" s="118" t="s">
        <v>51</v>
      </c>
      <c r="AF304" s="118"/>
      <c r="AG304" s="118"/>
      <c r="AH304" s="26" t="s">
        <v>197</v>
      </c>
      <c r="AI304" s="26" t="s">
        <v>112</v>
      </c>
      <c r="AJ304" s="26">
        <v>64000</v>
      </c>
      <c r="AK304" s="121" t="str">
        <f t="shared" si="93"/>
        <v>0</v>
      </c>
      <c r="AL304" s="123" t="str">
        <f t="shared" si="45"/>
        <v>14821/금형관리//</v>
      </c>
      <c r="AM304" s="21"/>
      <c r="AN304" s="124"/>
      <c r="AO304" s="124"/>
      <c r="AP304" s="124" t="s">
        <v>1829</v>
      </c>
      <c r="AQ304" s="124"/>
      <c r="AR304" s="124"/>
      <c r="AS304" s="124"/>
      <c r="AT304" s="124" t="s">
        <v>1941</v>
      </c>
      <c r="AU304" s="124" t="str">
        <f t="shared" si="94"/>
        <v/>
      </c>
      <c r="AV304" s="124"/>
      <c r="AW304" s="117"/>
      <c r="AX304" s="138" t="str">
        <f t="shared" si="86"/>
        <v>delete from module_mst where pjt_id = '14821' and menu_id = '283000';</v>
      </c>
      <c r="AY304" s="31" t="str">
        <f>IF(C304&lt;&gt;"",CREATE_QUERY($D$1,C$2:AW$2,C304:AW304),"")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'283000', '금형관리', '', '', '', '', '', '1', '0', '', '', '0', '0', '0', '0', '0', '0', '1', '', '', '', '', '', '', '', '', 'N', '', '', '280000', '4', '64000', '0', '14821/금형관리//', '', '', '', 'Y', '', '', '', 'P', '', '');</v>
      </c>
    </row>
    <row r="305" spans="1:51">
      <c r="A305" s="1">
        <v>123</v>
      </c>
      <c r="B305" s="121" t="str">
        <f t="shared" si="87"/>
        <v xml:space="preserve">        └ 금형등록</v>
      </c>
      <c r="C305" s="27" t="str">
        <f t="shared" si="65"/>
        <v>14821</v>
      </c>
      <c r="D305" s="121"/>
      <c r="E305" s="27">
        <v>283001</v>
      </c>
      <c r="F305" s="121" t="s">
        <v>230</v>
      </c>
      <c r="G305" s="121"/>
      <c r="H305" s="121"/>
      <c r="I305" s="121"/>
      <c r="J305" s="121"/>
      <c r="K305" s="27" t="str">
        <f t="shared" si="91"/>
        <v>1</v>
      </c>
      <c r="L305" s="27">
        <v>1</v>
      </c>
      <c r="M305" s="27" t="str">
        <f t="shared" si="92"/>
        <v>1</v>
      </c>
      <c r="N305" s="121" t="s">
        <v>293</v>
      </c>
      <c r="O305" s="121" t="s">
        <v>233</v>
      </c>
      <c r="P305" s="27" t="str">
        <f t="shared" si="95"/>
        <v>1</v>
      </c>
      <c r="Q305" s="27" t="str">
        <f t="shared" si="96"/>
        <v>1</v>
      </c>
      <c r="R305" s="27" t="str">
        <f t="shared" si="97"/>
        <v>1</v>
      </c>
      <c r="S305" s="27" t="str">
        <f t="shared" si="98"/>
        <v>1</v>
      </c>
      <c r="T305" s="27" t="str">
        <f t="shared" si="99"/>
        <v>1</v>
      </c>
      <c r="U305" s="27" t="str">
        <f t="shared" si="100"/>
        <v>1</v>
      </c>
      <c r="V305" s="27" t="str">
        <f t="shared" si="101"/>
        <v>1</v>
      </c>
      <c r="W305" s="27"/>
      <c r="X305" s="27" t="str">
        <f t="shared" si="102"/>
        <v>0</v>
      </c>
      <c r="Y305" s="27" t="str">
        <f t="shared" si="103"/>
        <v>0</v>
      </c>
      <c r="Z305" s="27" t="str">
        <f t="shared" si="104"/>
        <v>0</v>
      </c>
      <c r="AA305" s="121"/>
      <c r="AB305" s="121"/>
      <c r="AC305" s="121"/>
      <c r="AD305" s="121"/>
      <c r="AE305" s="121" t="s">
        <v>51</v>
      </c>
      <c r="AF305" s="121"/>
      <c r="AG305" s="121"/>
      <c r="AH305" s="28" t="s">
        <v>219</v>
      </c>
      <c r="AI305" s="28" t="s">
        <v>113</v>
      </c>
      <c r="AJ305" s="28">
        <v>64050</v>
      </c>
      <c r="AK305" s="121" t="str">
        <f t="shared" si="93"/>
        <v>0</v>
      </c>
      <c r="AL305" s="123" t="str">
        <f t="shared" ref="AL305:AL457" si="105">IF(C305="","",C305&amp;"/"&amp;F305&amp;"/"&amp;N305&amp;"/"&amp;O305)</f>
        <v>14821/금형등록/prod.mold/MoldMast</v>
      </c>
      <c r="AM305" s="27"/>
      <c r="AN305" s="124"/>
      <c r="AO305" s="124"/>
      <c r="AP305" s="124" t="s">
        <v>1829</v>
      </c>
      <c r="AQ305" s="124"/>
      <c r="AR305" s="124"/>
      <c r="AS305" s="124"/>
      <c r="AT305" s="124" t="s">
        <v>1941</v>
      </c>
      <c r="AU305" s="124" t="str">
        <f t="shared" si="94"/>
        <v>P283001</v>
      </c>
      <c r="AV305" s="124" t="s">
        <v>2662</v>
      </c>
      <c r="AW305" s="117" t="s">
        <v>2105</v>
      </c>
      <c r="AX305" s="138" t="str">
        <f t="shared" si="86"/>
        <v>delete from module_mst where pjt_id = '14821' and menu_id = '283001';</v>
      </c>
      <c r="AY305" s="31" t="str">
        <f>IF(C305&lt;&gt;"",CREATE_QUERY($D$1,C$2:AW$2,C305:AW305),"")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'283001', '금형등록', '', '', '', '', '1', '1', '1', 'prod.mold', 'MoldMast', '1', '1', '1', '1', '1', '1', '1', '', '0', '0', '0', '', '', '', '', 'N', '', '', '283000', '5', '64050', '0', '14821/금형등록/prod.mold/MoldMast', '', '', '', 'Y', '', '', '', 'P', 'MES-TD3-440', '생산에 사용하는 금형의 변동사항을 등록, 수정');</v>
      </c>
    </row>
    <row r="306" spans="1:51">
      <c r="A306" s="1">
        <v>124</v>
      </c>
      <c r="B306" s="121" t="str">
        <f t="shared" si="87"/>
        <v xml:space="preserve">        └ 금형현황</v>
      </c>
      <c r="C306" s="27" t="str">
        <f t="shared" si="65"/>
        <v>14821</v>
      </c>
      <c r="D306" s="121"/>
      <c r="E306" s="27">
        <v>283002</v>
      </c>
      <c r="F306" s="121" t="s">
        <v>231</v>
      </c>
      <c r="G306" s="121"/>
      <c r="H306" s="121"/>
      <c r="I306" s="121"/>
      <c r="J306" s="121"/>
      <c r="K306" s="27" t="str">
        <f t="shared" si="91"/>
        <v>1</v>
      </c>
      <c r="L306" s="27">
        <v>1</v>
      </c>
      <c r="M306" s="27" t="str">
        <f t="shared" si="92"/>
        <v>1</v>
      </c>
      <c r="N306" s="121" t="s">
        <v>293</v>
      </c>
      <c r="O306" s="121" t="s">
        <v>296</v>
      </c>
      <c r="P306" s="27" t="str">
        <f t="shared" si="95"/>
        <v>1</v>
      </c>
      <c r="Q306" s="27" t="str">
        <f t="shared" si="96"/>
        <v>1</v>
      </c>
      <c r="R306" s="27" t="str">
        <f t="shared" si="97"/>
        <v>1</v>
      </c>
      <c r="S306" s="27" t="str">
        <f t="shared" si="98"/>
        <v>1</v>
      </c>
      <c r="T306" s="27" t="str">
        <f t="shared" si="99"/>
        <v>1</v>
      </c>
      <c r="U306" s="27" t="str">
        <f t="shared" si="100"/>
        <v>1</v>
      </c>
      <c r="V306" s="27" t="str">
        <f t="shared" si="101"/>
        <v>1</v>
      </c>
      <c r="W306" s="27"/>
      <c r="X306" s="27" t="str">
        <f t="shared" si="102"/>
        <v>0</v>
      </c>
      <c r="Y306" s="27" t="str">
        <f t="shared" si="103"/>
        <v>0</v>
      </c>
      <c r="Z306" s="27" t="str">
        <f t="shared" si="104"/>
        <v>0</v>
      </c>
      <c r="AA306" s="121"/>
      <c r="AB306" s="121"/>
      <c r="AC306" s="121"/>
      <c r="AD306" s="121"/>
      <c r="AE306" s="121" t="s">
        <v>51</v>
      </c>
      <c r="AF306" s="121"/>
      <c r="AG306" s="121"/>
      <c r="AH306" s="28" t="s">
        <v>219</v>
      </c>
      <c r="AI306" s="28" t="s">
        <v>113</v>
      </c>
      <c r="AJ306" s="28">
        <v>64100</v>
      </c>
      <c r="AK306" s="121" t="str">
        <f t="shared" si="93"/>
        <v>0</v>
      </c>
      <c r="AL306" s="123" t="str">
        <f t="shared" si="105"/>
        <v>14821/금형현황/prod.mold/MoldList</v>
      </c>
      <c r="AM306" s="27"/>
      <c r="AN306" s="124"/>
      <c r="AO306" s="124"/>
      <c r="AP306" s="124" t="s">
        <v>1829</v>
      </c>
      <c r="AQ306" s="124"/>
      <c r="AR306" s="124"/>
      <c r="AS306" s="124"/>
      <c r="AT306" s="124" t="s">
        <v>1941</v>
      </c>
      <c r="AU306" s="124" t="str">
        <f t="shared" si="94"/>
        <v>P283002</v>
      </c>
      <c r="AV306" s="124" t="s">
        <v>2663</v>
      </c>
      <c r="AW306" s="117" t="s">
        <v>2106</v>
      </c>
      <c r="AX306" s="138" t="str">
        <f t="shared" si="86"/>
        <v>delete from module_mst where pjt_id = '14821' and menu_id = '283002';</v>
      </c>
      <c r="AY306" s="31" t="str">
        <f>IF(C306&lt;&gt;"",CREATE_QUERY($D$1,C$2:AW$2,C306:AW306),"")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'283002', '금형현황', '', '', '', '', '1', '1', '1', 'prod.mold', 'MoldList', '1', '1', '1', '1', '1', '1', '1', '', '0', '0', '0', '', '', '', '', 'N', '', '', '283000', '5', '64100', '0', '14821/금형현황/prod.mold/MoldList', '', '', '', 'Y', '', '', '', 'P', 'MES-TD3-441', '금형 보관 현황 조회');</v>
      </c>
    </row>
    <row r="307" spans="1:51">
      <c r="A307" s="1">
        <v>125</v>
      </c>
      <c r="B307" s="121" t="str">
        <f t="shared" si="87"/>
        <v xml:space="preserve">        └ 금형수리</v>
      </c>
      <c r="C307" s="27" t="str">
        <f t="shared" si="65"/>
        <v>14821</v>
      </c>
      <c r="D307" s="121"/>
      <c r="E307" s="27">
        <v>283003</v>
      </c>
      <c r="F307" s="121" t="s">
        <v>1980</v>
      </c>
      <c r="G307" s="121"/>
      <c r="H307" s="121"/>
      <c r="I307" s="121"/>
      <c r="J307" s="121"/>
      <c r="K307" s="27" t="str">
        <f t="shared" si="91"/>
        <v>1</v>
      </c>
      <c r="L307" s="27">
        <v>1</v>
      </c>
      <c r="M307" s="27" t="str">
        <f t="shared" si="92"/>
        <v>1</v>
      </c>
      <c r="N307" s="121" t="s">
        <v>293</v>
      </c>
      <c r="O307" s="121" t="s">
        <v>297</v>
      </c>
      <c r="P307" s="27" t="str">
        <f t="shared" si="95"/>
        <v>1</v>
      </c>
      <c r="Q307" s="27" t="str">
        <f t="shared" si="96"/>
        <v>1</v>
      </c>
      <c r="R307" s="27" t="str">
        <f t="shared" si="97"/>
        <v>1</v>
      </c>
      <c r="S307" s="27" t="str">
        <f t="shared" si="98"/>
        <v>1</v>
      </c>
      <c r="T307" s="27" t="str">
        <f t="shared" si="99"/>
        <v>1</v>
      </c>
      <c r="U307" s="27" t="str">
        <f t="shared" si="100"/>
        <v>1</v>
      </c>
      <c r="V307" s="27" t="str">
        <f t="shared" si="101"/>
        <v>1</v>
      </c>
      <c r="W307" s="27"/>
      <c r="X307" s="27" t="str">
        <f t="shared" si="102"/>
        <v>0</v>
      </c>
      <c r="Y307" s="27" t="str">
        <f t="shared" si="103"/>
        <v>0</v>
      </c>
      <c r="Z307" s="27" t="str">
        <f t="shared" si="104"/>
        <v>0</v>
      </c>
      <c r="AA307" s="121"/>
      <c r="AB307" s="121"/>
      <c r="AC307" s="121"/>
      <c r="AD307" s="121"/>
      <c r="AE307" s="121" t="s">
        <v>51</v>
      </c>
      <c r="AF307" s="121"/>
      <c r="AG307" s="121"/>
      <c r="AH307" s="28" t="s">
        <v>219</v>
      </c>
      <c r="AI307" s="28" t="s">
        <v>113</v>
      </c>
      <c r="AJ307" s="28">
        <v>64150</v>
      </c>
      <c r="AK307" s="121" t="str">
        <f t="shared" si="93"/>
        <v>0</v>
      </c>
      <c r="AL307" s="123" t="str">
        <f t="shared" si="105"/>
        <v>14821/금형수리/prod.mold/MoldCheck</v>
      </c>
      <c r="AM307" s="27"/>
      <c r="AN307" s="124"/>
      <c r="AO307" s="124"/>
      <c r="AP307" s="124" t="s">
        <v>1829</v>
      </c>
      <c r="AQ307" s="124"/>
      <c r="AR307" s="124"/>
      <c r="AS307" s="124"/>
      <c r="AT307" s="124" t="s">
        <v>1941</v>
      </c>
      <c r="AU307" s="124" t="str">
        <f t="shared" si="94"/>
        <v>P283003</v>
      </c>
      <c r="AV307" s="124" t="s">
        <v>2664</v>
      </c>
      <c r="AW307" s="117" t="s">
        <v>2107</v>
      </c>
      <c r="AX307" s="138" t="str">
        <f t="shared" si="86"/>
        <v>delete from module_mst where pjt_id = '14821' and menu_id = '283003';</v>
      </c>
      <c r="AY307" s="31" t="str">
        <f>IF(C307&lt;&gt;"",CREATE_QUERY($D$1,C$2:AW$2,C307:AW307),"")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'283003', '금형수리', '', '', '', '', '1', '1', '1', 'prod.mold', 'MoldCheck', '1', '1', '1', '1', '1', '1', '1', '', '0', '0', '0', '', '', '', '', 'N', '', '', '283000', '5', '64150', '0', '14821/금형수리/prod.mold/MoldCheck', '', '', '', 'Y', '', '', '', 'P', 'MES-TD3-442', '금형 수리 사항 등록 관리');</v>
      </c>
    </row>
    <row r="308" spans="1:51">
      <c r="A308" s="1">
        <v>126</v>
      </c>
      <c r="B308" s="121" t="str">
        <f t="shared" si="87"/>
        <v xml:space="preserve">        └ 금형Shot관리</v>
      </c>
      <c r="C308" s="27" t="str">
        <f t="shared" si="65"/>
        <v>14821</v>
      </c>
      <c r="D308" s="121"/>
      <c r="E308" s="27">
        <v>283004</v>
      </c>
      <c r="F308" s="121" t="s">
        <v>232</v>
      </c>
      <c r="G308" s="121"/>
      <c r="H308" s="121"/>
      <c r="I308" s="121"/>
      <c r="J308" s="121"/>
      <c r="K308" s="27" t="str">
        <f t="shared" si="91"/>
        <v>1</v>
      </c>
      <c r="L308" s="27">
        <v>1</v>
      </c>
      <c r="M308" s="27" t="str">
        <f t="shared" si="92"/>
        <v>1</v>
      </c>
      <c r="N308" s="121" t="s">
        <v>293</v>
      </c>
      <c r="O308" s="121" t="s">
        <v>290</v>
      </c>
      <c r="P308" s="27" t="str">
        <f t="shared" si="95"/>
        <v>1</v>
      </c>
      <c r="Q308" s="27" t="str">
        <f t="shared" si="96"/>
        <v>1</v>
      </c>
      <c r="R308" s="27" t="str">
        <f t="shared" si="97"/>
        <v>1</v>
      </c>
      <c r="S308" s="27" t="str">
        <f t="shared" si="98"/>
        <v>1</v>
      </c>
      <c r="T308" s="27" t="str">
        <f t="shared" si="99"/>
        <v>1</v>
      </c>
      <c r="U308" s="27" t="str">
        <f t="shared" si="100"/>
        <v>1</v>
      </c>
      <c r="V308" s="27" t="str">
        <f t="shared" si="101"/>
        <v>1</v>
      </c>
      <c r="W308" s="27"/>
      <c r="X308" s="27" t="str">
        <f t="shared" si="102"/>
        <v>0</v>
      </c>
      <c r="Y308" s="27" t="str">
        <f t="shared" si="103"/>
        <v>0</v>
      </c>
      <c r="Z308" s="27" t="str">
        <f t="shared" si="104"/>
        <v>0</v>
      </c>
      <c r="AA308" s="121"/>
      <c r="AB308" s="121"/>
      <c r="AC308" s="121"/>
      <c r="AD308" s="121"/>
      <c r="AE308" s="121" t="s">
        <v>51</v>
      </c>
      <c r="AF308" s="121"/>
      <c r="AG308" s="121"/>
      <c r="AH308" s="28" t="s">
        <v>219</v>
      </c>
      <c r="AI308" s="28" t="s">
        <v>113</v>
      </c>
      <c r="AJ308" s="28">
        <v>64200</v>
      </c>
      <c r="AK308" s="121" t="str">
        <f t="shared" si="93"/>
        <v>0</v>
      </c>
      <c r="AL308" s="123" t="str">
        <f t="shared" si="105"/>
        <v>14821/금형Shot관리/prod.mold/MoldShot</v>
      </c>
      <c r="AM308" s="27"/>
      <c r="AN308" s="124"/>
      <c r="AO308" s="124"/>
      <c r="AP308" s="124" t="s">
        <v>1829</v>
      </c>
      <c r="AQ308" s="124"/>
      <c r="AR308" s="124"/>
      <c r="AS308" s="124"/>
      <c r="AT308" s="124" t="s">
        <v>1941</v>
      </c>
      <c r="AU308" s="124" t="str">
        <f t="shared" si="94"/>
        <v>P283004</v>
      </c>
      <c r="AV308" s="124" t="s">
        <v>2665</v>
      </c>
      <c r="AW308" s="117" t="s">
        <v>2108</v>
      </c>
      <c r="AX308" s="138" t="str">
        <f t="shared" si="86"/>
        <v>delete from module_mst where pjt_id = '14821' and menu_id = '283004';</v>
      </c>
      <c r="AY308" s="31" t="str">
        <f>IF(C308&lt;&gt;"",CREATE_QUERY($D$1,C$2:AW$2,C308:AW308),"")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'283004', '금형Shot관리', '', '', '', '', '1', '1', '1', 'prod.mold', 'MoldShot', '1', '1', '1', '1', '1', '1', '1', '', '0', '0', '0', '', '', '', '', 'N', '', '', '283000', '5', '64200', '0', '14821/금형Shot관리/prod.mold/MoldShot', '', '', '', 'Y', '', '', '', 'P', 'MES-TD3-443', '금형별, 일자별 Shot 현황을 조회하고, 수정 Shot 수를 조정 입력');</v>
      </c>
    </row>
    <row r="309" spans="1:51">
      <c r="A309" s="1">
        <v>126</v>
      </c>
      <c r="B309" s="121" t="str">
        <f t="shared" si="87"/>
        <v xml:space="preserve">        └ 금형점검</v>
      </c>
      <c r="C309" s="27" t="str">
        <f t="shared" si="65"/>
        <v>14821</v>
      </c>
      <c r="D309" s="121"/>
      <c r="E309" s="27">
        <v>283005</v>
      </c>
      <c r="F309" s="121" t="s">
        <v>2031</v>
      </c>
      <c r="G309" s="121"/>
      <c r="H309" s="121"/>
      <c r="I309" s="121"/>
      <c r="J309" s="121"/>
      <c r="K309" s="27" t="str">
        <f t="shared" si="91"/>
        <v>1</v>
      </c>
      <c r="L309" s="27">
        <v>1</v>
      </c>
      <c r="M309" s="27" t="str">
        <f t="shared" si="92"/>
        <v>1</v>
      </c>
      <c r="N309" s="121" t="s">
        <v>293</v>
      </c>
      <c r="O309" s="121" t="s">
        <v>2032</v>
      </c>
      <c r="P309" s="27" t="str">
        <f t="shared" si="95"/>
        <v>1</v>
      </c>
      <c r="Q309" s="27" t="str">
        <f t="shared" si="96"/>
        <v>1</v>
      </c>
      <c r="R309" s="27" t="str">
        <f t="shared" si="97"/>
        <v>1</v>
      </c>
      <c r="S309" s="27" t="str">
        <f t="shared" si="98"/>
        <v>1</v>
      </c>
      <c r="T309" s="27" t="str">
        <f t="shared" si="99"/>
        <v>1</v>
      </c>
      <c r="U309" s="27" t="str">
        <f t="shared" si="100"/>
        <v>1</v>
      </c>
      <c r="V309" s="27" t="str">
        <f t="shared" si="101"/>
        <v>1</v>
      </c>
      <c r="W309" s="27"/>
      <c r="X309" s="27" t="str">
        <f t="shared" si="102"/>
        <v>0</v>
      </c>
      <c r="Y309" s="27" t="str">
        <f t="shared" si="103"/>
        <v>0</v>
      </c>
      <c r="Z309" s="27" t="str">
        <f t="shared" si="104"/>
        <v>0</v>
      </c>
      <c r="AA309" s="121"/>
      <c r="AB309" s="121"/>
      <c r="AC309" s="121"/>
      <c r="AD309" s="121"/>
      <c r="AE309" s="121" t="s">
        <v>51</v>
      </c>
      <c r="AF309" s="121"/>
      <c r="AG309" s="121"/>
      <c r="AH309" s="28" t="s">
        <v>219</v>
      </c>
      <c r="AI309" s="28" t="s">
        <v>113</v>
      </c>
      <c r="AJ309" s="28">
        <v>64250</v>
      </c>
      <c r="AK309" s="121" t="str">
        <f t="shared" si="93"/>
        <v/>
      </c>
      <c r="AL309" s="123" t="str">
        <f t="shared" si="105"/>
        <v>14821/금형점검/prod.mold/MoldDailyCheck</v>
      </c>
      <c r="AM309" s="27"/>
      <c r="AN309" s="124"/>
      <c r="AO309" s="124"/>
      <c r="AP309" s="124" t="s">
        <v>1829</v>
      </c>
      <c r="AQ309" s="124"/>
      <c r="AR309" s="124"/>
      <c r="AS309" s="124"/>
      <c r="AT309" s="124" t="s">
        <v>1941</v>
      </c>
      <c r="AU309" s="124" t="str">
        <f t="shared" si="94"/>
        <v>P283005</v>
      </c>
      <c r="AV309" s="124" t="s">
        <v>2666</v>
      </c>
      <c r="AW309" s="117" t="s">
        <v>2109</v>
      </c>
      <c r="AX309" s="138" t="str">
        <f t="shared" si="86"/>
        <v>delete from module_mst where pjt_id = '14821' and menu_id = '283005';</v>
      </c>
      <c r="AY309" s="31" t="str">
        <f>IF(C309&lt;&gt;"",CREATE_QUERY($D$1,C$2:AW$2,C309:AW309),"")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'283005', '금형점검', '', '', '', '', '1', '1', '1', 'prod.mold', 'MoldDailyCheck', '1', '1', '1', '1', '1', '1', '1', '', '0', '0', '0', '', '', '', '', 'N', '', '', '283000', '5', '64250', '', '14821/금형점검/prod.mold/MoldDailyCheck', '', '', '', 'Y', '', '', '', 'P', 'MES-TD3-444', '정기 또는 수시 금형 점검 사항을 등록 관리');</v>
      </c>
    </row>
    <row r="310" spans="1:51">
      <c r="A310" s="1">
        <v>123</v>
      </c>
      <c r="B310" s="121" t="str">
        <f t="shared" si="87"/>
        <v/>
      </c>
      <c r="C310" s="27" t="str">
        <f t="shared" si="65"/>
        <v/>
      </c>
      <c r="D310" s="121"/>
      <c r="E310" s="27">
        <v>283006</v>
      </c>
      <c r="F310" s="121"/>
      <c r="G310" s="121"/>
      <c r="H310" s="121"/>
      <c r="I310" s="121"/>
      <c r="J310" s="121"/>
      <c r="K310" s="27" t="str">
        <f t="shared" si="91"/>
        <v/>
      </c>
      <c r="L310" s="27">
        <v>1</v>
      </c>
      <c r="M310" s="27" t="str">
        <f t="shared" si="92"/>
        <v>0</v>
      </c>
      <c r="N310" s="121"/>
      <c r="O310" s="121"/>
      <c r="P310" s="27" t="str">
        <f t="shared" si="95"/>
        <v>0</v>
      </c>
      <c r="Q310" s="27" t="str">
        <f t="shared" si="96"/>
        <v>0</v>
      </c>
      <c r="R310" s="27" t="str">
        <f t="shared" si="97"/>
        <v>0</v>
      </c>
      <c r="S310" s="27" t="str">
        <f t="shared" si="98"/>
        <v>0</v>
      </c>
      <c r="T310" s="27" t="str">
        <f t="shared" si="99"/>
        <v>0</v>
      </c>
      <c r="U310" s="27" t="str">
        <f t="shared" si="100"/>
        <v>0</v>
      </c>
      <c r="V310" s="27" t="str">
        <f t="shared" si="101"/>
        <v>1</v>
      </c>
      <c r="W310" s="27"/>
      <c r="X310" s="27" t="str">
        <f t="shared" si="102"/>
        <v/>
      </c>
      <c r="Y310" s="27" t="str">
        <f t="shared" si="103"/>
        <v/>
      </c>
      <c r="Z310" s="27" t="str">
        <f t="shared" si="104"/>
        <v/>
      </c>
      <c r="AA310" s="121"/>
      <c r="AB310" s="121"/>
      <c r="AC310" s="121"/>
      <c r="AD310" s="121"/>
      <c r="AE310" s="121" t="s">
        <v>51</v>
      </c>
      <c r="AF310" s="121"/>
      <c r="AG310" s="121"/>
      <c r="AH310" s="28" t="s">
        <v>219</v>
      </c>
      <c r="AI310" s="28" t="s">
        <v>113</v>
      </c>
      <c r="AJ310" s="28">
        <v>64300</v>
      </c>
      <c r="AK310" s="121" t="str">
        <f t="shared" si="93"/>
        <v/>
      </c>
      <c r="AL310" s="123" t="str">
        <f t="shared" si="105"/>
        <v/>
      </c>
      <c r="AM310" s="27"/>
      <c r="AN310" s="124"/>
      <c r="AO310" s="124"/>
      <c r="AP310" s="124"/>
      <c r="AQ310" s="124"/>
      <c r="AR310" s="124"/>
      <c r="AS310" s="124"/>
      <c r="AT310" s="124" t="s">
        <v>1941</v>
      </c>
      <c r="AU310" s="124" t="str">
        <f t="shared" si="94"/>
        <v/>
      </c>
      <c r="AV310" s="124" t="s">
        <v>2667</v>
      </c>
      <c r="AW310" s="117"/>
      <c r="AX310" s="138" t="str">
        <f t="shared" si="86"/>
        <v/>
      </c>
      <c r="AY310" s="31" t="str">
        <f>IF(C310&lt;&gt;"",CREATE_QUERY($D$1,C$2:AW$2,C310:AW310),"")</f>
        <v/>
      </c>
    </row>
    <row r="311" spans="1:51">
      <c r="A311" s="1">
        <v>124</v>
      </c>
      <c r="B311" s="121" t="str">
        <f t="shared" si="87"/>
        <v/>
      </c>
      <c r="C311" s="27" t="str">
        <f t="shared" si="65"/>
        <v/>
      </c>
      <c r="D311" s="121"/>
      <c r="E311" s="27">
        <v>283007</v>
      </c>
      <c r="F311" s="121"/>
      <c r="G311" s="121"/>
      <c r="H311" s="121"/>
      <c r="I311" s="121"/>
      <c r="J311" s="121"/>
      <c r="K311" s="27" t="str">
        <f t="shared" si="91"/>
        <v/>
      </c>
      <c r="L311" s="27">
        <v>1</v>
      </c>
      <c r="M311" s="27" t="str">
        <f t="shared" si="92"/>
        <v>0</v>
      </c>
      <c r="N311" s="121"/>
      <c r="O311" s="121"/>
      <c r="P311" s="27" t="str">
        <f t="shared" si="95"/>
        <v>0</v>
      </c>
      <c r="Q311" s="27" t="str">
        <f t="shared" si="96"/>
        <v>0</v>
      </c>
      <c r="R311" s="27" t="str">
        <f t="shared" si="97"/>
        <v>0</v>
      </c>
      <c r="S311" s="27" t="str">
        <f t="shared" si="98"/>
        <v>0</v>
      </c>
      <c r="T311" s="27" t="str">
        <f t="shared" si="99"/>
        <v>0</v>
      </c>
      <c r="U311" s="27" t="str">
        <f t="shared" si="100"/>
        <v>0</v>
      </c>
      <c r="V311" s="27" t="str">
        <f t="shared" si="101"/>
        <v>1</v>
      </c>
      <c r="W311" s="27"/>
      <c r="X311" s="27" t="str">
        <f t="shared" si="102"/>
        <v/>
      </c>
      <c r="Y311" s="27" t="str">
        <f t="shared" si="103"/>
        <v/>
      </c>
      <c r="Z311" s="27" t="str">
        <f t="shared" si="104"/>
        <v/>
      </c>
      <c r="AA311" s="121"/>
      <c r="AB311" s="121"/>
      <c r="AC311" s="121"/>
      <c r="AD311" s="121"/>
      <c r="AE311" s="121" t="s">
        <v>51</v>
      </c>
      <c r="AF311" s="121"/>
      <c r="AG311" s="121"/>
      <c r="AH311" s="28" t="s">
        <v>219</v>
      </c>
      <c r="AI311" s="28" t="s">
        <v>113</v>
      </c>
      <c r="AJ311" s="28">
        <v>64350</v>
      </c>
      <c r="AK311" s="121" t="str">
        <f t="shared" si="93"/>
        <v/>
      </c>
      <c r="AL311" s="123" t="str">
        <f t="shared" si="105"/>
        <v/>
      </c>
      <c r="AM311" s="27"/>
      <c r="AN311" s="124"/>
      <c r="AO311" s="124"/>
      <c r="AP311" s="124"/>
      <c r="AQ311" s="124"/>
      <c r="AR311" s="124"/>
      <c r="AS311" s="124"/>
      <c r="AT311" s="124" t="s">
        <v>1941</v>
      </c>
      <c r="AU311" s="124" t="str">
        <f t="shared" si="94"/>
        <v/>
      </c>
      <c r="AV311" s="124" t="s">
        <v>2668</v>
      </c>
      <c r="AW311" s="117"/>
      <c r="AX311" s="138" t="str">
        <f t="shared" si="86"/>
        <v/>
      </c>
      <c r="AY311" s="31" t="str">
        <f>IF(C311&lt;&gt;"",CREATE_QUERY($D$1,C$2:AW$2,C311:AW311),"")</f>
        <v/>
      </c>
    </row>
    <row r="312" spans="1:51">
      <c r="A312" s="1">
        <v>125</v>
      </c>
      <c r="B312" s="121" t="str">
        <f t="shared" si="87"/>
        <v/>
      </c>
      <c r="C312" s="27" t="str">
        <f t="shared" si="65"/>
        <v/>
      </c>
      <c r="D312" s="121"/>
      <c r="E312" s="27">
        <v>283008</v>
      </c>
      <c r="F312" s="121"/>
      <c r="G312" s="121"/>
      <c r="H312" s="121"/>
      <c r="I312" s="121"/>
      <c r="J312" s="121"/>
      <c r="K312" s="27" t="str">
        <f t="shared" si="91"/>
        <v/>
      </c>
      <c r="L312" s="27">
        <v>1</v>
      </c>
      <c r="M312" s="27" t="str">
        <f t="shared" si="92"/>
        <v>0</v>
      </c>
      <c r="N312" s="121"/>
      <c r="O312" s="121"/>
      <c r="P312" s="27" t="str">
        <f t="shared" si="95"/>
        <v>0</v>
      </c>
      <c r="Q312" s="27" t="str">
        <f t="shared" si="96"/>
        <v>0</v>
      </c>
      <c r="R312" s="27" t="str">
        <f t="shared" si="97"/>
        <v>0</v>
      </c>
      <c r="S312" s="27" t="str">
        <f t="shared" si="98"/>
        <v>0</v>
      </c>
      <c r="T312" s="27" t="str">
        <f t="shared" si="99"/>
        <v>0</v>
      </c>
      <c r="U312" s="27" t="str">
        <f t="shared" si="100"/>
        <v>0</v>
      </c>
      <c r="V312" s="27" t="str">
        <f t="shared" si="101"/>
        <v>1</v>
      </c>
      <c r="W312" s="27"/>
      <c r="X312" s="27" t="str">
        <f t="shared" si="102"/>
        <v/>
      </c>
      <c r="Y312" s="27" t="str">
        <f t="shared" si="103"/>
        <v/>
      </c>
      <c r="Z312" s="27" t="str">
        <f t="shared" si="104"/>
        <v/>
      </c>
      <c r="AA312" s="121"/>
      <c r="AB312" s="121"/>
      <c r="AC312" s="121"/>
      <c r="AD312" s="121"/>
      <c r="AE312" s="121" t="s">
        <v>51</v>
      </c>
      <c r="AF312" s="121"/>
      <c r="AG312" s="121"/>
      <c r="AH312" s="28" t="s">
        <v>219</v>
      </c>
      <c r="AI312" s="28" t="s">
        <v>113</v>
      </c>
      <c r="AJ312" s="28">
        <v>64400</v>
      </c>
      <c r="AK312" s="121" t="str">
        <f t="shared" si="93"/>
        <v/>
      </c>
      <c r="AL312" s="123" t="str">
        <f t="shared" si="105"/>
        <v/>
      </c>
      <c r="AM312" s="27"/>
      <c r="AN312" s="124"/>
      <c r="AO312" s="124"/>
      <c r="AP312" s="124"/>
      <c r="AQ312" s="124"/>
      <c r="AR312" s="124"/>
      <c r="AS312" s="124"/>
      <c r="AT312" s="124" t="s">
        <v>1941</v>
      </c>
      <c r="AU312" s="124" t="str">
        <f t="shared" si="94"/>
        <v/>
      </c>
      <c r="AV312" s="124" t="s">
        <v>2669</v>
      </c>
      <c r="AW312" s="117"/>
      <c r="AX312" s="138" t="str">
        <f t="shared" si="86"/>
        <v/>
      </c>
      <c r="AY312" s="31" t="str">
        <f>IF(C312&lt;&gt;"",CREATE_QUERY($D$1,C$2:AW$2,C312:AW312),"")</f>
        <v/>
      </c>
    </row>
    <row r="313" spans="1:51">
      <c r="A313" s="1">
        <v>126</v>
      </c>
      <c r="B313" s="121" t="str">
        <f t="shared" si="87"/>
        <v/>
      </c>
      <c r="C313" s="27" t="str">
        <f t="shared" si="65"/>
        <v/>
      </c>
      <c r="D313" s="121"/>
      <c r="E313" s="27">
        <v>283009</v>
      </c>
      <c r="F313" s="121"/>
      <c r="G313" s="121"/>
      <c r="H313" s="121"/>
      <c r="I313" s="121"/>
      <c r="J313" s="121"/>
      <c r="K313" s="27" t="str">
        <f t="shared" si="91"/>
        <v/>
      </c>
      <c r="L313" s="27">
        <v>1</v>
      </c>
      <c r="M313" s="27" t="str">
        <f t="shared" si="92"/>
        <v>0</v>
      </c>
      <c r="N313" s="121"/>
      <c r="O313" s="121"/>
      <c r="P313" s="27" t="str">
        <f t="shared" si="95"/>
        <v>0</v>
      </c>
      <c r="Q313" s="27" t="str">
        <f t="shared" si="96"/>
        <v>0</v>
      </c>
      <c r="R313" s="27" t="str">
        <f t="shared" si="97"/>
        <v>0</v>
      </c>
      <c r="S313" s="27" t="str">
        <f t="shared" si="98"/>
        <v>0</v>
      </c>
      <c r="T313" s="27" t="str">
        <f t="shared" si="99"/>
        <v>0</v>
      </c>
      <c r="U313" s="27" t="str">
        <f t="shared" si="100"/>
        <v>0</v>
      </c>
      <c r="V313" s="27" t="str">
        <f t="shared" si="101"/>
        <v>1</v>
      </c>
      <c r="W313" s="27"/>
      <c r="X313" s="27" t="str">
        <f t="shared" si="102"/>
        <v/>
      </c>
      <c r="Y313" s="27" t="str">
        <f t="shared" si="103"/>
        <v/>
      </c>
      <c r="Z313" s="27" t="str">
        <f t="shared" si="104"/>
        <v/>
      </c>
      <c r="AA313" s="121"/>
      <c r="AB313" s="121"/>
      <c r="AC313" s="121"/>
      <c r="AD313" s="121"/>
      <c r="AE313" s="121" t="s">
        <v>51</v>
      </c>
      <c r="AF313" s="121"/>
      <c r="AG313" s="121"/>
      <c r="AH313" s="28" t="s">
        <v>219</v>
      </c>
      <c r="AI313" s="28" t="s">
        <v>113</v>
      </c>
      <c r="AJ313" s="28">
        <v>64450</v>
      </c>
      <c r="AK313" s="121" t="str">
        <f t="shared" si="93"/>
        <v/>
      </c>
      <c r="AL313" s="123" t="str">
        <f t="shared" si="105"/>
        <v/>
      </c>
      <c r="AM313" s="27"/>
      <c r="AN313" s="124"/>
      <c r="AO313" s="124"/>
      <c r="AP313" s="124"/>
      <c r="AQ313" s="124"/>
      <c r="AR313" s="124"/>
      <c r="AS313" s="124"/>
      <c r="AT313" s="124" t="s">
        <v>1941</v>
      </c>
      <c r="AU313" s="124" t="str">
        <f t="shared" si="94"/>
        <v/>
      </c>
      <c r="AV313" s="124" t="s">
        <v>2670</v>
      </c>
      <c r="AW313" s="117"/>
      <c r="AX313" s="138" t="str">
        <f t="shared" si="86"/>
        <v/>
      </c>
      <c r="AY313" s="31" t="str">
        <f>IF(C313&lt;&gt;"",CREATE_QUERY($D$1,C$2:AW$2,C313:AW313),"")</f>
        <v/>
      </c>
    </row>
    <row r="314" spans="1:51">
      <c r="A314" s="1">
        <v>126</v>
      </c>
      <c r="B314" s="121" t="str">
        <f t="shared" si="87"/>
        <v/>
      </c>
      <c r="C314" s="27" t="str">
        <f t="shared" si="65"/>
        <v/>
      </c>
      <c r="D314" s="121"/>
      <c r="E314" s="27">
        <v>283010</v>
      </c>
      <c r="F314" s="121"/>
      <c r="G314" s="121"/>
      <c r="H314" s="121"/>
      <c r="I314" s="121"/>
      <c r="J314" s="121"/>
      <c r="K314" s="27" t="str">
        <f t="shared" si="91"/>
        <v/>
      </c>
      <c r="L314" s="27">
        <v>1</v>
      </c>
      <c r="M314" s="27" t="str">
        <f t="shared" si="92"/>
        <v>0</v>
      </c>
      <c r="N314" s="121"/>
      <c r="O314" s="121"/>
      <c r="P314" s="27" t="str">
        <f t="shared" si="95"/>
        <v>0</v>
      </c>
      <c r="Q314" s="27" t="str">
        <f t="shared" si="96"/>
        <v>0</v>
      </c>
      <c r="R314" s="27" t="str">
        <f t="shared" si="97"/>
        <v>0</v>
      </c>
      <c r="S314" s="27" t="str">
        <f t="shared" si="98"/>
        <v>0</v>
      </c>
      <c r="T314" s="27" t="str">
        <f t="shared" si="99"/>
        <v>0</v>
      </c>
      <c r="U314" s="27" t="str">
        <f t="shared" si="100"/>
        <v>0</v>
      </c>
      <c r="V314" s="27" t="str">
        <f t="shared" si="101"/>
        <v>1</v>
      </c>
      <c r="W314" s="27"/>
      <c r="X314" s="27" t="str">
        <f t="shared" si="102"/>
        <v/>
      </c>
      <c r="Y314" s="27" t="str">
        <f t="shared" si="103"/>
        <v/>
      </c>
      <c r="Z314" s="27" t="str">
        <f t="shared" si="104"/>
        <v/>
      </c>
      <c r="AA314" s="121"/>
      <c r="AB314" s="121"/>
      <c r="AC314" s="121"/>
      <c r="AD314" s="121"/>
      <c r="AE314" s="121" t="s">
        <v>51</v>
      </c>
      <c r="AF314" s="121"/>
      <c r="AG314" s="121"/>
      <c r="AH314" s="28" t="s">
        <v>219</v>
      </c>
      <c r="AI314" s="28" t="s">
        <v>113</v>
      </c>
      <c r="AJ314" s="28">
        <v>64500</v>
      </c>
      <c r="AK314" s="121" t="str">
        <f t="shared" si="93"/>
        <v/>
      </c>
      <c r="AL314" s="123" t="str">
        <f t="shared" si="105"/>
        <v/>
      </c>
      <c r="AM314" s="27"/>
      <c r="AN314" s="124"/>
      <c r="AO314" s="124"/>
      <c r="AP314" s="124"/>
      <c r="AQ314" s="124"/>
      <c r="AR314" s="124"/>
      <c r="AS314" s="124"/>
      <c r="AT314" s="124" t="s">
        <v>1941</v>
      </c>
      <c r="AU314" s="124" t="str">
        <f t="shared" si="94"/>
        <v/>
      </c>
      <c r="AV314" s="124" t="s">
        <v>2671</v>
      </c>
      <c r="AW314" s="117"/>
      <c r="AX314" s="138" t="str">
        <f t="shared" si="86"/>
        <v/>
      </c>
      <c r="AY314" s="31" t="str">
        <f>IF(C314&lt;&gt;"",CREATE_QUERY($D$1,C$2:AW$2,C314:AW314),"")</f>
        <v/>
      </c>
    </row>
    <row r="315" spans="1:51">
      <c r="A315" s="1">
        <v>127</v>
      </c>
      <c r="B315" s="121" t="str">
        <f t="shared" si="87"/>
        <v/>
      </c>
      <c r="C315" s="27" t="str">
        <f t="shared" si="65"/>
        <v/>
      </c>
      <c r="D315" s="121"/>
      <c r="E315" s="27"/>
      <c r="F315" s="121"/>
      <c r="G315" s="121"/>
      <c r="H315" s="121"/>
      <c r="I315" s="121"/>
      <c r="J315" s="121"/>
      <c r="K315" s="27" t="str">
        <f t="shared" si="91"/>
        <v/>
      </c>
      <c r="L315" s="27">
        <v>1</v>
      </c>
      <c r="M315" s="27" t="str">
        <f t="shared" si="92"/>
        <v>0</v>
      </c>
      <c r="N315" s="121"/>
      <c r="O315" s="121"/>
      <c r="P315" s="27" t="str">
        <f t="shared" si="95"/>
        <v>0</v>
      </c>
      <c r="Q315" s="27" t="str">
        <f t="shared" si="96"/>
        <v>0</v>
      </c>
      <c r="R315" s="27" t="str">
        <f t="shared" si="97"/>
        <v>0</v>
      </c>
      <c r="S315" s="27" t="str">
        <f t="shared" si="98"/>
        <v>0</v>
      </c>
      <c r="T315" s="27" t="str">
        <f t="shared" si="99"/>
        <v>0</v>
      </c>
      <c r="U315" s="27" t="str">
        <f t="shared" si="100"/>
        <v>0</v>
      </c>
      <c r="V315" s="27" t="str">
        <f t="shared" si="101"/>
        <v>1</v>
      </c>
      <c r="W315" s="27"/>
      <c r="X315" s="27" t="str">
        <f t="shared" si="102"/>
        <v/>
      </c>
      <c r="Y315" s="27" t="str">
        <f t="shared" si="103"/>
        <v/>
      </c>
      <c r="Z315" s="27" t="str">
        <f t="shared" si="104"/>
        <v/>
      </c>
      <c r="AA315" s="121"/>
      <c r="AB315" s="121"/>
      <c r="AC315" s="121"/>
      <c r="AD315" s="121"/>
      <c r="AE315" s="121"/>
      <c r="AF315" s="121"/>
      <c r="AG315" s="121"/>
      <c r="AH315" s="27"/>
      <c r="AI315" s="27"/>
      <c r="AJ315" s="27" t="s">
        <v>900</v>
      </c>
      <c r="AK315" s="121" t="str">
        <f t="shared" si="93"/>
        <v>0</v>
      </c>
      <c r="AL315" s="123" t="str">
        <f t="shared" si="105"/>
        <v/>
      </c>
      <c r="AM315" s="27"/>
      <c r="AN315" s="124"/>
      <c r="AO315" s="124"/>
      <c r="AP315" s="124"/>
      <c r="AQ315" s="124"/>
      <c r="AR315" s="124"/>
      <c r="AS315" s="124"/>
      <c r="AT315" s="124"/>
      <c r="AU315" s="124" t="str">
        <f t="shared" si="94"/>
        <v/>
      </c>
      <c r="AV315" s="124"/>
      <c r="AW315" s="117"/>
      <c r="AX315" s="138" t="str">
        <f t="shared" si="86"/>
        <v/>
      </c>
      <c r="AY315" s="31" t="str">
        <f>IF(C315&lt;&gt;"",CREATE_QUERY($D$1,C$2:AW$2,C315:AW315),"")</f>
        <v/>
      </c>
    </row>
    <row r="316" spans="1:51">
      <c r="A316" s="1">
        <v>128</v>
      </c>
      <c r="B316" s="121" t="str">
        <f t="shared" si="87"/>
        <v xml:space="preserve">    └ 지그관리</v>
      </c>
      <c r="C316" s="27" t="str">
        <f t="shared" si="65"/>
        <v>14821</v>
      </c>
      <c r="D316" s="121"/>
      <c r="E316" s="21" t="s">
        <v>240</v>
      </c>
      <c r="F316" s="118" t="s">
        <v>236</v>
      </c>
      <c r="G316" s="118"/>
      <c r="H316" s="118"/>
      <c r="I316" s="118"/>
      <c r="J316" s="118"/>
      <c r="K316" s="21" t="str">
        <f t="shared" si="91"/>
        <v/>
      </c>
      <c r="L316" s="21">
        <v>1</v>
      </c>
      <c r="M316" s="21" t="str">
        <f t="shared" si="92"/>
        <v>0</v>
      </c>
      <c r="N316" s="118"/>
      <c r="O316" s="118"/>
      <c r="P316" s="21" t="str">
        <f t="shared" si="95"/>
        <v>0</v>
      </c>
      <c r="Q316" s="21" t="str">
        <f t="shared" si="96"/>
        <v>0</v>
      </c>
      <c r="R316" s="21" t="str">
        <f t="shared" si="97"/>
        <v>0</v>
      </c>
      <c r="S316" s="21" t="str">
        <f t="shared" si="98"/>
        <v>0</v>
      </c>
      <c r="T316" s="21" t="str">
        <f t="shared" si="99"/>
        <v>0</v>
      </c>
      <c r="U316" s="21" t="str">
        <f t="shared" si="100"/>
        <v>0</v>
      </c>
      <c r="V316" s="21" t="str">
        <f t="shared" si="101"/>
        <v>1</v>
      </c>
      <c r="W316" s="21"/>
      <c r="X316" s="21" t="str">
        <f t="shared" si="102"/>
        <v/>
      </c>
      <c r="Y316" s="21" t="str">
        <f t="shared" si="103"/>
        <v/>
      </c>
      <c r="Z316" s="21" t="str">
        <f t="shared" si="104"/>
        <v/>
      </c>
      <c r="AA316" s="118"/>
      <c r="AB316" s="118"/>
      <c r="AC316" s="118"/>
      <c r="AD316" s="118"/>
      <c r="AE316" s="118" t="s">
        <v>51</v>
      </c>
      <c r="AF316" s="118"/>
      <c r="AG316" s="118"/>
      <c r="AH316" s="26" t="s">
        <v>197</v>
      </c>
      <c r="AI316" s="26" t="s">
        <v>112</v>
      </c>
      <c r="AJ316" s="26">
        <v>65000</v>
      </c>
      <c r="AK316" s="121" t="str">
        <f t="shared" si="93"/>
        <v>0</v>
      </c>
      <c r="AL316" s="123" t="str">
        <f t="shared" si="105"/>
        <v>14821/지그관리//</v>
      </c>
      <c r="AM316" s="21"/>
      <c r="AN316" s="124"/>
      <c r="AO316" s="124"/>
      <c r="AP316" s="124"/>
      <c r="AQ316" s="124"/>
      <c r="AR316" s="124"/>
      <c r="AS316" s="124"/>
      <c r="AT316" s="124" t="s">
        <v>1941</v>
      </c>
      <c r="AU316" s="124" t="str">
        <f t="shared" si="94"/>
        <v/>
      </c>
      <c r="AV316" s="124"/>
      <c r="AW316" s="117"/>
      <c r="AX316" s="138" t="str">
        <f t="shared" si="86"/>
        <v>delete from module_mst where pjt_id = '14821' and menu_id = '284000';</v>
      </c>
      <c r="AY316" s="31" t="str">
        <f>IF(C316&lt;&gt;"",CREATE_QUERY($D$1,C$2:AW$2,C316:AW316),"")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'284000', '지그관리', '', '', '', '', '', '1', '0', '', '', '0', '0', '0', '0', '0', '0', '1', '', '', '', '', '', '', '', '', 'N', '', '', '280000', '4', '65000', '0', '14821/지그관리//', '', '', '', '', '', '', '', 'P', '', '');</v>
      </c>
    </row>
    <row r="317" spans="1:51">
      <c r="A317" s="1">
        <v>129</v>
      </c>
      <c r="B317" s="121" t="str">
        <f t="shared" si="87"/>
        <v xml:space="preserve">        └ 지그등록</v>
      </c>
      <c r="C317" s="27" t="str">
        <f t="shared" si="65"/>
        <v>14821</v>
      </c>
      <c r="D317" s="121"/>
      <c r="E317" s="27">
        <v>284001</v>
      </c>
      <c r="F317" s="121" t="s">
        <v>237</v>
      </c>
      <c r="G317" s="121"/>
      <c r="H317" s="121"/>
      <c r="I317" s="121"/>
      <c r="J317" s="121"/>
      <c r="K317" s="27" t="str">
        <f t="shared" si="91"/>
        <v>1</v>
      </c>
      <c r="L317" s="27">
        <v>1</v>
      </c>
      <c r="M317" s="27" t="str">
        <f t="shared" si="92"/>
        <v>1</v>
      </c>
      <c r="N317" s="121" t="s">
        <v>294</v>
      </c>
      <c r="O317" s="121" t="s">
        <v>295</v>
      </c>
      <c r="P317" s="27" t="str">
        <f t="shared" si="95"/>
        <v>1</v>
      </c>
      <c r="Q317" s="27" t="str">
        <f t="shared" si="96"/>
        <v>1</v>
      </c>
      <c r="R317" s="27" t="str">
        <f t="shared" si="97"/>
        <v>1</v>
      </c>
      <c r="S317" s="27" t="str">
        <f t="shared" si="98"/>
        <v>1</v>
      </c>
      <c r="T317" s="27" t="str">
        <f t="shared" si="99"/>
        <v>1</v>
      </c>
      <c r="U317" s="27" t="str">
        <f t="shared" si="100"/>
        <v>1</v>
      </c>
      <c r="V317" s="27" t="str">
        <f t="shared" si="101"/>
        <v>1</v>
      </c>
      <c r="W317" s="27"/>
      <c r="X317" s="27" t="str">
        <f t="shared" si="102"/>
        <v>0</v>
      </c>
      <c r="Y317" s="27" t="str">
        <f t="shared" si="103"/>
        <v>0</v>
      </c>
      <c r="Z317" s="27" t="str">
        <f t="shared" si="104"/>
        <v>0</v>
      </c>
      <c r="AA317" s="121"/>
      <c r="AB317" s="121"/>
      <c r="AC317" s="121"/>
      <c r="AD317" s="121"/>
      <c r="AE317" s="121" t="s">
        <v>51</v>
      </c>
      <c r="AF317" s="121"/>
      <c r="AG317" s="121"/>
      <c r="AH317" s="28" t="s">
        <v>240</v>
      </c>
      <c r="AI317" s="28" t="s">
        <v>113</v>
      </c>
      <c r="AJ317" s="28">
        <v>65050</v>
      </c>
      <c r="AK317" s="121" t="str">
        <f t="shared" si="93"/>
        <v>0</v>
      </c>
      <c r="AL317" s="123" t="str">
        <f t="shared" si="105"/>
        <v>14821/지그등록/prod.jig/JigMast</v>
      </c>
      <c r="AM317" s="27"/>
      <c r="AN317" s="124"/>
      <c r="AO317" s="124"/>
      <c r="AP317" s="124"/>
      <c r="AQ317" s="124"/>
      <c r="AR317" s="124"/>
      <c r="AS317" s="124"/>
      <c r="AT317" s="124" t="s">
        <v>1941</v>
      </c>
      <c r="AU317" s="124" t="str">
        <f t="shared" si="94"/>
        <v>P284001</v>
      </c>
      <c r="AV317" s="124" t="s">
        <v>2672</v>
      </c>
      <c r="AW317" s="117" t="s">
        <v>2110</v>
      </c>
      <c r="AX317" s="138" t="str">
        <f t="shared" si="86"/>
        <v>delete from module_mst where pjt_id = '14821' and menu_id = '284001';</v>
      </c>
      <c r="AY317" s="31" t="str">
        <f>IF(C317&lt;&gt;"",CREATE_QUERY($D$1,C$2:AW$2,C317:AW317),"")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'284001', '지그등록', '', '', '', '', '1', '1', '1', 'prod.jig', 'JigMast', '1', '1', '1', '1', '1', '1', '1', '', '0', '0', '0', '', '', '', '', 'N', '', '', '284000', '5', '65050', '0', '14821/지그등록/prod.jig/JigMast', '', '', '', '', '', '', '', 'P', 'MES-TD3-450', '생산을 위하여 사용하는 지그의 변동사항을 등록 관리');</v>
      </c>
    </row>
    <row r="318" spans="1:51">
      <c r="A318" s="1">
        <v>130</v>
      </c>
      <c r="B318" s="121" t="str">
        <f t="shared" si="87"/>
        <v xml:space="preserve">        └ 지그현황</v>
      </c>
      <c r="C318" s="27" t="str">
        <f t="shared" si="65"/>
        <v>14821</v>
      </c>
      <c r="D318" s="121"/>
      <c r="E318" s="27">
        <v>284002</v>
      </c>
      <c r="F318" s="121" t="s">
        <v>238</v>
      </c>
      <c r="G318" s="121"/>
      <c r="H318" s="121"/>
      <c r="I318" s="121"/>
      <c r="J318" s="121"/>
      <c r="K318" s="27" t="str">
        <f t="shared" si="91"/>
        <v>1</v>
      </c>
      <c r="L318" s="27">
        <v>1</v>
      </c>
      <c r="M318" s="27" t="str">
        <f t="shared" si="92"/>
        <v>1</v>
      </c>
      <c r="N318" s="121" t="s">
        <v>294</v>
      </c>
      <c r="O318" s="121" t="s">
        <v>298</v>
      </c>
      <c r="P318" s="27" t="str">
        <f t="shared" si="95"/>
        <v>1</v>
      </c>
      <c r="Q318" s="27" t="str">
        <f t="shared" si="96"/>
        <v>1</v>
      </c>
      <c r="R318" s="27" t="str">
        <f t="shared" si="97"/>
        <v>1</v>
      </c>
      <c r="S318" s="27" t="str">
        <f t="shared" si="98"/>
        <v>1</v>
      </c>
      <c r="T318" s="27" t="str">
        <f t="shared" si="99"/>
        <v>1</v>
      </c>
      <c r="U318" s="27" t="str">
        <f t="shared" si="100"/>
        <v>1</v>
      </c>
      <c r="V318" s="27" t="str">
        <f t="shared" si="101"/>
        <v>1</v>
      </c>
      <c r="W318" s="27"/>
      <c r="X318" s="27" t="str">
        <f t="shared" si="102"/>
        <v>0</v>
      </c>
      <c r="Y318" s="27" t="str">
        <f t="shared" si="103"/>
        <v>0</v>
      </c>
      <c r="Z318" s="27" t="str">
        <f t="shared" si="104"/>
        <v>0</v>
      </c>
      <c r="AA318" s="121"/>
      <c r="AB318" s="121"/>
      <c r="AC318" s="121"/>
      <c r="AD318" s="121"/>
      <c r="AE318" s="121" t="s">
        <v>51</v>
      </c>
      <c r="AF318" s="121"/>
      <c r="AG318" s="121"/>
      <c r="AH318" s="28" t="s">
        <v>240</v>
      </c>
      <c r="AI318" s="28" t="s">
        <v>113</v>
      </c>
      <c r="AJ318" s="28">
        <v>65100</v>
      </c>
      <c r="AK318" s="121" t="str">
        <f t="shared" si="93"/>
        <v>0</v>
      </c>
      <c r="AL318" s="123" t="str">
        <f t="shared" si="105"/>
        <v>14821/지그현황/prod.jig/JigList</v>
      </c>
      <c r="AM318" s="27"/>
      <c r="AN318" s="124"/>
      <c r="AO318" s="124"/>
      <c r="AP318" s="124"/>
      <c r="AQ318" s="124"/>
      <c r="AR318" s="124"/>
      <c r="AS318" s="124"/>
      <c r="AT318" s="124" t="s">
        <v>1941</v>
      </c>
      <c r="AU318" s="124" t="str">
        <f t="shared" si="94"/>
        <v>P284002</v>
      </c>
      <c r="AV318" s="124" t="s">
        <v>2673</v>
      </c>
      <c r="AW318" s="117" t="s">
        <v>2111</v>
      </c>
      <c r="AX318" s="138" t="str">
        <f t="shared" si="86"/>
        <v>delete from module_mst where pjt_id = '14821' and menu_id = '284002';</v>
      </c>
      <c r="AY318" s="31" t="str">
        <f>IF(C318&lt;&gt;"",CREATE_QUERY($D$1,C$2:AW$2,C318:AW318),"")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'284002', '지그현황', '', '', '', '', '1', '1', '1', 'prod.jig', 'JigList', '1', '1', '1', '1', '1', '1', '1', '', '0', '0', '0', '', '', '', '', 'N', '', '', '284000', '5', '65100', '0', '14821/지그현황/prod.jig/JigList', '', '', '', '', '', '', '', 'P', 'MES-TD3-451', '생산에 사용하는 지그 보유 현황을 조회');</v>
      </c>
    </row>
    <row r="319" spans="1:51">
      <c r="A319" s="1">
        <v>131</v>
      </c>
      <c r="B319" s="121" t="str">
        <f t="shared" si="87"/>
        <v xml:space="preserve">        └ 지그점검수리</v>
      </c>
      <c r="C319" s="27" t="str">
        <f t="shared" si="65"/>
        <v>14821</v>
      </c>
      <c r="D319" s="121"/>
      <c r="E319" s="27">
        <v>284003</v>
      </c>
      <c r="F319" s="121" t="s">
        <v>239</v>
      </c>
      <c r="G319" s="121"/>
      <c r="H319" s="121"/>
      <c r="I319" s="121"/>
      <c r="J319" s="121"/>
      <c r="K319" s="27" t="str">
        <f t="shared" si="91"/>
        <v>1</v>
      </c>
      <c r="L319" s="27">
        <v>1</v>
      </c>
      <c r="M319" s="27" t="str">
        <f t="shared" si="92"/>
        <v>1</v>
      </c>
      <c r="N319" s="121" t="s">
        <v>294</v>
      </c>
      <c r="O319" s="121" t="s">
        <v>299</v>
      </c>
      <c r="P319" s="27" t="str">
        <f t="shared" si="95"/>
        <v>1</v>
      </c>
      <c r="Q319" s="27" t="str">
        <f t="shared" si="96"/>
        <v>1</v>
      </c>
      <c r="R319" s="27" t="str">
        <f t="shared" si="97"/>
        <v>1</v>
      </c>
      <c r="S319" s="27" t="str">
        <f t="shared" si="98"/>
        <v>1</v>
      </c>
      <c r="T319" s="27" t="str">
        <f t="shared" si="99"/>
        <v>1</v>
      </c>
      <c r="U319" s="27" t="str">
        <f t="shared" si="100"/>
        <v>1</v>
      </c>
      <c r="V319" s="27" t="str">
        <f t="shared" si="101"/>
        <v>1</v>
      </c>
      <c r="W319" s="27"/>
      <c r="X319" s="27" t="str">
        <f t="shared" si="102"/>
        <v>0</v>
      </c>
      <c r="Y319" s="27" t="str">
        <f t="shared" si="103"/>
        <v>0</v>
      </c>
      <c r="Z319" s="27" t="str">
        <f t="shared" si="104"/>
        <v>0</v>
      </c>
      <c r="AA319" s="121"/>
      <c r="AB319" s="121"/>
      <c r="AC319" s="121"/>
      <c r="AD319" s="121"/>
      <c r="AE319" s="121" t="s">
        <v>51</v>
      </c>
      <c r="AF319" s="121"/>
      <c r="AG319" s="121"/>
      <c r="AH319" s="28" t="s">
        <v>240</v>
      </c>
      <c r="AI319" s="28" t="s">
        <v>113</v>
      </c>
      <c r="AJ319" s="28">
        <v>65150</v>
      </c>
      <c r="AK319" s="121" t="str">
        <f t="shared" si="93"/>
        <v/>
      </c>
      <c r="AL319" s="123" t="str">
        <f t="shared" si="105"/>
        <v>14821/지그점검수리/prod.jig/JigCheck</v>
      </c>
      <c r="AM319" s="27"/>
      <c r="AN319" s="124"/>
      <c r="AO319" s="124"/>
      <c r="AP319" s="124"/>
      <c r="AQ319" s="124"/>
      <c r="AR319" s="124"/>
      <c r="AS319" s="124"/>
      <c r="AT319" s="124" t="s">
        <v>1941</v>
      </c>
      <c r="AU319" s="124" t="str">
        <f t="shared" si="94"/>
        <v>P284003</v>
      </c>
      <c r="AV319" s="124" t="s">
        <v>2674</v>
      </c>
      <c r="AW319" s="117" t="s">
        <v>2112</v>
      </c>
      <c r="AX319" s="138" t="str">
        <f t="shared" si="86"/>
        <v>delete from module_mst where pjt_id = '14821' and menu_id = '284003';</v>
      </c>
      <c r="AY319" s="31" t="str">
        <f>IF(C319&lt;&gt;"",CREATE_QUERY($D$1,C$2:AW$2,C319:AW319),"")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'284003', '지그점검수리', '', '', '', '', '1', '1', '1', 'prod.jig', 'JigCheck', '1', '1', '1', '1', '1', '1', '1', '', '0', '0', '0', '', '', '', '', 'N', '', '', '284000', '5', '65150', '', '14821/지그점검수리/prod.jig/JigCheck', '', '', '', '', '', '', '', 'P', 'MES-TD3-452', '지그 검검 사항 보고, 등록');</v>
      </c>
    </row>
    <row r="320" spans="1:51">
      <c r="A320" s="1">
        <v>129</v>
      </c>
      <c r="B320" s="121" t="str">
        <f t="shared" si="87"/>
        <v/>
      </c>
      <c r="C320" s="27" t="str">
        <f t="shared" si="65"/>
        <v/>
      </c>
      <c r="D320" s="121"/>
      <c r="E320" s="27">
        <v>284004</v>
      </c>
      <c r="F320" s="121"/>
      <c r="G320" s="121"/>
      <c r="H320" s="121"/>
      <c r="I320" s="121"/>
      <c r="J320" s="121"/>
      <c r="K320" s="27" t="str">
        <f t="shared" si="91"/>
        <v/>
      </c>
      <c r="L320" s="27">
        <v>1</v>
      </c>
      <c r="M320" s="27" t="str">
        <f t="shared" si="92"/>
        <v>0</v>
      </c>
      <c r="N320" s="121"/>
      <c r="O320" s="121"/>
      <c r="P320" s="27" t="str">
        <f t="shared" si="95"/>
        <v>0</v>
      </c>
      <c r="Q320" s="27" t="str">
        <f t="shared" si="96"/>
        <v>0</v>
      </c>
      <c r="R320" s="27" t="str">
        <f t="shared" si="97"/>
        <v>0</v>
      </c>
      <c r="S320" s="27" t="str">
        <f t="shared" si="98"/>
        <v>0</v>
      </c>
      <c r="T320" s="27" t="str">
        <f t="shared" si="99"/>
        <v>0</v>
      </c>
      <c r="U320" s="27" t="str">
        <f t="shared" si="100"/>
        <v>0</v>
      </c>
      <c r="V320" s="27" t="str">
        <f t="shared" si="101"/>
        <v>1</v>
      </c>
      <c r="W320" s="27"/>
      <c r="X320" s="27" t="str">
        <f t="shared" si="102"/>
        <v/>
      </c>
      <c r="Y320" s="27" t="str">
        <f t="shared" si="103"/>
        <v/>
      </c>
      <c r="Z320" s="27" t="str">
        <f t="shared" si="104"/>
        <v/>
      </c>
      <c r="AA320" s="121"/>
      <c r="AB320" s="121"/>
      <c r="AC320" s="121"/>
      <c r="AD320" s="121"/>
      <c r="AE320" s="121" t="s">
        <v>51</v>
      </c>
      <c r="AF320" s="121"/>
      <c r="AG320" s="121"/>
      <c r="AH320" s="28" t="s">
        <v>240</v>
      </c>
      <c r="AI320" s="28" t="s">
        <v>113</v>
      </c>
      <c r="AJ320" s="28">
        <v>65200</v>
      </c>
      <c r="AK320" s="121" t="str">
        <f t="shared" si="93"/>
        <v/>
      </c>
      <c r="AL320" s="123" t="str">
        <f t="shared" si="105"/>
        <v/>
      </c>
      <c r="AM320" s="27"/>
      <c r="AN320" s="124"/>
      <c r="AO320" s="124"/>
      <c r="AP320" s="124"/>
      <c r="AQ320" s="124"/>
      <c r="AR320" s="124"/>
      <c r="AS320" s="124"/>
      <c r="AT320" s="124" t="s">
        <v>1941</v>
      </c>
      <c r="AU320" s="124" t="str">
        <f t="shared" si="94"/>
        <v/>
      </c>
      <c r="AV320" s="124" t="s">
        <v>2675</v>
      </c>
      <c r="AW320" s="117"/>
      <c r="AX320" s="138" t="str">
        <f t="shared" si="86"/>
        <v/>
      </c>
      <c r="AY320" s="31" t="str">
        <f>IF(C320&lt;&gt;"",CREATE_QUERY($D$1,C$2:AW$2,C320:AW320),"")</f>
        <v/>
      </c>
    </row>
    <row r="321" spans="1:51">
      <c r="A321" s="1">
        <v>130</v>
      </c>
      <c r="B321" s="121" t="str">
        <f t="shared" si="87"/>
        <v/>
      </c>
      <c r="C321" s="27" t="str">
        <f t="shared" si="65"/>
        <v/>
      </c>
      <c r="D321" s="121"/>
      <c r="E321" s="27">
        <v>284005</v>
      </c>
      <c r="F321" s="121"/>
      <c r="G321" s="121"/>
      <c r="H321" s="121"/>
      <c r="I321" s="121"/>
      <c r="J321" s="121"/>
      <c r="K321" s="27" t="str">
        <f t="shared" si="91"/>
        <v/>
      </c>
      <c r="L321" s="27">
        <v>1</v>
      </c>
      <c r="M321" s="27" t="str">
        <f t="shared" si="92"/>
        <v>0</v>
      </c>
      <c r="N321" s="121"/>
      <c r="O321" s="121"/>
      <c r="P321" s="27" t="str">
        <f t="shared" si="95"/>
        <v>0</v>
      </c>
      <c r="Q321" s="27" t="str">
        <f t="shared" si="96"/>
        <v>0</v>
      </c>
      <c r="R321" s="27" t="str">
        <f t="shared" si="97"/>
        <v>0</v>
      </c>
      <c r="S321" s="27" t="str">
        <f t="shared" si="98"/>
        <v>0</v>
      </c>
      <c r="T321" s="27" t="str">
        <f t="shared" si="99"/>
        <v>0</v>
      </c>
      <c r="U321" s="27" t="str">
        <f t="shared" si="100"/>
        <v>0</v>
      </c>
      <c r="V321" s="27" t="str">
        <f t="shared" si="101"/>
        <v>1</v>
      </c>
      <c r="W321" s="27"/>
      <c r="X321" s="27" t="str">
        <f t="shared" si="102"/>
        <v/>
      </c>
      <c r="Y321" s="27" t="str">
        <f t="shared" si="103"/>
        <v/>
      </c>
      <c r="Z321" s="27" t="str">
        <f t="shared" si="104"/>
        <v/>
      </c>
      <c r="AA321" s="121"/>
      <c r="AB321" s="121"/>
      <c r="AC321" s="121"/>
      <c r="AD321" s="121"/>
      <c r="AE321" s="121" t="s">
        <v>51</v>
      </c>
      <c r="AF321" s="121"/>
      <c r="AG321" s="121"/>
      <c r="AH321" s="28" t="s">
        <v>240</v>
      </c>
      <c r="AI321" s="28" t="s">
        <v>113</v>
      </c>
      <c r="AJ321" s="28">
        <v>65250</v>
      </c>
      <c r="AK321" s="121" t="str">
        <f t="shared" si="93"/>
        <v/>
      </c>
      <c r="AL321" s="123" t="str">
        <f t="shared" si="105"/>
        <v/>
      </c>
      <c r="AM321" s="27"/>
      <c r="AN321" s="124"/>
      <c r="AO321" s="124"/>
      <c r="AP321" s="124"/>
      <c r="AQ321" s="124"/>
      <c r="AR321" s="124"/>
      <c r="AS321" s="124"/>
      <c r="AT321" s="124" t="s">
        <v>1941</v>
      </c>
      <c r="AU321" s="124" t="str">
        <f t="shared" si="94"/>
        <v/>
      </c>
      <c r="AV321" s="124" t="s">
        <v>2676</v>
      </c>
      <c r="AW321" s="117"/>
      <c r="AX321" s="138" t="str">
        <f t="shared" si="86"/>
        <v/>
      </c>
      <c r="AY321" s="31" t="str">
        <f>IF(C321&lt;&gt;"",CREATE_QUERY($D$1,C$2:AW$2,C321:AW321),"")</f>
        <v/>
      </c>
    </row>
    <row r="322" spans="1:51">
      <c r="A322" s="1">
        <v>131</v>
      </c>
      <c r="B322" s="121" t="str">
        <f t="shared" si="87"/>
        <v/>
      </c>
      <c r="C322" s="27" t="str">
        <f t="shared" si="65"/>
        <v/>
      </c>
      <c r="D322" s="121"/>
      <c r="E322" s="27">
        <v>284006</v>
      </c>
      <c r="F322" s="121"/>
      <c r="G322" s="121"/>
      <c r="H322" s="121"/>
      <c r="I322" s="121"/>
      <c r="J322" s="121"/>
      <c r="K322" s="27" t="str">
        <f t="shared" si="91"/>
        <v/>
      </c>
      <c r="L322" s="27">
        <v>1</v>
      </c>
      <c r="M322" s="27" t="str">
        <f t="shared" si="92"/>
        <v>0</v>
      </c>
      <c r="N322" s="121"/>
      <c r="O322" s="121"/>
      <c r="P322" s="27" t="str">
        <f t="shared" si="95"/>
        <v>0</v>
      </c>
      <c r="Q322" s="27" t="str">
        <f t="shared" si="96"/>
        <v>0</v>
      </c>
      <c r="R322" s="27" t="str">
        <f t="shared" si="97"/>
        <v>0</v>
      </c>
      <c r="S322" s="27" t="str">
        <f t="shared" si="98"/>
        <v>0</v>
      </c>
      <c r="T322" s="27" t="str">
        <f t="shared" si="99"/>
        <v>0</v>
      </c>
      <c r="U322" s="27" t="str">
        <f t="shared" si="100"/>
        <v>0</v>
      </c>
      <c r="V322" s="27" t="str">
        <f t="shared" si="101"/>
        <v>1</v>
      </c>
      <c r="W322" s="27"/>
      <c r="X322" s="27" t="str">
        <f t="shared" si="102"/>
        <v/>
      </c>
      <c r="Y322" s="27" t="str">
        <f t="shared" si="103"/>
        <v/>
      </c>
      <c r="Z322" s="27" t="str">
        <f t="shared" si="104"/>
        <v/>
      </c>
      <c r="AA322" s="121"/>
      <c r="AB322" s="121"/>
      <c r="AC322" s="121"/>
      <c r="AD322" s="121"/>
      <c r="AE322" s="121" t="s">
        <v>51</v>
      </c>
      <c r="AF322" s="121"/>
      <c r="AG322" s="121"/>
      <c r="AH322" s="28" t="s">
        <v>240</v>
      </c>
      <c r="AI322" s="28" t="s">
        <v>113</v>
      </c>
      <c r="AJ322" s="28">
        <v>65300</v>
      </c>
      <c r="AK322" s="121" t="str">
        <f>IF(B326="","","0")</f>
        <v/>
      </c>
      <c r="AL322" s="123" t="str">
        <f t="shared" si="105"/>
        <v/>
      </c>
      <c r="AM322" s="27"/>
      <c r="AN322" s="124"/>
      <c r="AO322" s="124"/>
      <c r="AP322" s="124"/>
      <c r="AQ322" s="124"/>
      <c r="AR322" s="124"/>
      <c r="AS322" s="124"/>
      <c r="AT322" s="124" t="s">
        <v>1941</v>
      </c>
      <c r="AU322" s="124" t="str">
        <f t="shared" si="94"/>
        <v/>
      </c>
      <c r="AV322" s="124" t="s">
        <v>2677</v>
      </c>
      <c r="AW322" s="117"/>
      <c r="AX322" s="138" t="str">
        <f t="shared" si="86"/>
        <v/>
      </c>
      <c r="AY322" s="31" t="str">
        <f>IF(C322&lt;&gt;"",CREATE_QUERY($D$1,C$2:AW$2,C322:AW322),"")</f>
        <v/>
      </c>
    </row>
    <row r="323" spans="1:51">
      <c r="A323" s="1">
        <v>129</v>
      </c>
      <c r="B323" s="121" t="str">
        <f t="shared" si="87"/>
        <v/>
      </c>
      <c r="C323" s="27" t="str">
        <f t="shared" si="65"/>
        <v/>
      </c>
      <c r="D323" s="121"/>
      <c r="E323" s="27">
        <v>284007</v>
      </c>
      <c r="F323" s="121"/>
      <c r="G323" s="121"/>
      <c r="H323" s="121"/>
      <c r="I323" s="121"/>
      <c r="J323" s="121"/>
      <c r="K323" s="27" t="str">
        <f t="shared" si="91"/>
        <v/>
      </c>
      <c r="L323" s="27">
        <v>1</v>
      </c>
      <c r="M323" s="27" t="str">
        <f t="shared" si="92"/>
        <v>0</v>
      </c>
      <c r="N323" s="121"/>
      <c r="O323" s="121"/>
      <c r="P323" s="27" t="str">
        <f t="shared" si="95"/>
        <v>0</v>
      </c>
      <c r="Q323" s="27" t="str">
        <f t="shared" si="96"/>
        <v>0</v>
      </c>
      <c r="R323" s="27" t="str">
        <f t="shared" si="97"/>
        <v>0</v>
      </c>
      <c r="S323" s="27" t="str">
        <f t="shared" si="98"/>
        <v>0</v>
      </c>
      <c r="T323" s="27" t="str">
        <f t="shared" si="99"/>
        <v>0</v>
      </c>
      <c r="U323" s="27" t="str">
        <f t="shared" si="100"/>
        <v>0</v>
      </c>
      <c r="V323" s="27" t="str">
        <f t="shared" si="101"/>
        <v>1</v>
      </c>
      <c r="W323" s="27"/>
      <c r="X323" s="27" t="str">
        <f t="shared" si="102"/>
        <v/>
      </c>
      <c r="Y323" s="27" t="str">
        <f t="shared" si="103"/>
        <v/>
      </c>
      <c r="Z323" s="27" t="str">
        <f t="shared" si="104"/>
        <v/>
      </c>
      <c r="AA323" s="121"/>
      <c r="AB323" s="121"/>
      <c r="AC323" s="121"/>
      <c r="AD323" s="121"/>
      <c r="AE323" s="121" t="s">
        <v>51</v>
      </c>
      <c r="AF323" s="121"/>
      <c r="AG323" s="121"/>
      <c r="AH323" s="28" t="s">
        <v>240</v>
      </c>
      <c r="AI323" s="28" t="s">
        <v>113</v>
      </c>
      <c r="AJ323" s="28">
        <v>65350</v>
      </c>
      <c r="AK323" s="121" t="str">
        <f t="shared" ref="AK323:AK324" si="106">IF(B324="","","0")</f>
        <v/>
      </c>
      <c r="AL323" s="123" t="str">
        <f t="shared" si="105"/>
        <v/>
      </c>
      <c r="AM323" s="27"/>
      <c r="AN323" s="124"/>
      <c r="AO323" s="124"/>
      <c r="AP323" s="124"/>
      <c r="AQ323" s="124"/>
      <c r="AR323" s="124"/>
      <c r="AS323" s="124"/>
      <c r="AT323" s="124" t="s">
        <v>1941</v>
      </c>
      <c r="AU323" s="124" t="str">
        <f t="shared" si="94"/>
        <v/>
      </c>
      <c r="AV323" s="124" t="s">
        <v>2678</v>
      </c>
      <c r="AW323" s="117"/>
      <c r="AX323" s="138" t="str">
        <f t="shared" si="86"/>
        <v/>
      </c>
      <c r="AY323" s="31" t="str">
        <f>IF(C323&lt;&gt;"",CREATE_QUERY($D$1,C$2:AW$2,C323:AW323),"")</f>
        <v/>
      </c>
    </row>
    <row r="324" spans="1:51">
      <c r="A324" s="1">
        <v>130</v>
      </c>
      <c r="B324" s="121" t="str">
        <f t="shared" si="87"/>
        <v/>
      </c>
      <c r="C324" s="27" t="str">
        <f t="shared" si="65"/>
        <v/>
      </c>
      <c r="D324" s="121"/>
      <c r="E324" s="27">
        <v>284008</v>
      </c>
      <c r="F324" s="121"/>
      <c r="G324" s="121"/>
      <c r="H324" s="121"/>
      <c r="I324" s="121"/>
      <c r="J324" s="121"/>
      <c r="K324" s="27" t="str">
        <f t="shared" si="91"/>
        <v/>
      </c>
      <c r="L324" s="27">
        <v>1</v>
      </c>
      <c r="M324" s="27" t="str">
        <f t="shared" si="92"/>
        <v>0</v>
      </c>
      <c r="N324" s="121"/>
      <c r="O324" s="121"/>
      <c r="P324" s="27" t="str">
        <f t="shared" si="95"/>
        <v>0</v>
      </c>
      <c r="Q324" s="27" t="str">
        <f t="shared" si="96"/>
        <v>0</v>
      </c>
      <c r="R324" s="27" t="str">
        <f t="shared" si="97"/>
        <v>0</v>
      </c>
      <c r="S324" s="27" t="str">
        <f t="shared" si="98"/>
        <v>0</v>
      </c>
      <c r="T324" s="27" t="str">
        <f t="shared" si="99"/>
        <v>0</v>
      </c>
      <c r="U324" s="27" t="str">
        <f t="shared" si="100"/>
        <v>0</v>
      </c>
      <c r="V324" s="27" t="str">
        <f t="shared" si="101"/>
        <v>1</v>
      </c>
      <c r="W324" s="27"/>
      <c r="X324" s="27" t="str">
        <f t="shared" si="102"/>
        <v/>
      </c>
      <c r="Y324" s="27" t="str">
        <f t="shared" si="103"/>
        <v/>
      </c>
      <c r="Z324" s="27" t="str">
        <f t="shared" si="104"/>
        <v/>
      </c>
      <c r="AA324" s="121"/>
      <c r="AB324" s="121"/>
      <c r="AC324" s="121"/>
      <c r="AD324" s="121"/>
      <c r="AE324" s="121" t="s">
        <v>51</v>
      </c>
      <c r="AF324" s="121"/>
      <c r="AG324" s="121"/>
      <c r="AH324" s="28" t="s">
        <v>240</v>
      </c>
      <c r="AI324" s="28" t="s">
        <v>113</v>
      </c>
      <c r="AJ324" s="28">
        <v>65400</v>
      </c>
      <c r="AK324" s="121" t="str">
        <f t="shared" si="106"/>
        <v/>
      </c>
      <c r="AL324" s="123" t="str">
        <f t="shared" si="105"/>
        <v/>
      </c>
      <c r="AM324" s="27"/>
      <c r="AN324" s="124"/>
      <c r="AO324" s="124"/>
      <c r="AP324" s="124"/>
      <c r="AQ324" s="124"/>
      <c r="AR324" s="124"/>
      <c r="AS324" s="124"/>
      <c r="AT324" s="124" t="s">
        <v>1941</v>
      </c>
      <c r="AU324" s="124" t="str">
        <f t="shared" si="94"/>
        <v/>
      </c>
      <c r="AV324" s="124" t="s">
        <v>2679</v>
      </c>
      <c r="AW324" s="117"/>
      <c r="AX324" s="138" t="str">
        <f t="shared" si="86"/>
        <v/>
      </c>
      <c r="AY324" s="31" t="str">
        <f>IF(C324&lt;&gt;"",CREATE_QUERY($D$1,C$2:AW$2,C324:AW324),"")</f>
        <v/>
      </c>
    </row>
    <row r="325" spans="1:51">
      <c r="A325" s="1">
        <v>131</v>
      </c>
      <c r="B325" s="121" t="str">
        <f t="shared" si="87"/>
        <v/>
      </c>
      <c r="C325" s="27" t="str">
        <f t="shared" si="65"/>
        <v/>
      </c>
      <c r="D325" s="121"/>
      <c r="E325" s="27">
        <v>284009</v>
      </c>
      <c r="F325" s="121"/>
      <c r="G325" s="121"/>
      <c r="H325" s="121"/>
      <c r="I325" s="121"/>
      <c r="J325" s="121"/>
      <c r="K325" s="27" t="str">
        <f t="shared" si="91"/>
        <v/>
      </c>
      <c r="L325" s="27">
        <v>1</v>
      </c>
      <c r="M325" s="27" t="str">
        <f t="shared" si="92"/>
        <v>0</v>
      </c>
      <c r="N325" s="121"/>
      <c r="O325" s="121"/>
      <c r="P325" s="27" t="str">
        <f t="shared" si="95"/>
        <v>0</v>
      </c>
      <c r="Q325" s="27" t="str">
        <f t="shared" si="96"/>
        <v>0</v>
      </c>
      <c r="R325" s="27" t="str">
        <f t="shared" si="97"/>
        <v>0</v>
      </c>
      <c r="S325" s="27" t="str">
        <f t="shared" si="98"/>
        <v>0</v>
      </c>
      <c r="T325" s="27" t="str">
        <f t="shared" si="99"/>
        <v>0</v>
      </c>
      <c r="U325" s="27" t="str">
        <f t="shared" si="100"/>
        <v>0</v>
      </c>
      <c r="V325" s="27" t="str">
        <f t="shared" si="101"/>
        <v>1</v>
      </c>
      <c r="W325" s="27"/>
      <c r="X325" s="27" t="str">
        <f t="shared" si="102"/>
        <v/>
      </c>
      <c r="Y325" s="27" t="str">
        <f t="shared" si="103"/>
        <v/>
      </c>
      <c r="Z325" s="27" t="str">
        <f t="shared" si="104"/>
        <v/>
      </c>
      <c r="AA325" s="121"/>
      <c r="AB325" s="121"/>
      <c r="AC325" s="121"/>
      <c r="AD325" s="121"/>
      <c r="AE325" s="121" t="s">
        <v>51</v>
      </c>
      <c r="AF325" s="121"/>
      <c r="AG325" s="121"/>
      <c r="AH325" s="28" t="s">
        <v>240</v>
      </c>
      <c r="AI325" s="28" t="s">
        <v>113</v>
      </c>
      <c r="AJ325" s="28">
        <v>65450</v>
      </c>
      <c r="AK325" s="121" t="str">
        <f>IF(B329="","","0")</f>
        <v>0</v>
      </c>
      <c r="AL325" s="123" t="str">
        <f t="shared" si="105"/>
        <v/>
      </c>
      <c r="AM325" s="27"/>
      <c r="AN325" s="124"/>
      <c r="AO325" s="124"/>
      <c r="AP325" s="124"/>
      <c r="AQ325" s="124"/>
      <c r="AR325" s="124"/>
      <c r="AS325" s="124"/>
      <c r="AT325" s="124" t="s">
        <v>1941</v>
      </c>
      <c r="AU325" s="124" t="str">
        <f t="shared" si="94"/>
        <v/>
      </c>
      <c r="AV325" s="124" t="s">
        <v>2680</v>
      </c>
      <c r="AW325" s="117"/>
      <c r="AX325" s="138" t="str">
        <f t="shared" ref="AX325:AX388" si="107">IF(C325="","","delete from module_mst where pjt_id = '"&amp;C325&amp;"' and menu_id = '"&amp;E325&amp;"';")</f>
        <v/>
      </c>
      <c r="AY325" s="31" t="str">
        <f>IF(C325&lt;&gt;"",CREATE_QUERY($D$1,C$2:AW$2,C325:AW325),"")</f>
        <v/>
      </c>
    </row>
    <row r="326" spans="1:51">
      <c r="A326" s="1">
        <v>132</v>
      </c>
      <c r="B326" s="121" t="str">
        <f t="shared" ref="B326:B389" si="108">IF(F326="","",IF(AI326="1","",IF(AI326="2","└ ",IF(AI326="3","  └ ",IF(AI326="4","    └ ",IF(AI326="5","        └ ",IF(AI326="6","         └ ",IF(AI326="7"="            └ ",""))))))))&amp;AM326&amp;F326</f>
        <v/>
      </c>
      <c r="C326" s="27" t="str">
        <f t="shared" si="65"/>
        <v/>
      </c>
      <c r="D326" s="121"/>
      <c r="E326" s="27"/>
      <c r="F326" s="121"/>
      <c r="G326" s="121"/>
      <c r="H326" s="121"/>
      <c r="I326" s="121"/>
      <c r="J326" s="121"/>
      <c r="K326" s="27" t="str">
        <f t="shared" si="91"/>
        <v/>
      </c>
      <c r="L326" s="27">
        <v>1</v>
      </c>
      <c r="M326" s="27" t="str">
        <f t="shared" si="92"/>
        <v>0</v>
      </c>
      <c r="N326" s="121"/>
      <c r="O326" s="121"/>
      <c r="P326" s="27" t="str">
        <f t="shared" si="95"/>
        <v>0</v>
      </c>
      <c r="Q326" s="27" t="str">
        <f t="shared" si="96"/>
        <v>0</v>
      </c>
      <c r="R326" s="27" t="str">
        <f t="shared" si="97"/>
        <v>0</v>
      </c>
      <c r="S326" s="27" t="str">
        <f t="shared" si="98"/>
        <v>0</v>
      </c>
      <c r="T326" s="27" t="str">
        <f t="shared" si="99"/>
        <v>0</v>
      </c>
      <c r="U326" s="27" t="str">
        <f t="shared" si="100"/>
        <v>0</v>
      </c>
      <c r="V326" s="27" t="str">
        <f t="shared" si="101"/>
        <v>1</v>
      </c>
      <c r="W326" s="27"/>
      <c r="X326" s="27" t="str">
        <f t="shared" si="102"/>
        <v/>
      </c>
      <c r="Y326" s="27" t="str">
        <f t="shared" si="103"/>
        <v/>
      </c>
      <c r="Z326" s="27" t="str">
        <f t="shared" si="104"/>
        <v/>
      </c>
      <c r="AA326" s="121"/>
      <c r="AB326" s="121"/>
      <c r="AC326" s="121"/>
      <c r="AD326" s="121"/>
      <c r="AE326" s="121"/>
      <c r="AF326" s="121"/>
      <c r="AG326" s="121"/>
      <c r="AH326" s="27"/>
      <c r="AI326" s="27"/>
      <c r="AJ326" s="27" t="s">
        <v>900</v>
      </c>
      <c r="AK326" s="121" t="str">
        <f t="shared" si="93"/>
        <v>0</v>
      </c>
      <c r="AL326" s="123" t="str">
        <f t="shared" si="105"/>
        <v/>
      </c>
      <c r="AM326" s="27"/>
      <c r="AN326" s="124"/>
      <c r="AO326" s="124"/>
      <c r="AP326" s="124"/>
      <c r="AQ326" s="124"/>
      <c r="AR326" s="124"/>
      <c r="AS326" s="124"/>
      <c r="AT326" s="124"/>
      <c r="AU326" s="124" t="str">
        <f t="shared" si="94"/>
        <v/>
      </c>
      <c r="AV326" s="124"/>
      <c r="AW326" s="117"/>
      <c r="AX326" s="138" t="str">
        <f t="shared" si="107"/>
        <v/>
      </c>
      <c r="AY326" s="31" t="str">
        <f>IF(C326&lt;&gt;"",CREATE_QUERY($D$1,C$2:AW$2,C326:AW326),"")</f>
        <v/>
      </c>
    </row>
    <row r="327" spans="1:51">
      <c r="A327" s="1">
        <v>133</v>
      </c>
      <c r="B327" s="121" t="str">
        <f t="shared" si="108"/>
        <v xml:space="preserve">    └ 생산계획</v>
      </c>
      <c r="C327" s="27" t="str">
        <f t="shared" si="65"/>
        <v>14821</v>
      </c>
      <c r="D327" s="121"/>
      <c r="E327" s="21" t="s">
        <v>241</v>
      </c>
      <c r="F327" s="118" t="s">
        <v>207</v>
      </c>
      <c r="G327" s="118"/>
      <c r="H327" s="118"/>
      <c r="I327" s="118"/>
      <c r="J327" s="118"/>
      <c r="K327" s="21" t="str">
        <f t="shared" si="91"/>
        <v/>
      </c>
      <c r="L327" s="21">
        <v>1</v>
      </c>
      <c r="M327" s="21" t="str">
        <f t="shared" si="92"/>
        <v>0</v>
      </c>
      <c r="N327" s="118"/>
      <c r="O327" s="118"/>
      <c r="P327" s="21" t="str">
        <f t="shared" si="95"/>
        <v>0</v>
      </c>
      <c r="Q327" s="21" t="str">
        <f t="shared" si="96"/>
        <v>0</v>
      </c>
      <c r="R327" s="21" t="str">
        <f t="shared" si="97"/>
        <v>0</v>
      </c>
      <c r="S327" s="21" t="str">
        <f t="shared" si="98"/>
        <v>0</v>
      </c>
      <c r="T327" s="21" t="str">
        <f t="shared" si="99"/>
        <v>0</v>
      </c>
      <c r="U327" s="21" t="str">
        <f t="shared" si="100"/>
        <v>0</v>
      </c>
      <c r="V327" s="21" t="str">
        <f t="shared" si="101"/>
        <v>1</v>
      </c>
      <c r="W327" s="21"/>
      <c r="X327" s="21" t="str">
        <f t="shared" si="102"/>
        <v/>
      </c>
      <c r="Y327" s="21" t="str">
        <f t="shared" si="103"/>
        <v/>
      </c>
      <c r="Z327" s="21" t="str">
        <f t="shared" si="104"/>
        <v/>
      </c>
      <c r="AA327" s="118"/>
      <c r="AB327" s="118"/>
      <c r="AC327" s="118"/>
      <c r="AD327" s="118"/>
      <c r="AE327" s="118" t="s">
        <v>51</v>
      </c>
      <c r="AF327" s="118"/>
      <c r="AG327" s="118"/>
      <c r="AH327" s="26" t="s">
        <v>197</v>
      </c>
      <c r="AI327" s="26" t="s">
        <v>112</v>
      </c>
      <c r="AJ327" s="26">
        <v>68000</v>
      </c>
      <c r="AK327" s="121" t="str">
        <f t="shared" si="93"/>
        <v>0</v>
      </c>
      <c r="AL327" s="123" t="str">
        <f t="shared" si="105"/>
        <v>14821/생산계획//</v>
      </c>
      <c r="AM327" s="21"/>
      <c r="AN327" s="124"/>
      <c r="AO327" s="124" t="s">
        <v>1829</v>
      </c>
      <c r="AP327" s="124" t="s">
        <v>1829</v>
      </c>
      <c r="AQ327" s="124" t="s">
        <v>1829</v>
      </c>
      <c r="AR327" s="124"/>
      <c r="AS327" s="124"/>
      <c r="AT327" s="124" t="s">
        <v>1941</v>
      </c>
      <c r="AU327" s="124" t="str">
        <f t="shared" si="94"/>
        <v/>
      </c>
      <c r="AV327" s="124"/>
      <c r="AW327" s="117"/>
      <c r="AX327" s="138" t="str">
        <f t="shared" si="107"/>
        <v>delete from module_mst where pjt_id = '14821' and menu_id = '285000';</v>
      </c>
      <c r="AY327" s="31" t="str">
        <f>IF(C327&lt;&gt;"",CREATE_QUERY($D$1,C$2:AW$2,C327:AW327),"")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'285000', '생산계획', '', '', '', '', '', '1', '0', '', '', '0', '0', '0', '0', '0', '0', '1', '', '', '', '', '', '', '', '', 'N', '', '', '280000', '4', '68000', '0', '14821/생산계획//', '', '', 'Y', 'Y', 'Y', '', '', 'P', '', '');</v>
      </c>
    </row>
    <row r="328" spans="1:51">
      <c r="A328" s="1">
        <v>136</v>
      </c>
      <c r="B328" s="121" t="str">
        <f t="shared" si="108"/>
        <v xml:space="preserve">        └ 생산계획 관리</v>
      </c>
      <c r="C328" s="27" t="str">
        <f t="shared" si="65"/>
        <v>14821</v>
      </c>
      <c r="D328" s="121"/>
      <c r="E328" s="27">
        <v>285006</v>
      </c>
      <c r="F328" s="121" t="s">
        <v>208</v>
      </c>
      <c r="G328" s="121"/>
      <c r="H328" s="121"/>
      <c r="I328" s="121"/>
      <c r="J328" s="121"/>
      <c r="K328" s="27" t="str">
        <f t="shared" si="91"/>
        <v>1</v>
      </c>
      <c r="L328" s="27">
        <v>1</v>
      </c>
      <c r="M328" s="27" t="str">
        <f t="shared" si="92"/>
        <v>1</v>
      </c>
      <c r="N328" s="121" t="s">
        <v>327</v>
      </c>
      <c r="O328" s="121" t="s">
        <v>1899</v>
      </c>
      <c r="P328" s="27" t="str">
        <f t="shared" si="95"/>
        <v>1</v>
      </c>
      <c r="Q328" s="27" t="str">
        <f t="shared" si="96"/>
        <v>1</v>
      </c>
      <c r="R328" s="27" t="str">
        <f t="shared" si="97"/>
        <v>1</v>
      </c>
      <c r="S328" s="27" t="str">
        <f t="shared" si="98"/>
        <v>1</v>
      </c>
      <c r="T328" s="27" t="str">
        <f t="shared" si="99"/>
        <v>1</v>
      </c>
      <c r="U328" s="27" t="str">
        <f t="shared" si="100"/>
        <v>1</v>
      </c>
      <c r="V328" s="27" t="str">
        <f t="shared" si="101"/>
        <v>1</v>
      </c>
      <c r="W328" s="27"/>
      <c r="X328" s="27" t="str">
        <f t="shared" si="102"/>
        <v>0</v>
      </c>
      <c r="Y328" s="27" t="str">
        <f t="shared" si="103"/>
        <v>0</v>
      </c>
      <c r="Z328" s="27" t="str">
        <f t="shared" si="104"/>
        <v>0</v>
      </c>
      <c r="AA328" s="121"/>
      <c r="AB328" s="121"/>
      <c r="AC328" s="121"/>
      <c r="AD328" s="121"/>
      <c r="AE328" s="121" t="s">
        <v>51</v>
      </c>
      <c r="AF328" s="121"/>
      <c r="AG328" s="121"/>
      <c r="AH328" s="28" t="s">
        <v>241</v>
      </c>
      <c r="AI328" s="28" t="s">
        <v>113</v>
      </c>
      <c r="AJ328" s="28">
        <v>68050</v>
      </c>
      <c r="AK328" s="121" t="str">
        <f t="shared" si="93"/>
        <v>0</v>
      </c>
      <c r="AL328" s="123" t="str">
        <f t="shared" si="105"/>
        <v>14821/생산계획 관리/prod.plan/ProdPlanV2</v>
      </c>
      <c r="AM328" s="27"/>
      <c r="AN328" s="124"/>
      <c r="AO328" s="124"/>
      <c r="AP328" s="124"/>
      <c r="AQ328" s="124"/>
      <c r="AR328" s="124" t="s">
        <v>1829</v>
      </c>
      <c r="AS328" s="124"/>
      <c r="AT328" s="124" t="s">
        <v>1941</v>
      </c>
      <c r="AU328" s="124" t="str">
        <f t="shared" si="94"/>
        <v>P285006</v>
      </c>
      <c r="AV328" s="124" t="s">
        <v>2681</v>
      </c>
      <c r="AW328" s="117" t="s">
        <v>1884</v>
      </c>
      <c r="AX328" s="138" t="str">
        <f t="shared" si="107"/>
        <v>delete from module_mst where pjt_id = '14821' and menu_id = '285006';</v>
      </c>
      <c r="AY328" s="31" t="str">
        <f>IF(C328&lt;&gt;"",CREATE_QUERY($D$1,C$2:AW$2,C328:AW328),"")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'285006', '생산계획 관리', '', '', '', '', '1', '1', '1', 'prod.plan', 'ProdPlanV2', '1', '1', '1', '1', '1', '1', '1', '', '0', '0', '0', '', '', '', '', 'N', '', '', '285000', '5', '68050', '0', '14821/생산계획 관리/prod.plan/ProdPlanV2', '', '', '', '', '', 'Y', '', 'P', 'MES-TD3-461', '일반 생산계획 관리');</v>
      </c>
    </row>
    <row r="329" spans="1:51">
      <c r="A329" s="1">
        <v>135</v>
      </c>
      <c r="B329" s="121" t="str">
        <f t="shared" si="108"/>
        <v xml:space="preserve">        └ 예비생산오더관리</v>
      </c>
      <c r="C329" s="27" t="str">
        <f t="shared" si="65"/>
        <v>14821</v>
      </c>
      <c r="D329" s="121"/>
      <c r="E329" s="27">
        <v>285002</v>
      </c>
      <c r="F329" s="121" t="s">
        <v>209</v>
      </c>
      <c r="G329" s="121"/>
      <c r="H329" s="121"/>
      <c r="I329" s="121"/>
      <c r="J329" s="121"/>
      <c r="K329" s="27" t="str">
        <f t="shared" si="91"/>
        <v>1</v>
      </c>
      <c r="L329" s="27">
        <v>1</v>
      </c>
      <c r="M329" s="27" t="str">
        <f t="shared" si="92"/>
        <v>1</v>
      </c>
      <c r="N329" s="121" t="s">
        <v>327</v>
      </c>
      <c r="O329" s="121" t="s">
        <v>213</v>
      </c>
      <c r="P329" s="27" t="str">
        <f t="shared" si="95"/>
        <v>1</v>
      </c>
      <c r="Q329" s="27" t="str">
        <f t="shared" si="96"/>
        <v>1</v>
      </c>
      <c r="R329" s="27" t="str">
        <f t="shared" si="97"/>
        <v>1</v>
      </c>
      <c r="S329" s="27" t="str">
        <f t="shared" si="98"/>
        <v>1</v>
      </c>
      <c r="T329" s="27" t="str">
        <f t="shared" si="99"/>
        <v>1</v>
      </c>
      <c r="U329" s="27" t="str">
        <f t="shared" si="100"/>
        <v>1</v>
      </c>
      <c r="V329" s="27" t="str">
        <f t="shared" si="101"/>
        <v>1</v>
      </c>
      <c r="W329" s="27"/>
      <c r="X329" s="27" t="str">
        <f t="shared" si="102"/>
        <v>0</v>
      </c>
      <c r="Y329" s="27" t="str">
        <f t="shared" si="103"/>
        <v>0</v>
      </c>
      <c r="Z329" s="27" t="str">
        <f t="shared" si="104"/>
        <v>0</v>
      </c>
      <c r="AA329" s="121"/>
      <c r="AB329" s="121"/>
      <c r="AC329" s="121"/>
      <c r="AD329" s="121"/>
      <c r="AE329" s="121" t="s">
        <v>51</v>
      </c>
      <c r="AF329" s="121"/>
      <c r="AG329" s="121"/>
      <c r="AH329" s="28" t="s">
        <v>241</v>
      </c>
      <c r="AI329" s="28" t="s">
        <v>113</v>
      </c>
      <c r="AJ329" s="28">
        <v>68052</v>
      </c>
      <c r="AK329" s="121" t="str">
        <f t="shared" si="93"/>
        <v>0</v>
      </c>
      <c r="AL329" s="123" t="str">
        <f t="shared" si="105"/>
        <v>14821/예비생산오더관리/prod.plan/RsvdOrder</v>
      </c>
      <c r="AM329" s="27"/>
      <c r="AN329" s="124"/>
      <c r="AO329" s="124" t="s">
        <v>1829</v>
      </c>
      <c r="AP329" s="124"/>
      <c r="AQ329" s="124"/>
      <c r="AR329" s="124" t="s">
        <v>1829</v>
      </c>
      <c r="AS329" s="124" t="s">
        <v>1829</v>
      </c>
      <c r="AT329" s="124" t="s">
        <v>1941</v>
      </c>
      <c r="AU329" s="124" t="str">
        <f t="shared" si="94"/>
        <v>P285002</v>
      </c>
      <c r="AV329" s="124" t="s">
        <v>2682</v>
      </c>
      <c r="AW329" s="117" t="s">
        <v>2114</v>
      </c>
      <c r="AX329" s="138" t="str">
        <f t="shared" si="107"/>
        <v>delete from module_mst where pjt_id = '14821' and menu_id = '285002';</v>
      </c>
      <c r="AY329" s="31" t="str">
        <f>IF(C329&lt;&gt;"",CREATE_QUERY($D$1,C$2:AW$2,C329:AW329),"")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'285002', '예비생산오더관리', '', '', '', '', '1', '1', '1', 'prod.plan', 'RsvdOrder', '1', '1', '1', '1', '1', '1', '1', '', '0', '0', '0', '', '', '', '', 'N', '', '', '285000', '5', '68052', '0', '14821/예비생산오더관리/prod.plan/RsvdOrder', '', '', 'Y', '', '', 'Y', 'Y', 'P', 'MES-TD3-462', '재고 확보를 위하여 생산 지시할 자체 영업 오더를 생성');</v>
      </c>
    </row>
    <row r="330" spans="1:51">
      <c r="A330" s="1">
        <v>136</v>
      </c>
      <c r="B330" s="121" t="str">
        <f t="shared" si="108"/>
        <v xml:space="preserve">        └ 계획대비실적</v>
      </c>
      <c r="C330" s="27" t="str">
        <f t="shared" ref="C330:C460" si="109">IF(F330="","","14821")</f>
        <v>14821</v>
      </c>
      <c r="D330" s="121"/>
      <c r="E330" s="27">
        <v>285003</v>
      </c>
      <c r="F330" s="121" t="s">
        <v>210</v>
      </c>
      <c r="G330" s="121"/>
      <c r="H330" s="121"/>
      <c r="I330" s="121"/>
      <c r="J330" s="121"/>
      <c r="K330" s="27" t="str">
        <f t="shared" si="91"/>
        <v>1</v>
      </c>
      <c r="L330" s="27">
        <v>1</v>
      </c>
      <c r="M330" s="27" t="str">
        <f t="shared" si="92"/>
        <v>1</v>
      </c>
      <c r="N330" s="121" t="s">
        <v>327</v>
      </c>
      <c r="O330" s="121" t="s">
        <v>214</v>
      </c>
      <c r="P330" s="27" t="str">
        <f t="shared" si="95"/>
        <v>1</v>
      </c>
      <c r="Q330" s="27" t="str">
        <f t="shared" si="96"/>
        <v>1</v>
      </c>
      <c r="R330" s="27" t="str">
        <f t="shared" si="97"/>
        <v>1</v>
      </c>
      <c r="S330" s="27" t="str">
        <f t="shared" si="98"/>
        <v>1</v>
      </c>
      <c r="T330" s="27" t="str">
        <f t="shared" si="99"/>
        <v>1</v>
      </c>
      <c r="U330" s="27" t="str">
        <f t="shared" si="100"/>
        <v>1</v>
      </c>
      <c r="V330" s="27" t="str">
        <f t="shared" si="101"/>
        <v>1</v>
      </c>
      <c r="W330" s="27"/>
      <c r="X330" s="27" t="str">
        <f t="shared" si="102"/>
        <v>0</v>
      </c>
      <c r="Y330" s="27" t="str">
        <f t="shared" si="103"/>
        <v>0</v>
      </c>
      <c r="Z330" s="27" t="str">
        <f t="shared" si="104"/>
        <v>0</v>
      </c>
      <c r="AA330" s="121"/>
      <c r="AB330" s="121"/>
      <c r="AC330" s="121"/>
      <c r="AD330" s="121"/>
      <c r="AE330" s="121" t="s">
        <v>51</v>
      </c>
      <c r="AF330" s="121"/>
      <c r="AG330" s="121"/>
      <c r="AH330" s="28" t="s">
        <v>241</v>
      </c>
      <c r="AI330" s="28" t="s">
        <v>113</v>
      </c>
      <c r="AJ330" s="28">
        <v>68054</v>
      </c>
      <c r="AK330" s="121" t="str">
        <f t="shared" si="93"/>
        <v>0</v>
      </c>
      <c r="AL330" s="123" t="str">
        <f t="shared" si="105"/>
        <v>14821/계획대비실적/prod.plan/PlanAnalList</v>
      </c>
      <c r="AM330" s="27"/>
      <c r="AN330" s="124"/>
      <c r="AO330" s="124" t="s">
        <v>1829</v>
      </c>
      <c r="AP330" s="124"/>
      <c r="AQ330" s="124"/>
      <c r="AR330" s="124" t="s">
        <v>1829</v>
      </c>
      <c r="AS330" s="124"/>
      <c r="AT330" s="124" t="s">
        <v>1941</v>
      </c>
      <c r="AU330" s="124" t="str">
        <f t="shared" si="94"/>
        <v>P285003</v>
      </c>
      <c r="AV330" s="124" t="s">
        <v>2683</v>
      </c>
      <c r="AW330" s="117" t="s">
        <v>2116</v>
      </c>
      <c r="AX330" s="138" t="str">
        <f t="shared" si="107"/>
        <v>delete from module_mst where pjt_id = '14821' and menu_id = '285003';</v>
      </c>
      <c r="AY330" s="31" t="str">
        <f>IF(C330&lt;&gt;"",CREATE_QUERY($D$1,C$2:AW$2,C330:AW330),"")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'285003', '계획대비실적', '', '', '', '', '1', '1', '1', 'prod.plan', 'PlanAnalList', '1', '1', '1', '1', '1', '1', '1', '', '0', '0', '0', '', '', '', '', 'N', '', '', '285000', '5', '68054', '0', '14821/계획대비실적/prod.plan/PlanAnalList', '', '', 'Y', '', '', 'Y', '', 'P', 'MES-TD3-463', '생산 계획 대비 실적을 비교 분석');</v>
      </c>
    </row>
    <row r="331" spans="1:51">
      <c r="A331" s="1">
        <v>134</v>
      </c>
      <c r="B331" s="121" t="str">
        <f t="shared" si="108"/>
        <v xml:space="preserve">        └ (두인)생산계획 관리</v>
      </c>
      <c r="C331" s="27" t="str">
        <f>IF(F331="","","14821")</f>
        <v>14821</v>
      </c>
      <c r="D331" s="121"/>
      <c r="E331" s="27">
        <v>285001</v>
      </c>
      <c r="F331" s="121" t="s">
        <v>208</v>
      </c>
      <c r="G331" s="121"/>
      <c r="H331" s="121"/>
      <c r="I331" s="121"/>
      <c r="J331" s="121"/>
      <c r="K331" s="27" t="str">
        <f t="shared" si="91"/>
        <v>1</v>
      </c>
      <c r="L331" s="27">
        <v>1</v>
      </c>
      <c r="M331" s="27" t="str">
        <f t="shared" si="92"/>
        <v>1</v>
      </c>
      <c r="N331" s="121" t="s">
        <v>327</v>
      </c>
      <c r="O331" s="121" t="s">
        <v>212</v>
      </c>
      <c r="P331" s="27" t="str">
        <f t="shared" si="95"/>
        <v>1</v>
      </c>
      <c r="Q331" s="27" t="str">
        <f t="shared" si="96"/>
        <v>1</v>
      </c>
      <c r="R331" s="27" t="str">
        <f t="shared" si="97"/>
        <v>1</v>
      </c>
      <c r="S331" s="27" t="str">
        <f t="shared" si="98"/>
        <v>1</v>
      </c>
      <c r="T331" s="27" t="str">
        <f t="shared" si="99"/>
        <v>1</v>
      </c>
      <c r="U331" s="27" t="str">
        <f t="shared" si="100"/>
        <v>1</v>
      </c>
      <c r="V331" s="27" t="str">
        <f t="shared" si="101"/>
        <v>1</v>
      </c>
      <c r="W331" s="27"/>
      <c r="X331" s="27" t="str">
        <f t="shared" si="102"/>
        <v>0</v>
      </c>
      <c r="Y331" s="27" t="str">
        <f t="shared" si="103"/>
        <v>0</v>
      </c>
      <c r="Z331" s="27" t="str">
        <f t="shared" si="104"/>
        <v>0</v>
      </c>
      <c r="AA331" s="121"/>
      <c r="AB331" s="121"/>
      <c r="AC331" s="121"/>
      <c r="AD331" s="121"/>
      <c r="AE331" s="121" t="s">
        <v>51</v>
      </c>
      <c r="AF331" s="121"/>
      <c r="AG331" s="121"/>
      <c r="AH331" s="28" t="s">
        <v>241</v>
      </c>
      <c r="AI331" s="28" t="s">
        <v>113</v>
      </c>
      <c r="AJ331" s="28">
        <v>68056</v>
      </c>
      <c r="AK331" s="121" t="str">
        <f t="shared" si="93"/>
        <v>0</v>
      </c>
      <c r="AL331" s="123" t="str">
        <f>IF(C331="","",C331&amp;"/"&amp;F331&amp;"/"&amp;N331&amp;"/"&amp;O331)</f>
        <v>14821/생산계획 관리/prod.plan/ProdPlan</v>
      </c>
      <c r="AM331" s="27" t="s">
        <v>1886</v>
      </c>
      <c r="AN331" s="124"/>
      <c r="AO331" s="124"/>
      <c r="AP331" s="124" t="s">
        <v>1829</v>
      </c>
      <c r="AQ331" s="124"/>
      <c r="AR331" s="124"/>
      <c r="AS331" s="124"/>
      <c r="AT331" s="124" t="s">
        <v>1941</v>
      </c>
      <c r="AU331" s="124" t="str">
        <f t="shared" si="94"/>
        <v>P285001</v>
      </c>
      <c r="AV331" s="124" t="s">
        <v>2684</v>
      </c>
      <c r="AW331" s="117" t="s">
        <v>1885</v>
      </c>
      <c r="AX331" s="138" t="str">
        <f t="shared" si="107"/>
        <v>delete from module_mst where pjt_id = '14821' and menu_id = '285001';</v>
      </c>
      <c r="AY331" s="31" t="str">
        <f>IF(C331&lt;&gt;"",CREATE_QUERY($D$1,C$2:AW$2,C331:AW331),"")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'285001', '생산계획 관리', '', '', '', '', '1', '1', '1', 'prod.plan', 'ProdPlan', '1', '1', '1', '1', '1', '1', '1', '', '0', '0', '0', '', '', '', '', 'N', '', '', '285000', '5', '68056', '0', '14821/생산계획 관리/prod.plan/ProdPlan', '(두인)', '', '', 'Y', '', '', '', 'P', 'MES-TD3-464', 'for 두인 , 사출업체 생산계획 등록');</v>
      </c>
    </row>
    <row r="332" spans="1:51">
      <c r="A332" s="1">
        <v>136</v>
      </c>
      <c r="B332" s="121" t="str">
        <f t="shared" si="108"/>
        <v xml:space="preserve">        └ (프로젝트)대일정계획</v>
      </c>
      <c r="C332" s="27" t="str">
        <f t="shared" si="109"/>
        <v>14821</v>
      </c>
      <c r="D332" s="121"/>
      <c r="E332" s="27">
        <v>285004</v>
      </c>
      <c r="F332" s="121" t="s">
        <v>378</v>
      </c>
      <c r="G332" s="121"/>
      <c r="H332" s="121"/>
      <c r="I332" s="121"/>
      <c r="J332" s="121"/>
      <c r="K332" s="27" t="str">
        <f t="shared" si="91"/>
        <v>1</v>
      </c>
      <c r="L332" s="27">
        <v>1</v>
      </c>
      <c r="M332" s="27" t="str">
        <f t="shared" si="92"/>
        <v>1</v>
      </c>
      <c r="N332" s="121" t="s">
        <v>346</v>
      </c>
      <c r="O332" s="121" t="s">
        <v>380</v>
      </c>
      <c r="P332" s="27" t="str">
        <f t="shared" si="95"/>
        <v>1</v>
      </c>
      <c r="Q332" s="27" t="str">
        <f t="shared" si="96"/>
        <v>1</v>
      </c>
      <c r="R332" s="27" t="str">
        <f t="shared" si="97"/>
        <v>1</v>
      </c>
      <c r="S332" s="27" t="str">
        <f t="shared" si="98"/>
        <v>1</v>
      </c>
      <c r="T332" s="27" t="str">
        <f t="shared" si="99"/>
        <v>1</v>
      </c>
      <c r="U332" s="27" t="str">
        <f t="shared" si="100"/>
        <v>1</v>
      </c>
      <c r="V332" s="27" t="str">
        <f t="shared" si="101"/>
        <v>1</v>
      </c>
      <c r="W332" s="27"/>
      <c r="X332" s="27" t="str">
        <f t="shared" si="102"/>
        <v>0</v>
      </c>
      <c r="Y332" s="27" t="str">
        <f t="shared" si="103"/>
        <v>0</v>
      </c>
      <c r="Z332" s="27" t="str">
        <f t="shared" si="104"/>
        <v>0</v>
      </c>
      <c r="AA332" s="121"/>
      <c r="AB332" s="121"/>
      <c r="AC332" s="121"/>
      <c r="AD332" s="121"/>
      <c r="AE332" s="121" t="s">
        <v>51</v>
      </c>
      <c r="AF332" s="121"/>
      <c r="AG332" s="121"/>
      <c r="AH332" s="28" t="s">
        <v>241</v>
      </c>
      <c r="AI332" s="28" t="s">
        <v>113</v>
      </c>
      <c r="AJ332" s="28">
        <v>68058</v>
      </c>
      <c r="AK332" s="121" t="str">
        <f t="shared" si="93"/>
        <v>0</v>
      </c>
      <c r="AL332" s="123" t="str">
        <f t="shared" si="105"/>
        <v>14821/대일정계획/prod.project/PrjtProdPlan1</v>
      </c>
      <c r="AM332" s="27" t="s">
        <v>1887</v>
      </c>
      <c r="AN332" s="124"/>
      <c r="AO332" s="124"/>
      <c r="AP332" s="124"/>
      <c r="AQ332" s="124" t="s">
        <v>1829</v>
      </c>
      <c r="AR332" s="124"/>
      <c r="AS332" s="124"/>
      <c r="AT332" s="124" t="s">
        <v>1941</v>
      </c>
      <c r="AU332" s="124" t="str">
        <f t="shared" si="94"/>
        <v>P285004</v>
      </c>
      <c r="AV332" s="124" t="s">
        <v>2685</v>
      </c>
      <c r="AW332" s="117" t="s">
        <v>2117</v>
      </c>
      <c r="AX332" s="138" t="str">
        <f t="shared" si="107"/>
        <v>delete from module_mst where pjt_id = '14821' and menu_id = '285004';</v>
      </c>
      <c r="AY332" s="31" t="str">
        <f>IF(C332&lt;&gt;"",CREATE_QUERY($D$1,C$2:AW$2,C332:AW332),"")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'285004', '대일정계획', '', '', '', '', '1', '1', '1', 'prod.project', 'PrjtProdPlan1', '1', '1', '1', '1', '1', '1', '1', '', '0', '0', '0', '', '', '', '', 'N', '', '', '285000', '5', '68058', '0', '14821/대일정계획/prod.project/PrjtProdPlan1', '(프로젝트)', '', '', '', 'Y', '', '', 'P', 'MES-TD3-465', '프로젝트 수주의 개략 일정 계획을 등록 관리');</v>
      </c>
    </row>
    <row r="333" spans="1:51">
      <c r="A333" s="1">
        <v>136</v>
      </c>
      <c r="B333" s="121" t="str">
        <f t="shared" si="108"/>
        <v xml:space="preserve">        └ (프로젝트)세부일정계획</v>
      </c>
      <c r="C333" s="27" t="str">
        <f t="shared" si="109"/>
        <v>14821</v>
      </c>
      <c r="D333" s="121"/>
      <c r="E333" s="27">
        <v>285005</v>
      </c>
      <c r="F333" s="121" t="s">
        <v>379</v>
      </c>
      <c r="G333" s="121"/>
      <c r="H333" s="121"/>
      <c r="I333" s="121"/>
      <c r="J333" s="121"/>
      <c r="K333" s="27" t="str">
        <f t="shared" si="91"/>
        <v>1</v>
      </c>
      <c r="L333" s="27">
        <v>1</v>
      </c>
      <c r="M333" s="27" t="str">
        <f t="shared" si="92"/>
        <v>1</v>
      </c>
      <c r="N333" s="121" t="s">
        <v>346</v>
      </c>
      <c r="O333" s="121" t="s">
        <v>381</v>
      </c>
      <c r="P333" s="27" t="str">
        <f t="shared" si="95"/>
        <v>1</v>
      </c>
      <c r="Q333" s="27" t="str">
        <f t="shared" si="96"/>
        <v>1</v>
      </c>
      <c r="R333" s="27" t="str">
        <f t="shared" si="97"/>
        <v>1</v>
      </c>
      <c r="S333" s="27" t="str">
        <f t="shared" si="98"/>
        <v>1</v>
      </c>
      <c r="T333" s="27" t="str">
        <f t="shared" si="99"/>
        <v>1</v>
      </c>
      <c r="U333" s="27" t="str">
        <f t="shared" si="100"/>
        <v>1</v>
      </c>
      <c r="V333" s="27" t="str">
        <f t="shared" si="101"/>
        <v>1</v>
      </c>
      <c r="W333" s="27"/>
      <c r="X333" s="27" t="str">
        <f t="shared" si="102"/>
        <v>0</v>
      </c>
      <c r="Y333" s="27" t="str">
        <f t="shared" si="103"/>
        <v>0</v>
      </c>
      <c r="Z333" s="27" t="str">
        <f t="shared" si="104"/>
        <v>0</v>
      </c>
      <c r="AA333" s="121"/>
      <c r="AB333" s="121"/>
      <c r="AC333" s="121"/>
      <c r="AD333" s="121"/>
      <c r="AE333" s="121" t="s">
        <v>51</v>
      </c>
      <c r="AF333" s="121"/>
      <c r="AG333" s="121"/>
      <c r="AH333" s="28" t="s">
        <v>241</v>
      </c>
      <c r="AI333" s="28" t="s">
        <v>113</v>
      </c>
      <c r="AJ333" s="28">
        <v>68060</v>
      </c>
      <c r="AK333" s="121" t="str">
        <f t="shared" si="93"/>
        <v>0</v>
      </c>
      <c r="AL333" s="123" t="str">
        <f t="shared" si="105"/>
        <v>14821/세부일정계획/prod.project/PrjtProdPlan2</v>
      </c>
      <c r="AM333" s="27" t="s">
        <v>1887</v>
      </c>
      <c r="AN333" s="124"/>
      <c r="AO333" s="124"/>
      <c r="AP333" s="124"/>
      <c r="AQ333" s="124" t="s">
        <v>1829</v>
      </c>
      <c r="AR333" s="124"/>
      <c r="AS333" s="124"/>
      <c r="AT333" s="124" t="s">
        <v>1941</v>
      </c>
      <c r="AU333" s="124" t="str">
        <f t="shared" si="94"/>
        <v>P285005</v>
      </c>
      <c r="AV333" s="124" t="s">
        <v>2686</v>
      </c>
      <c r="AW333" s="117" t="s">
        <v>2118</v>
      </c>
      <c r="AX333" s="138" t="str">
        <f t="shared" si="107"/>
        <v>delete from module_mst where pjt_id = '14821' and menu_id = '285005';</v>
      </c>
      <c r="AY333" s="31" t="str">
        <f>IF(C333&lt;&gt;"",CREATE_QUERY($D$1,C$2:AW$2,C333:AW333),"")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'285005', '세부일정계획', '', '', '', '', '1', '1', '1', 'prod.project', 'PrjtProdPlan2', '1', '1', '1', '1', '1', '1', '1', '', '0', '0', '0', '', '', '', '', 'N', '', '', '285000', '5', '68060', '0', '14821/세부일정계획/prod.project/PrjtProdPlan2', '(프로젝트)', '', '', '', 'Y', '', '', 'P', 'MES-TD3-466', '프로젝트 수주의 상세 일정 계획을 등록 관리');</v>
      </c>
    </row>
    <row r="334" spans="1:51">
      <c r="A334" s="1">
        <v>136</v>
      </c>
      <c r="B334" s="121" t="str">
        <f t="shared" si="108"/>
        <v xml:space="preserve">        └ (인코팩)생산지시</v>
      </c>
      <c r="C334" s="27" t="str">
        <f t="shared" si="109"/>
        <v>14821</v>
      </c>
      <c r="D334" s="121"/>
      <c r="E334" s="27">
        <v>285007</v>
      </c>
      <c r="F334" s="121" t="s">
        <v>2432</v>
      </c>
      <c r="G334" s="121"/>
      <c r="H334" s="121"/>
      <c r="I334" s="121"/>
      <c r="J334" s="121"/>
      <c r="K334" s="27" t="str">
        <f t="shared" si="91"/>
        <v>1</v>
      </c>
      <c r="L334" s="27">
        <v>1</v>
      </c>
      <c r="M334" s="27" t="str">
        <f t="shared" si="92"/>
        <v>1</v>
      </c>
      <c r="N334" s="121" t="s">
        <v>2425</v>
      </c>
      <c r="O334" s="121" t="s">
        <v>212</v>
      </c>
      <c r="P334" s="27" t="str">
        <f t="shared" si="95"/>
        <v>1</v>
      </c>
      <c r="Q334" s="27" t="str">
        <f t="shared" si="96"/>
        <v>1</v>
      </c>
      <c r="R334" s="27" t="str">
        <f t="shared" si="97"/>
        <v>1</v>
      </c>
      <c r="S334" s="27" t="str">
        <f t="shared" si="98"/>
        <v>1</v>
      </c>
      <c r="T334" s="27" t="str">
        <f t="shared" si="99"/>
        <v>1</v>
      </c>
      <c r="U334" s="27" t="str">
        <f t="shared" si="100"/>
        <v>1</v>
      </c>
      <c r="V334" s="27" t="str">
        <f t="shared" si="101"/>
        <v>1</v>
      </c>
      <c r="W334" s="27"/>
      <c r="X334" s="27" t="str">
        <f t="shared" si="102"/>
        <v>0</v>
      </c>
      <c r="Y334" s="27" t="str">
        <f t="shared" si="103"/>
        <v>0</v>
      </c>
      <c r="Z334" s="27" t="str">
        <f t="shared" si="104"/>
        <v>0</v>
      </c>
      <c r="AA334" s="121"/>
      <c r="AB334" s="121"/>
      <c r="AC334" s="121"/>
      <c r="AD334" s="121"/>
      <c r="AE334" s="121" t="s">
        <v>51</v>
      </c>
      <c r="AF334" s="121"/>
      <c r="AG334" s="121"/>
      <c r="AH334" s="28" t="s">
        <v>241</v>
      </c>
      <c r="AI334" s="28" t="s">
        <v>113</v>
      </c>
      <c r="AJ334" s="28">
        <v>68062</v>
      </c>
      <c r="AK334" s="121" t="str">
        <f t="shared" si="93"/>
        <v/>
      </c>
      <c r="AL334" s="123" t="str">
        <f t="shared" si="105"/>
        <v>14821/생산지시/custom.inkopack.prod/ProdPlan</v>
      </c>
      <c r="AM334" s="27" t="s">
        <v>2386</v>
      </c>
      <c r="AN334" s="124"/>
      <c r="AO334" s="124"/>
      <c r="AP334" s="124"/>
      <c r="AQ334" s="124"/>
      <c r="AR334" s="124"/>
      <c r="AS334" s="124"/>
      <c r="AT334" s="124" t="s">
        <v>1941</v>
      </c>
      <c r="AU334" s="124" t="str">
        <f t="shared" si="94"/>
        <v>P285007</v>
      </c>
      <c r="AV334" s="124" t="s">
        <v>2687</v>
      </c>
      <c r="AW334" s="117" t="s">
        <v>2429</v>
      </c>
      <c r="AX334" s="138" t="str">
        <f t="shared" si="107"/>
        <v>delete from module_mst where pjt_id = '14821' and menu_id = '285007';</v>
      </c>
      <c r="AY334" s="31" t="str">
        <f>IF(C334&lt;&gt;"",CREATE_QUERY($D$1,C$2:AW$2,C334:AW334),"")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'285007', '생산지시', '', '', '', '', '1', '1', '1', 'custom.inkopack.prod', 'ProdPlan', '1', '1', '1', '1', '1', '1', '1', '', '0', '0', '0', '', '', '', '', 'N', '', '', '285000', '5', '68062', '', '14821/생산지시/custom.inkopack.prod/ProdPlan', '(인코팩)', '', '', '', '', '', '', 'P', 'MES-TD3-467', 'for 인코팩 생산 일정계획 관리');</v>
      </c>
    </row>
    <row r="335" spans="1:51">
      <c r="A335" s="1">
        <v>134</v>
      </c>
      <c r="B335" s="121" t="str">
        <f t="shared" si="108"/>
        <v/>
      </c>
      <c r="C335" s="27" t="str">
        <f t="shared" si="109"/>
        <v/>
      </c>
      <c r="D335" s="121"/>
      <c r="E335" s="27">
        <v>285008</v>
      </c>
      <c r="F335" s="121"/>
      <c r="G335" s="121"/>
      <c r="H335" s="121"/>
      <c r="I335" s="121"/>
      <c r="J335" s="121"/>
      <c r="K335" s="27" t="str">
        <f t="shared" si="91"/>
        <v/>
      </c>
      <c r="L335" s="27">
        <v>1</v>
      </c>
      <c r="M335" s="27" t="str">
        <f t="shared" si="92"/>
        <v>0</v>
      </c>
      <c r="N335" s="121"/>
      <c r="O335" s="121"/>
      <c r="P335" s="27" t="str">
        <f t="shared" si="95"/>
        <v>0</v>
      </c>
      <c r="Q335" s="27" t="str">
        <f t="shared" si="96"/>
        <v>0</v>
      </c>
      <c r="R335" s="27" t="str">
        <f t="shared" si="97"/>
        <v>0</v>
      </c>
      <c r="S335" s="27" t="str">
        <f t="shared" si="98"/>
        <v>0</v>
      </c>
      <c r="T335" s="27" t="str">
        <f t="shared" si="99"/>
        <v>0</v>
      </c>
      <c r="U335" s="27" t="str">
        <f t="shared" si="100"/>
        <v>0</v>
      </c>
      <c r="V335" s="27" t="str">
        <f t="shared" si="101"/>
        <v>1</v>
      </c>
      <c r="W335" s="27"/>
      <c r="X335" s="27" t="str">
        <f t="shared" si="102"/>
        <v/>
      </c>
      <c r="Y335" s="27" t="str">
        <f t="shared" si="103"/>
        <v/>
      </c>
      <c r="Z335" s="27" t="str">
        <f t="shared" si="104"/>
        <v/>
      </c>
      <c r="AA335" s="121"/>
      <c r="AB335" s="121"/>
      <c r="AC335" s="121"/>
      <c r="AD335" s="121"/>
      <c r="AE335" s="121" t="s">
        <v>51</v>
      </c>
      <c r="AF335" s="121"/>
      <c r="AG335" s="121"/>
      <c r="AH335" s="28" t="s">
        <v>241</v>
      </c>
      <c r="AI335" s="28" t="s">
        <v>113</v>
      </c>
      <c r="AJ335" s="28">
        <v>68064</v>
      </c>
      <c r="AK335" s="121" t="str">
        <f t="shared" si="93"/>
        <v/>
      </c>
      <c r="AL335" s="123" t="str">
        <f t="shared" si="105"/>
        <v/>
      </c>
      <c r="AM335" s="27"/>
      <c r="AN335" s="124"/>
      <c r="AO335" s="124"/>
      <c r="AP335" s="124"/>
      <c r="AQ335" s="124"/>
      <c r="AR335" s="124"/>
      <c r="AS335" s="124"/>
      <c r="AT335" s="124" t="s">
        <v>1941</v>
      </c>
      <c r="AU335" s="124" t="str">
        <f t="shared" si="94"/>
        <v/>
      </c>
      <c r="AV335" s="124" t="s">
        <v>2688</v>
      </c>
      <c r="AW335" s="117"/>
      <c r="AX335" s="138" t="str">
        <f t="shared" si="107"/>
        <v/>
      </c>
      <c r="AY335" s="31" t="str">
        <f>IF(C335&lt;&gt;"",CREATE_QUERY($D$1,C$2:AW$2,C335:AW335),"")</f>
        <v/>
      </c>
    </row>
    <row r="336" spans="1:51">
      <c r="A336" s="1">
        <v>135</v>
      </c>
      <c r="B336" s="121" t="str">
        <f t="shared" si="108"/>
        <v/>
      </c>
      <c r="C336" s="27" t="str">
        <f t="shared" si="109"/>
        <v/>
      </c>
      <c r="D336" s="121"/>
      <c r="E336" s="27">
        <v>285009</v>
      </c>
      <c r="F336" s="121"/>
      <c r="G336" s="121"/>
      <c r="H336" s="121"/>
      <c r="I336" s="121"/>
      <c r="J336" s="121"/>
      <c r="K336" s="27" t="str">
        <f t="shared" si="91"/>
        <v/>
      </c>
      <c r="L336" s="27">
        <v>1</v>
      </c>
      <c r="M336" s="27" t="str">
        <f t="shared" si="92"/>
        <v>0</v>
      </c>
      <c r="N336" s="121"/>
      <c r="O336" s="121"/>
      <c r="P336" s="27" t="str">
        <f t="shared" si="95"/>
        <v>0</v>
      </c>
      <c r="Q336" s="27" t="str">
        <f t="shared" si="96"/>
        <v>0</v>
      </c>
      <c r="R336" s="27" t="str">
        <f t="shared" si="97"/>
        <v>0</v>
      </c>
      <c r="S336" s="27" t="str">
        <f t="shared" si="98"/>
        <v>0</v>
      </c>
      <c r="T336" s="27" t="str">
        <f t="shared" si="99"/>
        <v>0</v>
      </c>
      <c r="U336" s="27" t="str">
        <f t="shared" si="100"/>
        <v>0</v>
      </c>
      <c r="V336" s="27" t="str">
        <f t="shared" si="101"/>
        <v>1</v>
      </c>
      <c r="W336" s="27"/>
      <c r="X336" s="27" t="str">
        <f t="shared" si="102"/>
        <v/>
      </c>
      <c r="Y336" s="27" t="str">
        <f t="shared" si="103"/>
        <v/>
      </c>
      <c r="Z336" s="27" t="str">
        <f t="shared" si="104"/>
        <v/>
      </c>
      <c r="AA336" s="121"/>
      <c r="AB336" s="121"/>
      <c r="AC336" s="121"/>
      <c r="AD336" s="121"/>
      <c r="AE336" s="121" t="s">
        <v>51</v>
      </c>
      <c r="AF336" s="121"/>
      <c r="AG336" s="121"/>
      <c r="AH336" s="28" t="s">
        <v>241</v>
      </c>
      <c r="AI336" s="28" t="s">
        <v>113</v>
      </c>
      <c r="AJ336" s="28">
        <v>68066</v>
      </c>
      <c r="AK336" s="121" t="str">
        <f t="shared" si="93"/>
        <v/>
      </c>
      <c r="AL336" s="123" t="str">
        <f t="shared" si="105"/>
        <v/>
      </c>
      <c r="AM336" s="27"/>
      <c r="AN336" s="124"/>
      <c r="AO336" s="124"/>
      <c r="AP336" s="124"/>
      <c r="AQ336" s="124"/>
      <c r="AR336" s="124"/>
      <c r="AS336" s="124"/>
      <c r="AT336" s="124" t="s">
        <v>1941</v>
      </c>
      <c r="AU336" s="124" t="str">
        <f t="shared" si="94"/>
        <v/>
      </c>
      <c r="AV336" s="124" t="s">
        <v>2689</v>
      </c>
      <c r="AW336" s="117"/>
      <c r="AX336" s="138" t="str">
        <f t="shared" si="107"/>
        <v/>
      </c>
      <c r="AY336" s="31" t="str">
        <f>IF(C336&lt;&gt;"",CREATE_QUERY($D$1,C$2:AW$2,C336:AW336),"")</f>
        <v/>
      </c>
    </row>
    <row r="337" spans="1:51">
      <c r="A337" s="1">
        <v>136</v>
      </c>
      <c r="B337" s="121" t="str">
        <f t="shared" si="108"/>
        <v/>
      </c>
      <c r="C337" s="27" t="str">
        <f t="shared" si="109"/>
        <v/>
      </c>
      <c r="D337" s="121"/>
      <c r="E337" s="27">
        <v>285010</v>
      </c>
      <c r="F337" s="121"/>
      <c r="G337" s="121"/>
      <c r="H337" s="121"/>
      <c r="I337" s="121"/>
      <c r="J337" s="121"/>
      <c r="K337" s="27" t="str">
        <f t="shared" si="91"/>
        <v/>
      </c>
      <c r="L337" s="27">
        <v>1</v>
      </c>
      <c r="M337" s="27" t="str">
        <f t="shared" si="92"/>
        <v>0</v>
      </c>
      <c r="N337" s="121"/>
      <c r="O337" s="121"/>
      <c r="P337" s="27" t="str">
        <f t="shared" si="95"/>
        <v>0</v>
      </c>
      <c r="Q337" s="27" t="str">
        <f t="shared" si="96"/>
        <v>0</v>
      </c>
      <c r="R337" s="27" t="str">
        <f t="shared" si="97"/>
        <v>0</v>
      </c>
      <c r="S337" s="27" t="str">
        <f t="shared" si="98"/>
        <v>0</v>
      </c>
      <c r="T337" s="27" t="str">
        <f t="shared" si="99"/>
        <v>0</v>
      </c>
      <c r="U337" s="27" t="str">
        <f t="shared" si="100"/>
        <v>0</v>
      </c>
      <c r="V337" s="27" t="str">
        <f t="shared" si="101"/>
        <v>1</v>
      </c>
      <c r="W337" s="27"/>
      <c r="X337" s="27" t="str">
        <f t="shared" si="102"/>
        <v/>
      </c>
      <c r="Y337" s="27" t="str">
        <f t="shared" si="103"/>
        <v/>
      </c>
      <c r="Z337" s="27" t="str">
        <f t="shared" si="104"/>
        <v/>
      </c>
      <c r="AA337" s="121"/>
      <c r="AB337" s="121"/>
      <c r="AC337" s="121"/>
      <c r="AD337" s="121"/>
      <c r="AE337" s="121" t="s">
        <v>51</v>
      </c>
      <c r="AF337" s="121"/>
      <c r="AG337" s="121"/>
      <c r="AH337" s="28" t="s">
        <v>241</v>
      </c>
      <c r="AI337" s="28" t="s">
        <v>113</v>
      </c>
      <c r="AJ337" s="28">
        <v>68068</v>
      </c>
      <c r="AK337" s="121" t="str">
        <f t="shared" si="93"/>
        <v/>
      </c>
      <c r="AL337" s="123" t="str">
        <f t="shared" si="105"/>
        <v/>
      </c>
      <c r="AM337" s="27"/>
      <c r="AN337" s="124"/>
      <c r="AO337" s="124"/>
      <c r="AP337" s="124"/>
      <c r="AQ337" s="124"/>
      <c r="AR337" s="124"/>
      <c r="AS337" s="124"/>
      <c r="AT337" s="124" t="s">
        <v>1941</v>
      </c>
      <c r="AU337" s="124" t="str">
        <f t="shared" si="94"/>
        <v/>
      </c>
      <c r="AV337" s="124" t="s">
        <v>2690</v>
      </c>
      <c r="AW337" s="117"/>
      <c r="AX337" s="138" t="str">
        <f t="shared" si="107"/>
        <v/>
      </c>
      <c r="AY337" s="31" t="str">
        <f>IF(C337&lt;&gt;"",CREATE_QUERY($D$1,C$2:AW$2,C337:AW337),"")</f>
        <v/>
      </c>
    </row>
    <row r="338" spans="1:51">
      <c r="A338" s="1">
        <v>136</v>
      </c>
      <c r="B338" s="121" t="str">
        <f t="shared" si="108"/>
        <v/>
      </c>
      <c r="C338" s="27" t="str">
        <f t="shared" si="109"/>
        <v/>
      </c>
      <c r="D338" s="121"/>
      <c r="E338" s="27">
        <v>285011</v>
      </c>
      <c r="F338" s="121"/>
      <c r="G338" s="121"/>
      <c r="H338" s="121"/>
      <c r="I338" s="121"/>
      <c r="J338" s="121"/>
      <c r="K338" s="27" t="str">
        <f t="shared" si="91"/>
        <v/>
      </c>
      <c r="L338" s="27">
        <v>1</v>
      </c>
      <c r="M338" s="27" t="str">
        <f t="shared" si="92"/>
        <v>0</v>
      </c>
      <c r="N338" s="121"/>
      <c r="O338" s="121"/>
      <c r="P338" s="27" t="str">
        <f t="shared" si="95"/>
        <v>0</v>
      </c>
      <c r="Q338" s="27" t="str">
        <f t="shared" si="96"/>
        <v>0</v>
      </c>
      <c r="R338" s="27" t="str">
        <f t="shared" si="97"/>
        <v>0</v>
      </c>
      <c r="S338" s="27" t="str">
        <f t="shared" si="98"/>
        <v>0</v>
      </c>
      <c r="T338" s="27" t="str">
        <f t="shared" si="99"/>
        <v>0</v>
      </c>
      <c r="U338" s="27" t="str">
        <f t="shared" si="100"/>
        <v>0</v>
      </c>
      <c r="V338" s="27" t="str">
        <f t="shared" si="101"/>
        <v>1</v>
      </c>
      <c r="W338" s="27"/>
      <c r="X338" s="27" t="str">
        <f t="shared" si="102"/>
        <v/>
      </c>
      <c r="Y338" s="27" t="str">
        <f t="shared" si="103"/>
        <v/>
      </c>
      <c r="Z338" s="27" t="str">
        <f t="shared" si="104"/>
        <v/>
      </c>
      <c r="AA338" s="121"/>
      <c r="AB338" s="121"/>
      <c r="AC338" s="121"/>
      <c r="AD338" s="121"/>
      <c r="AE338" s="121" t="s">
        <v>51</v>
      </c>
      <c r="AF338" s="121"/>
      <c r="AG338" s="121"/>
      <c r="AH338" s="28" t="s">
        <v>241</v>
      </c>
      <c r="AI338" s="28" t="s">
        <v>113</v>
      </c>
      <c r="AJ338" s="28">
        <v>68070</v>
      </c>
      <c r="AK338" s="121" t="str">
        <f t="shared" ref="AK338:AK406" si="110">IF(B339="","","0")</f>
        <v/>
      </c>
      <c r="AL338" s="123" t="str">
        <f t="shared" si="105"/>
        <v/>
      </c>
      <c r="AM338" s="27"/>
      <c r="AN338" s="124"/>
      <c r="AO338" s="124"/>
      <c r="AP338" s="124"/>
      <c r="AQ338" s="124"/>
      <c r="AR338" s="124"/>
      <c r="AS338" s="124"/>
      <c r="AT338" s="124" t="s">
        <v>1941</v>
      </c>
      <c r="AU338" s="124" t="str">
        <f t="shared" si="94"/>
        <v/>
      </c>
      <c r="AV338" s="124" t="s">
        <v>2691</v>
      </c>
      <c r="AW338" s="117"/>
      <c r="AX338" s="138" t="str">
        <f t="shared" si="107"/>
        <v/>
      </c>
      <c r="AY338" s="31" t="str">
        <f>IF(C338&lt;&gt;"",CREATE_QUERY($D$1,C$2:AW$2,C338:AW338),"")</f>
        <v/>
      </c>
    </row>
    <row r="339" spans="1:51">
      <c r="A339" s="1">
        <v>136</v>
      </c>
      <c r="B339" s="121" t="str">
        <f t="shared" si="108"/>
        <v/>
      </c>
      <c r="C339" s="27" t="str">
        <f t="shared" si="109"/>
        <v/>
      </c>
      <c r="D339" s="121"/>
      <c r="E339" s="27">
        <v>285012</v>
      </c>
      <c r="F339" s="121"/>
      <c r="G339" s="121"/>
      <c r="H339" s="121"/>
      <c r="I339" s="121"/>
      <c r="J339" s="121"/>
      <c r="K339" s="27" t="str">
        <f t="shared" ref="K339:K407" si="111">IF(O339="","","1")</f>
        <v/>
      </c>
      <c r="L339" s="27">
        <v>1</v>
      </c>
      <c r="M339" s="27" t="str">
        <f t="shared" ref="M339:M407" si="112">IF(O339="","0","1")</f>
        <v>0</v>
      </c>
      <c r="N339" s="121"/>
      <c r="O339" s="121"/>
      <c r="P339" s="27" t="str">
        <f t="shared" si="95"/>
        <v>0</v>
      </c>
      <c r="Q339" s="27" t="str">
        <f t="shared" si="96"/>
        <v>0</v>
      </c>
      <c r="R339" s="27" t="str">
        <f t="shared" si="97"/>
        <v>0</v>
      </c>
      <c r="S339" s="27" t="str">
        <f t="shared" si="98"/>
        <v>0</v>
      </c>
      <c r="T339" s="27" t="str">
        <f t="shared" si="99"/>
        <v>0</v>
      </c>
      <c r="U339" s="27" t="str">
        <f t="shared" si="100"/>
        <v>0</v>
      </c>
      <c r="V339" s="27" t="str">
        <f t="shared" si="101"/>
        <v>1</v>
      </c>
      <c r="W339" s="27"/>
      <c r="X339" s="27" t="str">
        <f t="shared" si="102"/>
        <v/>
      </c>
      <c r="Y339" s="27" t="str">
        <f t="shared" si="103"/>
        <v/>
      </c>
      <c r="Z339" s="27" t="str">
        <f t="shared" si="104"/>
        <v/>
      </c>
      <c r="AA339" s="121"/>
      <c r="AB339" s="121"/>
      <c r="AC339" s="121"/>
      <c r="AD339" s="121"/>
      <c r="AE339" s="121" t="s">
        <v>51</v>
      </c>
      <c r="AF339" s="121"/>
      <c r="AG339" s="121"/>
      <c r="AH339" s="28" t="s">
        <v>241</v>
      </c>
      <c r="AI339" s="28" t="s">
        <v>113</v>
      </c>
      <c r="AJ339" s="28">
        <v>68072</v>
      </c>
      <c r="AK339" s="121" t="str">
        <f t="shared" si="110"/>
        <v/>
      </c>
      <c r="AL339" s="123" t="str">
        <f t="shared" si="105"/>
        <v/>
      </c>
      <c r="AM339" s="27"/>
      <c r="AN339" s="124"/>
      <c r="AO339" s="124"/>
      <c r="AP339" s="124"/>
      <c r="AQ339" s="124"/>
      <c r="AR339" s="124"/>
      <c r="AS339" s="124"/>
      <c r="AT339" s="124" t="s">
        <v>1941</v>
      </c>
      <c r="AU339" s="124" t="str">
        <f t="shared" si="94"/>
        <v/>
      </c>
      <c r="AV339" s="124" t="s">
        <v>2692</v>
      </c>
      <c r="AW339" s="117"/>
      <c r="AX339" s="138" t="str">
        <f t="shared" si="107"/>
        <v/>
      </c>
      <c r="AY339" s="31" t="str">
        <f>IF(C339&lt;&gt;"",CREATE_QUERY($D$1,C$2:AW$2,C339:AW339),"")</f>
        <v/>
      </c>
    </row>
    <row r="340" spans="1:51">
      <c r="A340" s="1">
        <v>136</v>
      </c>
      <c r="B340" s="121" t="str">
        <f t="shared" si="108"/>
        <v/>
      </c>
      <c r="C340" s="27" t="str">
        <f t="shared" si="109"/>
        <v/>
      </c>
      <c r="D340" s="121"/>
      <c r="E340" s="27">
        <v>285013</v>
      </c>
      <c r="F340" s="121"/>
      <c r="G340" s="121"/>
      <c r="H340" s="121"/>
      <c r="I340" s="121"/>
      <c r="J340" s="121"/>
      <c r="K340" s="27" t="str">
        <f t="shared" si="111"/>
        <v/>
      </c>
      <c r="L340" s="27">
        <v>1</v>
      </c>
      <c r="M340" s="27" t="str">
        <f t="shared" si="112"/>
        <v>0</v>
      </c>
      <c r="N340" s="121"/>
      <c r="O340" s="121"/>
      <c r="P340" s="27" t="str">
        <f t="shared" si="95"/>
        <v>0</v>
      </c>
      <c r="Q340" s="27" t="str">
        <f t="shared" si="96"/>
        <v>0</v>
      </c>
      <c r="R340" s="27" t="str">
        <f t="shared" si="97"/>
        <v>0</v>
      </c>
      <c r="S340" s="27" t="str">
        <f t="shared" si="98"/>
        <v>0</v>
      </c>
      <c r="T340" s="27" t="str">
        <f t="shared" si="99"/>
        <v>0</v>
      </c>
      <c r="U340" s="27" t="str">
        <f t="shared" si="100"/>
        <v>0</v>
      </c>
      <c r="V340" s="27" t="str">
        <f t="shared" si="101"/>
        <v>1</v>
      </c>
      <c r="W340" s="27"/>
      <c r="X340" s="27" t="str">
        <f t="shared" si="102"/>
        <v/>
      </c>
      <c r="Y340" s="27" t="str">
        <f t="shared" si="103"/>
        <v/>
      </c>
      <c r="Z340" s="27" t="str">
        <f t="shared" si="104"/>
        <v/>
      </c>
      <c r="AA340" s="121"/>
      <c r="AB340" s="121"/>
      <c r="AC340" s="121"/>
      <c r="AD340" s="121"/>
      <c r="AE340" s="121" t="s">
        <v>51</v>
      </c>
      <c r="AF340" s="121"/>
      <c r="AG340" s="121"/>
      <c r="AH340" s="28" t="s">
        <v>241</v>
      </c>
      <c r="AI340" s="28" t="s">
        <v>113</v>
      </c>
      <c r="AJ340" s="28">
        <v>68074</v>
      </c>
      <c r="AK340" s="121" t="str">
        <f t="shared" si="110"/>
        <v/>
      </c>
      <c r="AL340" s="123" t="str">
        <f t="shared" si="105"/>
        <v/>
      </c>
      <c r="AM340" s="27"/>
      <c r="AN340" s="124"/>
      <c r="AO340" s="124"/>
      <c r="AP340" s="124"/>
      <c r="AQ340" s="124"/>
      <c r="AR340" s="124"/>
      <c r="AS340" s="124"/>
      <c r="AT340" s="124" t="s">
        <v>1941</v>
      </c>
      <c r="AU340" s="124" t="str">
        <f t="shared" si="94"/>
        <v/>
      </c>
      <c r="AV340" s="124" t="s">
        <v>2693</v>
      </c>
      <c r="AW340" s="117"/>
      <c r="AX340" s="138" t="str">
        <f t="shared" si="107"/>
        <v/>
      </c>
      <c r="AY340" s="31" t="str">
        <f>IF(C340&lt;&gt;"",CREATE_QUERY($D$1,C$2:AW$2,C340:AW340),"")</f>
        <v/>
      </c>
    </row>
    <row r="341" spans="1:51">
      <c r="A341" s="1">
        <v>134</v>
      </c>
      <c r="B341" s="121" t="str">
        <f t="shared" si="108"/>
        <v/>
      </c>
      <c r="C341" s="27" t="str">
        <f t="shared" si="109"/>
        <v/>
      </c>
      <c r="D341" s="121"/>
      <c r="E341" s="27">
        <v>285014</v>
      </c>
      <c r="F341" s="121"/>
      <c r="G341" s="121"/>
      <c r="H341" s="121"/>
      <c r="I341" s="121"/>
      <c r="J341" s="121"/>
      <c r="K341" s="27" t="str">
        <f t="shared" si="111"/>
        <v/>
      </c>
      <c r="L341" s="27">
        <v>1</v>
      </c>
      <c r="M341" s="27" t="str">
        <f t="shared" si="112"/>
        <v>0</v>
      </c>
      <c r="N341" s="121"/>
      <c r="O341" s="121"/>
      <c r="P341" s="27" t="str">
        <f t="shared" si="95"/>
        <v>0</v>
      </c>
      <c r="Q341" s="27" t="str">
        <f t="shared" si="96"/>
        <v>0</v>
      </c>
      <c r="R341" s="27" t="str">
        <f t="shared" si="97"/>
        <v>0</v>
      </c>
      <c r="S341" s="27" t="str">
        <f t="shared" si="98"/>
        <v>0</v>
      </c>
      <c r="T341" s="27" t="str">
        <f t="shared" si="99"/>
        <v>0</v>
      </c>
      <c r="U341" s="27" t="str">
        <f t="shared" si="100"/>
        <v>0</v>
      </c>
      <c r="V341" s="27" t="str">
        <f t="shared" si="101"/>
        <v>1</v>
      </c>
      <c r="W341" s="27"/>
      <c r="X341" s="27" t="str">
        <f t="shared" si="102"/>
        <v/>
      </c>
      <c r="Y341" s="27" t="str">
        <f t="shared" si="103"/>
        <v/>
      </c>
      <c r="Z341" s="27" t="str">
        <f t="shared" si="104"/>
        <v/>
      </c>
      <c r="AA341" s="121"/>
      <c r="AB341" s="121"/>
      <c r="AC341" s="121"/>
      <c r="AD341" s="121"/>
      <c r="AE341" s="121" t="s">
        <v>51</v>
      </c>
      <c r="AF341" s="121"/>
      <c r="AG341" s="121"/>
      <c r="AH341" s="28" t="s">
        <v>241</v>
      </c>
      <c r="AI341" s="28" t="s">
        <v>113</v>
      </c>
      <c r="AJ341" s="28">
        <v>68076</v>
      </c>
      <c r="AK341" s="121" t="str">
        <f t="shared" si="110"/>
        <v/>
      </c>
      <c r="AL341" s="123" t="str">
        <f t="shared" si="105"/>
        <v/>
      </c>
      <c r="AM341" s="27"/>
      <c r="AN341" s="124"/>
      <c r="AO341" s="124"/>
      <c r="AP341" s="124"/>
      <c r="AQ341" s="124"/>
      <c r="AR341" s="124"/>
      <c r="AS341" s="124"/>
      <c r="AT341" s="124" t="s">
        <v>1941</v>
      </c>
      <c r="AU341" s="124" t="str">
        <f t="shared" si="94"/>
        <v/>
      </c>
      <c r="AV341" s="124" t="s">
        <v>2694</v>
      </c>
      <c r="AW341" s="117"/>
      <c r="AX341" s="138" t="str">
        <f t="shared" si="107"/>
        <v/>
      </c>
      <c r="AY341" s="31" t="str">
        <f>IF(C341&lt;&gt;"",CREATE_QUERY($D$1,C$2:AW$2,C341:AW341),"")</f>
        <v/>
      </c>
    </row>
    <row r="342" spans="1:51">
      <c r="A342" s="1">
        <v>135</v>
      </c>
      <c r="B342" s="121" t="str">
        <f t="shared" si="108"/>
        <v/>
      </c>
      <c r="C342" s="27" t="str">
        <f t="shared" si="109"/>
        <v/>
      </c>
      <c r="D342" s="121"/>
      <c r="E342" s="27">
        <v>285015</v>
      </c>
      <c r="F342" s="121"/>
      <c r="G342" s="121"/>
      <c r="H342" s="121"/>
      <c r="I342" s="121"/>
      <c r="J342" s="121"/>
      <c r="K342" s="27" t="str">
        <f t="shared" si="111"/>
        <v/>
      </c>
      <c r="L342" s="27">
        <v>1</v>
      </c>
      <c r="M342" s="27" t="str">
        <f t="shared" si="112"/>
        <v>0</v>
      </c>
      <c r="N342" s="121"/>
      <c r="O342" s="121"/>
      <c r="P342" s="27" t="str">
        <f t="shared" si="95"/>
        <v>0</v>
      </c>
      <c r="Q342" s="27" t="str">
        <f t="shared" si="96"/>
        <v>0</v>
      </c>
      <c r="R342" s="27" t="str">
        <f t="shared" si="97"/>
        <v>0</v>
      </c>
      <c r="S342" s="27" t="str">
        <f t="shared" si="98"/>
        <v>0</v>
      </c>
      <c r="T342" s="27" t="str">
        <f t="shared" si="99"/>
        <v>0</v>
      </c>
      <c r="U342" s="27" t="str">
        <f t="shared" si="100"/>
        <v>0</v>
      </c>
      <c r="V342" s="27" t="str">
        <f t="shared" si="101"/>
        <v>1</v>
      </c>
      <c r="W342" s="27"/>
      <c r="X342" s="27" t="str">
        <f t="shared" si="102"/>
        <v/>
      </c>
      <c r="Y342" s="27" t="str">
        <f t="shared" si="103"/>
        <v/>
      </c>
      <c r="Z342" s="27" t="str">
        <f t="shared" si="104"/>
        <v/>
      </c>
      <c r="AA342" s="121"/>
      <c r="AB342" s="121"/>
      <c r="AC342" s="121"/>
      <c r="AD342" s="121"/>
      <c r="AE342" s="121" t="s">
        <v>51</v>
      </c>
      <c r="AF342" s="121"/>
      <c r="AG342" s="121"/>
      <c r="AH342" s="28" t="s">
        <v>241</v>
      </c>
      <c r="AI342" s="28" t="s">
        <v>113</v>
      </c>
      <c r="AJ342" s="28">
        <v>68078</v>
      </c>
      <c r="AK342" s="121" t="str">
        <f t="shared" si="110"/>
        <v/>
      </c>
      <c r="AL342" s="123" t="str">
        <f t="shared" si="105"/>
        <v/>
      </c>
      <c r="AM342" s="27"/>
      <c r="AN342" s="124"/>
      <c r="AO342" s="124"/>
      <c r="AP342" s="124"/>
      <c r="AQ342" s="124"/>
      <c r="AR342" s="124"/>
      <c r="AS342" s="124"/>
      <c r="AT342" s="124" t="s">
        <v>1941</v>
      </c>
      <c r="AU342" s="124" t="str">
        <f t="shared" si="94"/>
        <v/>
      </c>
      <c r="AV342" s="124" t="s">
        <v>2695</v>
      </c>
      <c r="AW342" s="117"/>
      <c r="AX342" s="138" t="str">
        <f t="shared" si="107"/>
        <v/>
      </c>
      <c r="AY342" s="31" t="str">
        <f>IF(C342&lt;&gt;"",CREATE_QUERY($D$1,C$2:AW$2,C342:AW342),"")</f>
        <v/>
      </c>
    </row>
    <row r="343" spans="1:51">
      <c r="A343" s="1">
        <v>136</v>
      </c>
      <c r="B343" s="121" t="str">
        <f t="shared" si="108"/>
        <v/>
      </c>
      <c r="C343" s="27" t="str">
        <f t="shared" si="109"/>
        <v/>
      </c>
      <c r="D343" s="121"/>
      <c r="E343" s="27">
        <v>285016</v>
      </c>
      <c r="F343" s="121"/>
      <c r="G343" s="121"/>
      <c r="H343" s="121"/>
      <c r="I343" s="121"/>
      <c r="J343" s="121"/>
      <c r="K343" s="27" t="str">
        <f t="shared" si="111"/>
        <v/>
      </c>
      <c r="L343" s="27">
        <v>1</v>
      </c>
      <c r="M343" s="27" t="str">
        <f t="shared" si="112"/>
        <v>0</v>
      </c>
      <c r="N343" s="121"/>
      <c r="O343" s="121"/>
      <c r="P343" s="27" t="str">
        <f t="shared" si="95"/>
        <v>0</v>
      </c>
      <c r="Q343" s="27" t="str">
        <f t="shared" si="96"/>
        <v>0</v>
      </c>
      <c r="R343" s="27" t="str">
        <f t="shared" si="97"/>
        <v>0</v>
      </c>
      <c r="S343" s="27" t="str">
        <f t="shared" si="98"/>
        <v>0</v>
      </c>
      <c r="T343" s="27" t="str">
        <f t="shared" si="99"/>
        <v>0</v>
      </c>
      <c r="U343" s="27" t="str">
        <f t="shared" si="100"/>
        <v>0</v>
      </c>
      <c r="V343" s="27" t="str">
        <f t="shared" si="101"/>
        <v>1</v>
      </c>
      <c r="W343" s="27"/>
      <c r="X343" s="27" t="str">
        <f t="shared" si="102"/>
        <v/>
      </c>
      <c r="Y343" s="27" t="str">
        <f t="shared" si="103"/>
        <v/>
      </c>
      <c r="Z343" s="27" t="str">
        <f t="shared" si="104"/>
        <v/>
      </c>
      <c r="AA343" s="121"/>
      <c r="AB343" s="121"/>
      <c r="AC343" s="121"/>
      <c r="AD343" s="121"/>
      <c r="AE343" s="121" t="s">
        <v>51</v>
      </c>
      <c r="AF343" s="121"/>
      <c r="AG343" s="121"/>
      <c r="AH343" s="28" t="s">
        <v>241</v>
      </c>
      <c r="AI343" s="28" t="s">
        <v>113</v>
      </c>
      <c r="AJ343" s="28">
        <v>68080</v>
      </c>
      <c r="AK343" s="121" t="str">
        <f t="shared" si="110"/>
        <v/>
      </c>
      <c r="AL343" s="123" t="str">
        <f t="shared" si="105"/>
        <v/>
      </c>
      <c r="AM343" s="27"/>
      <c r="AN343" s="124"/>
      <c r="AO343" s="124"/>
      <c r="AP343" s="124"/>
      <c r="AQ343" s="124"/>
      <c r="AR343" s="124"/>
      <c r="AS343" s="124"/>
      <c r="AT343" s="124" t="s">
        <v>1941</v>
      </c>
      <c r="AU343" s="124" t="str">
        <f t="shared" si="94"/>
        <v/>
      </c>
      <c r="AV343" s="124" t="s">
        <v>2696</v>
      </c>
      <c r="AW343" s="117"/>
      <c r="AX343" s="138" t="str">
        <f t="shared" si="107"/>
        <v/>
      </c>
      <c r="AY343" s="31" t="str">
        <f>IF(C343&lt;&gt;"",CREATE_QUERY($D$1,C$2:AW$2,C343:AW343),"")</f>
        <v/>
      </c>
    </row>
    <row r="344" spans="1:51">
      <c r="A344" s="1">
        <v>136</v>
      </c>
      <c r="B344" s="121" t="str">
        <f t="shared" si="108"/>
        <v/>
      </c>
      <c r="C344" s="27" t="str">
        <f t="shared" si="109"/>
        <v/>
      </c>
      <c r="D344" s="121"/>
      <c r="E344" s="27">
        <v>285017</v>
      </c>
      <c r="F344" s="121"/>
      <c r="G344" s="121"/>
      <c r="H344" s="121"/>
      <c r="I344" s="121"/>
      <c r="J344" s="121"/>
      <c r="K344" s="27" t="str">
        <f t="shared" si="111"/>
        <v/>
      </c>
      <c r="L344" s="27">
        <v>1</v>
      </c>
      <c r="M344" s="27" t="str">
        <f t="shared" si="112"/>
        <v>0</v>
      </c>
      <c r="N344" s="121"/>
      <c r="O344" s="121"/>
      <c r="P344" s="27" t="str">
        <f t="shared" si="95"/>
        <v>0</v>
      </c>
      <c r="Q344" s="27" t="str">
        <f t="shared" si="96"/>
        <v>0</v>
      </c>
      <c r="R344" s="27" t="str">
        <f t="shared" si="97"/>
        <v>0</v>
      </c>
      <c r="S344" s="27" t="str">
        <f t="shared" si="98"/>
        <v>0</v>
      </c>
      <c r="T344" s="27" t="str">
        <f t="shared" si="99"/>
        <v>0</v>
      </c>
      <c r="U344" s="27" t="str">
        <f t="shared" si="100"/>
        <v>0</v>
      </c>
      <c r="V344" s="27" t="str">
        <f t="shared" si="101"/>
        <v>1</v>
      </c>
      <c r="W344" s="27"/>
      <c r="X344" s="27" t="str">
        <f t="shared" si="102"/>
        <v/>
      </c>
      <c r="Y344" s="27" t="str">
        <f t="shared" si="103"/>
        <v/>
      </c>
      <c r="Z344" s="27" t="str">
        <f t="shared" si="104"/>
        <v/>
      </c>
      <c r="AA344" s="121"/>
      <c r="AB344" s="121"/>
      <c r="AC344" s="121"/>
      <c r="AD344" s="121"/>
      <c r="AE344" s="121" t="s">
        <v>51</v>
      </c>
      <c r="AF344" s="121"/>
      <c r="AG344" s="121"/>
      <c r="AH344" s="28" t="s">
        <v>241</v>
      </c>
      <c r="AI344" s="28" t="s">
        <v>113</v>
      </c>
      <c r="AJ344" s="28">
        <v>68082</v>
      </c>
      <c r="AK344" s="121" t="str">
        <f t="shared" si="110"/>
        <v/>
      </c>
      <c r="AL344" s="123" t="str">
        <f t="shared" si="105"/>
        <v/>
      </c>
      <c r="AM344" s="27"/>
      <c r="AN344" s="124"/>
      <c r="AO344" s="124"/>
      <c r="AP344" s="124"/>
      <c r="AQ344" s="124"/>
      <c r="AR344" s="124"/>
      <c r="AS344" s="124"/>
      <c r="AT344" s="124" t="s">
        <v>1941</v>
      </c>
      <c r="AU344" s="124" t="str">
        <f t="shared" si="94"/>
        <v/>
      </c>
      <c r="AV344" s="124" t="s">
        <v>2697</v>
      </c>
      <c r="AW344" s="117"/>
      <c r="AX344" s="138" t="str">
        <f t="shared" si="107"/>
        <v/>
      </c>
      <c r="AY344" s="31" t="str">
        <f>IF(C344&lt;&gt;"",CREATE_QUERY($D$1,C$2:AW$2,C344:AW344),"")</f>
        <v/>
      </c>
    </row>
    <row r="345" spans="1:51">
      <c r="A345" s="1">
        <v>136</v>
      </c>
      <c r="B345" s="121" t="str">
        <f t="shared" si="108"/>
        <v/>
      </c>
      <c r="C345" s="27" t="str">
        <f t="shared" si="109"/>
        <v/>
      </c>
      <c r="D345" s="121"/>
      <c r="E345" s="27">
        <v>285018</v>
      </c>
      <c r="F345" s="121"/>
      <c r="G345" s="121"/>
      <c r="H345" s="121"/>
      <c r="I345" s="121"/>
      <c r="J345" s="121"/>
      <c r="K345" s="27" t="str">
        <f t="shared" si="111"/>
        <v/>
      </c>
      <c r="L345" s="27">
        <v>1</v>
      </c>
      <c r="M345" s="27" t="str">
        <f t="shared" si="112"/>
        <v>0</v>
      </c>
      <c r="N345" s="121"/>
      <c r="O345" s="121"/>
      <c r="P345" s="27" t="str">
        <f t="shared" si="95"/>
        <v>0</v>
      </c>
      <c r="Q345" s="27" t="str">
        <f t="shared" si="96"/>
        <v>0</v>
      </c>
      <c r="R345" s="27" t="str">
        <f t="shared" si="97"/>
        <v>0</v>
      </c>
      <c r="S345" s="27" t="str">
        <f t="shared" si="98"/>
        <v>0</v>
      </c>
      <c r="T345" s="27" t="str">
        <f t="shared" si="99"/>
        <v>0</v>
      </c>
      <c r="U345" s="27" t="str">
        <f t="shared" si="100"/>
        <v>0</v>
      </c>
      <c r="V345" s="27" t="str">
        <f t="shared" si="101"/>
        <v>1</v>
      </c>
      <c r="W345" s="27"/>
      <c r="X345" s="27" t="str">
        <f t="shared" si="102"/>
        <v/>
      </c>
      <c r="Y345" s="27" t="str">
        <f t="shared" si="103"/>
        <v/>
      </c>
      <c r="Z345" s="27" t="str">
        <f t="shared" si="104"/>
        <v/>
      </c>
      <c r="AA345" s="121"/>
      <c r="AB345" s="121"/>
      <c r="AC345" s="121"/>
      <c r="AD345" s="121"/>
      <c r="AE345" s="121" t="s">
        <v>51</v>
      </c>
      <c r="AF345" s="121"/>
      <c r="AG345" s="121"/>
      <c r="AH345" s="28" t="s">
        <v>241</v>
      </c>
      <c r="AI345" s="28" t="s">
        <v>113</v>
      </c>
      <c r="AJ345" s="28">
        <v>68084</v>
      </c>
      <c r="AK345" s="121" t="str">
        <f>IF(B351="","","0")</f>
        <v/>
      </c>
      <c r="AL345" s="123" t="str">
        <f t="shared" si="105"/>
        <v/>
      </c>
      <c r="AM345" s="27"/>
      <c r="AN345" s="124"/>
      <c r="AO345" s="124"/>
      <c r="AP345" s="124"/>
      <c r="AQ345" s="124"/>
      <c r="AR345" s="124"/>
      <c r="AS345" s="124"/>
      <c r="AT345" s="124" t="s">
        <v>1941</v>
      </c>
      <c r="AU345" s="124" t="str">
        <f t="shared" si="94"/>
        <v/>
      </c>
      <c r="AV345" s="124" t="s">
        <v>2698</v>
      </c>
      <c r="AW345" s="117"/>
      <c r="AX345" s="138" t="str">
        <f t="shared" si="107"/>
        <v/>
      </c>
      <c r="AY345" s="31" t="str">
        <f>IF(C345&lt;&gt;"",CREATE_QUERY($D$1,C$2:AW$2,C345:AW345),"")</f>
        <v/>
      </c>
    </row>
    <row r="346" spans="1:51">
      <c r="A346" s="1">
        <v>134</v>
      </c>
      <c r="B346" s="121" t="str">
        <f t="shared" si="108"/>
        <v/>
      </c>
      <c r="C346" s="27" t="str">
        <f t="shared" si="109"/>
        <v/>
      </c>
      <c r="D346" s="121"/>
      <c r="E346" s="27">
        <v>285019</v>
      </c>
      <c r="F346" s="121"/>
      <c r="G346" s="121"/>
      <c r="H346" s="121"/>
      <c r="I346" s="121"/>
      <c r="J346" s="121"/>
      <c r="K346" s="27" t="str">
        <f t="shared" si="111"/>
        <v/>
      </c>
      <c r="L346" s="27">
        <v>1</v>
      </c>
      <c r="M346" s="27" t="str">
        <f t="shared" si="112"/>
        <v>0</v>
      </c>
      <c r="N346" s="121"/>
      <c r="O346" s="121"/>
      <c r="P346" s="27" t="str">
        <f t="shared" si="95"/>
        <v>0</v>
      </c>
      <c r="Q346" s="27" t="str">
        <f t="shared" si="96"/>
        <v>0</v>
      </c>
      <c r="R346" s="27" t="str">
        <f t="shared" si="97"/>
        <v>0</v>
      </c>
      <c r="S346" s="27" t="str">
        <f t="shared" si="98"/>
        <v>0</v>
      </c>
      <c r="T346" s="27" t="str">
        <f t="shared" si="99"/>
        <v>0</v>
      </c>
      <c r="U346" s="27" t="str">
        <f t="shared" si="100"/>
        <v>0</v>
      </c>
      <c r="V346" s="27" t="str">
        <f t="shared" si="101"/>
        <v>1</v>
      </c>
      <c r="W346" s="27"/>
      <c r="X346" s="27" t="str">
        <f t="shared" si="102"/>
        <v/>
      </c>
      <c r="Y346" s="27" t="str">
        <f t="shared" si="103"/>
        <v/>
      </c>
      <c r="Z346" s="27" t="str">
        <f t="shared" si="104"/>
        <v/>
      </c>
      <c r="AA346" s="121"/>
      <c r="AB346" s="121"/>
      <c r="AC346" s="121"/>
      <c r="AD346" s="121"/>
      <c r="AE346" s="121" t="s">
        <v>51</v>
      </c>
      <c r="AF346" s="121"/>
      <c r="AG346" s="121"/>
      <c r="AH346" s="28" t="s">
        <v>241</v>
      </c>
      <c r="AI346" s="28" t="s">
        <v>113</v>
      </c>
      <c r="AJ346" s="28">
        <v>68086</v>
      </c>
      <c r="AK346" s="121" t="str">
        <f t="shared" ref="AK346:AK349" si="113">IF(B347="","","0")</f>
        <v/>
      </c>
      <c r="AL346" s="123" t="str">
        <f t="shared" si="105"/>
        <v/>
      </c>
      <c r="AM346" s="27"/>
      <c r="AN346" s="124"/>
      <c r="AO346" s="124"/>
      <c r="AP346" s="124"/>
      <c r="AQ346" s="124"/>
      <c r="AR346" s="124"/>
      <c r="AS346" s="124"/>
      <c r="AT346" s="124" t="s">
        <v>1941</v>
      </c>
      <c r="AU346" s="124" t="str">
        <f t="shared" si="94"/>
        <v/>
      </c>
      <c r="AV346" s="124" t="s">
        <v>2699</v>
      </c>
      <c r="AW346" s="117"/>
      <c r="AX346" s="138" t="str">
        <f t="shared" si="107"/>
        <v/>
      </c>
      <c r="AY346" s="31" t="str">
        <f>IF(C346&lt;&gt;"",CREATE_QUERY($D$1,C$2:AW$2,C346:AW346),"")</f>
        <v/>
      </c>
    </row>
    <row r="347" spans="1:51">
      <c r="A347" s="1">
        <v>135</v>
      </c>
      <c r="B347" s="121" t="str">
        <f t="shared" si="108"/>
        <v/>
      </c>
      <c r="C347" s="27" t="str">
        <f t="shared" si="109"/>
        <v/>
      </c>
      <c r="D347" s="121"/>
      <c r="E347" s="27">
        <v>285020</v>
      </c>
      <c r="F347" s="121"/>
      <c r="G347" s="121"/>
      <c r="H347" s="121"/>
      <c r="I347" s="121"/>
      <c r="J347" s="121"/>
      <c r="K347" s="27" t="str">
        <f t="shared" si="111"/>
        <v/>
      </c>
      <c r="L347" s="27">
        <v>1</v>
      </c>
      <c r="M347" s="27" t="str">
        <f t="shared" si="112"/>
        <v>0</v>
      </c>
      <c r="N347" s="121"/>
      <c r="O347" s="121"/>
      <c r="P347" s="27" t="str">
        <f t="shared" si="95"/>
        <v>0</v>
      </c>
      <c r="Q347" s="27" t="str">
        <f t="shared" si="96"/>
        <v>0</v>
      </c>
      <c r="R347" s="27" t="str">
        <f t="shared" si="97"/>
        <v>0</v>
      </c>
      <c r="S347" s="27" t="str">
        <f t="shared" si="98"/>
        <v>0</v>
      </c>
      <c r="T347" s="27" t="str">
        <f t="shared" si="99"/>
        <v>0</v>
      </c>
      <c r="U347" s="27" t="str">
        <f t="shared" si="100"/>
        <v>0</v>
      </c>
      <c r="V347" s="27" t="str">
        <f t="shared" si="101"/>
        <v>1</v>
      </c>
      <c r="W347" s="27"/>
      <c r="X347" s="27" t="str">
        <f t="shared" si="102"/>
        <v/>
      </c>
      <c r="Y347" s="27" t="str">
        <f t="shared" si="103"/>
        <v/>
      </c>
      <c r="Z347" s="27" t="str">
        <f t="shared" si="104"/>
        <v/>
      </c>
      <c r="AA347" s="121"/>
      <c r="AB347" s="121"/>
      <c r="AC347" s="121"/>
      <c r="AD347" s="121"/>
      <c r="AE347" s="121" t="s">
        <v>51</v>
      </c>
      <c r="AF347" s="121"/>
      <c r="AG347" s="121"/>
      <c r="AH347" s="28" t="s">
        <v>241</v>
      </c>
      <c r="AI347" s="28" t="s">
        <v>113</v>
      </c>
      <c r="AJ347" s="28">
        <v>68088</v>
      </c>
      <c r="AK347" s="121" t="str">
        <f t="shared" si="113"/>
        <v/>
      </c>
      <c r="AL347" s="123" t="str">
        <f t="shared" si="105"/>
        <v/>
      </c>
      <c r="AM347" s="27"/>
      <c r="AN347" s="124"/>
      <c r="AO347" s="124"/>
      <c r="AP347" s="124"/>
      <c r="AQ347" s="124"/>
      <c r="AR347" s="124"/>
      <c r="AS347" s="124"/>
      <c r="AT347" s="124" t="s">
        <v>1941</v>
      </c>
      <c r="AU347" s="124" t="str">
        <f t="shared" si="94"/>
        <v/>
      </c>
      <c r="AV347" s="124" t="s">
        <v>2700</v>
      </c>
      <c r="AW347" s="117"/>
      <c r="AX347" s="138" t="str">
        <f t="shared" si="107"/>
        <v/>
      </c>
      <c r="AY347" s="31" t="str">
        <f>IF(C347&lt;&gt;"",CREATE_QUERY($D$1,C$2:AW$2,C347:AW347),"")</f>
        <v/>
      </c>
    </row>
    <row r="348" spans="1:51">
      <c r="A348" s="1">
        <v>136</v>
      </c>
      <c r="B348" s="121" t="str">
        <f t="shared" si="108"/>
        <v/>
      </c>
      <c r="C348" s="27" t="str">
        <f t="shared" si="109"/>
        <v/>
      </c>
      <c r="D348" s="121"/>
      <c r="E348" s="27">
        <v>285021</v>
      </c>
      <c r="F348" s="121"/>
      <c r="G348" s="121"/>
      <c r="H348" s="121"/>
      <c r="I348" s="121"/>
      <c r="J348" s="121"/>
      <c r="K348" s="27" t="str">
        <f t="shared" si="111"/>
        <v/>
      </c>
      <c r="L348" s="27">
        <v>1</v>
      </c>
      <c r="M348" s="27" t="str">
        <f t="shared" si="112"/>
        <v>0</v>
      </c>
      <c r="N348" s="121"/>
      <c r="O348" s="121"/>
      <c r="P348" s="27" t="str">
        <f t="shared" si="95"/>
        <v>0</v>
      </c>
      <c r="Q348" s="27" t="str">
        <f t="shared" si="96"/>
        <v>0</v>
      </c>
      <c r="R348" s="27" t="str">
        <f t="shared" si="97"/>
        <v>0</v>
      </c>
      <c r="S348" s="27" t="str">
        <f t="shared" si="98"/>
        <v>0</v>
      </c>
      <c r="T348" s="27" t="str">
        <f t="shared" si="99"/>
        <v>0</v>
      </c>
      <c r="U348" s="27" t="str">
        <f t="shared" si="100"/>
        <v>0</v>
      </c>
      <c r="V348" s="27" t="str">
        <f t="shared" si="101"/>
        <v>1</v>
      </c>
      <c r="W348" s="27"/>
      <c r="X348" s="27" t="str">
        <f t="shared" si="102"/>
        <v/>
      </c>
      <c r="Y348" s="27" t="str">
        <f t="shared" si="103"/>
        <v/>
      </c>
      <c r="Z348" s="27" t="str">
        <f t="shared" si="104"/>
        <v/>
      </c>
      <c r="AA348" s="121"/>
      <c r="AB348" s="121"/>
      <c r="AC348" s="121"/>
      <c r="AD348" s="121"/>
      <c r="AE348" s="121" t="s">
        <v>51</v>
      </c>
      <c r="AF348" s="121"/>
      <c r="AG348" s="121"/>
      <c r="AH348" s="28" t="s">
        <v>241</v>
      </c>
      <c r="AI348" s="28" t="s">
        <v>113</v>
      </c>
      <c r="AJ348" s="28">
        <v>68090</v>
      </c>
      <c r="AK348" s="121" t="str">
        <f t="shared" si="113"/>
        <v/>
      </c>
      <c r="AL348" s="123" t="str">
        <f t="shared" si="105"/>
        <v/>
      </c>
      <c r="AM348" s="27"/>
      <c r="AN348" s="124"/>
      <c r="AO348" s="124"/>
      <c r="AP348" s="124"/>
      <c r="AQ348" s="124"/>
      <c r="AR348" s="124"/>
      <c r="AS348" s="124"/>
      <c r="AT348" s="124" t="s">
        <v>1941</v>
      </c>
      <c r="AU348" s="124" t="str">
        <f t="shared" si="94"/>
        <v/>
      </c>
      <c r="AV348" s="124" t="s">
        <v>2701</v>
      </c>
      <c r="AW348" s="117"/>
      <c r="AX348" s="138" t="str">
        <f t="shared" si="107"/>
        <v/>
      </c>
      <c r="AY348" s="31" t="str">
        <f>IF(C348&lt;&gt;"",CREATE_QUERY($D$1,C$2:AW$2,C348:AW348),"")</f>
        <v/>
      </c>
    </row>
    <row r="349" spans="1:51">
      <c r="A349" s="1">
        <v>136</v>
      </c>
      <c r="B349" s="121" t="str">
        <f t="shared" si="108"/>
        <v/>
      </c>
      <c r="C349" s="27" t="str">
        <f t="shared" si="109"/>
        <v/>
      </c>
      <c r="D349" s="121"/>
      <c r="E349" s="27">
        <v>285022</v>
      </c>
      <c r="F349" s="121"/>
      <c r="G349" s="121"/>
      <c r="H349" s="121"/>
      <c r="I349" s="121"/>
      <c r="J349" s="121"/>
      <c r="K349" s="27" t="str">
        <f t="shared" si="111"/>
        <v/>
      </c>
      <c r="L349" s="27">
        <v>1</v>
      </c>
      <c r="M349" s="27" t="str">
        <f t="shared" si="112"/>
        <v>0</v>
      </c>
      <c r="N349" s="121"/>
      <c r="O349" s="121"/>
      <c r="P349" s="27" t="str">
        <f t="shared" si="95"/>
        <v>0</v>
      </c>
      <c r="Q349" s="27" t="str">
        <f t="shared" si="96"/>
        <v>0</v>
      </c>
      <c r="R349" s="27" t="str">
        <f t="shared" si="97"/>
        <v>0</v>
      </c>
      <c r="S349" s="27" t="str">
        <f t="shared" si="98"/>
        <v>0</v>
      </c>
      <c r="T349" s="27" t="str">
        <f t="shared" si="99"/>
        <v>0</v>
      </c>
      <c r="U349" s="27" t="str">
        <f t="shared" si="100"/>
        <v>0</v>
      </c>
      <c r="V349" s="27" t="str">
        <f t="shared" si="101"/>
        <v>1</v>
      </c>
      <c r="W349" s="27"/>
      <c r="X349" s="27" t="str">
        <f t="shared" si="102"/>
        <v/>
      </c>
      <c r="Y349" s="27" t="str">
        <f t="shared" si="103"/>
        <v/>
      </c>
      <c r="Z349" s="27" t="str">
        <f t="shared" si="104"/>
        <v/>
      </c>
      <c r="AA349" s="121"/>
      <c r="AB349" s="121"/>
      <c r="AC349" s="121"/>
      <c r="AD349" s="121"/>
      <c r="AE349" s="121" t="s">
        <v>51</v>
      </c>
      <c r="AF349" s="121"/>
      <c r="AG349" s="121"/>
      <c r="AH349" s="28" t="s">
        <v>241</v>
      </c>
      <c r="AI349" s="28" t="s">
        <v>113</v>
      </c>
      <c r="AJ349" s="28">
        <v>68092</v>
      </c>
      <c r="AK349" s="121" t="str">
        <f t="shared" si="113"/>
        <v/>
      </c>
      <c r="AL349" s="123" t="str">
        <f t="shared" si="105"/>
        <v/>
      </c>
      <c r="AM349" s="27"/>
      <c r="AN349" s="124"/>
      <c r="AO349" s="124"/>
      <c r="AP349" s="124"/>
      <c r="AQ349" s="124"/>
      <c r="AR349" s="124"/>
      <c r="AS349" s="124"/>
      <c r="AT349" s="124" t="s">
        <v>1941</v>
      </c>
      <c r="AU349" s="124" t="str">
        <f t="shared" si="94"/>
        <v/>
      </c>
      <c r="AV349" s="124" t="s">
        <v>2702</v>
      </c>
      <c r="AW349" s="117"/>
      <c r="AX349" s="138" t="str">
        <f t="shared" si="107"/>
        <v/>
      </c>
      <c r="AY349" s="31" t="str">
        <f>IF(C349&lt;&gt;"",CREATE_QUERY($D$1,C$2:AW$2,C349:AW349),"")</f>
        <v/>
      </c>
    </row>
    <row r="350" spans="1:51">
      <c r="A350" s="1">
        <v>136</v>
      </c>
      <c r="B350" s="121" t="str">
        <f t="shared" si="108"/>
        <v/>
      </c>
      <c r="C350" s="27" t="str">
        <f t="shared" si="109"/>
        <v/>
      </c>
      <c r="D350" s="121"/>
      <c r="E350" s="27">
        <v>285023</v>
      </c>
      <c r="F350" s="121"/>
      <c r="G350" s="121"/>
      <c r="H350" s="121"/>
      <c r="I350" s="121"/>
      <c r="J350" s="121"/>
      <c r="K350" s="27" t="str">
        <f t="shared" si="111"/>
        <v/>
      </c>
      <c r="L350" s="27">
        <v>1</v>
      </c>
      <c r="M350" s="27" t="str">
        <f t="shared" si="112"/>
        <v>0</v>
      </c>
      <c r="N350" s="121"/>
      <c r="O350" s="121"/>
      <c r="P350" s="27" t="str">
        <f t="shared" si="95"/>
        <v>0</v>
      </c>
      <c r="Q350" s="27" t="str">
        <f t="shared" si="96"/>
        <v>0</v>
      </c>
      <c r="R350" s="27" t="str">
        <f t="shared" si="97"/>
        <v>0</v>
      </c>
      <c r="S350" s="27" t="str">
        <f t="shared" si="98"/>
        <v>0</v>
      </c>
      <c r="T350" s="27" t="str">
        <f t="shared" si="99"/>
        <v>0</v>
      </c>
      <c r="U350" s="27" t="str">
        <f t="shared" si="100"/>
        <v>0</v>
      </c>
      <c r="V350" s="27" t="str">
        <f t="shared" si="101"/>
        <v>1</v>
      </c>
      <c r="W350" s="27"/>
      <c r="X350" s="27" t="str">
        <f t="shared" si="102"/>
        <v/>
      </c>
      <c r="Y350" s="27" t="str">
        <f t="shared" si="103"/>
        <v/>
      </c>
      <c r="Z350" s="27" t="str">
        <f t="shared" si="104"/>
        <v/>
      </c>
      <c r="AA350" s="121"/>
      <c r="AB350" s="121"/>
      <c r="AC350" s="121"/>
      <c r="AD350" s="121"/>
      <c r="AE350" s="121" t="s">
        <v>51</v>
      </c>
      <c r="AF350" s="121"/>
      <c r="AG350" s="121"/>
      <c r="AH350" s="28" t="s">
        <v>241</v>
      </c>
      <c r="AI350" s="28" t="s">
        <v>113</v>
      </c>
      <c r="AJ350" s="28">
        <v>68094</v>
      </c>
      <c r="AK350" s="121" t="str">
        <f>IF(B356="","","0")</f>
        <v>0</v>
      </c>
      <c r="AL350" s="123" t="str">
        <f t="shared" si="105"/>
        <v/>
      </c>
      <c r="AM350" s="27"/>
      <c r="AN350" s="124"/>
      <c r="AO350" s="124"/>
      <c r="AP350" s="124"/>
      <c r="AQ350" s="124"/>
      <c r="AR350" s="124"/>
      <c r="AS350" s="124"/>
      <c r="AT350" s="124" t="s">
        <v>1941</v>
      </c>
      <c r="AU350" s="124" t="str">
        <f t="shared" si="94"/>
        <v/>
      </c>
      <c r="AV350" s="124" t="s">
        <v>2703</v>
      </c>
      <c r="AW350" s="117"/>
      <c r="AX350" s="138" t="str">
        <f t="shared" si="107"/>
        <v/>
      </c>
      <c r="AY350" s="31" t="str">
        <f>IF(C350&lt;&gt;"",CREATE_QUERY($D$1,C$2:AW$2,C350:AW350),"")</f>
        <v/>
      </c>
    </row>
    <row r="351" spans="1:51">
      <c r="A351" s="1">
        <v>137</v>
      </c>
      <c r="B351" s="121" t="str">
        <f t="shared" si="108"/>
        <v/>
      </c>
      <c r="C351" s="27" t="str">
        <f t="shared" si="109"/>
        <v/>
      </c>
      <c r="D351" s="121"/>
      <c r="E351" s="27"/>
      <c r="F351" s="121"/>
      <c r="G351" s="121"/>
      <c r="H351" s="121"/>
      <c r="I351" s="121"/>
      <c r="J351" s="121"/>
      <c r="K351" s="27" t="str">
        <f t="shared" si="111"/>
        <v/>
      </c>
      <c r="L351" s="27">
        <v>1</v>
      </c>
      <c r="M351" s="27" t="str">
        <f t="shared" si="112"/>
        <v>0</v>
      </c>
      <c r="N351" s="121"/>
      <c r="O351" s="121"/>
      <c r="P351" s="27" t="str">
        <f t="shared" si="95"/>
        <v>0</v>
      </c>
      <c r="Q351" s="27" t="str">
        <f t="shared" si="96"/>
        <v>0</v>
      </c>
      <c r="R351" s="27" t="str">
        <f t="shared" si="97"/>
        <v>0</v>
      </c>
      <c r="S351" s="27" t="str">
        <f t="shared" si="98"/>
        <v>0</v>
      </c>
      <c r="T351" s="27" t="str">
        <f t="shared" si="99"/>
        <v>0</v>
      </c>
      <c r="U351" s="27" t="str">
        <f t="shared" si="100"/>
        <v>0</v>
      </c>
      <c r="V351" s="27" t="str">
        <f t="shared" si="101"/>
        <v>1</v>
      </c>
      <c r="W351" s="27"/>
      <c r="X351" s="27" t="str">
        <f t="shared" si="102"/>
        <v/>
      </c>
      <c r="Y351" s="27" t="str">
        <f t="shared" si="103"/>
        <v/>
      </c>
      <c r="Z351" s="27" t="str">
        <f t="shared" si="104"/>
        <v/>
      </c>
      <c r="AA351" s="121"/>
      <c r="AB351" s="121"/>
      <c r="AC351" s="121"/>
      <c r="AD351" s="121"/>
      <c r="AE351" s="121"/>
      <c r="AF351" s="121"/>
      <c r="AG351" s="121"/>
      <c r="AH351" s="27"/>
      <c r="AI351" s="27"/>
      <c r="AJ351" s="27" t="s">
        <v>900</v>
      </c>
      <c r="AK351" s="121" t="str">
        <f t="shared" si="110"/>
        <v>0</v>
      </c>
      <c r="AL351" s="123" t="str">
        <f t="shared" si="105"/>
        <v/>
      </c>
      <c r="AM351" s="27"/>
      <c r="AN351" s="124"/>
      <c r="AO351" s="124"/>
      <c r="AP351" s="124"/>
      <c r="AQ351" s="124"/>
      <c r="AR351" s="124"/>
      <c r="AS351" s="124"/>
      <c r="AT351" s="124"/>
      <c r="AU351" s="124" t="str">
        <f t="shared" si="94"/>
        <v/>
      </c>
      <c r="AV351" s="124"/>
      <c r="AW351" s="117"/>
      <c r="AX351" s="138" t="str">
        <f t="shared" si="107"/>
        <v/>
      </c>
      <c r="AY351" s="31" t="str">
        <f>IF(C351&lt;&gt;"",CREATE_QUERY($D$1,C$2:AW$2,C351:AW351),"")</f>
        <v/>
      </c>
    </row>
    <row r="352" spans="1:51">
      <c r="A352" s="1">
        <v>138</v>
      </c>
      <c r="B352" s="121" t="str">
        <f t="shared" si="108"/>
        <v xml:space="preserve">    └ 생산지시실적관리</v>
      </c>
      <c r="C352" s="27" t="str">
        <f t="shared" si="109"/>
        <v>14821</v>
      </c>
      <c r="D352" s="121"/>
      <c r="E352" s="21" t="s">
        <v>242</v>
      </c>
      <c r="F352" s="118" t="s">
        <v>215</v>
      </c>
      <c r="G352" s="118"/>
      <c r="H352" s="118"/>
      <c r="I352" s="118"/>
      <c r="J352" s="118"/>
      <c r="K352" s="21" t="str">
        <f t="shared" si="111"/>
        <v/>
      </c>
      <c r="L352" s="21">
        <v>1</v>
      </c>
      <c r="M352" s="21" t="str">
        <f t="shared" si="112"/>
        <v>0</v>
      </c>
      <c r="N352" s="118"/>
      <c r="O352" s="118"/>
      <c r="P352" s="21" t="str">
        <f t="shared" si="95"/>
        <v>0</v>
      </c>
      <c r="Q352" s="21" t="str">
        <f t="shared" si="96"/>
        <v>0</v>
      </c>
      <c r="R352" s="21" t="str">
        <f t="shared" si="97"/>
        <v>0</v>
      </c>
      <c r="S352" s="21" t="str">
        <f t="shared" si="98"/>
        <v>0</v>
      </c>
      <c r="T352" s="21" t="str">
        <f t="shared" si="99"/>
        <v>0</v>
      </c>
      <c r="U352" s="21" t="str">
        <f t="shared" si="100"/>
        <v>0</v>
      </c>
      <c r="V352" s="21" t="str">
        <f t="shared" si="101"/>
        <v>1</v>
      </c>
      <c r="W352" s="21"/>
      <c r="X352" s="21" t="str">
        <f t="shared" si="102"/>
        <v/>
      </c>
      <c r="Y352" s="21" t="str">
        <f t="shared" si="103"/>
        <v/>
      </c>
      <c r="Z352" s="21" t="str">
        <f t="shared" si="104"/>
        <v/>
      </c>
      <c r="AA352" s="118"/>
      <c r="AB352" s="118"/>
      <c r="AC352" s="118"/>
      <c r="AD352" s="118"/>
      <c r="AE352" s="118" t="s">
        <v>51</v>
      </c>
      <c r="AF352" s="118"/>
      <c r="AG352" s="118"/>
      <c r="AH352" s="26" t="s">
        <v>197</v>
      </c>
      <c r="AI352" s="26" t="s">
        <v>112</v>
      </c>
      <c r="AJ352" s="26">
        <v>69000</v>
      </c>
      <c r="AK352" s="121" t="str">
        <f t="shared" si="110"/>
        <v>0</v>
      </c>
      <c r="AL352" s="123" t="str">
        <f t="shared" si="105"/>
        <v>14821/생산지시실적관리//</v>
      </c>
      <c r="AM352" s="21"/>
      <c r="AN352" s="124"/>
      <c r="AO352" s="124"/>
      <c r="AP352" s="124"/>
      <c r="AQ352" s="124" t="s">
        <v>1829</v>
      </c>
      <c r="AR352" s="124"/>
      <c r="AS352" s="124"/>
      <c r="AT352" s="124" t="s">
        <v>1941</v>
      </c>
      <c r="AU352" s="124" t="str">
        <f t="shared" si="94"/>
        <v/>
      </c>
      <c r="AV352" s="124"/>
      <c r="AW352" s="117"/>
      <c r="AX352" s="138" t="str">
        <f t="shared" si="107"/>
        <v>delete from module_mst where pjt_id = '14821' and menu_id = '286000';</v>
      </c>
      <c r="AY352" s="31" t="str">
        <f>IF(C352&lt;&gt;"",CREATE_QUERY($D$1,C$2:AW$2,C352:AW352),"")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'286000', '생산지시실적관리', '', '', '', '', '', '1', '0', '', '', '0', '0', '0', '0', '0', '0', '1', '', '', '', '', '', '', '', '', 'N', '', '', '280000', '4', '69000', '0', '14821/생산지시실적관리//', '', '', '', '', 'Y', '', '', 'P', '', '');</v>
      </c>
    </row>
    <row r="353" spans="1:51" ht="26">
      <c r="A353" s="1">
        <v>139</v>
      </c>
      <c r="B353" s="121" t="str">
        <f t="shared" si="108"/>
        <v xml:space="preserve">        └ 재고재공할당</v>
      </c>
      <c r="C353" s="27" t="str">
        <f t="shared" si="109"/>
        <v>14821</v>
      </c>
      <c r="D353" s="121"/>
      <c r="E353" s="27">
        <v>286001</v>
      </c>
      <c r="F353" s="121" t="s">
        <v>2034</v>
      </c>
      <c r="G353" s="121"/>
      <c r="H353" s="121"/>
      <c r="I353" s="121"/>
      <c r="J353" s="121"/>
      <c r="K353" s="27" t="str">
        <f t="shared" si="111"/>
        <v>1</v>
      </c>
      <c r="L353" s="27">
        <v>1</v>
      </c>
      <c r="M353" s="27" t="str">
        <f t="shared" si="112"/>
        <v>1</v>
      </c>
      <c r="N353" s="121" t="s">
        <v>328</v>
      </c>
      <c r="O353" s="121" t="s">
        <v>194</v>
      </c>
      <c r="P353" s="27" t="str">
        <f t="shared" si="95"/>
        <v>1</v>
      </c>
      <c r="Q353" s="27" t="str">
        <f t="shared" si="96"/>
        <v>1</v>
      </c>
      <c r="R353" s="27" t="str">
        <f t="shared" si="97"/>
        <v>1</v>
      </c>
      <c r="S353" s="27" t="str">
        <f t="shared" si="98"/>
        <v>1</v>
      </c>
      <c r="T353" s="27" t="str">
        <f t="shared" si="99"/>
        <v>1</v>
      </c>
      <c r="U353" s="27" t="str">
        <f t="shared" si="100"/>
        <v>1</v>
      </c>
      <c r="V353" s="27" t="str">
        <f t="shared" si="101"/>
        <v>1</v>
      </c>
      <c r="W353" s="27"/>
      <c r="X353" s="27" t="str">
        <f t="shared" si="102"/>
        <v>0</v>
      </c>
      <c r="Y353" s="27" t="str">
        <f t="shared" si="103"/>
        <v>0</v>
      </c>
      <c r="Z353" s="27" t="str">
        <f t="shared" si="104"/>
        <v>0</v>
      </c>
      <c r="AA353" s="121"/>
      <c r="AB353" s="121"/>
      <c r="AC353" s="121"/>
      <c r="AD353" s="121"/>
      <c r="AE353" s="121" t="s">
        <v>51</v>
      </c>
      <c r="AF353" s="121"/>
      <c r="AG353" s="121"/>
      <c r="AH353" s="28" t="s">
        <v>242</v>
      </c>
      <c r="AI353" s="28" t="s">
        <v>113</v>
      </c>
      <c r="AJ353" s="28">
        <v>69050</v>
      </c>
      <c r="AK353" s="121" t="str">
        <f t="shared" si="110"/>
        <v>0</v>
      </c>
      <c r="AL353" s="123" t="str">
        <f t="shared" si="105"/>
        <v>14821/재고재공할당/prod.order/LotChange</v>
      </c>
      <c r="AM353" s="27"/>
      <c r="AN353" s="124"/>
      <c r="AO353" s="124"/>
      <c r="AP353" s="124"/>
      <c r="AQ353" s="124"/>
      <c r="AR353" s="124"/>
      <c r="AS353" s="124"/>
      <c r="AT353" s="124" t="s">
        <v>1941</v>
      </c>
      <c r="AU353" s="124" t="str">
        <f t="shared" si="94"/>
        <v>P286001</v>
      </c>
      <c r="AV353" s="124" t="s">
        <v>2880</v>
      </c>
      <c r="AW353" s="117" t="s">
        <v>2364</v>
      </c>
      <c r="AX353" s="138" t="str">
        <f t="shared" si="107"/>
        <v>delete from module_mst where pjt_id = '14821' and menu_id = '286001';</v>
      </c>
      <c r="AY353" s="31" t="str">
        <f>IF(C353&lt;&gt;"",CREATE_QUERY($D$1,C$2:AW$2,C353:AW353),"")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'286001', '재고재공할당', '', '', '', '', '1', '1', '1', 'prod.order', 'LotChange', '1', '1', '1', '1', '1', '1', '1', '', '0', '0', '0', '', '', '', '', 'N', '', '', '286000', '5', '69050', '0', '14821/재고재공할당/prod.order/LotChange', '', '', '', '', '', '', '', 'P', 'MES-TD3-491', '보유중 재고 또는 현재 생산중인 재고수량을 수주 오더에 할당 등록생산소요량 = 수주량 - 재고 할당량');</v>
      </c>
    </row>
    <row r="354" spans="1:51">
      <c r="A354" s="1">
        <v>147</v>
      </c>
      <c r="B354" s="121" t="str">
        <f t="shared" si="108"/>
        <v xml:space="preserve">        └ 생산지시서 관리</v>
      </c>
      <c r="C354" s="27" t="str">
        <f t="shared" si="109"/>
        <v>14821</v>
      </c>
      <c r="D354" s="121"/>
      <c r="E354" s="27">
        <v>286015</v>
      </c>
      <c r="F354" s="121" t="s">
        <v>2433</v>
      </c>
      <c r="G354" s="121"/>
      <c r="H354" s="121"/>
      <c r="I354" s="121"/>
      <c r="J354" s="121"/>
      <c r="K354" s="27" t="str">
        <f t="shared" si="111"/>
        <v>1</v>
      </c>
      <c r="L354" s="27">
        <v>1</v>
      </c>
      <c r="M354" s="27" t="str">
        <f t="shared" si="112"/>
        <v>1</v>
      </c>
      <c r="N354" s="121" t="s">
        <v>328</v>
      </c>
      <c r="O354" s="121" t="s">
        <v>1898</v>
      </c>
      <c r="P354" s="27" t="str">
        <f t="shared" si="95"/>
        <v>1</v>
      </c>
      <c r="Q354" s="27" t="str">
        <f t="shared" si="96"/>
        <v>1</v>
      </c>
      <c r="R354" s="27" t="str">
        <f t="shared" si="97"/>
        <v>1</v>
      </c>
      <c r="S354" s="27" t="str">
        <f t="shared" si="98"/>
        <v>1</v>
      </c>
      <c r="T354" s="27" t="str">
        <f t="shared" si="99"/>
        <v>1</v>
      </c>
      <c r="U354" s="27" t="str">
        <f t="shared" si="100"/>
        <v>1</v>
      </c>
      <c r="V354" s="27" t="str">
        <f t="shared" si="101"/>
        <v>1</v>
      </c>
      <c r="W354" s="27"/>
      <c r="X354" s="27" t="str">
        <f t="shared" si="102"/>
        <v>0</v>
      </c>
      <c r="Y354" s="27" t="str">
        <f t="shared" si="103"/>
        <v>0</v>
      </c>
      <c r="Z354" s="27" t="str">
        <f t="shared" si="104"/>
        <v>0</v>
      </c>
      <c r="AA354" s="121"/>
      <c r="AB354" s="121"/>
      <c r="AC354" s="121"/>
      <c r="AD354" s="121"/>
      <c r="AE354" s="121" t="s">
        <v>51</v>
      </c>
      <c r="AF354" s="121"/>
      <c r="AG354" s="121"/>
      <c r="AH354" s="28" t="s">
        <v>242</v>
      </c>
      <c r="AI354" s="28" t="s">
        <v>113</v>
      </c>
      <c r="AJ354" s="28">
        <v>69100</v>
      </c>
      <c r="AK354" s="121" t="str">
        <f t="shared" si="110"/>
        <v>0</v>
      </c>
      <c r="AL354" s="123" t="str">
        <f t="shared" si="105"/>
        <v>14821/생산지시서 관리/prod.order/ProdOrderV2</v>
      </c>
      <c r="AM354" s="27"/>
      <c r="AN354" s="124"/>
      <c r="AO354" s="124"/>
      <c r="AP354" s="124"/>
      <c r="AQ354" s="124"/>
      <c r="AR354" s="124" t="s">
        <v>1829</v>
      </c>
      <c r="AS354" s="124" t="s">
        <v>1829</v>
      </c>
      <c r="AT354" s="124" t="s">
        <v>1941</v>
      </c>
      <c r="AU354" s="124" t="str">
        <f t="shared" si="94"/>
        <v>P286015</v>
      </c>
      <c r="AV354" s="124" t="s">
        <v>2881</v>
      </c>
      <c r="AW354" s="117" t="s">
        <v>1932</v>
      </c>
      <c r="AX354" s="138" t="str">
        <f t="shared" si="107"/>
        <v>delete from module_mst where pjt_id = '14821' and menu_id = '286015';</v>
      </c>
      <c r="AY354" s="31" t="str">
        <f>IF(C354&lt;&gt;"",CREATE_QUERY($D$1,C$2:AW$2,C354:AW354),"")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'286015', '생산지시서 관리', '', '', '', '', '1', '1', '1', 'prod.order', 'ProdOrderV2', '1', '1', '1', '1', '1', '1', '1', '', '0', '0', '0', '', '', '', '', 'N', '', '', '286000', '5', '69100', '0', '14821/생산지시서 관리/prod.order/ProdOrderV2', '', '', '', '', '', 'Y', 'Y', 'P', 'MES-TD3-492', '생산계획 수립없이 주문대장을 이용하여 생산 지시서 발행');</v>
      </c>
    </row>
    <row r="355" spans="1:51">
      <c r="A355" s="1">
        <v>147</v>
      </c>
      <c r="B355" s="121" t="str">
        <f t="shared" si="108"/>
        <v xml:space="preserve">        └ 생산지시현황</v>
      </c>
      <c r="C355" s="27" t="str">
        <f t="shared" si="109"/>
        <v>14821</v>
      </c>
      <c r="D355" s="121"/>
      <c r="E355" s="27">
        <v>286018</v>
      </c>
      <c r="F355" s="121" t="s">
        <v>1905</v>
      </c>
      <c r="G355" s="121"/>
      <c r="H355" s="121"/>
      <c r="I355" s="121"/>
      <c r="J355" s="121"/>
      <c r="K355" s="27" t="str">
        <f t="shared" si="111"/>
        <v>1</v>
      </c>
      <c r="L355" s="27">
        <v>1</v>
      </c>
      <c r="M355" s="27" t="str">
        <f t="shared" si="112"/>
        <v>1</v>
      </c>
      <c r="N355" s="121" t="s">
        <v>328</v>
      </c>
      <c r="O355" s="121" t="s">
        <v>1906</v>
      </c>
      <c r="P355" s="27" t="str">
        <f t="shared" si="95"/>
        <v>1</v>
      </c>
      <c r="Q355" s="27" t="str">
        <f t="shared" si="96"/>
        <v>1</v>
      </c>
      <c r="R355" s="27" t="str">
        <f t="shared" si="97"/>
        <v>1</v>
      </c>
      <c r="S355" s="27" t="str">
        <f t="shared" si="98"/>
        <v>1</v>
      </c>
      <c r="T355" s="27" t="str">
        <f t="shared" si="99"/>
        <v>1</v>
      </c>
      <c r="U355" s="27" t="str">
        <f t="shared" si="100"/>
        <v>1</v>
      </c>
      <c r="V355" s="27" t="str">
        <f t="shared" si="101"/>
        <v>1</v>
      </c>
      <c r="W355" s="27"/>
      <c r="X355" s="27" t="str">
        <f t="shared" si="102"/>
        <v>0</v>
      </c>
      <c r="Y355" s="27" t="str">
        <f t="shared" si="103"/>
        <v>0</v>
      </c>
      <c r="Z355" s="27" t="str">
        <f t="shared" si="104"/>
        <v>0</v>
      </c>
      <c r="AA355" s="121"/>
      <c r="AB355" s="121"/>
      <c r="AC355" s="121"/>
      <c r="AD355" s="121"/>
      <c r="AE355" s="121" t="s">
        <v>51</v>
      </c>
      <c r="AF355" s="121"/>
      <c r="AG355" s="121"/>
      <c r="AH355" s="28" t="s">
        <v>242</v>
      </c>
      <c r="AI355" s="28" t="s">
        <v>113</v>
      </c>
      <c r="AJ355" s="28">
        <v>69150</v>
      </c>
      <c r="AK355" s="121" t="str">
        <f t="shared" si="110"/>
        <v>0</v>
      </c>
      <c r="AL355" s="123" t="str">
        <f t="shared" si="105"/>
        <v>14821/생산지시현황/prod.order/ProdOrderList</v>
      </c>
      <c r="AM355" s="27"/>
      <c r="AN355" s="124"/>
      <c r="AO355" s="124"/>
      <c r="AP355" s="124"/>
      <c r="AQ355" s="124"/>
      <c r="AR355" s="124" t="s">
        <v>1829</v>
      </c>
      <c r="AS355" s="124"/>
      <c r="AT355" s="124" t="s">
        <v>1941</v>
      </c>
      <c r="AU355" s="124" t="str">
        <f t="shared" si="94"/>
        <v>P286018</v>
      </c>
      <c r="AV355" s="124" t="s">
        <v>2704</v>
      </c>
      <c r="AW355" s="117" t="s">
        <v>1907</v>
      </c>
      <c r="AX355" s="138" t="str">
        <f t="shared" si="107"/>
        <v>delete from module_mst where pjt_id = '14821' and menu_id = '286018';</v>
      </c>
      <c r="AY355" s="31" t="str">
        <f>IF(C355&lt;&gt;"",CREATE_QUERY($D$1,C$2:AW$2,C355:AW355),"")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'286018', '생산지시현황', '', '', '', '', '1', '1', '1', 'prod.order', 'ProdOrderList', '1', '1', '1', '1', '1', '1', '1', '', '0', '0', '0', '', '', '', '', 'N', '', '', '286000', '5', '69150', '0', '14821/생산지시현황/prod.order/ProdOrderList', '', '', '', '', '', 'Y', '', 'P', 'MES-TD3-493', '생산 지시서 현황 조회');</v>
      </c>
    </row>
    <row r="356" spans="1:51" ht="26">
      <c r="A356" s="140">
        <v>141</v>
      </c>
      <c r="B356" s="141" t="str">
        <f t="shared" si="108"/>
        <v xml:space="preserve">        └ 생산실적모니터링</v>
      </c>
      <c r="C356" s="142" t="str">
        <f t="shared" si="109"/>
        <v>14821</v>
      </c>
      <c r="D356" s="141"/>
      <c r="E356" s="142">
        <v>286017</v>
      </c>
      <c r="F356" s="141" t="s">
        <v>217</v>
      </c>
      <c r="G356" s="141"/>
      <c r="H356" s="141"/>
      <c r="I356" s="141"/>
      <c r="J356" s="141"/>
      <c r="K356" s="142" t="str">
        <f t="shared" si="111"/>
        <v>1</v>
      </c>
      <c r="L356" s="142">
        <v>1</v>
      </c>
      <c r="M356" s="142" t="str">
        <f t="shared" si="112"/>
        <v>1</v>
      </c>
      <c r="N356" s="141" t="s">
        <v>328</v>
      </c>
      <c r="O356" s="141" t="s">
        <v>1900</v>
      </c>
      <c r="P356" s="142" t="str">
        <f t="shared" si="95"/>
        <v>1</v>
      </c>
      <c r="Q356" s="142" t="str">
        <f t="shared" si="96"/>
        <v>1</v>
      </c>
      <c r="R356" s="142" t="str">
        <f t="shared" si="97"/>
        <v>1</v>
      </c>
      <c r="S356" s="142" t="str">
        <f t="shared" si="98"/>
        <v>1</v>
      </c>
      <c r="T356" s="142" t="str">
        <f t="shared" si="99"/>
        <v>1</v>
      </c>
      <c r="U356" s="142" t="str">
        <f t="shared" si="100"/>
        <v>1</v>
      </c>
      <c r="V356" s="142" t="str">
        <f t="shared" si="101"/>
        <v>1</v>
      </c>
      <c r="W356" s="142"/>
      <c r="X356" s="142" t="str">
        <f t="shared" si="102"/>
        <v>0</v>
      </c>
      <c r="Y356" s="142" t="str">
        <f t="shared" si="103"/>
        <v>0</v>
      </c>
      <c r="Z356" s="142" t="str">
        <f t="shared" si="104"/>
        <v>0</v>
      </c>
      <c r="AA356" s="141"/>
      <c r="AB356" s="141"/>
      <c r="AC356" s="141"/>
      <c r="AD356" s="141"/>
      <c r="AE356" s="141" t="s">
        <v>51</v>
      </c>
      <c r="AF356" s="141"/>
      <c r="AG356" s="141"/>
      <c r="AH356" s="143" t="s">
        <v>242</v>
      </c>
      <c r="AI356" s="143" t="s">
        <v>113</v>
      </c>
      <c r="AJ356" s="143">
        <v>69200</v>
      </c>
      <c r="AK356" s="141" t="str">
        <f t="shared" si="110"/>
        <v>0</v>
      </c>
      <c r="AL356" s="144" t="str">
        <f t="shared" si="105"/>
        <v>14821/생산실적모니터링/prod.order/ProdMoniteringV2</v>
      </c>
      <c r="AM356" s="142"/>
      <c r="AN356" s="145"/>
      <c r="AO356" s="145"/>
      <c r="AP356" s="145"/>
      <c r="AQ356" s="145"/>
      <c r="AR356" s="145" t="s">
        <v>1829</v>
      </c>
      <c r="AS356" s="145"/>
      <c r="AT356" s="145" t="s">
        <v>1941</v>
      </c>
      <c r="AU356" s="145" t="str">
        <f t="shared" ref="AU356:AU419" si="114">IF(O356="","",AT356&amp;E356)</f>
        <v>P286017</v>
      </c>
      <c r="AV356" s="145" t="s">
        <v>2705</v>
      </c>
      <c r="AW356" s="146" t="s">
        <v>2922</v>
      </c>
      <c r="AX356" s="147" t="str">
        <f t="shared" si="107"/>
        <v>delete from module_mst where pjt_id = '14821' and menu_id = '286017';</v>
      </c>
      <c r="AY356" s="148" t="str">
        <f>IF(C356&lt;&gt;"",CREATE_QUERY($D$1,C$2:AW$2,C356:AW356),"")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'286017', '생산실적모니터링', '', '', '', '', '1', '1', '1', 'prod.order', 'ProdMoniteringV2', '1', '1', '1', '1', '1', '1', '1', '', '0', '0', '0', '', '', '', '', 'N', '', '', '286000', '5', '69200', '0', '14821/생산실적모니터링/prod.order/ProdMoniteringV2', '', '', '', '', '', 'Y', '', 'P', 'MES-TD3-494', '실시간 생산 실적 현황 조회
9/3 :모쥴 미개발 상태 메뉴에서 잠정 삭제처리 함.');</v>
      </c>
    </row>
    <row r="357" spans="1:51" ht="26">
      <c r="A357" s="140">
        <v>142</v>
      </c>
      <c r="B357" s="141" t="str">
        <f t="shared" si="108"/>
        <v xml:space="preserve">        └ 생산실적 관리</v>
      </c>
      <c r="C357" s="142" t="str">
        <f t="shared" si="109"/>
        <v>14821</v>
      </c>
      <c r="D357" s="141"/>
      <c r="E357" s="142">
        <v>286016</v>
      </c>
      <c r="F357" s="141" t="s">
        <v>218</v>
      </c>
      <c r="G357" s="141"/>
      <c r="H357" s="141"/>
      <c r="I357" s="141"/>
      <c r="J357" s="141"/>
      <c r="K357" s="142" t="str">
        <f t="shared" si="111"/>
        <v>1</v>
      </c>
      <c r="L357" s="142">
        <v>1</v>
      </c>
      <c r="M357" s="142" t="str">
        <f t="shared" si="112"/>
        <v>1</v>
      </c>
      <c r="N357" s="141" t="s">
        <v>328</v>
      </c>
      <c r="O357" s="141" t="s">
        <v>1897</v>
      </c>
      <c r="P357" s="142" t="str">
        <f t="shared" si="95"/>
        <v>1</v>
      </c>
      <c r="Q357" s="142" t="str">
        <f t="shared" si="96"/>
        <v>1</v>
      </c>
      <c r="R357" s="142" t="str">
        <f t="shared" si="97"/>
        <v>1</v>
      </c>
      <c r="S357" s="142" t="str">
        <f t="shared" si="98"/>
        <v>1</v>
      </c>
      <c r="T357" s="142" t="str">
        <f t="shared" si="99"/>
        <v>1</v>
      </c>
      <c r="U357" s="142" t="str">
        <f t="shared" si="100"/>
        <v>1</v>
      </c>
      <c r="V357" s="142" t="str">
        <f t="shared" si="101"/>
        <v>1</v>
      </c>
      <c r="W357" s="142"/>
      <c r="X357" s="142" t="str">
        <f t="shared" si="102"/>
        <v>0</v>
      </c>
      <c r="Y357" s="142" t="str">
        <f t="shared" si="103"/>
        <v>0</v>
      </c>
      <c r="Z357" s="142" t="str">
        <f t="shared" si="104"/>
        <v>0</v>
      </c>
      <c r="AA357" s="141"/>
      <c r="AB357" s="141"/>
      <c r="AC357" s="141"/>
      <c r="AD357" s="141"/>
      <c r="AE357" s="141" t="s">
        <v>51</v>
      </c>
      <c r="AF357" s="141"/>
      <c r="AG357" s="141"/>
      <c r="AH357" s="143" t="s">
        <v>242</v>
      </c>
      <c r="AI357" s="143" t="s">
        <v>113</v>
      </c>
      <c r="AJ357" s="143">
        <v>69250</v>
      </c>
      <c r="AK357" s="141" t="str">
        <f t="shared" si="110"/>
        <v>0</v>
      </c>
      <c r="AL357" s="144" t="str">
        <f t="shared" si="105"/>
        <v>14821/생산실적 관리/prod.order/WorkEntryV2</v>
      </c>
      <c r="AM357" s="142"/>
      <c r="AN357" s="145"/>
      <c r="AO357" s="145"/>
      <c r="AP357" s="145"/>
      <c r="AQ357" s="145"/>
      <c r="AR357" s="145" t="s">
        <v>1829</v>
      </c>
      <c r="AS357" s="145"/>
      <c r="AT357" s="145" t="s">
        <v>1941</v>
      </c>
      <c r="AU357" s="145" t="str">
        <f t="shared" si="114"/>
        <v>P286016</v>
      </c>
      <c r="AV357" s="145" t="s">
        <v>2706</v>
      </c>
      <c r="AW357" s="146" t="s">
        <v>2923</v>
      </c>
      <c r="AX357" s="147" t="str">
        <f t="shared" si="107"/>
        <v>delete from module_mst where pjt_id = '14821' and menu_id = '286016';</v>
      </c>
      <c r="AY357" s="148" t="str">
        <f>IF(C357&lt;&gt;"",CREATE_QUERY($D$1,C$2:AW$2,C357:AW357),"")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'286016', '생산실적 관리', '', '', '', '', '1', '1', '1', 'prod.order', 'WorkEntryV2', '1', '1', '1', '1', '1', '1', '1', '', '0', '0', '0', '', '', '', '', 'N', '', '', '286000', '5', '69250', '0', '14821/생산실적 관리/prod.order/WorkEntryV2', '', '', '', '', '', 'Y', '', 'P', 'MES-TD3-495', '현장 생산 실적 등록
9/3 :모쥴 미개발 상태 메뉴에서 잠정 삭제처리 함.');</v>
      </c>
    </row>
    <row r="358" spans="1:51">
      <c r="A358" s="1">
        <v>143</v>
      </c>
      <c r="B358" s="121" t="str">
        <f t="shared" si="108"/>
        <v xml:space="preserve">        └ 생산일보</v>
      </c>
      <c r="C358" s="27" t="str">
        <f t="shared" si="109"/>
        <v>14821</v>
      </c>
      <c r="D358" s="121"/>
      <c r="E358" s="27">
        <v>286005</v>
      </c>
      <c r="F358" s="121" t="s">
        <v>234</v>
      </c>
      <c r="G358" s="121"/>
      <c r="H358" s="121"/>
      <c r="I358" s="121"/>
      <c r="J358" s="121"/>
      <c r="K358" s="27" t="str">
        <f t="shared" si="111"/>
        <v>1</v>
      </c>
      <c r="L358" s="27">
        <v>1</v>
      </c>
      <c r="M358" s="27" t="str">
        <f t="shared" si="112"/>
        <v>1</v>
      </c>
      <c r="N358" s="121" t="s">
        <v>328</v>
      </c>
      <c r="O358" s="121" t="s">
        <v>253</v>
      </c>
      <c r="P358" s="27" t="str">
        <f t="shared" si="95"/>
        <v>1</v>
      </c>
      <c r="Q358" s="27" t="str">
        <f t="shared" si="96"/>
        <v>1</v>
      </c>
      <c r="R358" s="27" t="str">
        <f t="shared" si="97"/>
        <v>1</v>
      </c>
      <c r="S358" s="27" t="str">
        <f t="shared" si="98"/>
        <v>1</v>
      </c>
      <c r="T358" s="27" t="str">
        <f t="shared" si="99"/>
        <v>1</v>
      </c>
      <c r="U358" s="27" t="str">
        <f t="shared" si="100"/>
        <v>1</v>
      </c>
      <c r="V358" s="27" t="str">
        <f t="shared" si="101"/>
        <v>1</v>
      </c>
      <c r="W358" s="27"/>
      <c r="X358" s="27" t="str">
        <f t="shared" si="102"/>
        <v>0</v>
      </c>
      <c r="Y358" s="27" t="str">
        <f t="shared" si="103"/>
        <v>0</v>
      </c>
      <c r="Z358" s="27" t="str">
        <f t="shared" si="104"/>
        <v>0</v>
      </c>
      <c r="AA358" s="121"/>
      <c r="AB358" s="121"/>
      <c r="AC358" s="121"/>
      <c r="AD358" s="121"/>
      <c r="AE358" s="121" t="s">
        <v>51</v>
      </c>
      <c r="AF358" s="121"/>
      <c r="AG358" s="121"/>
      <c r="AH358" s="28" t="s">
        <v>242</v>
      </c>
      <c r="AI358" s="28" t="s">
        <v>113</v>
      </c>
      <c r="AJ358" s="28">
        <v>69300</v>
      </c>
      <c r="AK358" s="121" t="str">
        <f t="shared" si="110"/>
        <v>0</v>
      </c>
      <c r="AL358" s="123" t="str">
        <f t="shared" si="105"/>
        <v>14821/생산일보/prod.order/WorkBook</v>
      </c>
      <c r="AM358" s="27"/>
      <c r="AN358" s="124"/>
      <c r="AO358" s="124" t="s">
        <v>1829</v>
      </c>
      <c r="AP358" s="124"/>
      <c r="AQ358" s="124"/>
      <c r="AR358" s="124" t="s">
        <v>1829</v>
      </c>
      <c r="AS358" s="124"/>
      <c r="AT358" s="124" t="s">
        <v>1941</v>
      </c>
      <c r="AU358" s="124" t="str">
        <f t="shared" si="114"/>
        <v>P286005</v>
      </c>
      <c r="AV358" s="124" t="s">
        <v>2707</v>
      </c>
      <c r="AW358" s="117" t="s">
        <v>2124</v>
      </c>
      <c r="AX358" s="138" t="str">
        <f t="shared" si="107"/>
        <v>delete from module_mst where pjt_id = '14821' and menu_id = '286005';</v>
      </c>
      <c r="AY358" s="31" t="str">
        <f>IF(C358&lt;&gt;"",CREATE_QUERY($D$1,C$2:AW$2,C358:AW358),"")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'286005', '생산일보', '', '', '', '', '1', '1', '1', 'prod.order', 'WorkBook', '1', '1', '1', '1', '1', '1', '1', '', '0', '0', '0', '', '', '', '', 'N', '', '', '286000', '5', '69300', '0', '14821/생산일보/prod.order/WorkBook', '', '', 'Y', '', '', 'Y', '', 'P', 'MES-TD3-496', '일자별 생산현황 리스트');</v>
      </c>
    </row>
    <row r="359" spans="1:51">
      <c r="A359" s="1">
        <v>144</v>
      </c>
      <c r="B359" s="121" t="str">
        <f t="shared" si="108"/>
        <v xml:space="preserve">        └ 생산투입현황</v>
      </c>
      <c r="C359" s="27" t="str">
        <f t="shared" si="109"/>
        <v>14821</v>
      </c>
      <c r="D359" s="121"/>
      <c r="E359" s="27">
        <v>286006</v>
      </c>
      <c r="F359" s="121" t="s">
        <v>265</v>
      </c>
      <c r="G359" s="121"/>
      <c r="H359" s="121"/>
      <c r="I359" s="121"/>
      <c r="J359" s="121"/>
      <c r="K359" s="27" t="str">
        <f t="shared" si="111"/>
        <v>1</v>
      </c>
      <c r="L359" s="27">
        <v>1</v>
      </c>
      <c r="M359" s="27" t="str">
        <f t="shared" si="112"/>
        <v>1</v>
      </c>
      <c r="N359" s="121" t="s">
        <v>328</v>
      </c>
      <c r="O359" s="121" t="s">
        <v>393</v>
      </c>
      <c r="P359" s="27" t="str">
        <f t="shared" si="95"/>
        <v>1</v>
      </c>
      <c r="Q359" s="27" t="str">
        <f t="shared" si="96"/>
        <v>1</v>
      </c>
      <c r="R359" s="27" t="str">
        <f t="shared" si="97"/>
        <v>1</v>
      </c>
      <c r="S359" s="27" t="str">
        <f t="shared" si="98"/>
        <v>1</v>
      </c>
      <c r="T359" s="27" t="str">
        <f t="shared" si="99"/>
        <v>1</v>
      </c>
      <c r="U359" s="27" t="str">
        <f t="shared" si="100"/>
        <v>1</v>
      </c>
      <c r="V359" s="27" t="str">
        <f t="shared" si="101"/>
        <v>1</v>
      </c>
      <c r="W359" s="27"/>
      <c r="X359" s="27" t="str">
        <f t="shared" si="102"/>
        <v>0</v>
      </c>
      <c r="Y359" s="27" t="str">
        <f t="shared" si="103"/>
        <v>0</v>
      </c>
      <c r="Z359" s="27" t="str">
        <f t="shared" si="104"/>
        <v>0</v>
      </c>
      <c r="AA359" s="121"/>
      <c r="AB359" s="121"/>
      <c r="AC359" s="121"/>
      <c r="AD359" s="121"/>
      <c r="AE359" s="121" t="s">
        <v>51</v>
      </c>
      <c r="AF359" s="121"/>
      <c r="AG359" s="121"/>
      <c r="AH359" s="28" t="s">
        <v>242</v>
      </c>
      <c r="AI359" s="28" t="s">
        <v>113</v>
      </c>
      <c r="AJ359" s="28">
        <v>69350</v>
      </c>
      <c r="AK359" s="121" t="str">
        <f t="shared" si="110"/>
        <v>0</v>
      </c>
      <c r="AL359" s="123" t="str">
        <f t="shared" si="105"/>
        <v>14821/생산투입현황/prod.order/ProdInput</v>
      </c>
      <c r="AM359" s="27"/>
      <c r="AN359" s="124"/>
      <c r="AO359" s="124" t="s">
        <v>1829</v>
      </c>
      <c r="AP359" s="124"/>
      <c r="AQ359" s="124"/>
      <c r="AR359" s="124" t="s">
        <v>1829</v>
      </c>
      <c r="AS359" s="124"/>
      <c r="AT359" s="124" t="s">
        <v>1941</v>
      </c>
      <c r="AU359" s="124" t="str">
        <f t="shared" si="114"/>
        <v>P286006</v>
      </c>
      <c r="AV359" s="124" t="s">
        <v>2865</v>
      </c>
      <c r="AW359" s="117" t="s">
        <v>2127</v>
      </c>
      <c r="AX359" s="138" t="str">
        <f t="shared" si="107"/>
        <v>delete from module_mst where pjt_id = '14821' and menu_id = '286006';</v>
      </c>
      <c r="AY359" s="31" t="str">
        <f>IF(C359&lt;&gt;"",CREATE_QUERY($D$1,C$2:AW$2,C359:AW359),"")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'286006', '생산투입현황', '', '', '', '', '1', '1', '1', 'prod.order', 'ProdInput', '1', '1', '1', '1', '1', '1', '1', '', '0', '0', '0', '', '', '', '', 'N', '', '', '286000', '5', '69350', '0', '14821/생산투입현황/prod.order/ProdInput', '', '', 'Y', '', '', 'Y', '', 'P', 'MES-TD3-497', '특정 일자의 생산 라인 투입 현황');</v>
      </c>
    </row>
    <row r="360" spans="1:51" ht="26">
      <c r="A360" s="140">
        <v>145</v>
      </c>
      <c r="B360" s="141" t="str">
        <f t="shared" si="108"/>
        <v xml:space="preserve">        └ 생산포장현황</v>
      </c>
      <c r="C360" s="142" t="str">
        <f t="shared" si="109"/>
        <v>14821</v>
      </c>
      <c r="D360" s="141"/>
      <c r="E360" s="142">
        <v>286007</v>
      </c>
      <c r="F360" s="141" t="s">
        <v>266</v>
      </c>
      <c r="G360" s="141"/>
      <c r="H360" s="141"/>
      <c r="I360" s="141"/>
      <c r="J360" s="141"/>
      <c r="K360" s="142" t="str">
        <f t="shared" si="111"/>
        <v>1</v>
      </c>
      <c r="L360" s="142">
        <v>1</v>
      </c>
      <c r="M360" s="142" t="str">
        <f t="shared" si="112"/>
        <v>1</v>
      </c>
      <c r="N360" s="141" t="s">
        <v>328</v>
      </c>
      <c r="O360" s="141" t="s">
        <v>274</v>
      </c>
      <c r="P360" s="142" t="str">
        <f t="shared" si="95"/>
        <v>1</v>
      </c>
      <c r="Q360" s="142" t="str">
        <f t="shared" si="96"/>
        <v>1</v>
      </c>
      <c r="R360" s="142" t="str">
        <f t="shared" si="97"/>
        <v>1</v>
      </c>
      <c r="S360" s="142" t="str">
        <f t="shared" si="98"/>
        <v>1</v>
      </c>
      <c r="T360" s="142" t="str">
        <f t="shared" si="99"/>
        <v>1</v>
      </c>
      <c r="U360" s="142" t="str">
        <f t="shared" si="100"/>
        <v>1</v>
      </c>
      <c r="V360" s="142" t="str">
        <f t="shared" si="101"/>
        <v>1</v>
      </c>
      <c r="W360" s="142"/>
      <c r="X360" s="142" t="str">
        <f t="shared" si="102"/>
        <v>0</v>
      </c>
      <c r="Y360" s="142" t="str">
        <f t="shared" si="103"/>
        <v>0</v>
      </c>
      <c r="Z360" s="142" t="str">
        <f t="shared" si="104"/>
        <v>0</v>
      </c>
      <c r="AA360" s="141"/>
      <c r="AB360" s="141"/>
      <c r="AC360" s="141"/>
      <c r="AD360" s="141"/>
      <c r="AE360" s="141" t="s">
        <v>51</v>
      </c>
      <c r="AF360" s="141"/>
      <c r="AG360" s="141"/>
      <c r="AH360" s="143" t="s">
        <v>242</v>
      </c>
      <c r="AI360" s="143" t="s">
        <v>113</v>
      </c>
      <c r="AJ360" s="143">
        <v>69400</v>
      </c>
      <c r="AK360" s="141" t="str">
        <f t="shared" si="110"/>
        <v>0</v>
      </c>
      <c r="AL360" s="144" t="str">
        <f t="shared" si="105"/>
        <v>14821/생산포장현황/prod.order/PackingList</v>
      </c>
      <c r="AM360" s="142"/>
      <c r="AN360" s="145"/>
      <c r="AO360" s="145"/>
      <c r="AP360" s="145"/>
      <c r="AQ360" s="145"/>
      <c r="AR360" s="145"/>
      <c r="AS360" s="145"/>
      <c r="AT360" s="145" t="s">
        <v>1941</v>
      </c>
      <c r="AU360" s="145" t="str">
        <f t="shared" si="114"/>
        <v>P286007</v>
      </c>
      <c r="AV360" s="145" t="s">
        <v>2866</v>
      </c>
      <c r="AW360" s="146" t="s">
        <v>2924</v>
      </c>
      <c r="AX360" s="147" t="str">
        <f t="shared" si="107"/>
        <v>delete from module_mst where pjt_id = '14821' and menu_id = '286007';</v>
      </c>
      <c r="AY360" s="148" t="str">
        <f>IF(C360&lt;&gt;"",CREATE_QUERY($D$1,C$2:AW$2,C360:AW360),"")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'286007', '생산포장현황', '', '', '', '', '1', '1', '1', 'prod.order', 'PackingList', '1', '1', '1', '1', '1', '1', '1', '', '0', '0', '0', '', '', '', '', 'N', '', '', '286000', '5', '69400', '0', '14821/생산포장현황/prod.order/PackingList', '', '', '', '', '', '', '', 'P', 'MES-TD3-498', '특정 일자의 생산 완성 후 포장 현황
9/3 :모쥴 미개발 상태 메뉴에서 잠정 삭제처리 함.');</v>
      </c>
    </row>
    <row r="361" spans="1:51">
      <c r="A361" s="1">
        <v>146</v>
      </c>
      <c r="B361" s="121" t="str">
        <f t="shared" si="108"/>
        <v xml:space="preserve">        └ 생산불량현황</v>
      </c>
      <c r="C361" s="27" t="str">
        <f t="shared" si="109"/>
        <v>14821</v>
      </c>
      <c r="D361" s="121"/>
      <c r="E361" s="27">
        <v>286008</v>
      </c>
      <c r="F361" s="121" t="s">
        <v>267</v>
      </c>
      <c r="G361" s="121"/>
      <c r="H361" s="121"/>
      <c r="I361" s="121"/>
      <c r="J361" s="121"/>
      <c r="K361" s="27" t="str">
        <f t="shared" si="111"/>
        <v>1</v>
      </c>
      <c r="L361" s="27">
        <v>1</v>
      </c>
      <c r="M361" s="27" t="str">
        <f t="shared" si="112"/>
        <v>1</v>
      </c>
      <c r="N361" s="121" t="s">
        <v>328</v>
      </c>
      <c r="O361" s="121" t="s">
        <v>275</v>
      </c>
      <c r="P361" s="27" t="str">
        <f t="shared" si="95"/>
        <v>1</v>
      </c>
      <c r="Q361" s="27" t="str">
        <f t="shared" si="96"/>
        <v>1</v>
      </c>
      <c r="R361" s="27" t="str">
        <f t="shared" si="97"/>
        <v>1</v>
      </c>
      <c r="S361" s="27" t="str">
        <f t="shared" si="98"/>
        <v>1</v>
      </c>
      <c r="T361" s="27" t="str">
        <f t="shared" si="99"/>
        <v>1</v>
      </c>
      <c r="U361" s="27" t="str">
        <f t="shared" si="100"/>
        <v>1</v>
      </c>
      <c r="V361" s="27" t="str">
        <f t="shared" si="101"/>
        <v>1</v>
      </c>
      <c r="W361" s="27"/>
      <c r="X361" s="27" t="str">
        <f t="shared" si="102"/>
        <v>0</v>
      </c>
      <c r="Y361" s="27" t="str">
        <f t="shared" si="103"/>
        <v>0</v>
      </c>
      <c r="Z361" s="27" t="str">
        <f t="shared" si="104"/>
        <v>0</v>
      </c>
      <c r="AA361" s="121"/>
      <c r="AB361" s="121"/>
      <c r="AC361" s="121"/>
      <c r="AD361" s="121"/>
      <c r="AE361" s="121" t="s">
        <v>51</v>
      </c>
      <c r="AF361" s="121"/>
      <c r="AG361" s="121"/>
      <c r="AH361" s="28" t="s">
        <v>242</v>
      </c>
      <c r="AI361" s="28" t="s">
        <v>113</v>
      </c>
      <c r="AJ361" s="28">
        <v>69450</v>
      </c>
      <c r="AK361" s="121" t="str">
        <f t="shared" si="110"/>
        <v>0</v>
      </c>
      <c r="AL361" s="123" t="str">
        <f t="shared" si="105"/>
        <v>14821/생산불량현황/prod.order/ProdNotList</v>
      </c>
      <c r="AM361" s="27"/>
      <c r="AN361" s="124"/>
      <c r="AO361" s="124" t="s">
        <v>1829</v>
      </c>
      <c r="AP361" s="124"/>
      <c r="AQ361" s="124"/>
      <c r="AR361" s="124" t="s">
        <v>1829</v>
      </c>
      <c r="AS361" s="124"/>
      <c r="AT361" s="124" t="s">
        <v>1941</v>
      </c>
      <c r="AU361" s="124" t="str">
        <f t="shared" si="114"/>
        <v>P286008</v>
      </c>
      <c r="AV361" s="124" t="s">
        <v>2867</v>
      </c>
      <c r="AW361" s="117" t="s">
        <v>2129</v>
      </c>
      <c r="AX361" s="138" t="str">
        <f t="shared" si="107"/>
        <v>delete from module_mst where pjt_id = '14821' and menu_id = '286008';</v>
      </c>
      <c r="AY361" s="31" t="str">
        <f>IF(C361&lt;&gt;"",CREATE_QUERY($D$1,C$2:AW$2,C361:AW361),"")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'286008', '생산불량현황', '', '', '', '', '1', '1', '1', 'prod.order', 'ProdNotList', '1', '1', '1', '1', '1', '1', '1', '', '0', '0', '0', '', '', '', '', 'N', '', '', '286000', '5', '69450', '0', '14821/생산불량현황/prod.order/ProdNotList', '', '', 'Y', '', '', 'Y', '', 'P', 'MES-TD3-499', '특정 일자별 생산 불량 발생현황 리스트');</v>
      </c>
    </row>
    <row r="362" spans="1:51">
      <c r="A362" s="1">
        <v>147</v>
      </c>
      <c r="B362" s="121" t="str">
        <f t="shared" si="108"/>
        <v xml:space="preserve">        └ 실시간 생산현황</v>
      </c>
      <c r="C362" s="27" t="str">
        <f t="shared" si="109"/>
        <v>14821</v>
      </c>
      <c r="D362" s="121"/>
      <c r="E362" s="27">
        <v>286009</v>
      </c>
      <c r="F362" s="121" t="s">
        <v>279</v>
      </c>
      <c r="G362" s="121"/>
      <c r="H362" s="121"/>
      <c r="I362" s="121"/>
      <c r="J362" s="121"/>
      <c r="K362" s="27" t="str">
        <f t="shared" si="111"/>
        <v>1</v>
      </c>
      <c r="L362" s="27">
        <v>1</v>
      </c>
      <c r="M362" s="27" t="str">
        <f t="shared" si="112"/>
        <v>1</v>
      </c>
      <c r="N362" s="121" t="s">
        <v>328</v>
      </c>
      <c r="O362" s="121" t="s">
        <v>280</v>
      </c>
      <c r="P362" s="27" t="str">
        <f t="shared" ref="P362:P430" si="115">IF(O362="","0","1")</f>
        <v>1</v>
      </c>
      <c r="Q362" s="27" t="str">
        <f t="shared" ref="Q362:Q430" si="116">IF(O362="","0","1")</f>
        <v>1</v>
      </c>
      <c r="R362" s="27" t="str">
        <f t="shared" ref="R362:R430" si="117">IF(O362="","0","1")</f>
        <v>1</v>
      </c>
      <c r="S362" s="27" t="str">
        <f t="shared" ref="S362:S430" si="118">IF(O362="","0","1")</f>
        <v>1</v>
      </c>
      <c r="T362" s="27" t="str">
        <f t="shared" ref="T362:T430" si="119">IF(O362="","0","1")</f>
        <v>1</v>
      </c>
      <c r="U362" s="27" t="str">
        <f t="shared" ref="U362:U430" si="120">IF(O362="","0","1")</f>
        <v>1</v>
      </c>
      <c r="V362" s="27" t="str">
        <f t="shared" ref="V362:V430" si="121">IF(O362="","1","1")</f>
        <v>1</v>
      </c>
      <c r="W362" s="27"/>
      <c r="X362" s="27" t="str">
        <f t="shared" ref="X362:X430" si="122">IF(O362="","","0")</f>
        <v>0</v>
      </c>
      <c r="Y362" s="27" t="str">
        <f t="shared" ref="Y362:Y430" si="123">IF(O362="","","0")</f>
        <v>0</v>
      </c>
      <c r="Z362" s="27" t="str">
        <f t="shared" ref="Z362:Z430" si="124">IF(O362="","","0")</f>
        <v>0</v>
      </c>
      <c r="AA362" s="121"/>
      <c r="AB362" s="121"/>
      <c r="AC362" s="121"/>
      <c r="AD362" s="121"/>
      <c r="AE362" s="121" t="s">
        <v>51</v>
      </c>
      <c r="AF362" s="121"/>
      <c r="AG362" s="121"/>
      <c r="AH362" s="28" t="s">
        <v>242</v>
      </c>
      <c r="AI362" s="28" t="s">
        <v>113</v>
      </c>
      <c r="AJ362" s="28">
        <v>69500</v>
      </c>
      <c r="AK362" s="121" t="str">
        <f t="shared" si="110"/>
        <v>0</v>
      </c>
      <c r="AL362" s="123" t="str">
        <f t="shared" si="105"/>
        <v>14821/실시간 생산현황/prod.order/ProdRealTime</v>
      </c>
      <c r="AM362" s="27"/>
      <c r="AN362" s="124"/>
      <c r="AO362" s="124"/>
      <c r="AP362" s="124"/>
      <c r="AQ362" s="124"/>
      <c r="AR362" s="124"/>
      <c r="AS362" s="124"/>
      <c r="AT362" s="124" t="s">
        <v>1941</v>
      </c>
      <c r="AU362" s="124" t="str">
        <f t="shared" si="114"/>
        <v>P286009</v>
      </c>
      <c r="AV362" s="124" t="s">
        <v>2868</v>
      </c>
      <c r="AW362" s="117" t="s">
        <v>2131</v>
      </c>
      <c r="AX362" s="138" t="str">
        <f t="shared" si="107"/>
        <v>delete from module_mst where pjt_id = '14821' and menu_id = '286009';</v>
      </c>
      <c r="AY362" s="31" t="str">
        <f>IF(C362&lt;&gt;"",CREATE_QUERY($D$1,C$2:AW$2,C362:AW362),"")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'286009', '실시간 생산현황', '', '', '', '', '1', '1', '1', 'prod.order', 'ProdRealTime', '1', '1', '1', '1', '1', '1', '1', '', '0', '0', '0', '', '', '', '', 'N', '', '', '286000', '5', '69500', '0', '14821/실시간 생산현황/prod.order/ProdRealTime', '', '', '', '', '', '', '', 'P', 'MES-TD3-500', '조회 시점 현재의 생산 현황 리스트 ');</v>
      </c>
    </row>
    <row r="363" spans="1:51" ht="39">
      <c r="A363" s="140">
        <v>147</v>
      </c>
      <c r="B363" s="141" t="str">
        <f t="shared" si="108"/>
        <v xml:space="preserve">        └ 작업진행현황</v>
      </c>
      <c r="C363" s="142" t="str">
        <f t="shared" si="109"/>
        <v>14821</v>
      </c>
      <c r="D363" s="141"/>
      <c r="E363" s="142">
        <v>286010</v>
      </c>
      <c r="F363" s="141" t="s">
        <v>383</v>
      </c>
      <c r="G363" s="141"/>
      <c r="H363" s="141"/>
      <c r="I363" s="141"/>
      <c r="J363" s="141"/>
      <c r="K363" s="142" t="str">
        <f t="shared" si="111"/>
        <v>1</v>
      </c>
      <c r="L363" s="142">
        <v>1</v>
      </c>
      <c r="M363" s="142" t="str">
        <f t="shared" si="112"/>
        <v>1</v>
      </c>
      <c r="N363" s="141" t="s">
        <v>346</v>
      </c>
      <c r="O363" s="141" t="s">
        <v>384</v>
      </c>
      <c r="P363" s="142" t="str">
        <f t="shared" si="115"/>
        <v>1</v>
      </c>
      <c r="Q363" s="142" t="str">
        <f t="shared" si="116"/>
        <v>1</v>
      </c>
      <c r="R363" s="142" t="str">
        <f t="shared" si="117"/>
        <v>1</v>
      </c>
      <c r="S363" s="142" t="str">
        <f t="shared" si="118"/>
        <v>1</v>
      </c>
      <c r="T363" s="142" t="str">
        <f t="shared" si="119"/>
        <v>1</v>
      </c>
      <c r="U363" s="142" t="str">
        <f t="shared" si="120"/>
        <v>1</v>
      </c>
      <c r="V363" s="142" t="str">
        <f t="shared" si="121"/>
        <v>1</v>
      </c>
      <c r="W363" s="142"/>
      <c r="X363" s="142" t="str">
        <f t="shared" si="122"/>
        <v>0</v>
      </c>
      <c r="Y363" s="142" t="str">
        <f t="shared" si="123"/>
        <v>0</v>
      </c>
      <c r="Z363" s="142" t="str">
        <f t="shared" si="124"/>
        <v>0</v>
      </c>
      <c r="AA363" s="141"/>
      <c r="AB363" s="141"/>
      <c r="AC363" s="141"/>
      <c r="AD363" s="141"/>
      <c r="AE363" s="141" t="s">
        <v>51</v>
      </c>
      <c r="AF363" s="141"/>
      <c r="AG363" s="141"/>
      <c r="AH363" s="143" t="s">
        <v>242</v>
      </c>
      <c r="AI363" s="143" t="s">
        <v>113</v>
      </c>
      <c r="AJ363" s="143">
        <v>69550</v>
      </c>
      <c r="AK363" s="141" t="str">
        <f t="shared" si="110"/>
        <v>0</v>
      </c>
      <c r="AL363" s="144" t="str">
        <f t="shared" si="105"/>
        <v>14821/작업진행현황/prod.project/PrjtWorkReport</v>
      </c>
      <c r="AM363" s="142"/>
      <c r="AN363" s="145"/>
      <c r="AO363" s="145"/>
      <c r="AP363" s="145"/>
      <c r="AQ363" s="145" t="s">
        <v>1829</v>
      </c>
      <c r="AR363" s="145"/>
      <c r="AS363" s="145"/>
      <c r="AT363" s="145" t="s">
        <v>1941</v>
      </c>
      <c r="AU363" s="145" t="str">
        <f t="shared" si="114"/>
        <v>P286010</v>
      </c>
      <c r="AV363" s="145" t="s">
        <v>2869</v>
      </c>
      <c r="AW363" s="146" t="s">
        <v>2925</v>
      </c>
      <c r="AX363" s="147" t="str">
        <f t="shared" si="107"/>
        <v>delete from module_mst where pjt_id = '14821' and menu_id = '286010';</v>
      </c>
      <c r="AY363" s="148" t="str">
        <f>IF(C363&lt;&gt;"",CREATE_QUERY($D$1,C$2:AW$2,C363:AW363),"")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'286010', '작업진행현황', '', '', '', '', '1', '1', '1', 'prod.project', 'PrjtWorkReport', '1', '1', '1', '1', '1', '1', '1', '', '0', '0', '0', '', '', '', '', 'N', '', '', '286000', '5', '69550', '0', '14821/작업진행현황/prod.project/PrjtWorkReport', '', '', '', '', 'Y', '', '', 'P', 'MES-TD3-501', '작업 진행 현황 조회(수주,생산계획, 생산실적, 출하지시, 출고 연관 조회)
9/3 :모쥴 미개발 상태 메뉴에서 잠정 삭제처리 함.');</v>
      </c>
    </row>
    <row r="364" spans="1:51">
      <c r="A364" s="1">
        <v>140</v>
      </c>
      <c r="B364" s="121" t="str">
        <f t="shared" si="108"/>
        <v xml:space="preserve">        └ (두인)생산지시등록</v>
      </c>
      <c r="C364" s="27" t="str">
        <f t="shared" si="109"/>
        <v>14821</v>
      </c>
      <c r="D364" s="121"/>
      <c r="E364" s="27">
        <v>286002</v>
      </c>
      <c r="F364" s="121" t="s">
        <v>216</v>
      </c>
      <c r="G364" s="121"/>
      <c r="H364" s="121"/>
      <c r="I364" s="121"/>
      <c r="J364" s="121"/>
      <c r="K364" s="27" t="str">
        <f t="shared" si="111"/>
        <v>1</v>
      </c>
      <c r="L364" s="27">
        <v>1</v>
      </c>
      <c r="M364" s="27" t="str">
        <f t="shared" si="112"/>
        <v>1</v>
      </c>
      <c r="N364" s="121" t="s">
        <v>328</v>
      </c>
      <c r="O364" s="121" t="s">
        <v>251</v>
      </c>
      <c r="P364" s="27" t="str">
        <f t="shared" si="115"/>
        <v>1</v>
      </c>
      <c r="Q364" s="27" t="str">
        <f t="shared" si="116"/>
        <v>1</v>
      </c>
      <c r="R364" s="27" t="str">
        <f t="shared" si="117"/>
        <v>1</v>
      </c>
      <c r="S364" s="27" t="str">
        <f t="shared" si="118"/>
        <v>1</v>
      </c>
      <c r="T364" s="27" t="str">
        <f t="shared" si="119"/>
        <v>1</v>
      </c>
      <c r="U364" s="27" t="str">
        <f t="shared" si="120"/>
        <v>1</v>
      </c>
      <c r="V364" s="27" t="str">
        <f t="shared" si="121"/>
        <v>1</v>
      </c>
      <c r="W364" s="27"/>
      <c r="X364" s="27" t="str">
        <f t="shared" si="122"/>
        <v>0</v>
      </c>
      <c r="Y364" s="27" t="str">
        <f t="shared" si="123"/>
        <v>0</v>
      </c>
      <c r="Z364" s="27" t="str">
        <f t="shared" si="124"/>
        <v>0</v>
      </c>
      <c r="AA364" s="121"/>
      <c r="AB364" s="121"/>
      <c r="AC364" s="121"/>
      <c r="AD364" s="121"/>
      <c r="AE364" s="121" t="s">
        <v>51</v>
      </c>
      <c r="AF364" s="121"/>
      <c r="AG364" s="121"/>
      <c r="AH364" s="28" t="s">
        <v>242</v>
      </c>
      <c r="AI364" s="28" t="s">
        <v>113</v>
      </c>
      <c r="AJ364" s="28">
        <v>69600</v>
      </c>
      <c r="AK364" s="121" t="str">
        <f t="shared" si="110"/>
        <v>0</v>
      </c>
      <c r="AL364" s="123" t="str">
        <f t="shared" si="105"/>
        <v>14821/생산지시등록/prod.order/ProdOrder</v>
      </c>
      <c r="AM364" s="27" t="s">
        <v>1886</v>
      </c>
      <c r="AN364" s="124"/>
      <c r="AO364" s="124"/>
      <c r="AP364" s="124" t="s">
        <v>1829</v>
      </c>
      <c r="AQ364" s="124"/>
      <c r="AR364" s="124"/>
      <c r="AS364" s="124"/>
      <c r="AT364" s="124" t="s">
        <v>1941</v>
      </c>
      <c r="AU364" s="124" t="str">
        <f t="shared" si="114"/>
        <v>P286002</v>
      </c>
      <c r="AV364" s="124" t="s">
        <v>2708</v>
      </c>
      <c r="AW364" s="117" t="s">
        <v>1908</v>
      </c>
      <c r="AX364" s="138" t="str">
        <f t="shared" si="107"/>
        <v>delete from module_mst where pjt_id = '14821' and menu_id = '286002';</v>
      </c>
      <c r="AY364" s="31" t="str">
        <f>IF(C364&lt;&gt;"",CREATE_QUERY($D$1,C$2:AW$2,C364:AW364),"")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'286002', '생산지시등록', '', '', '', '', '1', '1', '1', 'prod.order', 'ProdOrder', '1', '1', '1', '1', '1', '1', '1', '', '0', '0', '0', '', '', '', '', 'N', '', '', '286000', '5', '69600', '0', '14821/생산지시등록/prod.order/ProdOrder', '(두인)', '', '', 'Y', '', '', '', 'P', 'MES-TD3-502', '생산계획을 참조하여 생산 지시 등록(공정별 작업지시 내용 생성)');</v>
      </c>
    </row>
    <row r="365" spans="1:51" ht="26">
      <c r="A365" s="1">
        <v>141</v>
      </c>
      <c r="B365" s="121" t="str">
        <f t="shared" si="108"/>
        <v xml:space="preserve">        └ (두인)실시간 현황</v>
      </c>
      <c r="C365" s="27" t="str">
        <f t="shared" si="109"/>
        <v>14821</v>
      </c>
      <c r="D365" s="121"/>
      <c r="E365" s="27">
        <v>286003</v>
      </c>
      <c r="F365" s="121" t="s">
        <v>2430</v>
      </c>
      <c r="G365" s="121"/>
      <c r="H365" s="121"/>
      <c r="I365" s="121"/>
      <c r="J365" s="121"/>
      <c r="K365" s="27" t="str">
        <f t="shared" si="111"/>
        <v>1</v>
      </c>
      <c r="L365" s="27">
        <v>1</v>
      </c>
      <c r="M365" s="27" t="str">
        <f t="shared" si="112"/>
        <v>1</v>
      </c>
      <c r="N365" s="121" t="s">
        <v>328</v>
      </c>
      <c r="O365" s="121" t="s">
        <v>252</v>
      </c>
      <c r="P365" s="27" t="str">
        <f t="shared" si="115"/>
        <v>1</v>
      </c>
      <c r="Q365" s="27" t="str">
        <f t="shared" si="116"/>
        <v>1</v>
      </c>
      <c r="R365" s="27" t="str">
        <f t="shared" si="117"/>
        <v>1</v>
      </c>
      <c r="S365" s="27" t="str">
        <f t="shared" si="118"/>
        <v>1</v>
      </c>
      <c r="T365" s="27" t="str">
        <f t="shared" si="119"/>
        <v>1</v>
      </c>
      <c r="U365" s="27" t="str">
        <f t="shared" si="120"/>
        <v>1</v>
      </c>
      <c r="V365" s="27" t="str">
        <f t="shared" si="121"/>
        <v>1</v>
      </c>
      <c r="W365" s="27"/>
      <c r="X365" s="27" t="str">
        <f t="shared" si="122"/>
        <v>0</v>
      </c>
      <c r="Y365" s="27" t="str">
        <f t="shared" si="123"/>
        <v>0</v>
      </c>
      <c r="Z365" s="27" t="str">
        <f t="shared" si="124"/>
        <v>0</v>
      </c>
      <c r="AA365" s="121"/>
      <c r="AB365" s="121"/>
      <c r="AC365" s="121"/>
      <c r="AD365" s="121"/>
      <c r="AE365" s="121" t="s">
        <v>51</v>
      </c>
      <c r="AF365" s="121"/>
      <c r="AG365" s="121"/>
      <c r="AH365" s="28" t="s">
        <v>242</v>
      </c>
      <c r="AI365" s="28" t="s">
        <v>113</v>
      </c>
      <c r="AJ365" s="28">
        <v>69650</v>
      </c>
      <c r="AK365" s="121" t="str">
        <f t="shared" si="110"/>
        <v>0</v>
      </c>
      <c r="AL365" s="123" t="str">
        <f>IF(C365="","",C365&amp;"/"&amp;F365&amp;"/"&amp;N365&amp;"/"&amp;O365)</f>
        <v>14821/실시간 현황/prod.order/ProdMonitering</v>
      </c>
      <c r="AM365" s="27" t="s">
        <v>1886</v>
      </c>
      <c r="AN365" s="124"/>
      <c r="AO365" s="124"/>
      <c r="AP365" s="124"/>
      <c r="AQ365" s="124"/>
      <c r="AR365" s="124"/>
      <c r="AS365" s="124"/>
      <c r="AT365" s="124" t="s">
        <v>1941</v>
      </c>
      <c r="AU365" s="124" t="str">
        <f t="shared" si="114"/>
        <v>P286003</v>
      </c>
      <c r="AV365" s="124" t="s">
        <v>2709</v>
      </c>
      <c r="AW365" s="117" t="s">
        <v>2431</v>
      </c>
      <c r="AX365" s="138" t="str">
        <f t="shared" si="107"/>
        <v>delete from module_mst where pjt_id = '14821' and menu_id = '286003';</v>
      </c>
      <c r="AY365" s="31" t="str">
        <f>IF(C365&lt;&gt;"",CREATE_QUERY($D$1,C$2:AW$2,C365:AW365),"")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'286003', '실시간 현황', '', '', '', '', '1', '1', '1', 'prod.order', 'ProdMonitering', '1', '1', '1', '1', '1', '1', '1', '', '0', '0', '0', '', '', '', '', 'N', '', '', '286000', '5', '69650', '0', '14821/실시간 현황/prod.order/ProdMonitering', '(두인)', '', '', '', '', '', '', 'P', 'MES-TD3-503', 'for 두인  생산 실적 현황의 모니터링(당초 생산실적 모니터링 메뉴이었으나, 고객의 요청에 따라 실시간 현황으로 메뉴명 변경 함)');</v>
      </c>
    </row>
    <row r="366" spans="1:51">
      <c r="A366" s="1">
        <v>142</v>
      </c>
      <c r="B366" s="121" t="str">
        <f t="shared" si="108"/>
        <v xml:space="preserve">        └ (두인)생산실적 관리</v>
      </c>
      <c r="C366" s="27" t="str">
        <f t="shared" si="109"/>
        <v>14821</v>
      </c>
      <c r="D366" s="121"/>
      <c r="E366" s="27">
        <v>286004</v>
      </c>
      <c r="F366" s="121" t="s">
        <v>218</v>
      </c>
      <c r="G366" s="121"/>
      <c r="H366" s="121"/>
      <c r="I366" s="121"/>
      <c r="J366" s="121"/>
      <c r="K366" s="27" t="str">
        <f t="shared" si="111"/>
        <v>1</v>
      </c>
      <c r="L366" s="27">
        <v>1</v>
      </c>
      <c r="M366" s="27" t="str">
        <f t="shared" si="112"/>
        <v>1</v>
      </c>
      <c r="N366" s="121" t="s">
        <v>328</v>
      </c>
      <c r="O366" s="121" t="s">
        <v>276</v>
      </c>
      <c r="P366" s="27" t="str">
        <f t="shared" si="115"/>
        <v>1</v>
      </c>
      <c r="Q366" s="27" t="str">
        <f t="shared" si="116"/>
        <v>1</v>
      </c>
      <c r="R366" s="27" t="str">
        <f t="shared" si="117"/>
        <v>1</v>
      </c>
      <c r="S366" s="27" t="str">
        <f t="shared" si="118"/>
        <v>1</v>
      </c>
      <c r="T366" s="27" t="str">
        <f t="shared" si="119"/>
        <v>1</v>
      </c>
      <c r="U366" s="27" t="str">
        <f t="shared" si="120"/>
        <v>1</v>
      </c>
      <c r="V366" s="27" t="str">
        <f t="shared" si="121"/>
        <v>1</v>
      </c>
      <c r="W366" s="27"/>
      <c r="X366" s="27" t="str">
        <f t="shared" si="122"/>
        <v>0</v>
      </c>
      <c r="Y366" s="27" t="str">
        <f t="shared" si="123"/>
        <v>0</v>
      </c>
      <c r="Z366" s="27" t="str">
        <f t="shared" si="124"/>
        <v>0</v>
      </c>
      <c r="AA366" s="121"/>
      <c r="AB366" s="121"/>
      <c r="AC366" s="121"/>
      <c r="AD366" s="121"/>
      <c r="AE366" s="121" t="s">
        <v>51</v>
      </c>
      <c r="AF366" s="121"/>
      <c r="AG366" s="121"/>
      <c r="AH366" s="28" t="s">
        <v>242</v>
      </c>
      <c r="AI366" s="28" t="s">
        <v>113</v>
      </c>
      <c r="AJ366" s="28">
        <v>69700</v>
      </c>
      <c r="AK366" s="121" t="str">
        <f t="shared" si="110"/>
        <v>0</v>
      </c>
      <c r="AL366" s="123" t="str">
        <f>IF(C366="","",C366&amp;"/"&amp;F366&amp;"/"&amp;N366&amp;"/"&amp;O366)</f>
        <v>14821/생산실적 관리/prod.order/WorkEntry</v>
      </c>
      <c r="AM366" s="27" t="s">
        <v>1886</v>
      </c>
      <c r="AN366" s="124"/>
      <c r="AO366" s="124"/>
      <c r="AP366" s="124"/>
      <c r="AQ366" s="124"/>
      <c r="AR366" s="124"/>
      <c r="AS366" s="124"/>
      <c r="AT366" s="124" t="s">
        <v>1941</v>
      </c>
      <c r="AU366" s="124" t="str">
        <f t="shared" si="114"/>
        <v>P286004</v>
      </c>
      <c r="AV366" s="124" t="s">
        <v>2710</v>
      </c>
      <c r="AW366" s="117" t="s">
        <v>2120</v>
      </c>
      <c r="AX366" s="138" t="str">
        <f t="shared" si="107"/>
        <v>delete from module_mst where pjt_id = '14821' and menu_id = '286004';</v>
      </c>
      <c r="AY366" s="31" t="str">
        <f>IF(C366&lt;&gt;"",CREATE_QUERY($D$1,C$2:AW$2,C366:AW366),"")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'286004', '생산실적 관리', '', '', '', '', '1', '1', '1', 'prod.order', 'WorkEntry', '1', '1', '1', '1', '1', '1', '1', '', '0', '0', '0', '', '', '', '', 'N', '', '', '286000', '5', '69700', '0', '14821/생산실적 관리/prod.order/WorkEntry', '(두인)', '', '', '', '', '', '', 'P', 'MES-TD3-504', 'for 두인 생산 실적 등록 관리');</v>
      </c>
    </row>
    <row r="367" spans="1:51">
      <c r="A367" s="1">
        <v>147</v>
      </c>
      <c r="B367" s="121" t="str">
        <f t="shared" si="108"/>
        <v xml:space="preserve">        └ (두인)품목별 공정진행현황</v>
      </c>
      <c r="C367" s="27" t="str">
        <f t="shared" si="109"/>
        <v>14821</v>
      </c>
      <c r="D367" s="121"/>
      <c r="E367" s="27">
        <v>286023</v>
      </c>
      <c r="F367" s="121" t="s">
        <v>2348</v>
      </c>
      <c r="G367" s="121"/>
      <c r="H367" s="121"/>
      <c r="I367" s="121"/>
      <c r="J367" s="121"/>
      <c r="K367" s="27" t="str">
        <f t="shared" si="111"/>
        <v>1</v>
      </c>
      <c r="L367" s="27">
        <v>1</v>
      </c>
      <c r="M367" s="27" t="str">
        <f t="shared" si="112"/>
        <v>1</v>
      </c>
      <c r="N367" s="121" t="s">
        <v>328</v>
      </c>
      <c r="O367" s="121" t="s">
        <v>2350</v>
      </c>
      <c r="P367" s="27" t="str">
        <f t="shared" si="115"/>
        <v>1</v>
      </c>
      <c r="Q367" s="27" t="str">
        <f t="shared" si="116"/>
        <v>1</v>
      </c>
      <c r="R367" s="27" t="str">
        <f t="shared" si="117"/>
        <v>1</v>
      </c>
      <c r="S367" s="27" t="str">
        <f t="shared" si="118"/>
        <v>1</v>
      </c>
      <c r="T367" s="27" t="str">
        <f t="shared" si="119"/>
        <v>1</v>
      </c>
      <c r="U367" s="27" t="str">
        <f t="shared" si="120"/>
        <v>1</v>
      </c>
      <c r="V367" s="27" t="str">
        <f t="shared" si="121"/>
        <v>1</v>
      </c>
      <c r="W367" s="27"/>
      <c r="X367" s="27" t="str">
        <f t="shared" si="122"/>
        <v>0</v>
      </c>
      <c r="Y367" s="27" t="str">
        <f t="shared" si="123"/>
        <v>0</v>
      </c>
      <c r="Z367" s="27" t="str">
        <f t="shared" si="124"/>
        <v>0</v>
      </c>
      <c r="AA367" s="121"/>
      <c r="AB367" s="121"/>
      <c r="AC367" s="121"/>
      <c r="AD367" s="121"/>
      <c r="AE367" s="121" t="s">
        <v>51</v>
      </c>
      <c r="AF367" s="121"/>
      <c r="AG367" s="121"/>
      <c r="AH367" s="28" t="s">
        <v>242</v>
      </c>
      <c r="AI367" s="28" t="s">
        <v>113</v>
      </c>
      <c r="AJ367" s="28">
        <v>69850</v>
      </c>
      <c r="AK367" s="121" t="str">
        <f t="shared" si="110"/>
        <v>0</v>
      </c>
      <c r="AL367" s="123" t="str">
        <f>IF(C367="","",C367&amp;"/"&amp;F367&amp;"/"&amp;N367&amp;"/"&amp;O367)</f>
        <v>14821/품목별 공정진행현황/prod.order/WorkBookList</v>
      </c>
      <c r="AM367" s="27" t="s">
        <v>1886</v>
      </c>
      <c r="AN367" s="124"/>
      <c r="AO367" s="124"/>
      <c r="AP367" s="124"/>
      <c r="AQ367" s="124" t="s">
        <v>1829</v>
      </c>
      <c r="AR367" s="124"/>
      <c r="AS367" s="124"/>
      <c r="AT367" s="124" t="s">
        <v>1941</v>
      </c>
      <c r="AU367" s="124" t="str">
        <f t="shared" si="114"/>
        <v>P286023</v>
      </c>
      <c r="AV367" s="124" t="s">
        <v>2711</v>
      </c>
      <c r="AW367" s="117" t="s">
        <v>2349</v>
      </c>
      <c r="AX367" s="138" t="str">
        <f t="shared" si="107"/>
        <v>delete from module_mst where pjt_id = '14821' and menu_id = '286023';</v>
      </c>
      <c r="AY367" s="31" t="str">
        <f>IF(C367&lt;&gt;"",CREATE_QUERY($D$1,C$2:AW$2,C367:AW367),"")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'286023', '품목별 공정진행현황', '', '', '', '', '1', '1', '1', 'prod.order', 'WorkBookList', '1', '1', '1', '1', '1', '1', '1', '', '0', '0', '0', '', '', '', '', 'N', '', '', '286000', '5', '69850', '0', '14821/품목별 공정진행현황/prod.order/WorkBookList', '(두인)', '', '', '', 'Y', '', '', 'P', 'MES-TD3-505', 'for 두인 수주별 생산진행 집계 현황 및 공정별 작업일지 조회');</v>
      </c>
    </row>
    <row r="368" spans="1:51">
      <c r="A368" s="1">
        <v>143</v>
      </c>
      <c r="B368" s="121" t="str">
        <f t="shared" si="108"/>
        <v xml:space="preserve">        └ (프로젝트)생산실적 관리</v>
      </c>
      <c r="C368" s="27" t="str">
        <f t="shared" si="109"/>
        <v>14821</v>
      </c>
      <c r="D368" s="121"/>
      <c r="E368" s="27">
        <v>286019</v>
      </c>
      <c r="F368" s="121" t="s">
        <v>218</v>
      </c>
      <c r="G368" s="121"/>
      <c r="H368" s="121"/>
      <c r="I368" s="121"/>
      <c r="J368" s="121"/>
      <c r="K368" s="27" t="str">
        <f t="shared" si="111"/>
        <v>1</v>
      </c>
      <c r="L368" s="27">
        <v>1</v>
      </c>
      <c r="M368" s="27" t="str">
        <f t="shared" si="112"/>
        <v>1</v>
      </c>
      <c r="N368" s="121" t="s">
        <v>328</v>
      </c>
      <c r="O368" s="121" t="s">
        <v>2028</v>
      </c>
      <c r="P368" s="27" t="str">
        <f t="shared" si="115"/>
        <v>1</v>
      </c>
      <c r="Q368" s="27" t="str">
        <f t="shared" si="116"/>
        <v>1</v>
      </c>
      <c r="R368" s="27" t="str">
        <f t="shared" si="117"/>
        <v>1</v>
      </c>
      <c r="S368" s="27" t="str">
        <f t="shared" si="118"/>
        <v>1</v>
      </c>
      <c r="T368" s="27" t="str">
        <f t="shared" si="119"/>
        <v>1</v>
      </c>
      <c r="U368" s="27" t="str">
        <f t="shared" si="120"/>
        <v>1</v>
      </c>
      <c r="V368" s="27" t="str">
        <f t="shared" si="121"/>
        <v>1</v>
      </c>
      <c r="W368" s="27"/>
      <c r="X368" s="27" t="str">
        <f t="shared" si="122"/>
        <v>0</v>
      </c>
      <c r="Y368" s="27" t="str">
        <f t="shared" si="123"/>
        <v>0</v>
      </c>
      <c r="Z368" s="27" t="str">
        <f t="shared" si="124"/>
        <v>0</v>
      </c>
      <c r="AA368" s="121"/>
      <c r="AB368" s="121"/>
      <c r="AC368" s="121"/>
      <c r="AD368" s="121"/>
      <c r="AE368" s="121" t="s">
        <v>51</v>
      </c>
      <c r="AF368" s="121"/>
      <c r="AG368" s="121"/>
      <c r="AH368" s="28" t="s">
        <v>242</v>
      </c>
      <c r="AI368" s="28" t="s">
        <v>113</v>
      </c>
      <c r="AJ368" s="28">
        <v>69900</v>
      </c>
      <c r="AK368" s="121" t="str">
        <f t="shared" si="110"/>
        <v>0</v>
      </c>
      <c r="AL368" s="123" t="str">
        <f t="shared" ref="AL368" si="125">IF(C368="","",C368&amp;"/"&amp;F368&amp;"/"&amp;N368&amp;"/"&amp;O368)</f>
        <v>14821/생산실적 관리/prod.order/WorkEntryV3</v>
      </c>
      <c r="AM368" s="27" t="s">
        <v>1887</v>
      </c>
      <c r="AN368" s="124"/>
      <c r="AO368" s="124" t="s">
        <v>1829</v>
      </c>
      <c r="AP368" s="124"/>
      <c r="AQ368" s="124"/>
      <c r="AR368" s="124" t="s">
        <v>1829</v>
      </c>
      <c r="AS368" s="124"/>
      <c r="AT368" s="124" t="s">
        <v>1941</v>
      </c>
      <c r="AU368" s="124" t="str">
        <f t="shared" si="114"/>
        <v>P286019</v>
      </c>
      <c r="AV368" s="124" t="s">
        <v>2712</v>
      </c>
      <c r="AW368" s="117" t="s">
        <v>2122</v>
      </c>
      <c r="AX368" s="138" t="str">
        <f t="shared" si="107"/>
        <v>delete from module_mst where pjt_id = '14821' and menu_id = '286019';</v>
      </c>
      <c r="AY368" s="31" t="str">
        <f>IF(C368&lt;&gt;"",CREATE_QUERY($D$1,C$2:AW$2,C368:AW368),"")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'286019', '생산실적 관리', '', '', '', '', '1', '1', '1', 'prod.order', 'WorkEntryV3', '1', '1', '1', '1', '1', '1', '1', '', '0', '0', '0', '', '', '', '', 'N', '', '', '286000', '5', '69900', '0', '14821/생산실적 관리/prod.order/WorkEntryV3', '(프로젝트)', '', 'Y', '', '', 'Y', '', 'P', 'MES-TD3-506', '현장 생산 실적 등록');</v>
      </c>
    </row>
    <row r="369" spans="1:51">
      <c r="A369" s="1">
        <v>147</v>
      </c>
      <c r="B369" s="121" t="str">
        <f t="shared" si="108"/>
        <v xml:space="preserve">        └ (프로젝트)작업현황</v>
      </c>
      <c r="C369" s="27" t="str">
        <f t="shared" si="109"/>
        <v>14821</v>
      </c>
      <c r="D369" s="121"/>
      <c r="E369" s="27">
        <v>286013</v>
      </c>
      <c r="F369" s="121" t="s">
        <v>2061</v>
      </c>
      <c r="G369" s="121"/>
      <c r="H369" s="121"/>
      <c r="I369" s="121"/>
      <c r="J369" s="121"/>
      <c r="K369" s="27" t="str">
        <f t="shared" si="111"/>
        <v>1</v>
      </c>
      <c r="L369" s="27">
        <v>1</v>
      </c>
      <c r="M369" s="27" t="str">
        <f t="shared" si="112"/>
        <v>1</v>
      </c>
      <c r="N369" s="121" t="s">
        <v>346</v>
      </c>
      <c r="O369" s="121" t="s">
        <v>337</v>
      </c>
      <c r="P369" s="27" t="str">
        <f t="shared" si="115"/>
        <v>1</v>
      </c>
      <c r="Q369" s="27" t="str">
        <f t="shared" si="116"/>
        <v>1</v>
      </c>
      <c r="R369" s="27" t="str">
        <f t="shared" si="117"/>
        <v>1</v>
      </c>
      <c r="S369" s="27" t="str">
        <f t="shared" si="118"/>
        <v>1</v>
      </c>
      <c r="T369" s="27" t="str">
        <f t="shared" si="119"/>
        <v>1</v>
      </c>
      <c r="U369" s="27" t="str">
        <f t="shared" si="120"/>
        <v>1</v>
      </c>
      <c r="V369" s="27" t="str">
        <f t="shared" si="121"/>
        <v>1</v>
      </c>
      <c r="W369" s="27"/>
      <c r="X369" s="27" t="str">
        <f t="shared" si="122"/>
        <v>0</v>
      </c>
      <c r="Y369" s="27" t="str">
        <f t="shared" si="123"/>
        <v>0</v>
      </c>
      <c r="Z369" s="27" t="str">
        <f t="shared" si="124"/>
        <v>0</v>
      </c>
      <c r="AA369" s="121"/>
      <c r="AB369" s="121"/>
      <c r="AC369" s="121"/>
      <c r="AD369" s="121"/>
      <c r="AE369" s="121" t="s">
        <v>51</v>
      </c>
      <c r="AF369" s="121"/>
      <c r="AG369" s="121"/>
      <c r="AH369" s="28" t="s">
        <v>242</v>
      </c>
      <c r="AI369" s="28" t="s">
        <v>113</v>
      </c>
      <c r="AJ369" s="28">
        <v>70000</v>
      </c>
      <c r="AK369" s="121" t="str">
        <f t="shared" si="110"/>
        <v>0</v>
      </c>
      <c r="AL369" s="123" t="str">
        <f t="shared" si="105"/>
        <v>14821/작업현황/prod.project/PrjtWorkList</v>
      </c>
      <c r="AM369" s="27" t="s">
        <v>1887</v>
      </c>
      <c r="AN369" s="124"/>
      <c r="AO369" s="124"/>
      <c r="AP369" s="124"/>
      <c r="AQ369" s="124" t="s">
        <v>1829</v>
      </c>
      <c r="AR369" s="124"/>
      <c r="AS369" s="124"/>
      <c r="AT369" s="124" t="s">
        <v>1941</v>
      </c>
      <c r="AU369" s="124" t="str">
        <f t="shared" si="114"/>
        <v>P286013</v>
      </c>
      <c r="AV369" s="124" t="s">
        <v>2713</v>
      </c>
      <c r="AW369" s="117" t="s">
        <v>1928</v>
      </c>
      <c r="AX369" s="138" t="str">
        <f t="shared" si="107"/>
        <v>delete from module_mst where pjt_id = '14821' and menu_id = '286013';</v>
      </c>
      <c r="AY369" s="31" t="str">
        <f>IF(C369&lt;&gt;"",CREATE_QUERY($D$1,C$2:AW$2,C369:AW369),"")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'286013', '작업현황', '', '', '', '', '1', '1', '1', 'prod.project', 'PrjtWorkList', '1', '1', '1', '1', '1', '1', '1', '', '0', '0', '0', '', '', '', '', 'N', '', '', '286000', '5', '70000', '0', '14821/작업현황/prod.project/PrjtWorkList', '(프로젝트)', '', '', '', 'Y', '', '', 'P', 'MES-TD3-507', '작업 일지 조회');</v>
      </c>
    </row>
    <row r="370" spans="1:51" ht="26">
      <c r="A370" s="1">
        <v>147</v>
      </c>
      <c r="B370" s="121" t="str">
        <f t="shared" si="108"/>
        <v xml:space="preserve">        └ (프로젝트)외주작업지시</v>
      </c>
      <c r="C370" s="27" t="str">
        <f t="shared" si="109"/>
        <v>14821</v>
      </c>
      <c r="D370" s="121"/>
      <c r="E370" s="27">
        <v>286014</v>
      </c>
      <c r="F370" s="121" t="s">
        <v>1882</v>
      </c>
      <c r="G370" s="121"/>
      <c r="H370" s="121"/>
      <c r="I370" s="121"/>
      <c r="J370" s="121"/>
      <c r="K370" s="27" t="str">
        <f t="shared" si="111"/>
        <v>1</v>
      </c>
      <c r="L370" s="27">
        <v>1</v>
      </c>
      <c r="M370" s="27" t="str">
        <f t="shared" si="112"/>
        <v>1</v>
      </c>
      <c r="N370" s="121" t="s">
        <v>346</v>
      </c>
      <c r="O370" s="121" t="s">
        <v>2070</v>
      </c>
      <c r="P370" s="27" t="str">
        <f t="shared" si="115"/>
        <v>1</v>
      </c>
      <c r="Q370" s="27" t="str">
        <f t="shared" si="116"/>
        <v>1</v>
      </c>
      <c r="R370" s="27" t="str">
        <f t="shared" si="117"/>
        <v>1</v>
      </c>
      <c r="S370" s="27" t="str">
        <f t="shared" si="118"/>
        <v>1</v>
      </c>
      <c r="T370" s="27" t="str">
        <f t="shared" si="119"/>
        <v>1</v>
      </c>
      <c r="U370" s="27" t="str">
        <f t="shared" si="120"/>
        <v>1</v>
      </c>
      <c r="V370" s="27" t="str">
        <f t="shared" si="121"/>
        <v>1</v>
      </c>
      <c r="W370" s="27"/>
      <c r="X370" s="27" t="str">
        <f t="shared" si="122"/>
        <v>0</v>
      </c>
      <c r="Y370" s="27" t="str">
        <f t="shared" si="123"/>
        <v>0</v>
      </c>
      <c r="Z370" s="27" t="str">
        <f t="shared" si="124"/>
        <v>0</v>
      </c>
      <c r="AA370" s="121"/>
      <c r="AB370" s="121"/>
      <c r="AC370" s="121"/>
      <c r="AD370" s="121"/>
      <c r="AE370" s="121" t="s">
        <v>51</v>
      </c>
      <c r="AF370" s="121"/>
      <c r="AG370" s="121"/>
      <c r="AH370" s="28" t="s">
        <v>242</v>
      </c>
      <c r="AI370" s="28" t="s">
        <v>113</v>
      </c>
      <c r="AJ370" s="28">
        <v>70050</v>
      </c>
      <c r="AK370" s="121" t="str">
        <f t="shared" si="110"/>
        <v>0</v>
      </c>
      <c r="AL370" s="123" t="str">
        <f t="shared" si="105"/>
        <v>14821/외주작업지시/prod.project/PrjtOtodWork</v>
      </c>
      <c r="AM370" s="27" t="s">
        <v>1887</v>
      </c>
      <c r="AN370" s="124"/>
      <c r="AO370" s="124"/>
      <c r="AP370" s="124"/>
      <c r="AQ370" s="124" t="s">
        <v>1829</v>
      </c>
      <c r="AR370" s="124"/>
      <c r="AS370" s="124"/>
      <c r="AT370" s="124" t="s">
        <v>1941</v>
      </c>
      <c r="AU370" s="124" t="str">
        <f t="shared" si="114"/>
        <v>P286014</v>
      </c>
      <c r="AV370" s="124" t="s">
        <v>2714</v>
      </c>
      <c r="AW370" s="117" t="s">
        <v>1883</v>
      </c>
      <c r="AX370" s="138" t="str">
        <f t="shared" si="107"/>
        <v>delete from module_mst where pjt_id = '14821' and menu_id = '286014';</v>
      </c>
      <c r="AY370" s="31" t="str">
        <f>IF(C370&lt;&gt;"",CREATE_QUERY($D$1,C$2:AW$2,C370:AW370),"")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'286014', '외주작업지시', '', '', '', '', '1', '1', '1', 'prod.project', 'PrjtOtodWork', '1', '1', '1', '1', '1', '1', '1', '', '0', '0', '0', '', '', '', '', 'N', '', '', '286000', '5', '70050', '0', '14821/외주작업지시/prod.project/PrjtOtodWork', '(프로젝트)', '', '', '', 'Y', '', '', 'P', 'MES-TD3-508', '작업공정 = 외주인 생산계획에 대한 발주 처리, 구매발주 대장에 등록한다.');</v>
      </c>
    </row>
    <row r="371" spans="1:51">
      <c r="A371" s="1">
        <v>143</v>
      </c>
      <c r="B371" s="121" t="str">
        <f t="shared" si="108"/>
        <v xml:space="preserve">        └ (두인)생산일보</v>
      </c>
      <c r="C371" s="27" t="str">
        <f>IF(F371="","","14821")</f>
        <v>14821</v>
      </c>
      <c r="D371" s="121"/>
      <c r="E371" s="27">
        <v>286020</v>
      </c>
      <c r="F371" s="121" t="s">
        <v>234</v>
      </c>
      <c r="G371" s="121"/>
      <c r="H371" s="121"/>
      <c r="I371" s="121"/>
      <c r="J371" s="121"/>
      <c r="K371" s="27" t="str">
        <f t="shared" si="111"/>
        <v>1</v>
      </c>
      <c r="L371" s="27">
        <v>1</v>
      </c>
      <c r="M371" s="27" t="str">
        <f t="shared" si="112"/>
        <v>1</v>
      </c>
      <c r="N371" s="121" t="s">
        <v>328</v>
      </c>
      <c r="O371" s="121" t="s">
        <v>2036</v>
      </c>
      <c r="P371" s="27" t="str">
        <f t="shared" si="115"/>
        <v>1</v>
      </c>
      <c r="Q371" s="27" t="str">
        <f t="shared" si="116"/>
        <v>1</v>
      </c>
      <c r="R371" s="27" t="str">
        <f t="shared" si="117"/>
        <v>1</v>
      </c>
      <c r="S371" s="27" t="str">
        <f t="shared" si="118"/>
        <v>1</v>
      </c>
      <c r="T371" s="27" t="str">
        <f t="shared" si="119"/>
        <v>1</v>
      </c>
      <c r="U371" s="27" t="str">
        <f t="shared" si="120"/>
        <v>1</v>
      </c>
      <c r="V371" s="27" t="str">
        <f t="shared" si="121"/>
        <v>1</v>
      </c>
      <c r="W371" s="27"/>
      <c r="X371" s="27" t="str">
        <f t="shared" si="122"/>
        <v>0</v>
      </c>
      <c r="Y371" s="27" t="str">
        <f t="shared" si="123"/>
        <v>0</v>
      </c>
      <c r="Z371" s="27" t="str">
        <f t="shared" si="124"/>
        <v>0</v>
      </c>
      <c r="AA371" s="121"/>
      <c r="AB371" s="121"/>
      <c r="AC371" s="121"/>
      <c r="AD371" s="121"/>
      <c r="AE371" s="121" t="s">
        <v>51</v>
      </c>
      <c r="AF371" s="121"/>
      <c r="AG371" s="121"/>
      <c r="AH371" s="28" t="s">
        <v>242</v>
      </c>
      <c r="AI371" s="28" t="s">
        <v>113</v>
      </c>
      <c r="AJ371" s="28">
        <v>69750</v>
      </c>
      <c r="AK371" s="121" t="str">
        <f t="shared" si="110"/>
        <v>0</v>
      </c>
      <c r="AL371" s="123" t="str">
        <f t="shared" si="105"/>
        <v>14821/생산일보/prod.order/WorkBookV2</v>
      </c>
      <c r="AM371" s="27" t="s">
        <v>1886</v>
      </c>
      <c r="AN371" s="124"/>
      <c r="AO371" s="124" t="s">
        <v>1829</v>
      </c>
      <c r="AP371" s="124"/>
      <c r="AQ371" s="124"/>
      <c r="AR371" s="124" t="s">
        <v>1829</v>
      </c>
      <c r="AS371" s="124"/>
      <c r="AT371" s="124" t="s">
        <v>1941</v>
      </c>
      <c r="AU371" s="124" t="str">
        <f t="shared" si="114"/>
        <v>P286020</v>
      </c>
      <c r="AV371" s="124" t="s">
        <v>2715</v>
      </c>
      <c r="AW371" s="117" t="s">
        <v>2125</v>
      </c>
      <c r="AX371" s="138" t="str">
        <f t="shared" si="107"/>
        <v>delete from module_mst where pjt_id = '14821' and menu_id = '286020';</v>
      </c>
      <c r="AY371" s="31" t="str">
        <f>IF(C371&lt;&gt;"",CREATE_QUERY($D$1,C$2:AW$2,C371:AW371),"")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'286020', '생산일보', '', '', '', '', '1', '1', '1', 'prod.order', 'WorkBookV2', '1', '1', '1', '1', '1', '1', '1', '', '0', '0', '0', '', '', '', '', 'N', '', '', '286000', '5', '69750', '0', '14821/생산일보/prod.order/WorkBookV2', '(두인)', '', 'Y', '', '', 'Y', '', 'P', 'MES-TD3-509', 'for 두인 일자별 생산현황 리스트');</v>
      </c>
    </row>
    <row r="372" spans="1:51">
      <c r="A372" s="1">
        <v>147</v>
      </c>
      <c r="B372" s="121" t="str">
        <f t="shared" si="108"/>
        <v xml:space="preserve">        └ (뉴볼텍)작업일지보고</v>
      </c>
      <c r="C372" s="27" t="str">
        <f t="shared" si="109"/>
        <v>14821</v>
      </c>
      <c r="D372" s="121"/>
      <c r="E372" s="27">
        <v>286021</v>
      </c>
      <c r="F372" s="121" t="s">
        <v>2060</v>
      </c>
      <c r="G372" s="121"/>
      <c r="H372" s="121"/>
      <c r="I372" s="121"/>
      <c r="J372" s="121"/>
      <c r="K372" s="27" t="str">
        <f t="shared" si="111"/>
        <v>1</v>
      </c>
      <c r="L372" s="27">
        <v>1</v>
      </c>
      <c r="M372" s="27" t="str">
        <f t="shared" si="112"/>
        <v>1</v>
      </c>
      <c r="N372" s="121" t="s">
        <v>328</v>
      </c>
      <c r="O372" s="121" t="s">
        <v>2074</v>
      </c>
      <c r="P372" s="27" t="str">
        <f t="shared" si="115"/>
        <v>1</v>
      </c>
      <c r="Q372" s="27" t="str">
        <f t="shared" si="116"/>
        <v>1</v>
      </c>
      <c r="R372" s="27" t="str">
        <f t="shared" si="117"/>
        <v>1</v>
      </c>
      <c r="S372" s="27" t="str">
        <f t="shared" si="118"/>
        <v>1</v>
      </c>
      <c r="T372" s="27" t="str">
        <f t="shared" si="119"/>
        <v>1</v>
      </c>
      <c r="U372" s="27" t="str">
        <f t="shared" si="120"/>
        <v>1</v>
      </c>
      <c r="V372" s="27" t="str">
        <f t="shared" si="121"/>
        <v>1</v>
      </c>
      <c r="W372" s="27"/>
      <c r="X372" s="27" t="str">
        <f t="shared" si="122"/>
        <v>0</v>
      </c>
      <c r="Y372" s="27" t="str">
        <f t="shared" si="123"/>
        <v>0</v>
      </c>
      <c r="Z372" s="27" t="str">
        <f t="shared" si="124"/>
        <v>0</v>
      </c>
      <c r="AA372" s="121"/>
      <c r="AB372" s="121"/>
      <c r="AC372" s="121"/>
      <c r="AD372" s="121"/>
      <c r="AE372" s="121" t="s">
        <v>51</v>
      </c>
      <c r="AF372" s="121"/>
      <c r="AG372" s="121"/>
      <c r="AH372" s="28" t="s">
        <v>242</v>
      </c>
      <c r="AI372" s="28" t="s">
        <v>113</v>
      </c>
      <c r="AJ372" s="28">
        <v>69252</v>
      </c>
      <c r="AK372" s="121" t="str">
        <f t="shared" si="110"/>
        <v>0</v>
      </c>
      <c r="AL372" s="123" t="str">
        <f t="shared" si="105"/>
        <v>14821/작업일지보고/prod.order/WorkBookV3</v>
      </c>
      <c r="AM372" s="27" t="s">
        <v>2073</v>
      </c>
      <c r="AN372" s="124"/>
      <c r="AO372" s="124"/>
      <c r="AP372" s="124"/>
      <c r="AQ372" s="124" t="s">
        <v>1829</v>
      </c>
      <c r="AR372" s="124"/>
      <c r="AS372" s="124"/>
      <c r="AT372" s="124" t="s">
        <v>1941</v>
      </c>
      <c r="AU372" s="124" t="str">
        <f t="shared" si="114"/>
        <v>P286021</v>
      </c>
      <c r="AV372" s="124" t="s">
        <v>2716</v>
      </c>
      <c r="AW372" s="117" t="s">
        <v>2132</v>
      </c>
      <c r="AX372" s="138" t="str">
        <f t="shared" si="107"/>
        <v>delete from module_mst where pjt_id = '14821' and menu_id = '286021';</v>
      </c>
      <c r="AY372" s="31" t="str">
        <f>IF(C372&lt;&gt;"",CREATE_QUERY($D$1,C$2:AW$2,C372:AW372),"")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'286021', '작업일지보고', '', '', '', '', '1', '1', '1', 'prod.order', 'WorkBookV3', '1', '1', '1', '1', '1', '1', '1', '', '0', '0', '0', '', '', '', '', 'N', '', '', '286000', '5', '69252', '0', '14821/작업일지보고/prod.order/WorkBookV3', '(뉴볼텍)', '', '', '', 'Y', '', '', 'P', 'MES-TD3-510', 'for 뉴볼텍 현장 작업 실적 등록 관리');</v>
      </c>
    </row>
    <row r="373" spans="1:51">
      <c r="A373" s="1">
        <v>147</v>
      </c>
      <c r="B373" s="121" t="str">
        <f t="shared" si="108"/>
        <v xml:space="preserve">        └ (두인)작업일지보고</v>
      </c>
      <c r="C373" s="27" t="str">
        <f>IF(F373="","","14821")</f>
        <v>14821</v>
      </c>
      <c r="D373" s="121"/>
      <c r="E373" s="27">
        <v>286022</v>
      </c>
      <c r="F373" s="121" t="s">
        <v>2060</v>
      </c>
      <c r="G373" s="121"/>
      <c r="H373" s="121"/>
      <c r="I373" s="121"/>
      <c r="J373" s="121"/>
      <c r="K373" s="27" t="str">
        <f t="shared" si="111"/>
        <v>1</v>
      </c>
      <c r="L373" s="27">
        <v>1</v>
      </c>
      <c r="M373" s="27" t="str">
        <f t="shared" si="112"/>
        <v>1</v>
      </c>
      <c r="N373" s="121" t="s">
        <v>328</v>
      </c>
      <c r="O373" s="121" t="s">
        <v>2297</v>
      </c>
      <c r="P373" s="27" t="str">
        <f t="shared" si="115"/>
        <v>1</v>
      </c>
      <c r="Q373" s="27" t="str">
        <f t="shared" si="116"/>
        <v>1</v>
      </c>
      <c r="R373" s="27" t="str">
        <f t="shared" si="117"/>
        <v>1</v>
      </c>
      <c r="S373" s="27" t="str">
        <f t="shared" si="118"/>
        <v>1</v>
      </c>
      <c r="T373" s="27" t="str">
        <f t="shared" si="119"/>
        <v>1</v>
      </c>
      <c r="U373" s="27" t="str">
        <f t="shared" si="120"/>
        <v>1</v>
      </c>
      <c r="V373" s="27" t="str">
        <f t="shared" si="121"/>
        <v>1</v>
      </c>
      <c r="W373" s="27"/>
      <c r="X373" s="27" t="str">
        <f t="shared" si="122"/>
        <v>0</v>
      </c>
      <c r="Y373" s="27" t="str">
        <f t="shared" si="123"/>
        <v>0</v>
      </c>
      <c r="Z373" s="27" t="str">
        <f t="shared" si="124"/>
        <v>0</v>
      </c>
      <c r="AA373" s="121"/>
      <c r="AB373" s="121"/>
      <c r="AC373" s="121"/>
      <c r="AD373" s="121"/>
      <c r="AE373" s="121" t="s">
        <v>51</v>
      </c>
      <c r="AF373" s="121"/>
      <c r="AG373" s="121"/>
      <c r="AH373" s="28" t="s">
        <v>242</v>
      </c>
      <c r="AI373" s="28" t="s">
        <v>113</v>
      </c>
      <c r="AJ373" s="28">
        <v>69254</v>
      </c>
      <c r="AK373" s="121" t="str">
        <f t="shared" si="110"/>
        <v>0</v>
      </c>
      <c r="AL373" s="123" t="str">
        <f t="shared" si="105"/>
        <v>14821/작업일지보고/prod.order/WorkBookV4</v>
      </c>
      <c r="AM373" s="27" t="s">
        <v>1886</v>
      </c>
      <c r="AN373" s="124"/>
      <c r="AO373" s="124"/>
      <c r="AP373" s="124"/>
      <c r="AQ373" s="124" t="s">
        <v>1829</v>
      </c>
      <c r="AR373" s="124"/>
      <c r="AS373" s="124"/>
      <c r="AT373" s="124" t="s">
        <v>1941</v>
      </c>
      <c r="AU373" s="124" t="str">
        <f t="shared" si="114"/>
        <v>P286022</v>
      </c>
      <c r="AV373" s="124" t="s">
        <v>2717</v>
      </c>
      <c r="AW373" s="117" t="s">
        <v>2298</v>
      </c>
      <c r="AX373" s="138" t="str">
        <f t="shared" si="107"/>
        <v>delete from module_mst where pjt_id = '14821' and menu_id = '286022';</v>
      </c>
      <c r="AY373" s="31" t="str">
        <f>IF(C373&lt;&gt;"",CREATE_QUERY($D$1,C$2:AW$2,C373:AW373),"")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'286022', '작업일지보고', '', '', '', '', '1', '1', '1', 'prod.order', 'WorkBookV4', '1', '1', '1', '1', '1', '1', '1', '', '0', '0', '0', '', '', '', '', 'N', '', '', '286000', '5', '69254', '0', '14821/작업일지보고/prod.order/WorkBookV4', '(두인)', '', '', '', 'Y', '', '', 'P', 'MES-TD3-511', 'for 두인 현장 작업 일지 보고(tuch PC 활용)');</v>
      </c>
    </row>
    <row r="374" spans="1:51">
      <c r="A374" s="1">
        <v>142</v>
      </c>
      <c r="B374" s="121" t="str">
        <f t="shared" si="108"/>
        <v xml:space="preserve">        └ (필링코)작업일지보고</v>
      </c>
      <c r="C374" s="27" t="str">
        <f t="shared" ref="C374:C398" si="126">IF(F374="","","14821")</f>
        <v>14821</v>
      </c>
      <c r="D374" s="121"/>
      <c r="E374" s="27">
        <v>286024</v>
      </c>
      <c r="F374" s="121" t="s">
        <v>2060</v>
      </c>
      <c r="G374" s="121"/>
      <c r="H374" s="121"/>
      <c r="I374" s="121"/>
      <c r="J374" s="121"/>
      <c r="K374" s="27" t="str">
        <f t="shared" si="111"/>
        <v>1</v>
      </c>
      <c r="L374" s="27">
        <v>1</v>
      </c>
      <c r="M374" s="27" t="str">
        <f t="shared" si="112"/>
        <v>1</v>
      </c>
      <c r="N374" s="121" t="s">
        <v>328</v>
      </c>
      <c r="O374" s="121" t="s">
        <v>2390</v>
      </c>
      <c r="P374" s="27" t="str">
        <f t="shared" si="115"/>
        <v>1</v>
      </c>
      <c r="Q374" s="27" t="str">
        <f t="shared" si="116"/>
        <v>1</v>
      </c>
      <c r="R374" s="27" t="str">
        <f t="shared" si="117"/>
        <v>1</v>
      </c>
      <c r="S374" s="27" t="str">
        <f t="shared" si="118"/>
        <v>1</v>
      </c>
      <c r="T374" s="27" t="str">
        <f t="shared" si="119"/>
        <v>1</v>
      </c>
      <c r="U374" s="27" t="str">
        <f t="shared" si="120"/>
        <v>1</v>
      </c>
      <c r="V374" s="27" t="str">
        <f t="shared" si="121"/>
        <v>1</v>
      </c>
      <c r="W374" s="27"/>
      <c r="X374" s="27" t="str">
        <f t="shared" si="122"/>
        <v>0</v>
      </c>
      <c r="Y374" s="27" t="str">
        <f t="shared" si="123"/>
        <v>0</v>
      </c>
      <c r="Z374" s="27" t="str">
        <f t="shared" si="124"/>
        <v>0</v>
      </c>
      <c r="AA374" s="121"/>
      <c r="AB374" s="121"/>
      <c r="AC374" s="121"/>
      <c r="AD374" s="121"/>
      <c r="AE374" s="121" t="s">
        <v>51</v>
      </c>
      <c r="AF374" s="121"/>
      <c r="AG374" s="121"/>
      <c r="AH374" s="28" t="s">
        <v>242</v>
      </c>
      <c r="AI374" s="28" t="s">
        <v>113</v>
      </c>
      <c r="AJ374" s="28">
        <v>69256</v>
      </c>
      <c r="AK374" s="121" t="str">
        <f t="shared" si="110"/>
        <v>0</v>
      </c>
      <c r="AL374" s="123" t="str">
        <f t="shared" si="105"/>
        <v>14821/작업일지보고/prod.order/WorkBookV5</v>
      </c>
      <c r="AM374" s="27" t="s">
        <v>2391</v>
      </c>
      <c r="AN374" s="124"/>
      <c r="AO374" s="124"/>
      <c r="AP374" s="124"/>
      <c r="AQ374" s="124"/>
      <c r="AR374" s="124"/>
      <c r="AS374" s="124"/>
      <c r="AT374" s="124" t="s">
        <v>1941</v>
      </c>
      <c r="AU374" s="124" t="str">
        <f t="shared" si="114"/>
        <v>P286024</v>
      </c>
      <c r="AV374" s="124" t="s">
        <v>2870</v>
      </c>
      <c r="AW374" s="117" t="s">
        <v>2392</v>
      </c>
      <c r="AX374" s="138" t="str">
        <f t="shared" si="107"/>
        <v>delete from module_mst where pjt_id = '14821' and menu_id = '286024';</v>
      </c>
      <c r="AY374" s="31" t="str">
        <f>IF(C374&lt;&gt;"",CREATE_QUERY($D$1,C$2:AW$2,C374:AW374),"")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'286024', '작업일지보고', '', '', '', '', '1', '1', '1', 'prod.order', 'WorkBookV5', '1', '1', '1', '1', '1', '1', '1', '', '0', '0', '0', '', '', '', '', 'N', '', '', '286000', '5', '69256', '0', '14821/작업일지보고/prod.order/WorkBookV5', '(필링코)', '', '', '', '', '', '', 'P', 'MES-TD3-512', 'for 필링코 현장 작업일지 보고');</v>
      </c>
    </row>
    <row r="375" spans="1:51" ht="26">
      <c r="A375" s="1">
        <v>147</v>
      </c>
      <c r="B375" s="121" t="str">
        <f t="shared" si="108"/>
        <v xml:space="preserve">        └ (프로젝트)작업일지보고</v>
      </c>
      <c r="C375" s="27" t="str">
        <f>IF(F375="","","14821")</f>
        <v>14821</v>
      </c>
      <c r="D375" s="121"/>
      <c r="E375" s="27">
        <v>286012</v>
      </c>
      <c r="F375" s="121" t="s">
        <v>2060</v>
      </c>
      <c r="G375" s="121"/>
      <c r="H375" s="121"/>
      <c r="I375" s="121"/>
      <c r="J375" s="121"/>
      <c r="K375" s="27" t="str">
        <f t="shared" si="111"/>
        <v>1</v>
      </c>
      <c r="L375" s="27">
        <v>1</v>
      </c>
      <c r="M375" s="27" t="str">
        <f t="shared" si="112"/>
        <v>1</v>
      </c>
      <c r="N375" s="121" t="s">
        <v>346</v>
      </c>
      <c r="O375" s="121" t="s">
        <v>336</v>
      </c>
      <c r="P375" s="27" t="str">
        <f t="shared" si="115"/>
        <v>1</v>
      </c>
      <c r="Q375" s="27" t="str">
        <f t="shared" si="116"/>
        <v>1</v>
      </c>
      <c r="R375" s="27" t="str">
        <f t="shared" si="117"/>
        <v>1</v>
      </c>
      <c r="S375" s="27" t="str">
        <f t="shared" si="118"/>
        <v>1</v>
      </c>
      <c r="T375" s="27" t="str">
        <f t="shared" si="119"/>
        <v>1</v>
      </c>
      <c r="U375" s="27" t="str">
        <f t="shared" si="120"/>
        <v>1</v>
      </c>
      <c r="V375" s="27" t="str">
        <f t="shared" si="121"/>
        <v>1</v>
      </c>
      <c r="W375" s="27"/>
      <c r="X375" s="27" t="str">
        <f t="shared" si="122"/>
        <v>0</v>
      </c>
      <c r="Y375" s="27" t="str">
        <f t="shared" si="123"/>
        <v>0</v>
      </c>
      <c r="Z375" s="27" t="str">
        <f t="shared" si="124"/>
        <v>0</v>
      </c>
      <c r="AA375" s="121"/>
      <c r="AB375" s="121"/>
      <c r="AC375" s="121"/>
      <c r="AD375" s="121"/>
      <c r="AE375" s="121" t="s">
        <v>51</v>
      </c>
      <c r="AF375" s="121"/>
      <c r="AG375" s="121"/>
      <c r="AH375" s="28" t="s">
        <v>242</v>
      </c>
      <c r="AI375" s="28" t="s">
        <v>113</v>
      </c>
      <c r="AJ375" s="28">
        <v>69258</v>
      </c>
      <c r="AK375" s="121" t="str">
        <f t="shared" si="110"/>
        <v>0</v>
      </c>
      <c r="AL375" s="123" t="str">
        <f>IF(C375="","",C375&amp;"/"&amp;F375&amp;"/"&amp;N375&amp;"/"&amp;O375)</f>
        <v>14821/작업일지보고/prod.project/PrjtWorkEntry</v>
      </c>
      <c r="AM375" s="27" t="s">
        <v>1887</v>
      </c>
      <c r="AN375" s="124"/>
      <c r="AO375" s="124"/>
      <c r="AP375" s="124"/>
      <c r="AQ375" s="124" t="s">
        <v>1829</v>
      </c>
      <c r="AR375" s="124"/>
      <c r="AS375" s="124"/>
      <c r="AT375" s="124" t="s">
        <v>1941</v>
      </c>
      <c r="AU375" s="124" t="str">
        <f t="shared" si="114"/>
        <v>P286012</v>
      </c>
      <c r="AV375" s="124" t="s">
        <v>2871</v>
      </c>
      <c r="AW375" s="117" t="s">
        <v>1927</v>
      </c>
      <c r="AX375" s="138" t="str">
        <f t="shared" si="107"/>
        <v>delete from module_mst where pjt_id = '14821' and menu_id = '286012';</v>
      </c>
      <c r="AY375" s="31" t="str">
        <f>IF(C375&lt;&gt;"",CREATE_QUERY($D$1,C$2:AW$2,C375:AW375),"")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'286012', '작업일지보고', '', '', '', '', '1', '1', '1', 'prod.project', 'PrjtWorkEntry', '1', '1', '1', '1', '1', '1', '1', '', '0', '0', '0', '', '', '', '', 'N', '', '', '286000', '5', '69258', '0', '14821/작업일지보고/prod.project/PrjtWorkEntry', '(프로젝트)', '', '', '', 'Y', '', '', 'P', 'MES-TD3-513', '공정별 작업 일보를 등록(작업 실적 및 유실공수, 자재투입, 설비 가동)');</v>
      </c>
    </row>
    <row r="376" spans="1:51" ht="39">
      <c r="A376" s="1">
        <v>143</v>
      </c>
      <c r="B376" s="121" t="str">
        <f t="shared" si="108"/>
        <v xml:space="preserve">        └ (대한솔)작업일지보고</v>
      </c>
      <c r="C376" s="27" t="str">
        <f t="shared" si="126"/>
        <v>14821</v>
      </c>
      <c r="D376" s="121"/>
      <c r="E376" s="27">
        <v>286025</v>
      </c>
      <c r="F376" s="121" t="s">
        <v>2060</v>
      </c>
      <c r="G376" s="121"/>
      <c r="H376" s="121"/>
      <c r="I376" s="121"/>
      <c r="J376" s="121"/>
      <c r="K376" s="27" t="str">
        <f t="shared" si="111"/>
        <v>1</v>
      </c>
      <c r="L376" s="27">
        <v>1</v>
      </c>
      <c r="M376" s="27" t="str">
        <f t="shared" si="112"/>
        <v>1</v>
      </c>
      <c r="N376" s="121" t="s">
        <v>2405</v>
      </c>
      <c r="O376" s="121" t="s">
        <v>276</v>
      </c>
      <c r="P376" s="27" t="str">
        <f t="shared" si="115"/>
        <v>1</v>
      </c>
      <c r="Q376" s="27" t="str">
        <f t="shared" si="116"/>
        <v>1</v>
      </c>
      <c r="R376" s="27" t="str">
        <f t="shared" si="117"/>
        <v>1</v>
      </c>
      <c r="S376" s="27" t="str">
        <f t="shared" si="118"/>
        <v>1</v>
      </c>
      <c r="T376" s="27" t="str">
        <f t="shared" si="119"/>
        <v>1</v>
      </c>
      <c r="U376" s="27" t="str">
        <f t="shared" si="120"/>
        <v>1</v>
      </c>
      <c r="V376" s="27" t="str">
        <f t="shared" si="121"/>
        <v>1</v>
      </c>
      <c r="W376" s="27"/>
      <c r="X376" s="27" t="str">
        <f t="shared" si="122"/>
        <v>0</v>
      </c>
      <c r="Y376" s="27" t="str">
        <f t="shared" si="123"/>
        <v>0</v>
      </c>
      <c r="Z376" s="27" t="str">
        <f t="shared" si="124"/>
        <v>0</v>
      </c>
      <c r="AA376" s="121"/>
      <c r="AB376" s="121"/>
      <c r="AC376" s="121"/>
      <c r="AD376" s="121"/>
      <c r="AE376" s="121" t="s">
        <v>51</v>
      </c>
      <c r="AF376" s="121"/>
      <c r="AG376" s="121"/>
      <c r="AH376" s="28" t="s">
        <v>242</v>
      </c>
      <c r="AI376" s="28" t="s">
        <v>113</v>
      </c>
      <c r="AJ376" s="28">
        <v>69258</v>
      </c>
      <c r="AK376" s="121" t="str">
        <f t="shared" si="110"/>
        <v>0</v>
      </c>
      <c r="AL376" s="123" t="str">
        <f t="shared" si="105"/>
        <v>14821/작업일지보고/custom.dehansol.prod/WorkEntry</v>
      </c>
      <c r="AM376" s="27" t="s">
        <v>2377</v>
      </c>
      <c r="AN376" s="124"/>
      <c r="AO376" s="124"/>
      <c r="AP376" s="124"/>
      <c r="AQ376" s="124"/>
      <c r="AR376" s="124"/>
      <c r="AS376" s="124"/>
      <c r="AT376" s="124" t="s">
        <v>1941</v>
      </c>
      <c r="AU376" s="124" t="str">
        <f t="shared" si="114"/>
        <v>P286025</v>
      </c>
      <c r="AV376" s="124" t="s">
        <v>2872</v>
      </c>
      <c r="AW376" s="117" t="s">
        <v>2406</v>
      </c>
      <c r="AX376" s="138" t="str">
        <f t="shared" si="107"/>
        <v>delete from module_mst where pjt_id = '14821' and menu_id = '286025';</v>
      </c>
      <c r="AY376" s="31" t="str">
        <f>IF(C376&lt;&gt;"",CREATE_QUERY($D$1,C$2:AW$2,C376:AW376),"")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'286025', '작업일지보고', '', '', '', '', '1', '1', '1', 'custom.dehansol.prod', 'WorkEntry', '1', '1', '1', '1', '1', '1', '1', '', '0', '0', '0', '', '', '', '', 'N', '', '', '286000', '5', '69258', '0', '14821/작업일지보고/custom.dehansol.prod/WorkEntry', '(대한솔)', '', '', '', '', '', '', 'P', 'MES-TD3-514', 'for 대한솔 현장 작업 실적 관리
대한솔의 경우 생산계획이나 지시 없이 공정 작업을 진행하는 형태로
일자별 품목별, 거래처별 생산 수량을 직접 입력하도록 한다. ');</v>
      </c>
    </row>
    <row r="377" spans="1:51">
      <c r="A377" s="1">
        <v>143</v>
      </c>
      <c r="B377" s="121" t="str">
        <f t="shared" si="108"/>
        <v xml:space="preserve">        └ (인코팩)작업일지보고</v>
      </c>
      <c r="C377" s="27" t="str">
        <f t="shared" si="126"/>
        <v>14821</v>
      </c>
      <c r="D377" s="121"/>
      <c r="E377" s="27">
        <v>286026</v>
      </c>
      <c r="F377" s="121" t="s">
        <v>2060</v>
      </c>
      <c r="G377" s="121"/>
      <c r="H377" s="121"/>
      <c r="I377" s="121"/>
      <c r="J377" s="121"/>
      <c r="K377" s="27" t="str">
        <f t="shared" si="111"/>
        <v>1</v>
      </c>
      <c r="L377" s="27">
        <v>1</v>
      </c>
      <c r="M377" s="27" t="str">
        <f t="shared" si="112"/>
        <v>1</v>
      </c>
      <c r="N377" s="121" t="s">
        <v>2425</v>
      </c>
      <c r="O377" s="121" t="s">
        <v>276</v>
      </c>
      <c r="P377" s="27" t="str">
        <f t="shared" si="115"/>
        <v>1</v>
      </c>
      <c r="Q377" s="27" t="str">
        <f t="shared" si="116"/>
        <v>1</v>
      </c>
      <c r="R377" s="27" t="str">
        <f t="shared" si="117"/>
        <v>1</v>
      </c>
      <c r="S377" s="27" t="str">
        <f t="shared" si="118"/>
        <v>1</v>
      </c>
      <c r="T377" s="27" t="str">
        <f t="shared" si="119"/>
        <v>1</v>
      </c>
      <c r="U377" s="27" t="str">
        <f t="shared" si="120"/>
        <v>1</v>
      </c>
      <c r="V377" s="27" t="str">
        <f t="shared" si="121"/>
        <v>1</v>
      </c>
      <c r="W377" s="27"/>
      <c r="X377" s="27" t="str">
        <f t="shared" si="122"/>
        <v>0</v>
      </c>
      <c r="Y377" s="27" t="str">
        <f t="shared" si="123"/>
        <v>0</v>
      </c>
      <c r="Z377" s="27" t="str">
        <f t="shared" si="124"/>
        <v>0</v>
      </c>
      <c r="AA377" s="121"/>
      <c r="AB377" s="121"/>
      <c r="AC377" s="121"/>
      <c r="AD377" s="121"/>
      <c r="AE377" s="121" t="s">
        <v>51</v>
      </c>
      <c r="AF377" s="121"/>
      <c r="AG377" s="121"/>
      <c r="AH377" s="28" t="s">
        <v>242</v>
      </c>
      <c r="AI377" s="28" t="s">
        <v>113</v>
      </c>
      <c r="AJ377" s="28">
        <v>69258</v>
      </c>
      <c r="AK377" s="121" t="str">
        <f t="shared" si="110"/>
        <v>0</v>
      </c>
      <c r="AL377" s="123" t="str">
        <f t="shared" si="105"/>
        <v>14821/작업일지보고/custom.inkopack.prod/WorkEntry</v>
      </c>
      <c r="AM377" s="27" t="s">
        <v>2386</v>
      </c>
      <c r="AN377" s="124"/>
      <c r="AO377" s="124"/>
      <c r="AP377" s="124"/>
      <c r="AQ377" s="124"/>
      <c r="AR377" s="124"/>
      <c r="AS377" s="124"/>
      <c r="AT377" s="124" t="s">
        <v>1941</v>
      </c>
      <c r="AU377" s="124" t="str">
        <f t="shared" si="114"/>
        <v>P286026</v>
      </c>
      <c r="AV377" s="124" t="s">
        <v>2873</v>
      </c>
      <c r="AW377" s="117" t="s">
        <v>2428</v>
      </c>
      <c r="AX377" s="138" t="str">
        <f t="shared" si="107"/>
        <v>delete from module_mst where pjt_id = '14821' and menu_id = '286026';</v>
      </c>
      <c r="AY377" s="31" t="str">
        <f>IF(C377&lt;&gt;"",CREATE_QUERY($D$1,C$2:AW$2,C377:AW377),"")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'286026', '작업일지보고', '', '', '', '', '1', '1', '1', 'custom.inkopack.prod', 'WorkEntry', '1', '1', '1', '1', '1', '1', '1', '', '0', '0', '0', '', '', '', '', 'N', '', '', '286000', '5', '69258', '0', '14821/작업일지보고/custom.inkopack.prod/WorkEntry', '(인코팩)', '', '', '', '', '', '', 'P', 'MES-TD3-515', 'for 인코팩 작업일지 보고');</v>
      </c>
    </row>
    <row r="378" spans="1:51">
      <c r="A378" s="1">
        <v>143</v>
      </c>
      <c r="B378" s="121" t="str">
        <f t="shared" si="108"/>
        <v xml:space="preserve">        └ (신양)작업일지보고</v>
      </c>
      <c r="C378" s="27" t="str">
        <f t="shared" si="126"/>
        <v>14821</v>
      </c>
      <c r="D378" s="121"/>
      <c r="E378" s="27">
        <v>286027</v>
      </c>
      <c r="F378" s="121" t="s">
        <v>2060</v>
      </c>
      <c r="G378" s="121"/>
      <c r="H378" s="121"/>
      <c r="I378" s="121"/>
      <c r="J378" s="121"/>
      <c r="K378" s="27" t="str">
        <f t="shared" si="111"/>
        <v>1</v>
      </c>
      <c r="L378" s="27">
        <v>1</v>
      </c>
      <c r="M378" s="27" t="str">
        <f t="shared" si="112"/>
        <v>1</v>
      </c>
      <c r="N378" s="121" t="s">
        <v>2426</v>
      </c>
      <c r="O378" s="121" t="s">
        <v>276</v>
      </c>
      <c r="P378" s="27" t="str">
        <f t="shared" si="115"/>
        <v>1</v>
      </c>
      <c r="Q378" s="27" t="str">
        <f t="shared" si="116"/>
        <v>1</v>
      </c>
      <c r="R378" s="27" t="str">
        <f t="shared" si="117"/>
        <v>1</v>
      </c>
      <c r="S378" s="27" t="str">
        <f t="shared" si="118"/>
        <v>1</v>
      </c>
      <c r="T378" s="27" t="str">
        <f t="shared" si="119"/>
        <v>1</v>
      </c>
      <c r="U378" s="27" t="str">
        <f t="shared" si="120"/>
        <v>1</v>
      </c>
      <c r="V378" s="27" t="str">
        <f t="shared" si="121"/>
        <v>1</v>
      </c>
      <c r="W378" s="27"/>
      <c r="X378" s="27" t="str">
        <f t="shared" si="122"/>
        <v>0</v>
      </c>
      <c r="Y378" s="27" t="str">
        <f t="shared" si="123"/>
        <v>0</v>
      </c>
      <c r="Z378" s="27" t="str">
        <f t="shared" si="124"/>
        <v>0</v>
      </c>
      <c r="AA378" s="121"/>
      <c r="AB378" s="121"/>
      <c r="AC378" s="121"/>
      <c r="AD378" s="121"/>
      <c r="AE378" s="121" t="s">
        <v>51</v>
      </c>
      <c r="AF378" s="121"/>
      <c r="AG378" s="121"/>
      <c r="AH378" s="28" t="s">
        <v>242</v>
      </c>
      <c r="AI378" s="28" t="s">
        <v>113</v>
      </c>
      <c r="AJ378" s="28">
        <v>69258</v>
      </c>
      <c r="AK378" s="121" t="str">
        <f t="shared" si="110"/>
        <v>0</v>
      </c>
      <c r="AL378" s="123" t="str">
        <f t="shared" si="105"/>
        <v>14821/작업일지보고/custom.symct.prod/WorkEntry</v>
      </c>
      <c r="AM378" s="27" t="s">
        <v>2380</v>
      </c>
      <c r="AN378" s="124"/>
      <c r="AO378" s="124"/>
      <c r="AP378" s="124"/>
      <c r="AQ378" s="124"/>
      <c r="AR378" s="124"/>
      <c r="AS378" s="124"/>
      <c r="AT378" s="124" t="s">
        <v>1941</v>
      </c>
      <c r="AU378" s="124" t="str">
        <f t="shared" si="114"/>
        <v>P286027</v>
      </c>
      <c r="AV378" s="124" t="s">
        <v>2874</v>
      </c>
      <c r="AW378" s="117" t="s">
        <v>2427</v>
      </c>
      <c r="AX378" s="138" t="str">
        <f t="shared" si="107"/>
        <v>delete from module_mst where pjt_id = '14821' and menu_id = '286027';</v>
      </c>
      <c r="AY378" s="31" t="str">
        <f>IF(C378&lt;&gt;"",CREATE_QUERY($D$1,C$2:AW$2,C378:AW378),"")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'286027', '작업일지보고', '', '', '', '', '1', '1', '1', 'custom.symct.prod', 'WorkEntry', '1', '1', '1', '1', '1', '1', '1', '', '0', '0', '0', '', '', '', '', 'N', '', '', '286000', '5', '69258', '0', '14821/작업일지보고/custom.symct.prod/WorkEntry', '(신양)', '', '', '', '', '', '', 'P', 'MES-TD3-516', 'for 신양메카텍 작업일지 보고');</v>
      </c>
    </row>
    <row r="379" spans="1:51">
      <c r="A379" s="1">
        <v>144</v>
      </c>
      <c r="B379" s="121" t="str">
        <f t="shared" si="108"/>
        <v xml:space="preserve">        └ (광일테크)작업일지보고</v>
      </c>
      <c r="C379" s="27" t="str">
        <f t="shared" si="126"/>
        <v>14821</v>
      </c>
      <c r="D379" s="121"/>
      <c r="E379" s="27">
        <v>286028</v>
      </c>
      <c r="F379" s="121" t="s">
        <v>2060</v>
      </c>
      <c r="G379" s="121"/>
      <c r="H379" s="121"/>
      <c r="I379" s="121"/>
      <c r="J379" s="121"/>
      <c r="K379" s="27" t="str">
        <f t="shared" si="111"/>
        <v>1</v>
      </c>
      <c r="L379" s="27">
        <v>1</v>
      </c>
      <c r="M379" s="27" t="str">
        <f t="shared" si="112"/>
        <v>1</v>
      </c>
      <c r="N379" s="121" t="s">
        <v>2446</v>
      </c>
      <c r="O379" s="121" t="s">
        <v>276</v>
      </c>
      <c r="P379" s="27" t="str">
        <f t="shared" si="115"/>
        <v>1</v>
      </c>
      <c r="Q379" s="27" t="str">
        <f t="shared" si="116"/>
        <v>1</v>
      </c>
      <c r="R379" s="27" t="str">
        <f t="shared" si="117"/>
        <v>1</v>
      </c>
      <c r="S379" s="27" t="str">
        <f t="shared" si="118"/>
        <v>1</v>
      </c>
      <c r="T379" s="27" t="str">
        <f t="shared" si="119"/>
        <v>1</v>
      </c>
      <c r="U379" s="27" t="str">
        <f t="shared" si="120"/>
        <v>1</v>
      </c>
      <c r="V379" s="27" t="str">
        <f t="shared" si="121"/>
        <v>1</v>
      </c>
      <c r="W379" s="27"/>
      <c r="X379" s="27" t="str">
        <f t="shared" si="122"/>
        <v>0</v>
      </c>
      <c r="Y379" s="27" t="str">
        <f t="shared" si="123"/>
        <v>0</v>
      </c>
      <c r="Z379" s="27" t="str">
        <f t="shared" si="124"/>
        <v>0</v>
      </c>
      <c r="AA379" s="121"/>
      <c r="AB379" s="121"/>
      <c r="AC379" s="121"/>
      <c r="AD379" s="121"/>
      <c r="AE379" s="121" t="s">
        <v>51</v>
      </c>
      <c r="AF379" s="121"/>
      <c r="AG379" s="121"/>
      <c r="AH379" s="28" t="s">
        <v>242</v>
      </c>
      <c r="AI379" s="28" t="s">
        <v>113</v>
      </c>
      <c r="AJ379" s="28">
        <v>69258</v>
      </c>
      <c r="AK379" s="121" t="str">
        <f t="shared" si="110"/>
        <v>0</v>
      </c>
      <c r="AL379" s="123" t="str">
        <f t="shared" si="105"/>
        <v>14821/작업일지보고/custom.kitec.prod/WorkEntry</v>
      </c>
      <c r="AM379" s="27" t="s">
        <v>2447</v>
      </c>
      <c r="AN379" s="124"/>
      <c r="AO379" s="124"/>
      <c r="AP379" s="124"/>
      <c r="AQ379" s="124"/>
      <c r="AR379" s="124"/>
      <c r="AS379" s="124"/>
      <c r="AT379" s="124" t="s">
        <v>1941</v>
      </c>
      <c r="AU379" s="124" t="str">
        <f t="shared" si="114"/>
        <v>P286028</v>
      </c>
      <c r="AV379" s="124" t="s">
        <v>2875</v>
      </c>
      <c r="AW379" s="117" t="s">
        <v>2448</v>
      </c>
      <c r="AX379" s="138" t="str">
        <f t="shared" si="107"/>
        <v>delete from module_mst where pjt_id = '14821' and menu_id = '286028';</v>
      </c>
      <c r="AY379" s="31" t="str">
        <f>IF(C379&lt;&gt;"",CREATE_QUERY($D$1,C$2:AW$2,C379:AW379),"")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'286028', '작업일지보고', '', '', '', '', '1', '1', '1', 'custom.kitec.prod', 'WorkEntry', '1', '1', '1', '1', '1', '1', '1', '', '0', '0', '0', '', '', '', '', 'N', '', '', '286000', '5', '69258', '0', '14821/작업일지보고/custom.kitec.prod/WorkEntry', '(광일테크)', '', '', '', '', '', '', 'P', 'MES-TD3-517', 'for 광일테크 작업일지 보고');</v>
      </c>
    </row>
    <row r="380" spans="1:51">
      <c r="A380" s="1">
        <v>145</v>
      </c>
      <c r="B380" s="121" t="str">
        <f t="shared" si="108"/>
        <v xml:space="preserve">        └ (대한솔)생산일보</v>
      </c>
      <c r="C380" s="27" t="str">
        <f t="shared" si="126"/>
        <v>14821</v>
      </c>
      <c r="D380" s="121"/>
      <c r="E380" s="27">
        <v>286029</v>
      </c>
      <c r="F380" s="121" t="s">
        <v>234</v>
      </c>
      <c r="G380" s="121"/>
      <c r="H380" s="121"/>
      <c r="I380" s="121"/>
      <c r="J380" s="121"/>
      <c r="K380" s="27" t="str">
        <f t="shared" si="111"/>
        <v>1</v>
      </c>
      <c r="L380" s="27">
        <v>1</v>
      </c>
      <c r="M380" s="27" t="str">
        <f t="shared" si="112"/>
        <v>1</v>
      </c>
      <c r="N380" s="121" t="s">
        <v>2405</v>
      </c>
      <c r="O380" s="121" t="s">
        <v>253</v>
      </c>
      <c r="P380" s="27" t="str">
        <f t="shared" si="115"/>
        <v>1</v>
      </c>
      <c r="Q380" s="27" t="str">
        <f t="shared" si="116"/>
        <v>1</v>
      </c>
      <c r="R380" s="27" t="str">
        <f t="shared" si="117"/>
        <v>1</v>
      </c>
      <c r="S380" s="27" t="str">
        <f t="shared" si="118"/>
        <v>1</v>
      </c>
      <c r="T380" s="27" t="str">
        <f t="shared" si="119"/>
        <v>1</v>
      </c>
      <c r="U380" s="27" t="str">
        <f t="shared" si="120"/>
        <v>1</v>
      </c>
      <c r="V380" s="27" t="str">
        <f t="shared" si="121"/>
        <v>1</v>
      </c>
      <c r="W380" s="27"/>
      <c r="X380" s="27" t="str">
        <f t="shared" si="122"/>
        <v>0</v>
      </c>
      <c r="Y380" s="27" t="str">
        <f t="shared" si="123"/>
        <v>0</v>
      </c>
      <c r="Z380" s="27" t="str">
        <f t="shared" si="124"/>
        <v>0</v>
      </c>
      <c r="AA380" s="121"/>
      <c r="AB380" s="121"/>
      <c r="AC380" s="121"/>
      <c r="AD380" s="121"/>
      <c r="AE380" s="121" t="s">
        <v>51</v>
      </c>
      <c r="AF380" s="121"/>
      <c r="AG380" s="121"/>
      <c r="AH380" s="28" t="s">
        <v>242</v>
      </c>
      <c r="AI380" s="28" t="s">
        <v>113</v>
      </c>
      <c r="AJ380" s="28">
        <v>69300</v>
      </c>
      <c r="AK380" s="121" t="str">
        <f t="shared" si="110"/>
        <v>0</v>
      </c>
      <c r="AL380" s="123" t="str">
        <f t="shared" si="105"/>
        <v>14821/생산일보/custom.dehansol.prod/WorkBook</v>
      </c>
      <c r="AM380" s="27" t="s">
        <v>2377</v>
      </c>
      <c r="AN380" s="124"/>
      <c r="AO380" s="124"/>
      <c r="AP380" s="124"/>
      <c r="AQ380" s="124"/>
      <c r="AR380" s="124"/>
      <c r="AS380" s="124"/>
      <c r="AT380" s="124" t="s">
        <v>1941</v>
      </c>
      <c r="AU380" s="124" t="str">
        <f t="shared" si="114"/>
        <v>P286029</v>
      </c>
      <c r="AV380" s="124" t="s">
        <v>2876</v>
      </c>
      <c r="AW380" s="117"/>
      <c r="AX380" s="138" t="str">
        <f t="shared" si="107"/>
        <v>delete from module_mst where pjt_id = '14821' and menu_id = '286029';</v>
      </c>
      <c r="AY380" s="31" t="str">
        <f>IF(C380&lt;&gt;"",CREATE_QUERY($D$1,C$2:AW$2,C380:AW380),"")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'286029', '생산일보', '', '', '', '', '1', '1', '1', 'custom.dehansol.prod', 'WorkBook', '1', '1', '1', '1', '1', '1', '1', '', '0', '0', '0', '', '', '', '', 'N', '', '', '286000', '5', '69300', '0', '14821/생산일보/custom.dehansol.prod/WorkBook', '(대한솔)', '', '', '', '', '', '', 'P', 'MES-TD3-518', '');</v>
      </c>
    </row>
    <row r="381" spans="1:51" ht="26">
      <c r="A381" s="1">
        <v>146</v>
      </c>
      <c r="B381" s="121" t="str">
        <f t="shared" si="108"/>
        <v xml:space="preserve">        └ (인코팩)외주작업지시</v>
      </c>
      <c r="C381" s="27" t="str">
        <f t="shared" si="126"/>
        <v>14821</v>
      </c>
      <c r="D381" s="121"/>
      <c r="E381" s="27">
        <v>286030</v>
      </c>
      <c r="F381" s="121" t="s">
        <v>1882</v>
      </c>
      <c r="G381" s="121"/>
      <c r="H381" s="121"/>
      <c r="I381" s="121"/>
      <c r="J381" s="121"/>
      <c r="K381" s="27" t="str">
        <f t="shared" si="111"/>
        <v>1</v>
      </c>
      <c r="L381" s="27">
        <v>1</v>
      </c>
      <c r="M381" s="27" t="str">
        <f t="shared" si="112"/>
        <v>1</v>
      </c>
      <c r="N381" s="121" t="s">
        <v>328</v>
      </c>
      <c r="O381" s="121" t="s">
        <v>1925</v>
      </c>
      <c r="P381" s="27" t="str">
        <f t="shared" si="115"/>
        <v>1</v>
      </c>
      <c r="Q381" s="27" t="str">
        <f t="shared" si="116"/>
        <v>1</v>
      </c>
      <c r="R381" s="27" t="str">
        <f t="shared" si="117"/>
        <v>1</v>
      </c>
      <c r="S381" s="27" t="str">
        <f t="shared" si="118"/>
        <v>1</v>
      </c>
      <c r="T381" s="27" t="str">
        <f t="shared" si="119"/>
        <v>1</v>
      </c>
      <c r="U381" s="27" t="str">
        <f t="shared" si="120"/>
        <v>1</v>
      </c>
      <c r="V381" s="27" t="str">
        <f t="shared" si="121"/>
        <v>1</v>
      </c>
      <c r="W381" s="27"/>
      <c r="X381" s="27" t="str">
        <f t="shared" si="122"/>
        <v>0</v>
      </c>
      <c r="Y381" s="27" t="str">
        <f t="shared" si="123"/>
        <v>0</v>
      </c>
      <c r="Z381" s="27" t="str">
        <f t="shared" si="124"/>
        <v>0</v>
      </c>
      <c r="AA381" s="121"/>
      <c r="AB381" s="121"/>
      <c r="AC381" s="121"/>
      <c r="AD381" s="121"/>
      <c r="AE381" s="121" t="s">
        <v>51</v>
      </c>
      <c r="AF381" s="121"/>
      <c r="AG381" s="121"/>
      <c r="AH381" s="28" t="s">
        <v>242</v>
      </c>
      <c r="AI381" s="28" t="s">
        <v>113</v>
      </c>
      <c r="AJ381" s="28">
        <v>70450</v>
      </c>
      <c r="AK381" s="121" t="str">
        <f t="shared" si="110"/>
        <v>0</v>
      </c>
      <c r="AL381" s="123" t="str">
        <f t="shared" si="105"/>
        <v>14821/외주작업지시/prod.order/OtodWork</v>
      </c>
      <c r="AM381" s="27" t="s">
        <v>2386</v>
      </c>
      <c r="AN381" s="124"/>
      <c r="AO381" s="124"/>
      <c r="AP381" s="124"/>
      <c r="AQ381" s="124"/>
      <c r="AR381" s="124"/>
      <c r="AS381" s="124"/>
      <c r="AT381" s="124" t="s">
        <v>1941</v>
      </c>
      <c r="AU381" s="124" t="str">
        <f t="shared" si="114"/>
        <v>P286030</v>
      </c>
      <c r="AV381" s="124" t="s">
        <v>2877</v>
      </c>
      <c r="AW381" s="117" t="s">
        <v>2936</v>
      </c>
      <c r="AX381" s="138" t="str">
        <f t="shared" si="107"/>
        <v>delete from module_mst where pjt_id = '14821' and menu_id = '286030';</v>
      </c>
      <c r="AY381" s="31" t="str">
        <f>IF(C381&lt;&gt;"",CREATE_QUERY($D$1,C$2:AW$2,C381:AW381),"")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'286030', '외주작업지시', '', '', '', '', '1', '1', '1', 'prod.order', 'OtodWork', '1', '1', '1', '1', '1', '1', '1', '', '0', '0', '0', '', '', '', '', 'N', '', '', '286000', '5', '70450', '0', '14821/외주작업지시/prod.order/OtodWork', '(인코팩)', '', '', '', '', '', '', 'P', 'MES-TD3-519', '생산지시 내용 중 공정코드 = 외주 인 지시서를 외주 거래처에 발주 처리');</v>
      </c>
    </row>
    <row r="382" spans="1:51">
      <c r="A382" s="1">
        <v>147</v>
      </c>
      <c r="B382" s="121" t="str">
        <f t="shared" si="108"/>
        <v xml:space="preserve">        └ (인코팩)작업지시현황</v>
      </c>
      <c r="C382" s="27" t="str">
        <f t="shared" si="126"/>
        <v>14821</v>
      </c>
      <c r="D382" s="121"/>
      <c r="E382" s="27">
        <v>286031</v>
      </c>
      <c r="F382" s="121" t="s">
        <v>2938</v>
      </c>
      <c r="G382" s="121"/>
      <c r="H382" s="121"/>
      <c r="I382" s="121"/>
      <c r="J382" s="121"/>
      <c r="K382" s="27" t="str">
        <f t="shared" si="111"/>
        <v>1</v>
      </c>
      <c r="L382" s="27">
        <v>1</v>
      </c>
      <c r="M382" s="27" t="str">
        <f t="shared" si="112"/>
        <v>1</v>
      </c>
      <c r="N382" s="121" t="s">
        <v>2425</v>
      </c>
      <c r="O382" s="121" t="s">
        <v>2939</v>
      </c>
      <c r="P382" s="27" t="str">
        <f t="shared" si="115"/>
        <v>1</v>
      </c>
      <c r="Q382" s="27" t="str">
        <f t="shared" si="116"/>
        <v>1</v>
      </c>
      <c r="R382" s="27" t="str">
        <f t="shared" si="117"/>
        <v>1</v>
      </c>
      <c r="S382" s="27" t="str">
        <f t="shared" si="118"/>
        <v>1</v>
      </c>
      <c r="T382" s="27" t="str">
        <f t="shared" si="119"/>
        <v>1</v>
      </c>
      <c r="U382" s="27" t="str">
        <f t="shared" si="120"/>
        <v>1</v>
      </c>
      <c r="V382" s="27" t="str">
        <f t="shared" si="121"/>
        <v>1</v>
      </c>
      <c r="W382" s="27"/>
      <c r="X382" s="27" t="str">
        <f t="shared" si="122"/>
        <v>0</v>
      </c>
      <c r="Y382" s="27" t="str">
        <f t="shared" si="123"/>
        <v>0</v>
      </c>
      <c r="Z382" s="27" t="str">
        <f t="shared" si="124"/>
        <v>0</v>
      </c>
      <c r="AA382" s="121"/>
      <c r="AB382" s="121"/>
      <c r="AC382" s="121"/>
      <c r="AD382" s="121"/>
      <c r="AE382" s="121" t="s">
        <v>51</v>
      </c>
      <c r="AF382" s="121"/>
      <c r="AG382" s="121"/>
      <c r="AH382" s="28" t="s">
        <v>242</v>
      </c>
      <c r="AI382" s="28" t="s">
        <v>113</v>
      </c>
      <c r="AJ382" s="28">
        <v>70500</v>
      </c>
      <c r="AK382" s="121" t="str">
        <f t="shared" si="110"/>
        <v/>
      </c>
      <c r="AL382" s="123" t="str">
        <f t="shared" si="105"/>
        <v>14821/작업지시현황/custom.inkopack.prod/PdodList</v>
      </c>
      <c r="AM382" s="27" t="s">
        <v>2386</v>
      </c>
      <c r="AN382" s="124"/>
      <c r="AO382" s="124"/>
      <c r="AP382" s="124"/>
      <c r="AQ382" s="124"/>
      <c r="AR382" s="124"/>
      <c r="AS382" s="124"/>
      <c r="AT382" s="124" t="s">
        <v>1941</v>
      </c>
      <c r="AU382" s="124" t="str">
        <f t="shared" si="114"/>
        <v>P286031</v>
      </c>
      <c r="AV382" s="124" t="s">
        <v>2878</v>
      </c>
      <c r="AW382" s="117" t="s">
        <v>2940</v>
      </c>
      <c r="AX382" s="138" t="str">
        <f t="shared" si="107"/>
        <v>delete from module_mst where pjt_id = '14821' and menu_id = '286031';</v>
      </c>
      <c r="AY382" s="31" t="str">
        <f>IF(C382&lt;&gt;"",CREATE_QUERY($D$1,C$2:AW$2,C382:AW382),"")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'286031', '작업지시현황', '', '', '', '', '1', '1', '1', 'custom.inkopack.prod', 'PdodList', '1', '1', '1', '1', '1', '1', '1', '', '0', '0', '0', '', '', '', '', 'N', '', '', '286000', '5', '70500', '', '14821/작업지시현황/custom.inkopack.prod/PdodList', '(인코팩)', '', '', '', '', '', '', 'P', 'MES-TD3-520', '생산 현장용 작업 진행 및 대기 현황표 (TV 화면)');</v>
      </c>
    </row>
    <row r="383" spans="1:51">
      <c r="A383" s="1">
        <v>147</v>
      </c>
      <c r="B383" s="121" t="str">
        <f t="shared" si="108"/>
        <v/>
      </c>
      <c r="C383" s="27" t="str">
        <f t="shared" si="126"/>
        <v/>
      </c>
      <c r="D383" s="121"/>
      <c r="E383" s="27">
        <v>286032</v>
      </c>
      <c r="F383" s="121"/>
      <c r="G383" s="121"/>
      <c r="H383" s="121"/>
      <c r="I383" s="121"/>
      <c r="J383" s="121"/>
      <c r="K383" s="27" t="str">
        <f t="shared" si="111"/>
        <v/>
      </c>
      <c r="L383" s="27">
        <v>1</v>
      </c>
      <c r="M383" s="27" t="str">
        <f t="shared" si="112"/>
        <v>0</v>
      </c>
      <c r="N383" s="121"/>
      <c r="O383" s="121"/>
      <c r="P383" s="27" t="str">
        <f t="shared" si="115"/>
        <v>0</v>
      </c>
      <c r="Q383" s="27" t="str">
        <f t="shared" si="116"/>
        <v>0</v>
      </c>
      <c r="R383" s="27" t="str">
        <f t="shared" si="117"/>
        <v>0</v>
      </c>
      <c r="S383" s="27" t="str">
        <f t="shared" si="118"/>
        <v>0</v>
      </c>
      <c r="T383" s="27" t="str">
        <f t="shared" si="119"/>
        <v>0</v>
      </c>
      <c r="U383" s="27" t="str">
        <f t="shared" si="120"/>
        <v>0</v>
      </c>
      <c r="V383" s="27" t="str">
        <f t="shared" si="121"/>
        <v>1</v>
      </c>
      <c r="W383" s="27"/>
      <c r="X383" s="27" t="str">
        <f t="shared" si="122"/>
        <v/>
      </c>
      <c r="Y383" s="27" t="str">
        <f t="shared" si="123"/>
        <v/>
      </c>
      <c r="Z383" s="27" t="str">
        <f t="shared" si="124"/>
        <v/>
      </c>
      <c r="AA383" s="121"/>
      <c r="AB383" s="121"/>
      <c r="AC383" s="121"/>
      <c r="AD383" s="121"/>
      <c r="AE383" s="121" t="s">
        <v>51</v>
      </c>
      <c r="AF383" s="121"/>
      <c r="AG383" s="121"/>
      <c r="AH383" s="28" t="s">
        <v>242</v>
      </c>
      <c r="AI383" s="28" t="s">
        <v>113</v>
      </c>
      <c r="AJ383" s="28">
        <v>70550</v>
      </c>
      <c r="AK383" s="121" t="str">
        <f t="shared" si="110"/>
        <v/>
      </c>
      <c r="AL383" s="123" t="str">
        <f t="shared" si="105"/>
        <v/>
      </c>
      <c r="AM383" s="27"/>
      <c r="AN383" s="124"/>
      <c r="AO383" s="124"/>
      <c r="AP383" s="124"/>
      <c r="AQ383" s="124"/>
      <c r="AR383" s="124"/>
      <c r="AS383" s="124"/>
      <c r="AT383" s="124" t="s">
        <v>1941</v>
      </c>
      <c r="AU383" s="124" t="str">
        <f t="shared" si="114"/>
        <v/>
      </c>
      <c r="AV383" s="124" t="s">
        <v>2879</v>
      </c>
      <c r="AW383" s="117"/>
      <c r="AX383" s="138" t="str">
        <f t="shared" si="107"/>
        <v/>
      </c>
      <c r="AY383" s="31" t="str">
        <f>IF(C383&lt;&gt;"",CREATE_QUERY($D$1,C$2:AW$2,C383:AW383),"")</f>
        <v/>
      </c>
    </row>
    <row r="384" spans="1:51">
      <c r="A384" s="1">
        <v>147</v>
      </c>
      <c r="B384" s="121" t="str">
        <f t="shared" si="108"/>
        <v/>
      </c>
      <c r="C384" s="27" t="str">
        <f t="shared" si="126"/>
        <v/>
      </c>
      <c r="D384" s="121"/>
      <c r="E384" s="27">
        <v>286033</v>
      </c>
      <c r="F384" s="121"/>
      <c r="G384" s="121"/>
      <c r="H384" s="121"/>
      <c r="I384" s="121"/>
      <c r="J384" s="121"/>
      <c r="K384" s="27" t="str">
        <f t="shared" si="111"/>
        <v/>
      </c>
      <c r="L384" s="27">
        <v>1</v>
      </c>
      <c r="M384" s="27" t="str">
        <f t="shared" si="112"/>
        <v>0</v>
      </c>
      <c r="N384" s="121"/>
      <c r="O384" s="121"/>
      <c r="P384" s="27" t="str">
        <f t="shared" si="115"/>
        <v>0</v>
      </c>
      <c r="Q384" s="27" t="str">
        <f t="shared" si="116"/>
        <v>0</v>
      </c>
      <c r="R384" s="27" t="str">
        <f t="shared" si="117"/>
        <v>0</v>
      </c>
      <c r="S384" s="27" t="str">
        <f t="shared" si="118"/>
        <v>0</v>
      </c>
      <c r="T384" s="27" t="str">
        <f t="shared" si="119"/>
        <v>0</v>
      </c>
      <c r="U384" s="27" t="str">
        <f t="shared" si="120"/>
        <v>0</v>
      </c>
      <c r="V384" s="27" t="str">
        <f t="shared" si="121"/>
        <v>1</v>
      </c>
      <c r="W384" s="27"/>
      <c r="X384" s="27" t="str">
        <f t="shared" si="122"/>
        <v/>
      </c>
      <c r="Y384" s="27" t="str">
        <f t="shared" si="123"/>
        <v/>
      </c>
      <c r="Z384" s="27" t="str">
        <f t="shared" si="124"/>
        <v/>
      </c>
      <c r="AA384" s="121"/>
      <c r="AB384" s="121"/>
      <c r="AC384" s="121"/>
      <c r="AD384" s="121"/>
      <c r="AE384" s="121" t="s">
        <v>51</v>
      </c>
      <c r="AF384" s="121"/>
      <c r="AG384" s="121"/>
      <c r="AH384" s="28" t="s">
        <v>242</v>
      </c>
      <c r="AI384" s="28" t="s">
        <v>113</v>
      </c>
      <c r="AJ384" s="28">
        <v>70600</v>
      </c>
      <c r="AK384" s="121" t="str">
        <f t="shared" si="110"/>
        <v/>
      </c>
      <c r="AL384" s="123" t="str">
        <f t="shared" si="105"/>
        <v/>
      </c>
      <c r="AM384" s="27"/>
      <c r="AN384" s="124"/>
      <c r="AO384" s="124"/>
      <c r="AP384" s="124"/>
      <c r="AQ384" s="124"/>
      <c r="AR384" s="124"/>
      <c r="AS384" s="124"/>
      <c r="AT384" s="124" t="s">
        <v>1941</v>
      </c>
      <c r="AU384" s="124" t="str">
        <f t="shared" si="114"/>
        <v/>
      </c>
      <c r="AV384" s="124" t="s">
        <v>2718</v>
      </c>
      <c r="AW384" s="117"/>
      <c r="AX384" s="138" t="str">
        <f t="shared" si="107"/>
        <v/>
      </c>
      <c r="AY384" s="31" t="str">
        <f>IF(C384&lt;&gt;"",CREATE_QUERY($D$1,C$2:AW$2,C384:AW384),"")</f>
        <v/>
      </c>
    </row>
    <row r="385" spans="1:51">
      <c r="A385" s="1">
        <v>147</v>
      </c>
      <c r="B385" s="121" t="str">
        <f t="shared" si="108"/>
        <v/>
      </c>
      <c r="C385" s="27" t="str">
        <f t="shared" si="126"/>
        <v/>
      </c>
      <c r="D385" s="121"/>
      <c r="E385" s="27">
        <v>286034</v>
      </c>
      <c r="F385" s="121"/>
      <c r="G385" s="121"/>
      <c r="H385" s="121"/>
      <c r="I385" s="121"/>
      <c r="J385" s="121"/>
      <c r="K385" s="27" t="str">
        <f t="shared" si="111"/>
        <v/>
      </c>
      <c r="L385" s="27">
        <v>1</v>
      </c>
      <c r="M385" s="27" t="str">
        <f t="shared" si="112"/>
        <v>0</v>
      </c>
      <c r="N385" s="121"/>
      <c r="O385" s="121"/>
      <c r="P385" s="27" t="str">
        <f t="shared" si="115"/>
        <v>0</v>
      </c>
      <c r="Q385" s="27" t="str">
        <f t="shared" si="116"/>
        <v>0</v>
      </c>
      <c r="R385" s="27" t="str">
        <f t="shared" si="117"/>
        <v>0</v>
      </c>
      <c r="S385" s="27" t="str">
        <f t="shared" si="118"/>
        <v>0</v>
      </c>
      <c r="T385" s="27" t="str">
        <f t="shared" si="119"/>
        <v>0</v>
      </c>
      <c r="U385" s="27" t="str">
        <f t="shared" si="120"/>
        <v>0</v>
      </c>
      <c r="V385" s="27" t="str">
        <f t="shared" si="121"/>
        <v>1</v>
      </c>
      <c r="W385" s="27"/>
      <c r="X385" s="27" t="str">
        <f t="shared" si="122"/>
        <v/>
      </c>
      <c r="Y385" s="27" t="str">
        <f t="shared" si="123"/>
        <v/>
      </c>
      <c r="Z385" s="27" t="str">
        <f t="shared" si="124"/>
        <v/>
      </c>
      <c r="AA385" s="121"/>
      <c r="AB385" s="121"/>
      <c r="AC385" s="121"/>
      <c r="AD385" s="121"/>
      <c r="AE385" s="121" t="s">
        <v>51</v>
      </c>
      <c r="AF385" s="121"/>
      <c r="AG385" s="121"/>
      <c r="AH385" s="28" t="s">
        <v>242</v>
      </c>
      <c r="AI385" s="28" t="s">
        <v>113</v>
      </c>
      <c r="AJ385" s="28">
        <v>70650</v>
      </c>
      <c r="AK385" s="121" t="str">
        <f t="shared" si="110"/>
        <v/>
      </c>
      <c r="AL385" s="123" t="str">
        <f t="shared" si="105"/>
        <v/>
      </c>
      <c r="AM385" s="27"/>
      <c r="AN385" s="124"/>
      <c r="AO385" s="124"/>
      <c r="AP385" s="124"/>
      <c r="AQ385" s="124"/>
      <c r="AR385" s="124"/>
      <c r="AS385" s="124"/>
      <c r="AT385" s="124" t="s">
        <v>1941</v>
      </c>
      <c r="AU385" s="124" t="str">
        <f t="shared" si="114"/>
        <v/>
      </c>
      <c r="AV385" s="124" t="s">
        <v>2719</v>
      </c>
      <c r="AW385" s="117"/>
      <c r="AX385" s="138" t="str">
        <f t="shared" si="107"/>
        <v/>
      </c>
      <c r="AY385" s="31" t="str">
        <f>IF(C385&lt;&gt;"",CREATE_QUERY($D$1,C$2:AW$2,C385:AW385),"")</f>
        <v/>
      </c>
    </row>
    <row r="386" spans="1:51">
      <c r="A386" s="1">
        <v>147</v>
      </c>
      <c r="B386" s="121" t="str">
        <f t="shared" si="108"/>
        <v/>
      </c>
      <c r="C386" s="27" t="str">
        <f t="shared" si="126"/>
        <v/>
      </c>
      <c r="D386" s="121"/>
      <c r="E386" s="27">
        <v>286035</v>
      </c>
      <c r="F386" s="121"/>
      <c r="G386" s="121"/>
      <c r="H386" s="121"/>
      <c r="I386" s="121"/>
      <c r="J386" s="121"/>
      <c r="K386" s="27" t="str">
        <f t="shared" si="111"/>
        <v/>
      </c>
      <c r="L386" s="27">
        <v>1</v>
      </c>
      <c r="M386" s="27" t="str">
        <f t="shared" si="112"/>
        <v>0</v>
      </c>
      <c r="N386" s="121"/>
      <c r="O386" s="121"/>
      <c r="P386" s="27" t="str">
        <f t="shared" si="115"/>
        <v>0</v>
      </c>
      <c r="Q386" s="27" t="str">
        <f t="shared" si="116"/>
        <v>0</v>
      </c>
      <c r="R386" s="27" t="str">
        <f t="shared" si="117"/>
        <v>0</v>
      </c>
      <c r="S386" s="27" t="str">
        <f t="shared" si="118"/>
        <v>0</v>
      </c>
      <c r="T386" s="27" t="str">
        <f t="shared" si="119"/>
        <v>0</v>
      </c>
      <c r="U386" s="27" t="str">
        <f t="shared" si="120"/>
        <v>0</v>
      </c>
      <c r="V386" s="27" t="str">
        <f t="shared" si="121"/>
        <v>1</v>
      </c>
      <c r="W386" s="27"/>
      <c r="X386" s="27" t="str">
        <f t="shared" si="122"/>
        <v/>
      </c>
      <c r="Y386" s="27" t="str">
        <f t="shared" si="123"/>
        <v/>
      </c>
      <c r="Z386" s="27" t="str">
        <f t="shared" si="124"/>
        <v/>
      </c>
      <c r="AA386" s="121"/>
      <c r="AB386" s="121"/>
      <c r="AC386" s="121"/>
      <c r="AD386" s="121"/>
      <c r="AE386" s="121" t="s">
        <v>51</v>
      </c>
      <c r="AF386" s="121"/>
      <c r="AG386" s="121"/>
      <c r="AH386" s="28" t="s">
        <v>242</v>
      </c>
      <c r="AI386" s="28" t="s">
        <v>113</v>
      </c>
      <c r="AJ386" s="28">
        <v>70700</v>
      </c>
      <c r="AK386" s="121" t="str">
        <f t="shared" si="110"/>
        <v/>
      </c>
      <c r="AL386" s="123" t="str">
        <f t="shared" si="105"/>
        <v/>
      </c>
      <c r="AM386" s="27"/>
      <c r="AN386" s="124"/>
      <c r="AO386" s="124"/>
      <c r="AP386" s="124"/>
      <c r="AQ386" s="124"/>
      <c r="AR386" s="124"/>
      <c r="AS386" s="124"/>
      <c r="AT386" s="124" t="s">
        <v>1941</v>
      </c>
      <c r="AU386" s="124" t="str">
        <f t="shared" si="114"/>
        <v/>
      </c>
      <c r="AV386" s="124" t="s">
        <v>2720</v>
      </c>
      <c r="AW386" s="117"/>
      <c r="AX386" s="138" t="str">
        <f t="shared" si="107"/>
        <v/>
      </c>
      <c r="AY386" s="31" t="str">
        <f>IF(C386&lt;&gt;"",CREATE_QUERY($D$1,C$2:AW$2,C386:AW386),"")</f>
        <v/>
      </c>
    </row>
    <row r="387" spans="1:51">
      <c r="A387" s="1">
        <v>147</v>
      </c>
      <c r="B387" s="121" t="str">
        <f t="shared" si="108"/>
        <v/>
      </c>
      <c r="C387" s="27" t="str">
        <f t="shared" si="126"/>
        <v/>
      </c>
      <c r="D387" s="121"/>
      <c r="E387" s="27">
        <v>286036</v>
      </c>
      <c r="F387" s="121"/>
      <c r="G387" s="121"/>
      <c r="H387" s="121"/>
      <c r="I387" s="121"/>
      <c r="J387" s="121"/>
      <c r="K387" s="27" t="str">
        <f t="shared" si="111"/>
        <v/>
      </c>
      <c r="L387" s="27">
        <v>1</v>
      </c>
      <c r="M387" s="27" t="str">
        <f t="shared" si="112"/>
        <v>0</v>
      </c>
      <c r="N387" s="121"/>
      <c r="O387" s="121"/>
      <c r="P387" s="27" t="str">
        <f t="shared" si="115"/>
        <v>0</v>
      </c>
      <c r="Q387" s="27" t="str">
        <f t="shared" si="116"/>
        <v>0</v>
      </c>
      <c r="R387" s="27" t="str">
        <f t="shared" si="117"/>
        <v>0</v>
      </c>
      <c r="S387" s="27" t="str">
        <f t="shared" si="118"/>
        <v>0</v>
      </c>
      <c r="T387" s="27" t="str">
        <f t="shared" si="119"/>
        <v>0</v>
      </c>
      <c r="U387" s="27" t="str">
        <f t="shared" si="120"/>
        <v>0</v>
      </c>
      <c r="V387" s="27" t="str">
        <f t="shared" si="121"/>
        <v>1</v>
      </c>
      <c r="W387" s="27"/>
      <c r="X387" s="27" t="str">
        <f t="shared" si="122"/>
        <v/>
      </c>
      <c r="Y387" s="27" t="str">
        <f t="shared" si="123"/>
        <v/>
      </c>
      <c r="Z387" s="27" t="str">
        <f t="shared" si="124"/>
        <v/>
      </c>
      <c r="AA387" s="121"/>
      <c r="AB387" s="121"/>
      <c r="AC387" s="121"/>
      <c r="AD387" s="121"/>
      <c r="AE387" s="121" t="s">
        <v>51</v>
      </c>
      <c r="AF387" s="121"/>
      <c r="AG387" s="121"/>
      <c r="AH387" s="28" t="s">
        <v>242</v>
      </c>
      <c r="AI387" s="28" t="s">
        <v>113</v>
      </c>
      <c r="AJ387" s="28">
        <v>70750</v>
      </c>
      <c r="AK387" s="121" t="str">
        <f t="shared" si="110"/>
        <v/>
      </c>
      <c r="AL387" s="123" t="str">
        <f t="shared" si="105"/>
        <v/>
      </c>
      <c r="AM387" s="27"/>
      <c r="AN387" s="124"/>
      <c r="AO387" s="124"/>
      <c r="AP387" s="124"/>
      <c r="AQ387" s="124"/>
      <c r="AR387" s="124"/>
      <c r="AS387" s="124"/>
      <c r="AT387" s="124" t="s">
        <v>1941</v>
      </c>
      <c r="AU387" s="124" t="str">
        <f t="shared" si="114"/>
        <v/>
      </c>
      <c r="AV387" s="124" t="s">
        <v>2721</v>
      </c>
      <c r="AW387" s="117"/>
      <c r="AX387" s="138" t="str">
        <f t="shared" si="107"/>
        <v/>
      </c>
      <c r="AY387" s="31" t="str">
        <f>IF(C387&lt;&gt;"",CREATE_QUERY($D$1,C$2:AW$2,C387:AW387),"")</f>
        <v/>
      </c>
    </row>
    <row r="388" spans="1:51">
      <c r="A388" s="1">
        <v>144</v>
      </c>
      <c r="B388" s="121" t="str">
        <f t="shared" si="108"/>
        <v/>
      </c>
      <c r="C388" s="27" t="str">
        <f t="shared" si="126"/>
        <v/>
      </c>
      <c r="D388" s="121"/>
      <c r="E388" s="27">
        <v>286037</v>
      </c>
      <c r="F388" s="121"/>
      <c r="G388" s="121"/>
      <c r="H388" s="121"/>
      <c r="I388" s="121"/>
      <c r="J388" s="121"/>
      <c r="K388" s="27" t="str">
        <f t="shared" si="111"/>
        <v/>
      </c>
      <c r="L388" s="27">
        <v>1</v>
      </c>
      <c r="M388" s="27" t="str">
        <f t="shared" si="112"/>
        <v>0</v>
      </c>
      <c r="N388" s="121"/>
      <c r="O388" s="121"/>
      <c r="P388" s="27" t="str">
        <f t="shared" si="115"/>
        <v>0</v>
      </c>
      <c r="Q388" s="27" t="str">
        <f t="shared" si="116"/>
        <v>0</v>
      </c>
      <c r="R388" s="27" t="str">
        <f t="shared" si="117"/>
        <v>0</v>
      </c>
      <c r="S388" s="27" t="str">
        <f t="shared" si="118"/>
        <v>0</v>
      </c>
      <c r="T388" s="27" t="str">
        <f t="shared" si="119"/>
        <v>0</v>
      </c>
      <c r="U388" s="27" t="str">
        <f t="shared" si="120"/>
        <v>0</v>
      </c>
      <c r="V388" s="27" t="str">
        <f t="shared" si="121"/>
        <v>1</v>
      </c>
      <c r="W388" s="27"/>
      <c r="X388" s="27" t="str">
        <f t="shared" si="122"/>
        <v/>
      </c>
      <c r="Y388" s="27" t="str">
        <f t="shared" si="123"/>
        <v/>
      </c>
      <c r="Z388" s="27" t="str">
        <f t="shared" si="124"/>
        <v/>
      </c>
      <c r="AA388" s="121"/>
      <c r="AB388" s="121"/>
      <c r="AC388" s="121"/>
      <c r="AD388" s="121"/>
      <c r="AE388" s="121" t="s">
        <v>51</v>
      </c>
      <c r="AF388" s="121"/>
      <c r="AG388" s="121"/>
      <c r="AH388" s="28" t="s">
        <v>242</v>
      </c>
      <c r="AI388" s="28" t="s">
        <v>113</v>
      </c>
      <c r="AJ388" s="28">
        <v>70800</v>
      </c>
      <c r="AK388" s="121" t="str">
        <f t="shared" si="110"/>
        <v/>
      </c>
      <c r="AL388" s="123" t="str">
        <f t="shared" si="105"/>
        <v/>
      </c>
      <c r="AM388" s="27"/>
      <c r="AN388" s="124"/>
      <c r="AO388" s="124"/>
      <c r="AP388" s="124"/>
      <c r="AQ388" s="124"/>
      <c r="AR388" s="124"/>
      <c r="AS388" s="124"/>
      <c r="AT388" s="124" t="s">
        <v>1941</v>
      </c>
      <c r="AU388" s="124" t="str">
        <f t="shared" si="114"/>
        <v/>
      </c>
      <c r="AV388" s="124" t="s">
        <v>2722</v>
      </c>
      <c r="AW388" s="117"/>
      <c r="AX388" s="138" t="str">
        <f t="shared" si="107"/>
        <v/>
      </c>
      <c r="AY388" s="31" t="str">
        <f>IF(C388&lt;&gt;"",CREATE_QUERY($D$1,C$2:AW$2,C388:AW388),"")</f>
        <v/>
      </c>
    </row>
    <row r="389" spans="1:51">
      <c r="A389" s="1">
        <v>145</v>
      </c>
      <c r="B389" s="121" t="str">
        <f t="shared" si="108"/>
        <v/>
      </c>
      <c r="C389" s="27" t="str">
        <f t="shared" si="126"/>
        <v/>
      </c>
      <c r="D389" s="121"/>
      <c r="E389" s="27">
        <v>286038</v>
      </c>
      <c r="F389" s="121"/>
      <c r="G389" s="121"/>
      <c r="H389" s="121"/>
      <c r="I389" s="121"/>
      <c r="J389" s="121"/>
      <c r="K389" s="27" t="str">
        <f t="shared" si="111"/>
        <v/>
      </c>
      <c r="L389" s="27">
        <v>1</v>
      </c>
      <c r="M389" s="27" t="str">
        <f t="shared" si="112"/>
        <v>0</v>
      </c>
      <c r="N389" s="121"/>
      <c r="O389" s="121"/>
      <c r="P389" s="27" t="str">
        <f t="shared" si="115"/>
        <v>0</v>
      </c>
      <c r="Q389" s="27" t="str">
        <f t="shared" si="116"/>
        <v>0</v>
      </c>
      <c r="R389" s="27" t="str">
        <f t="shared" si="117"/>
        <v>0</v>
      </c>
      <c r="S389" s="27" t="str">
        <f t="shared" si="118"/>
        <v>0</v>
      </c>
      <c r="T389" s="27" t="str">
        <f t="shared" si="119"/>
        <v>0</v>
      </c>
      <c r="U389" s="27" t="str">
        <f t="shared" si="120"/>
        <v>0</v>
      </c>
      <c r="V389" s="27" t="str">
        <f t="shared" si="121"/>
        <v>1</v>
      </c>
      <c r="W389" s="27"/>
      <c r="X389" s="27" t="str">
        <f t="shared" si="122"/>
        <v/>
      </c>
      <c r="Y389" s="27" t="str">
        <f t="shared" si="123"/>
        <v/>
      </c>
      <c r="Z389" s="27" t="str">
        <f t="shared" si="124"/>
        <v/>
      </c>
      <c r="AA389" s="121"/>
      <c r="AB389" s="121"/>
      <c r="AC389" s="121"/>
      <c r="AD389" s="121"/>
      <c r="AE389" s="121" t="s">
        <v>51</v>
      </c>
      <c r="AF389" s="121"/>
      <c r="AG389" s="121"/>
      <c r="AH389" s="28" t="s">
        <v>242</v>
      </c>
      <c r="AI389" s="28" t="s">
        <v>113</v>
      </c>
      <c r="AJ389" s="28">
        <v>70850</v>
      </c>
      <c r="AK389" s="121" t="str">
        <f t="shared" si="110"/>
        <v/>
      </c>
      <c r="AL389" s="123" t="str">
        <f t="shared" si="105"/>
        <v/>
      </c>
      <c r="AM389" s="27"/>
      <c r="AN389" s="124"/>
      <c r="AO389" s="124"/>
      <c r="AP389" s="124"/>
      <c r="AQ389" s="124"/>
      <c r="AR389" s="124"/>
      <c r="AS389" s="124"/>
      <c r="AT389" s="124" t="s">
        <v>1941</v>
      </c>
      <c r="AU389" s="124" t="str">
        <f t="shared" si="114"/>
        <v/>
      </c>
      <c r="AV389" s="124" t="s">
        <v>2723</v>
      </c>
      <c r="AW389" s="117"/>
      <c r="AX389" s="138" t="str">
        <f t="shared" ref="AX389:AX452" si="127">IF(C389="","","delete from module_mst where pjt_id = '"&amp;C389&amp;"' and menu_id = '"&amp;E389&amp;"';")</f>
        <v/>
      </c>
      <c r="AY389" s="31" t="str">
        <f>IF(C389&lt;&gt;"",CREATE_QUERY($D$1,C$2:AW$2,C389:AW389),"")</f>
        <v/>
      </c>
    </row>
    <row r="390" spans="1:51">
      <c r="A390" s="1">
        <v>146</v>
      </c>
      <c r="B390" s="121" t="str">
        <f t="shared" ref="B390:B453" si="128">IF(F390="","",IF(AI390="1","",IF(AI390="2","└ ",IF(AI390="3","  └ ",IF(AI390="4","    └ ",IF(AI390="5","        └ ",IF(AI390="6","         └ ",IF(AI390="7"="            └ ",""))))))))&amp;AM390&amp;F390</f>
        <v/>
      </c>
      <c r="C390" s="27" t="str">
        <f t="shared" si="126"/>
        <v/>
      </c>
      <c r="D390" s="121"/>
      <c r="E390" s="27">
        <v>286039</v>
      </c>
      <c r="F390" s="121"/>
      <c r="G390" s="121"/>
      <c r="H390" s="121"/>
      <c r="I390" s="121"/>
      <c r="J390" s="121"/>
      <c r="K390" s="27" t="str">
        <f t="shared" si="111"/>
        <v/>
      </c>
      <c r="L390" s="27">
        <v>1</v>
      </c>
      <c r="M390" s="27" t="str">
        <f t="shared" si="112"/>
        <v>0</v>
      </c>
      <c r="N390" s="121"/>
      <c r="O390" s="121"/>
      <c r="P390" s="27" t="str">
        <f t="shared" si="115"/>
        <v>0</v>
      </c>
      <c r="Q390" s="27" t="str">
        <f t="shared" si="116"/>
        <v>0</v>
      </c>
      <c r="R390" s="27" t="str">
        <f t="shared" si="117"/>
        <v>0</v>
      </c>
      <c r="S390" s="27" t="str">
        <f t="shared" si="118"/>
        <v>0</v>
      </c>
      <c r="T390" s="27" t="str">
        <f t="shared" si="119"/>
        <v>0</v>
      </c>
      <c r="U390" s="27" t="str">
        <f t="shared" si="120"/>
        <v>0</v>
      </c>
      <c r="V390" s="27" t="str">
        <f t="shared" si="121"/>
        <v>1</v>
      </c>
      <c r="W390" s="27"/>
      <c r="X390" s="27" t="str">
        <f t="shared" si="122"/>
        <v/>
      </c>
      <c r="Y390" s="27" t="str">
        <f t="shared" si="123"/>
        <v/>
      </c>
      <c r="Z390" s="27" t="str">
        <f t="shared" si="124"/>
        <v/>
      </c>
      <c r="AA390" s="121"/>
      <c r="AB390" s="121"/>
      <c r="AC390" s="121"/>
      <c r="AD390" s="121"/>
      <c r="AE390" s="121" t="s">
        <v>51</v>
      </c>
      <c r="AF390" s="121"/>
      <c r="AG390" s="121"/>
      <c r="AH390" s="28" t="s">
        <v>242</v>
      </c>
      <c r="AI390" s="28" t="s">
        <v>113</v>
      </c>
      <c r="AJ390" s="28">
        <v>70900</v>
      </c>
      <c r="AK390" s="121" t="str">
        <f t="shared" si="110"/>
        <v/>
      </c>
      <c r="AL390" s="123" t="str">
        <f t="shared" si="105"/>
        <v/>
      </c>
      <c r="AM390" s="27"/>
      <c r="AN390" s="124"/>
      <c r="AO390" s="124"/>
      <c r="AP390" s="124"/>
      <c r="AQ390" s="124"/>
      <c r="AR390" s="124"/>
      <c r="AS390" s="124"/>
      <c r="AT390" s="124" t="s">
        <v>1941</v>
      </c>
      <c r="AU390" s="124" t="str">
        <f t="shared" si="114"/>
        <v/>
      </c>
      <c r="AV390" s="124" t="s">
        <v>2724</v>
      </c>
      <c r="AW390" s="117"/>
      <c r="AX390" s="138" t="str">
        <f t="shared" si="127"/>
        <v/>
      </c>
      <c r="AY390" s="31" t="str">
        <f>IF(C390&lt;&gt;"",CREATE_QUERY($D$1,C$2:AW$2,C390:AW390),"")</f>
        <v/>
      </c>
    </row>
    <row r="391" spans="1:51">
      <c r="A391" s="1">
        <v>147</v>
      </c>
      <c r="B391" s="121" t="str">
        <f t="shared" si="128"/>
        <v/>
      </c>
      <c r="C391" s="27" t="str">
        <f t="shared" si="126"/>
        <v/>
      </c>
      <c r="D391" s="121"/>
      <c r="E391" s="27">
        <v>286040</v>
      </c>
      <c r="F391" s="121"/>
      <c r="G391" s="121"/>
      <c r="H391" s="121"/>
      <c r="I391" s="121"/>
      <c r="J391" s="121"/>
      <c r="K391" s="27" t="str">
        <f t="shared" si="111"/>
        <v/>
      </c>
      <c r="L391" s="27">
        <v>1</v>
      </c>
      <c r="M391" s="27" t="str">
        <f t="shared" si="112"/>
        <v>0</v>
      </c>
      <c r="N391" s="121"/>
      <c r="O391" s="121"/>
      <c r="P391" s="27" t="str">
        <f t="shared" si="115"/>
        <v>0</v>
      </c>
      <c r="Q391" s="27" t="str">
        <f t="shared" si="116"/>
        <v>0</v>
      </c>
      <c r="R391" s="27" t="str">
        <f t="shared" si="117"/>
        <v>0</v>
      </c>
      <c r="S391" s="27" t="str">
        <f t="shared" si="118"/>
        <v>0</v>
      </c>
      <c r="T391" s="27" t="str">
        <f t="shared" si="119"/>
        <v>0</v>
      </c>
      <c r="U391" s="27" t="str">
        <f t="shared" si="120"/>
        <v>0</v>
      </c>
      <c r="V391" s="27" t="str">
        <f t="shared" si="121"/>
        <v>1</v>
      </c>
      <c r="W391" s="27"/>
      <c r="X391" s="27" t="str">
        <f t="shared" si="122"/>
        <v/>
      </c>
      <c r="Y391" s="27" t="str">
        <f t="shared" si="123"/>
        <v/>
      </c>
      <c r="Z391" s="27" t="str">
        <f t="shared" si="124"/>
        <v/>
      </c>
      <c r="AA391" s="121"/>
      <c r="AB391" s="121"/>
      <c r="AC391" s="121"/>
      <c r="AD391" s="121"/>
      <c r="AE391" s="121" t="s">
        <v>51</v>
      </c>
      <c r="AF391" s="121"/>
      <c r="AG391" s="121"/>
      <c r="AH391" s="28" t="s">
        <v>242</v>
      </c>
      <c r="AI391" s="28" t="s">
        <v>113</v>
      </c>
      <c r="AJ391" s="28">
        <v>70950</v>
      </c>
      <c r="AK391" s="121" t="str">
        <f t="shared" si="110"/>
        <v/>
      </c>
      <c r="AL391" s="123" t="str">
        <f t="shared" si="105"/>
        <v/>
      </c>
      <c r="AM391" s="27"/>
      <c r="AN391" s="124"/>
      <c r="AO391" s="124"/>
      <c r="AP391" s="124"/>
      <c r="AQ391" s="124"/>
      <c r="AR391" s="124"/>
      <c r="AS391" s="124"/>
      <c r="AT391" s="124" t="s">
        <v>1941</v>
      </c>
      <c r="AU391" s="124" t="str">
        <f t="shared" si="114"/>
        <v/>
      </c>
      <c r="AV391" s="124" t="s">
        <v>2725</v>
      </c>
      <c r="AW391" s="117"/>
      <c r="AX391" s="138" t="str">
        <f t="shared" si="127"/>
        <v/>
      </c>
      <c r="AY391" s="31" t="str">
        <f>IF(C391&lt;&gt;"",CREATE_QUERY($D$1,C$2:AW$2,C391:AW391),"")</f>
        <v/>
      </c>
    </row>
    <row r="392" spans="1:51">
      <c r="A392" s="1">
        <v>147</v>
      </c>
      <c r="B392" s="121" t="str">
        <f t="shared" si="128"/>
        <v/>
      </c>
      <c r="C392" s="27" t="str">
        <f t="shared" si="126"/>
        <v/>
      </c>
      <c r="D392" s="121"/>
      <c r="E392" s="27">
        <v>286041</v>
      </c>
      <c r="F392" s="121"/>
      <c r="G392" s="121"/>
      <c r="H392" s="121"/>
      <c r="I392" s="121"/>
      <c r="J392" s="121"/>
      <c r="K392" s="27" t="str">
        <f t="shared" si="111"/>
        <v/>
      </c>
      <c r="L392" s="27">
        <v>1</v>
      </c>
      <c r="M392" s="27" t="str">
        <f t="shared" si="112"/>
        <v>0</v>
      </c>
      <c r="N392" s="121"/>
      <c r="O392" s="121"/>
      <c r="P392" s="27" t="str">
        <f t="shared" si="115"/>
        <v>0</v>
      </c>
      <c r="Q392" s="27" t="str">
        <f t="shared" si="116"/>
        <v>0</v>
      </c>
      <c r="R392" s="27" t="str">
        <f t="shared" si="117"/>
        <v>0</v>
      </c>
      <c r="S392" s="27" t="str">
        <f t="shared" si="118"/>
        <v>0</v>
      </c>
      <c r="T392" s="27" t="str">
        <f t="shared" si="119"/>
        <v>0</v>
      </c>
      <c r="U392" s="27" t="str">
        <f t="shared" si="120"/>
        <v>0</v>
      </c>
      <c r="V392" s="27" t="str">
        <f t="shared" si="121"/>
        <v>1</v>
      </c>
      <c r="W392" s="27"/>
      <c r="X392" s="27" t="str">
        <f t="shared" si="122"/>
        <v/>
      </c>
      <c r="Y392" s="27" t="str">
        <f t="shared" si="123"/>
        <v/>
      </c>
      <c r="Z392" s="27" t="str">
        <f t="shared" si="124"/>
        <v/>
      </c>
      <c r="AA392" s="121"/>
      <c r="AB392" s="121"/>
      <c r="AC392" s="121"/>
      <c r="AD392" s="121"/>
      <c r="AE392" s="121" t="s">
        <v>51</v>
      </c>
      <c r="AF392" s="121"/>
      <c r="AG392" s="121"/>
      <c r="AH392" s="28" t="s">
        <v>242</v>
      </c>
      <c r="AI392" s="28" t="s">
        <v>113</v>
      </c>
      <c r="AJ392" s="28">
        <v>71000</v>
      </c>
      <c r="AK392" s="121" t="str">
        <f t="shared" si="110"/>
        <v/>
      </c>
      <c r="AL392" s="123" t="str">
        <f t="shared" si="105"/>
        <v/>
      </c>
      <c r="AM392" s="27"/>
      <c r="AN392" s="124"/>
      <c r="AO392" s="124"/>
      <c r="AP392" s="124"/>
      <c r="AQ392" s="124"/>
      <c r="AR392" s="124"/>
      <c r="AS392" s="124"/>
      <c r="AT392" s="124" t="s">
        <v>1941</v>
      </c>
      <c r="AU392" s="124" t="str">
        <f t="shared" si="114"/>
        <v/>
      </c>
      <c r="AV392" s="124" t="s">
        <v>2726</v>
      </c>
      <c r="AW392" s="117"/>
      <c r="AX392" s="138" t="str">
        <f t="shared" si="127"/>
        <v/>
      </c>
      <c r="AY392" s="31" t="str">
        <f>IF(C392&lt;&gt;"",CREATE_QUERY($D$1,C$2:AW$2,C392:AW392),"")</f>
        <v/>
      </c>
    </row>
    <row r="393" spans="1:51">
      <c r="A393" s="1">
        <v>147</v>
      </c>
      <c r="B393" s="121" t="str">
        <f t="shared" si="128"/>
        <v/>
      </c>
      <c r="C393" s="27" t="str">
        <f t="shared" si="126"/>
        <v/>
      </c>
      <c r="D393" s="121"/>
      <c r="E393" s="27">
        <v>286042</v>
      </c>
      <c r="F393" s="121"/>
      <c r="G393" s="121"/>
      <c r="H393" s="121"/>
      <c r="I393" s="121"/>
      <c r="J393" s="121"/>
      <c r="K393" s="27" t="str">
        <f t="shared" si="111"/>
        <v/>
      </c>
      <c r="L393" s="27">
        <v>1</v>
      </c>
      <c r="M393" s="27" t="str">
        <f t="shared" si="112"/>
        <v>0</v>
      </c>
      <c r="N393" s="121"/>
      <c r="O393" s="121"/>
      <c r="P393" s="27" t="str">
        <f t="shared" si="115"/>
        <v>0</v>
      </c>
      <c r="Q393" s="27" t="str">
        <f t="shared" si="116"/>
        <v>0</v>
      </c>
      <c r="R393" s="27" t="str">
        <f t="shared" si="117"/>
        <v>0</v>
      </c>
      <c r="S393" s="27" t="str">
        <f t="shared" si="118"/>
        <v>0</v>
      </c>
      <c r="T393" s="27" t="str">
        <f t="shared" si="119"/>
        <v>0</v>
      </c>
      <c r="U393" s="27" t="str">
        <f t="shared" si="120"/>
        <v>0</v>
      </c>
      <c r="V393" s="27" t="str">
        <f t="shared" si="121"/>
        <v>1</v>
      </c>
      <c r="W393" s="27"/>
      <c r="X393" s="27" t="str">
        <f t="shared" si="122"/>
        <v/>
      </c>
      <c r="Y393" s="27" t="str">
        <f t="shared" si="123"/>
        <v/>
      </c>
      <c r="Z393" s="27" t="str">
        <f t="shared" si="124"/>
        <v/>
      </c>
      <c r="AA393" s="121"/>
      <c r="AB393" s="121"/>
      <c r="AC393" s="121"/>
      <c r="AD393" s="121"/>
      <c r="AE393" s="121" t="s">
        <v>51</v>
      </c>
      <c r="AF393" s="121"/>
      <c r="AG393" s="121"/>
      <c r="AH393" s="28" t="s">
        <v>242</v>
      </c>
      <c r="AI393" s="28" t="s">
        <v>113</v>
      </c>
      <c r="AJ393" s="28">
        <v>71050</v>
      </c>
      <c r="AK393" s="121" t="str">
        <f t="shared" si="110"/>
        <v/>
      </c>
      <c r="AL393" s="123" t="str">
        <f t="shared" si="105"/>
        <v/>
      </c>
      <c r="AM393" s="27"/>
      <c r="AN393" s="124"/>
      <c r="AO393" s="124"/>
      <c r="AP393" s="124"/>
      <c r="AQ393" s="124"/>
      <c r="AR393" s="124"/>
      <c r="AS393" s="124"/>
      <c r="AT393" s="124" t="s">
        <v>1941</v>
      </c>
      <c r="AU393" s="124" t="str">
        <f t="shared" si="114"/>
        <v/>
      </c>
      <c r="AV393" s="124" t="s">
        <v>2727</v>
      </c>
      <c r="AW393" s="117"/>
      <c r="AX393" s="138" t="str">
        <f t="shared" si="127"/>
        <v/>
      </c>
      <c r="AY393" s="31" t="str">
        <f>IF(C393&lt;&gt;"",CREATE_QUERY($D$1,C$2:AW$2,C393:AW393),"")</f>
        <v/>
      </c>
    </row>
    <row r="394" spans="1:51">
      <c r="A394" s="1">
        <v>147</v>
      </c>
      <c r="B394" s="121" t="str">
        <f t="shared" si="128"/>
        <v/>
      </c>
      <c r="C394" s="27" t="str">
        <f t="shared" si="126"/>
        <v/>
      </c>
      <c r="D394" s="121"/>
      <c r="E394" s="27">
        <v>286043</v>
      </c>
      <c r="F394" s="121"/>
      <c r="G394" s="121"/>
      <c r="H394" s="121"/>
      <c r="I394" s="121"/>
      <c r="J394" s="121"/>
      <c r="K394" s="27" t="str">
        <f t="shared" si="111"/>
        <v/>
      </c>
      <c r="L394" s="27">
        <v>1</v>
      </c>
      <c r="M394" s="27" t="str">
        <f t="shared" si="112"/>
        <v>0</v>
      </c>
      <c r="N394" s="121"/>
      <c r="O394" s="121"/>
      <c r="P394" s="27" t="str">
        <f t="shared" si="115"/>
        <v>0</v>
      </c>
      <c r="Q394" s="27" t="str">
        <f t="shared" si="116"/>
        <v>0</v>
      </c>
      <c r="R394" s="27" t="str">
        <f t="shared" si="117"/>
        <v>0</v>
      </c>
      <c r="S394" s="27" t="str">
        <f t="shared" si="118"/>
        <v>0</v>
      </c>
      <c r="T394" s="27" t="str">
        <f t="shared" si="119"/>
        <v>0</v>
      </c>
      <c r="U394" s="27" t="str">
        <f t="shared" si="120"/>
        <v>0</v>
      </c>
      <c r="V394" s="27" t="str">
        <f t="shared" si="121"/>
        <v>1</v>
      </c>
      <c r="W394" s="27"/>
      <c r="X394" s="27" t="str">
        <f t="shared" si="122"/>
        <v/>
      </c>
      <c r="Y394" s="27" t="str">
        <f t="shared" si="123"/>
        <v/>
      </c>
      <c r="Z394" s="27" t="str">
        <f t="shared" si="124"/>
        <v/>
      </c>
      <c r="AA394" s="121"/>
      <c r="AB394" s="121"/>
      <c r="AC394" s="121"/>
      <c r="AD394" s="121"/>
      <c r="AE394" s="121" t="s">
        <v>51</v>
      </c>
      <c r="AF394" s="121"/>
      <c r="AG394" s="121"/>
      <c r="AH394" s="28" t="s">
        <v>242</v>
      </c>
      <c r="AI394" s="28" t="s">
        <v>113</v>
      </c>
      <c r="AJ394" s="28">
        <v>71100</v>
      </c>
      <c r="AK394" s="121" t="str">
        <f t="shared" si="110"/>
        <v/>
      </c>
      <c r="AL394" s="123" t="str">
        <f t="shared" si="105"/>
        <v/>
      </c>
      <c r="AM394" s="27"/>
      <c r="AN394" s="124"/>
      <c r="AO394" s="124"/>
      <c r="AP394" s="124"/>
      <c r="AQ394" s="124"/>
      <c r="AR394" s="124"/>
      <c r="AS394" s="124"/>
      <c r="AT394" s="124" t="s">
        <v>1941</v>
      </c>
      <c r="AU394" s="124" t="str">
        <f t="shared" si="114"/>
        <v/>
      </c>
      <c r="AV394" s="124" t="s">
        <v>2728</v>
      </c>
      <c r="AW394" s="117"/>
      <c r="AX394" s="138" t="str">
        <f t="shared" si="127"/>
        <v/>
      </c>
      <c r="AY394" s="31" t="str">
        <f>IF(C394&lt;&gt;"",CREATE_QUERY($D$1,C$2:AW$2,C394:AW394),"")</f>
        <v/>
      </c>
    </row>
    <row r="395" spans="1:51">
      <c r="A395" s="1">
        <v>147</v>
      </c>
      <c r="B395" s="121" t="str">
        <f t="shared" si="128"/>
        <v/>
      </c>
      <c r="C395" s="27" t="str">
        <f t="shared" si="126"/>
        <v/>
      </c>
      <c r="D395" s="121"/>
      <c r="E395" s="27">
        <v>286044</v>
      </c>
      <c r="F395" s="121"/>
      <c r="G395" s="121"/>
      <c r="H395" s="121"/>
      <c r="I395" s="121"/>
      <c r="J395" s="121"/>
      <c r="K395" s="27" t="str">
        <f t="shared" si="111"/>
        <v/>
      </c>
      <c r="L395" s="27">
        <v>1</v>
      </c>
      <c r="M395" s="27" t="str">
        <f t="shared" si="112"/>
        <v>0</v>
      </c>
      <c r="N395" s="121"/>
      <c r="O395" s="121"/>
      <c r="P395" s="27" t="str">
        <f t="shared" si="115"/>
        <v>0</v>
      </c>
      <c r="Q395" s="27" t="str">
        <f t="shared" si="116"/>
        <v>0</v>
      </c>
      <c r="R395" s="27" t="str">
        <f t="shared" si="117"/>
        <v>0</v>
      </c>
      <c r="S395" s="27" t="str">
        <f t="shared" si="118"/>
        <v>0</v>
      </c>
      <c r="T395" s="27" t="str">
        <f t="shared" si="119"/>
        <v>0</v>
      </c>
      <c r="U395" s="27" t="str">
        <f t="shared" si="120"/>
        <v>0</v>
      </c>
      <c r="V395" s="27" t="str">
        <f t="shared" si="121"/>
        <v>1</v>
      </c>
      <c r="W395" s="27"/>
      <c r="X395" s="27" t="str">
        <f t="shared" si="122"/>
        <v/>
      </c>
      <c r="Y395" s="27" t="str">
        <f t="shared" si="123"/>
        <v/>
      </c>
      <c r="Z395" s="27" t="str">
        <f t="shared" si="124"/>
        <v/>
      </c>
      <c r="AA395" s="121"/>
      <c r="AB395" s="121"/>
      <c r="AC395" s="121"/>
      <c r="AD395" s="121"/>
      <c r="AE395" s="121" t="s">
        <v>51</v>
      </c>
      <c r="AF395" s="121"/>
      <c r="AG395" s="121"/>
      <c r="AH395" s="28" t="s">
        <v>242</v>
      </c>
      <c r="AI395" s="28" t="s">
        <v>113</v>
      </c>
      <c r="AJ395" s="28">
        <v>71150</v>
      </c>
      <c r="AK395" s="121" t="str">
        <f t="shared" si="110"/>
        <v/>
      </c>
      <c r="AL395" s="123" t="str">
        <f t="shared" si="105"/>
        <v/>
      </c>
      <c r="AM395" s="27"/>
      <c r="AN395" s="124"/>
      <c r="AO395" s="124"/>
      <c r="AP395" s="124"/>
      <c r="AQ395" s="124"/>
      <c r="AR395" s="124"/>
      <c r="AS395" s="124"/>
      <c r="AT395" s="124" t="s">
        <v>1941</v>
      </c>
      <c r="AU395" s="124" t="str">
        <f t="shared" si="114"/>
        <v/>
      </c>
      <c r="AV395" s="124" t="s">
        <v>2729</v>
      </c>
      <c r="AW395" s="117"/>
      <c r="AX395" s="138" t="str">
        <f t="shared" si="127"/>
        <v/>
      </c>
      <c r="AY395" s="31" t="str">
        <f>IF(C395&lt;&gt;"",CREATE_QUERY($D$1,C$2:AW$2,C395:AW395),"")</f>
        <v/>
      </c>
    </row>
    <row r="396" spans="1:51">
      <c r="A396" s="1">
        <v>147</v>
      </c>
      <c r="B396" s="121" t="str">
        <f t="shared" si="128"/>
        <v/>
      </c>
      <c r="C396" s="27" t="str">
        <f t="shared" si="126"/>
        <v/>
      </c>
      <c r="D396" s="121"/>
      <c r="E396" s="27">
        <v>286045</v>
      </c>
      <c r="F396" s="121"/>
      <c r="G396" s="121"/>
      <c r="H396" s="121"/>
      <c r="I396" s="121"/>
      <c r="J396" s="121"/>
      <c r="K396" s="27" t="str">
        <f t="shared" si="111"/>
        <v/>
      </c>
      <c r="L396" s="27">
        <v>1</v>
      </c>
      <c r="M396" s="27" t="str">
        <f t="shared" si="112"/>
        <v>0</v>
      </c>
      <c r="N396" s="121"/>
      <c r="O396" s="121"/>
      <c r="P396" s="27" t="str">
        <f t="shared" si="115"/>
        <v>0</v>
      </c>
      <c r="Q396" s="27" t="str">
        <f t="shared" si="116"/>
        <v>0</v>
      </c>
      <c r="R396" s="27" t="str">
        <f t="shared" si="117"/>
        <v>0</v>
      </c>
      <c r="S396" s="27" t="str">
        <f t="shared" si="118"/>
        <v>0</v>
      </c>
      <c r="T396" s="27" t="str">
        <f t="shared" si="119"/>
        <v>0</v>
      </c>
      <c r="U396" s="27" t="str">
        <f t="shared" si="120"/>
        <v>0</v>
      </c>
      <c r="V396" s="27" t="str">
        <f t="shared" si="121"/>
        <v>1</v>
      </c>
      <c r="W396" s="27"/>
      <c r="X396" s="27" t="str">
        <f t="shared" si="122"/>
        <v/>
      </c>
      <c r="Y396" s="27" t="str">
        <f t="shared" si="123"/>
        <v/>
      </c>
      <c r="Z396" s="27" t="str">
        <f t="shared" si="124"/>
        <v/>
      </c>
      <c r="AA396" s="121"/>
      <c r="AB396" s="121"/>
      <c r="AC396" s="121"/>
      <c r="AD396" s="121"/>
      <c r="AE396" s="121" t="s">
        <v>51</v>
      </c>
      <c r="AF396" s="121"/>
      <c r="AG396" s="121"/>
      <c r="AH396" s="28" t="s">
        <v>242</v>
      </c>
      <c r="AI396" s="28" t="s">
        <v>113</v>
      </c>
      <c r="AJ396" s="28">
        <v>71200</v>
      </c>
      <c r="AK396" s="121" t="str">
        <f t="shared" si="110"/>
        <v/>
      </c>
      <c r="AL396" s="123" t="str">
        <f t="shared" si="105"/>
        <v/>
      </c>
      <c r="AM396" s="27"/>
      <c r="AN396" s="124"/>
      <c r="AO396" s="124"/>
      <c r="AP396" s="124"/>
      <c r="AQ396" s="124"/>
      <c r="AR396" s="124"/>
      <c r="AS396" s="124"/>
      <c r="AT396" s="124" t="s">
        <v>1941</v>
      </c>
      <c r="AU396" s="124" t="str">
        <f t="shared" si="114"/>
        <v/>
      </c>
      <c r="AV396" s="124" t="s">
        <v>2730</v>
      </c>
      <c r="AW396" s="117"/>
      <c r="AX396" s="138" t="str">
        <f t="shared" si="127"/>
        <v/>
      </c>
      <c r="AY396" s="31" t="str">
        <f>IF(C396&lt;&gt;"",CREATE_QUERY($D$1,C$2:AW$2,C396:AW396),"")</f>
        <v/>
      </c>
    </row>
    <row r="397" spans="1:51">
      <c r="A397" s="1">
        <v>147</v>
      </c>
      <c r="B397" s="121" t="str">
        <f t="shared" si="128"/>
        <v/>
      </c>
      <c r="C397" s="27" t="str">
        <f t="shared" si="126"/>
        <v/>
      </c>
      <c r="D397" s="121"/>
      <c r="E397" s="27">
        <v>286046</v>
      </c>
      <c r="F397" s="121"/>
      <c r="G397" s="121"/>
      <c r="H397" s="121"/>
      <c r="I397" s="121"/>
      <c r="J397" s="121"/>
      <c r="K397" s="27" t="str">
        <f t="shared" si="111"/>
        <v/>
      </c>
      <c r="L397" s="27">
        <v>1</v>
      </c>
      <c r="M397" s="27" t="str">
        <f t="shared" si="112"/>
        <v>0</v>
      </c>
      <c r="N397" s="121"/>
      <c r="O397" s="121"/>
      <c r="P397" s="27" t="str">
        <f t="shared" si="115"/>
        <v>0</v>
      </c>
      <c r="Q397" s="27" t="str">
        <f t="shared" si="116"/>
        <v>0</v>
      </c>
      <c r="R397" s="27" t="str">
        <f t="shared" si="117"/>
        <v>0</v>
      </c>
      <c r="S397" s="27" t="str">
        <f t="shared" si="118"/>
        <v>0</v>
      </c>
      <c r="T397" s="27" t="str">
        <f t="shared" si="119"/>
        <v>0</v>
      </c>
      <c r="U397" s="27" t="str">
        <f t="shared" si="120"/>
        <v>0</v>
      </c>
      <c r="V397" s="27" t="str">
        <f t="shared" si="121"/>
        <v>1</v>
      </c>
      <c r="W397" s="27"/>
      <c r="X397" s="27" t="str">
        <f t="shared" si="122"/>
        <v/>
      </c>
      <c r="Y397" s="27" t="str">
        <f t="shared" si="123"/>
        <v/>
      </c>
      <c r="Z397" s="27" t="str">
        <f t="shared" si="124"/>
        <v/>
      </c>
      <c r="AA397" s="121"/>
      <c r="AB397" s="121"/>
      <c r="AC397" s="121"/>
      <c r="AD397" s="121"/>
      <c r="AE397" s="121" t="s">
        <v>51</v>
      </c>
      <c r="AF397" s="121"/>
      <c r="AG397" s="121"/>
      <c r="AH397" s="28" t="s">
        <v>242</v>
      </c>
      <c r="AI397" s="28" t="s">
        <v>113</v>
      </c>
      <c r="AJ397" s="28">
        <v>71250</v>
      </c>
      <c r="AK397" s="121" t="str">
        <f t="shared" si="110"/>
        <v/>
      </c>
      <c r="AL397" s="123" t="str">
        <f t="shared" si="105"/>
        <v/>
      </c>
      <c r="AM397" s="27"/>
      <c r="AN397" s="124"/>
      <c r="AO397" s="124"/>
      <c r="AP397" s="124"/>
      <c r="AQ397" s="124"/>
      <c r="AR397" s="124"/>
      <c r="AS397" s="124"/>
      <c r="AT397" s="124" t="s">
        <v>1941</v>
      </c>
      <c r="AU397" s="124" t="str">
        <f t="shared" si="114"/>
        <v/>
      </c>
      <c r="AV397" s="124" t="s">
        <v>2731</v>
      </c>
      <c r="AW397" s="117"/>
      <c r="AX397" s="138" t="str">
        <f t="shared" si="127"/>
        <v/>
      </c>
      <c r="AY397" s="31" t="str">
        <f>IF(C397&lt;&gt;"",CREATE_QUERY($D$1,C$2:AW$2,C397:AW397),"")</f>
        <v/>
      </c>
    </row>
    <row r="398" spans="1:51">
      <c r="A398" s="1">
        <v>147</v>
      </c>
      <c r="B398" s="121" t="str">
        <f t="shared" si="128"/>
        <v/>
      </c>
      <c r="C398" s="27" t="str">
        <f t="shared" si="126"/>
        <v/>
      </c>
      <c r="D398" s="121"/>
      <c r="E398" s="27">
        <v>286047</v>
      </c>
      <c r="F398" s="121"/>
      <c r="G398" s="121"/>
      <c r="H398" s="121"/>
      <c r="I398" s="121"/>
      <c r="J398" s="121"/>
      <c r="K398" s="27" t="str">
        <f t="shared" si="111"/>
        <v/>
      </c>
      <c r="L398" s="27">
        <v>1</v>
      </c>
      <c r="M398" s="27" t="str">
        <f t="shared" si="112"/>
        <v>0</v>
      </c>
      <c r="N398" s="121"/>
      <c r="O398" s="121"/>
      <c r="P398" s="27" t="str">
        <f t="shared" si="115"/>
        <v>0</v>
      </c>
      <c r="Q398" s="27" t="str">
        <f t="shared" si="116"/>
        <v>0</v>
      </c>
      <c r="R398" s="27" t="str">
        <f t="shared" si="117"/>
        <v>0</v>
      </c>
      <c r="S398" s="27" t="str">
        <f t="shared" si="118"/>
        <v>0</v>
      </c>
      <c r="T398" s="27" t="str">
        <f t="shared" si="119"/>
        <v>0</v>
      </c>
      <c r="U398" s="27" t="str">
        <f t="shared" si="120"/>
        <v>0</v>
      </c>
      <c r="V398" s="27" t="str">
        <f t="shared" si="121"/>
        <v>1</v>
      </c>
      <c r="W398" s="27"/>
      <c r="X398" s="27" t="str">
        <f t="shared" si="122"/>
        <v/>
      </c>
      <c r="Y398" s="27" t="str">
        <f t="shared" si="123"/>
        <v/>
      </c>
      <c r="Z398" s="27" t="str">
        <f t="shared" si="124"/>
        <v/>
      </c>
      <c r="AA398" s="121"/>
      <c r="AB398" s="121"/>
      <c r="AC398" s="121"/>
      <c r="AD398" s="121"/>
      <c r="AE398" s="121" t="s">
        <v>51</v>
      </c>
      <c r="AF398" s="121"/>
      <c r="AG398" s="121"/>
      <c r="AH398" s="28" t="s">
        <v>242</v>
      </c>
      <c r="AI398" s="28" t="s">
        <v>113</v>
      </c>
      <c r="AJ398" s="28">
        <v>71300</v>
      </c>
      <c r="AK398" s="121" t="str">
        <f t="shared" si="110"/>
        <v/>
      </c>
      <c r="AL398" s="123" t="str">
        <f t="shared" si="105"/>
        <v/>
      </c>
      <c r="AM398" s="27"/>
      <c r="AN398" s="124"/>
      <c r="AO398" s="124"/>
      <c r="AP398" s="124"/>
      <c r="AQ398" s="124"/>
      <c r="AR398" s="124"/>
      <c r="AS398" s="124"/>
      <c r="AT398" s="124" t="s">
        <v>1941</v>
      </c>
      <c r="AU398" s="124" t="str">
        <f t="shared" si="114"/>
        <v/>
      </c>
      <c r="AV398" s="124" t="s">
        <v>2732</v>
      </c>
      <c r="AW398" s="117"/>
      <c r="AX398" s="138" t="str">
        <f t="shared" si="127"/>
        <v/>
      </c>
      <c r="AY398" s="31" t="str">
        <f>IF(C398&lt;&gt;"",CREATE_QUERY($D$1,C$2:AW$2,C398:AW398),"")</f>
        <v/>
      </c>
    </row>
    <row r="399" spans="1:51">
      <c r="A399" s="1">
        <v>148</v>
      </c>
      <c r="B399" s="121" t="str">
        <f t="shared" si="128"/>
        <v/>
      </c>
      <c r="C399" s="27" t="str">
        <f t="shared" si="109"/>
        <v/>
      </c>
      <c r="D399" s="121"/>
      <c r="E399" s="27"/>
      <c r="F399" s="121"/>
      <c r="G399" s="121"/>
      <c r="H399" s="121"/>
      <c r="I399" s="121"/>
      <c r="J399" s="121"/>
      <c r="K399" s="27" t="str">
        <f t="shared" si="111"/>
        <v/>
      </c>
      <c r="L399" s="27">
        <v>1</v>
      </c>
      <c r="M399" s="27" t="str">
        <f t="shared" si="112"/>
        <v>0</v>
      </c>
      <c r="N399" s="121"/>
      <c r="O399" s="121"/>
      <c r="P399" s="27" t="str">
        <f t="shared" si="115"/>
        <v>0</v>
      </c>
      <c r="Q399" s="27" t="str">
        <f t="shared" si="116"/>
        <v>0</v>
      </c>
      <c r="R399" s="27" t="str">
        <f t="shared" si="117"/>
        <v>0</v>
      </c>
      <c r="S399" s="27" t="str">
        <f t="shared" si="118"/>
        <v>0</v>
      </c>
      <c r="T399" s="27" t="str">
        <f t="shared" si="119"/>
        <v>0</v>
      </c>
      <c r="U399" s="27" t="str">
        <f t="shared" si="120"/>
        <v>0</v>
      </c>
      <c r="V399" s="27" t="str">
        <f t="shared" si="121"/>
        <v>1</v>
      </c>
      <c r="W399" s="27"/>
      <c r="X399" s="27" t="str">
        <f t="shared" si="122"/>
        <v/>
      </c>
      <c r="Y399" s="27" t="str">
        <f t="shared" si="123"/>
        <v/>
      </c>
      <c r="Z399" s="27" t="str">
        <f t="shared" si="124"/>
        <v/>
      </c>
      <c r="AA399" s="121"/>
      <c r="AB399" s="121"/>
      <c r="AC399" s="121"/>
      <c r="AD399" s="121"/>
      <c r="AE399" s="121"/>
      <c r="AF399" s="121"/>
      <c r="AG399" s="121"/>
      <c r="AH399" s="27"/>
      <c r="AI399" s="27"/>
      <c r="AJ399" s="27" t="s">
        <v>900</v>
      </c>
      <c r="AK399" s="121" t="str">
        <f t="shared" si="110"/>
        <v>0</v>
      </c>
      <c r="AL399" s="123" t="str">
        <f t="shared" si="105"/>
        <v/>
      </c>
      <c r="AM399" s="27"/>
      <c r="AN399" s="124"/>
      <c r="AO399" s="124"/>
      <c r="AP399" s="124"/>
      <c r="AQ399" s="124"/>
      <c r="AR399" s="124"/>
      <c r="AS399" s="124"/>
      <c r="AT399" s="124"/>
      <c r="AU399" s="124" t="str">
        <f t="shared" si="114"/>
        <v/>
      </c>
      <c r="AV399" s="124" t="str">
        <f>IF(P399="","",AU399&amp;F399)</f>
        <v/>
      </c>
      <c r="AW399" s="117"/>
      <c r="AX399" s="138" t="str">
        <f t="shared" si="127"/>
        <v/>
      </c>
      <c r="AY399" s="31" t="str">
        <f>IF(C399&lt;&gt;"",CREATE_QUERY($D$1,C$2:AW$2,C399:AW399),"")</f>
        <v/>
      </c>
    </row>
    <row r="400" spans="1:51">
      <c r="A400" s="1">
        <v>149</v>
      </c>
      <c r="B400" s="121" t="str">
        <f t="shared" si="128"/>
        <v xml:space="preserve">  └ 품질관리</v>
      </c>
      <c r="C400" s="27" t="str">
        <f t="shared" si="109"/>
        <v>14821</v>
      </c>
      <c r="D400" s="121"/>
      <c r="E400" s="25" t="s">
        <v>246</v>
      </c>
      <c r="F400" s="127" t="s">
        <v>245</v>
      </c>
      <c r="G400" s="127"/>
      <c r="H400" s="127"/>
      <c r="I400" s="127"/>
      <c r="J400" s="127"/>
      <c r="K400" s="25" t="str">
        <f t="shared" si="111"/>
        <v/>
      </c>
      <c r="L400" s="25">
        <v>1</v>
      </c>
      <c r="M400" s="25" t="str">
        <f t="shared" si="112"/>
        <v>0</v>
      </c>
      <c r="N400" s="127"/>
      <c r="O400" s="127"/>
      <c r="P400" s="25" t="str">
        <f t="shared" si="115"/>
        <v>0</v>
      </c>
      <c r="Q400" s="25" t="str">
        <f t="shared" si="116"/>
        <v>0</v>
      </c>
      <c r="R400" s="25" t="str">
        <f t="shared" si="117"/>
        <v>0</v>
      </c>
      <c r="S400" s="25" t="str">
        <f t="shared" si="118"/>
        <v>0</v>
      </c>
      <c r="T400" s="25" t="str">
        <f t="shared" si="119"/>
        <v>0</v>
      </c>
      <c r="U400" s="25" t="str">
        <f t="shared" si="120"/>
        <v>0</v>
      </c>
      <c r="V400" s="25" t="str">
        <f t="shared" si="121"/>
        <v>1</v>
      </c>
      <c r="W400" s="25"/>
      <c r="X400" s="25" t="str">
        <f t="shared" si="122"/>
        <v/>
      </c>
      <c r="Y400" s="25" t="str">
        <f t="shared" si="123"/>
        <v/>
      </c>
      <c r="Z400" s="25" t="str">
        <f t="shared" si="124"/>
        <v/>
      </c>
      <c r="AA400" s="127"/>
      <c r="AB400" s="127"/>
      <c r="AC400" s="127"/>
      <c r="AD400" s="127"/>
      <c r="AE400" s="127" t="s">
        <v>51</v>
      </c>
      <c r="AF400" s="127"/>
      <c r="AG400" s="127"/>
      <c r="AH400" s="24" t="s">
        <v>120</v>
      </c>
      <c r="AI400" s="24" t="s">
        <v>111</v>
      </c>
      <c r="AJ400" s="24">
        <v>80000</v>
      </c>
      <c r="AK400" s="121" t="str">
        <f t="shared" si="110"/>
        <v>0</v>
      </c>
      <c r="AL400" s="123" t="str">
        <f t="shared" si="105"/>
        <v>14821/품질관리//</v>
      </c>
      <c r="AM400" s="25"/>
      <c r="AN400" s="124"/>
      <c r="AO400" s="124" t="s">
        <v>1829</v>
      </c>
      <c r="AP400" s="124" t="s">
        <v>1829</v>
      </c>
      <c r="AQ400" s="124" t="s">
        <v>1829</v>
      </c>
      <c r="AR400" s="124" t="s">
        <v>1829</v>
      </c>
      <c r="AS400" s="124" t="s">
        <v>1829</v>
      </c>
      <c r="AT400" s="124" t="s">
        <v>1942</v>
      </c>
      <c r="AU400" s="124" t="str">
        <f t="shared" si="114"/>
        <v/>
      </c>
      <c r="AV400" s="124"/>
      <c r="AW400" s="117"/>
      <c r="AX400" s="138" t="str">
        <f t="shared" si="127"/>
        <v>delete from module_mst where pjt_id = '14821' and menu_id = '290000';</v>
      </c>
      <c r="AY400" s="31" t="str">
        <f>IF(C400&lt;&gt;"",CREATE_QUERY($D$1,C$2:AW$2,C400:AW400),"")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'290000', '품질관리', '', '', '', '', '', '1', '0', '', '', '0', '0', '0', '0', '0', '0', '1', '', '', '', '', '', '', '', '', 'N', '', '', '200000', '3', '80000', '0', '14821/품질관리//', '', '', 'Y', 'Y', 'Y', 'Y', 'Y', 'Q', '', '');</v>
      </c>
    </row>
    <row r="401" spans="1:51">
      <c r="A401" s="1">
        <v>150</v>
      </c>
      <c r="B401" s="121" t="str">
        <f t="shared" si="128"/>
        <v xml:space="preserve">    └ 기준정보관리</v>
      </c>
      <c r="C401" s="27" t="str">
        <f t="shared" si="109"/>
        <v>14821</v>
      </c>
      <c r="D401" s="121"/>
      <c r="E401" s="21" t="s">
        <v>247</v>
      </c>
      <c r="F401" s="118" t="s">
        <v>198</v>
      </c>
      <c r="G401" s="118"/>
      <c r="H401" s="118"/>
      <c r="I401" s="118"/>
      <c r="J401" s="118"/>
      <c r="K401" s="21" t="str">
        <f t="shared" si="111"/>
        <v/>
      </c>
      <c r="L401" s="21">
        <v>1</v>
      </c>
      <c r="M401" s="21" t="str">
        <f t="shared" si="112"/>
        <v>0</v>
      </c>
      <c r="N401" s="118"/>
      <c r="O401" s="118"/>
      <c r="P401" s="21" t="str">
        <f t="shared" si="115"/>
        <v>0</v>
      </c>
      <c r="Q401" s="21" t="str">
        <f t="shared" si="116"/>
        <v>0</v>
      </c>
      <c r="R401" s="21" t="str">
        <f t="shared" si="117"/>
        <v>0</v>
      </c>
      <c r="S401" s="21" t="str">
        <f t="shared" si="118"/>
        <v>0</v>
      </c>
      <c r="T401" s="21" t="str">
        <f t="shared" si="119"/>
        <v>0</v>
      </c>
      <c r="U401" s="21" t="str">
        <f t="shared" si="120"/>
        <v>0</v>
      </c>
      <c r="V401" s="21" t="str">
        <f t="shared" si="121"/>
        <v>1</v>
      </c>
      <c r="W401" s="21"/>
      <c r="X401" s="21" t="str">
        <f t="shared" si="122"/>
        <v/>
      </c>
      <c r="Y401" s="21" t="str">
        <f t="shared" si="123"/>
        <v/>
      </c>
      <c r="Z401" s="21" t="str">
        <f t="shared" si="124"/>
        <v/>
      </c>
      <c r="AA401" s="118"/>
      <c r="AB401" s="118"/>
      <c r="AC401" s="118"/>
      <c r="AD401" s="118"/>
      <c r="AE401" s="118" t="s">
        <v>51</v>
      </c>
      <c r="AF401" s="118"/>
      <c r="AG401" s="118"/>
      <c r="AH401" s="26" t="s">
        <v>246</v>
      </c>
      <c r="AI401" s="26" t="s">
        <v>112</v>
      </c>
      <c r="AJ401" s="26">
        <v>80050</v>
      </c>
      <c r="AK401" s="121" t="str">
        <f t="shared" si="110"/>
        <v>0</v>
      </c>
      <c r="AL401" s="123" t="str">
        <f t="shared" si="105"/>
        <v>14821/기준정보관리//</v>
      </c>
      <c r="AM401" s="21"/>
      <c r="AN401" s="124"/>
      <c r="AO401" s="124" t="s">
        <v>1829</v>
      </c>
      <c r="AP401" s="124" t="s">
        <v>1829</v>
      </c>
      <c r="AQ401" s="124" t="s">
        <v>1829</v>
      </c>
      <c r="AR401" s="124" t="s">
        <v>1829</v>
      </c>
      <c r="AS401" s="124" t="s">
        <v>1829</v>
      </c>
      <c r="AT401" s="124" t="s">
        <v>1942</v>
      </c>
      <c r="AU401" s="124" t="str">
        <f t="shared" si="114"/>
        <v/>
      </c>
      <c r="AV401" s="124"/>
      <c r="AW401" s="117"/>
      <c r="AX401" s="138" t="str">
        <f t="shared" si="127"/>
        <v>delete from module_mst where pjt_id = '14821' and menu_id = '291000';</v>
      </c>
      <c r="AY401" s="31" t="str">
        <f>IF(C401&lt;&gt;"",CREATE_QUERY($D$1,C$2:AW$2,C401:AW401),"")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'291000', '기준정보관리', '', '', '', '', '', '1', '0', '', '', '0', '0', '0', '0', '0', '0', '1', '', '', '', '', '', '', '', '', 'N', '', '', '290000', '4', '80050', '0', '14821/기준정보관리//', '', '', 'Y', 'Y', 'Y', 'Y', 'Y', 'Q', '', '');</v>
      </c>
    </row>
    <row r="402" spans="1:51">
      <c r="A402" s="1">
        <v>151</v>
      </c>
      <c r="B402" s="121" t="str">
        <f t="shared" si="128"/>
        <v xml:space="preserve">        └ 검사유형관리</v>
      </c>
      <c r="C402" s="27" t="str">
        <f t="shared" si="109"/>
        <v>14821</v>
      </c>
      <c r="D402" s="121"/>
      <c r="E402" s="27">
        <v>291001</v>
      </c>
      <c r="F402" s="121" t="s">
        <v>248</v>
      </c>
      <c r="G402" s="121"/>
      <c r="H402" s="121"/>
      <c r="I402" s="121"/>
      <c r="J402" s="121"/>
      <c r="K402" s="27" t="str">
        <f t="shared" si="111"/>
        <v>1</v>
      </c>
      <c r="L402" s="27">
        <v>1</v>
      </c>
      <c r="M402" s="27" t="str">
        <f t="shared" si="112"/>
        <v>1</v>
      </c>
      <c r="N402" s="121" t="s">
        <v>300</v>
      </c>
      <c r="O402" s="121" t="s">
        <v>254</v>
      </c>
      <c r="P402" s="27" t="str">
        <f t="shared" si="115"/>
        <v>1</v>
      </c>
      <c r="Q402" s="27" t="str">
        <f t="shared" si="116"/>
        <v>1</v>
      </c>
      <c r="R402" s="27" t="str">
        <f t="shared" si="117"/>
        <v>1</v>
      </c>
      <c r="S402" s="27" t="str">
        <f t="shared" si="118"/>
        <v>1</v>
      </c>
      <c r="T402" s="27" t="str">
        <f t="shared" si="119"/>
        <v>1</v>
      </c>
      <c r="U402" s="27" t="str">
        <f t="shared" si="120"/>
        <v>1</v>
      </c>
      <c r="V402" s="27" t="str">
        <f t="shared" si="121"/>
        <v>1</v>
      </c>
      <c r="W402" s="27"/>
      <c r="X402" s="27" t="str">
        <f t="shared" si="122"/>
        <v>0</v>
      </c>
      <c r="Y402" s="27" t="str">
        <f t="shared" si="123"/>
        <v>0</v>
      </c>
      <c r="Z402" s="27" t="str">
        <f t="shared" si="124"/>
        <v>0</v>
      </c>
      <c r="AA402" s="121"/>
      <c r="AB402" s="121"/>
      <c r="AC402" s="121"/>
      <c r="AD402" s="121"/>
      <c r="AE402" s="121" t="s">
        <v>51</v>
      </c>
      <c r="AF402" s="121"/>
      <c r="AG402" s="121"/>
      <c r="AH402" s="28" t="s">
        <v>247</v>
      </c>
      <c r="AI402" s="28" t="s">
        <v>113</v>
      </c>
      <c r="AJ402" s="28">
        <v>80100</v>
      </c>
      <c r="AK402" s="121" t="str">
        <f t="shared" si="110"/>
        <v>0</v>
      </c>
      <c r="AL402" s="123" t="str">
        <f t="shared" si="105"/>
        <v>14821/검사유형관리/qc.basic/InspType</v>
      </c>
      <c r="AM402" s="27"/>
      <c r="AN402" s="124"/>
      <c r="AO402" s="124" t="s">
        <v>1829</v>
      </c>
      <c r="AP402" s="124" t="s">
        <v>1829</v>
      </c>
      <c r="AQ402" s="124" t="s">
        <v>1829</v>
      </c>
      <c r="AR402" s="124" t="s">
        <v>1829</v>
      </c>
      <c r="AS402" s="124" t="s">
        <v>1829</v>
      </c>
      <c r="AT402" s="124" t="s">
        <v>1942</v>
      </c>
      <c r="AU402" s="124" t="str">
        <f t="shared" si="114"/>
        <v>Q291001</v>
      </c>
      <c r="AV402" s="124" t="s">
        <v>2882</v>
      </c>
      <c r="AW402" s="117" t="s">
        <v>2134</v>
      </c>
      <c r="AX402" s="138" t="str">
        <f t="shared" si="127"/>
        <v>delete from module_mst where pjt_id = '14821' and menu_id = '291001';</v>
      </c>
      <c r="AY402" s="31" t="str">
        <f>IF(C402&lt;&gt;"",CREATE_QUERY($D$1,C$2:AW$2,C402:AW402),"")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'291001', '검사유형관리', '', '', '', '', '1', '1', '1', 'qc.basic', 'InspType', '1', '1', '1', '1', '1', '1', '1', '', '0', '0', '0', '', '', '', '', 'N', '', '', '291000', '5', '80100', '0', '14821/검사유형관리/qc.basic/InspType', '', '', 'Y', 'Y', 'Y', 'Y', 'Y', 'Q', 'MES-TD3-541', '검사 특성별 코드 등록 관리');</v>
      </c>
    </row>
    <row r="403" spans="1:51">
      <c r="A403" s="1">
        <v>152</v>
      </c>
      <c r="B403" s="121" t="str">
        <f t="shared" si="128"/>
        <v xml:space="preserve">        └ 검사유형별검사항목</v>
      </c>
      <c r="C403" s="27" t="str">
        <f t="shared" si="109"/>
        <v>14821</v>
      </c>
      <c r="D403" s="121"/>
      <c r="E403" s="27">
        <v>291002</v>
      </c>
      <c r="F403" s="121" t="s">
        <v>249</v>
      </c>
      <c r="G403" s="121"/>
      <c r="H403" s="121"/>
      <c r="I403" s="121"/>
      <c r="J403" s="121"/>
      <c r="K403" s="27" t="str">
        <f t="shared" si="111"/>
        <v>1</v>
      </c>
      <c r="L403" s="27">
        <v>1</v>
      </c>
      <c r="M403" s="27" t="str">
        <f t="shared" si="112"/>
        <v>1</v>
      </c>
      <c r="N403" s="121" t="s">
        <v>300</v>
      </c>
      <c r="O403" s="121" t="s">
        <v>255</v>
      </c>
      <c r="P403" s="27" t="str">
        <f t="shared" si="115"/>
        <v>1</v>
      </c>
      <c r="Q403" s="27" t="str">
        <f t="shared" si="116"/>
        <v>1</v>
      </c>
      <c r="R403" s="27" t="str">
        <f t="shared" si="117"/>
        <v>1</v>
      </c>
      <c r="S403" s="27" t="str">
        <f t="shared" si="118"/>
        <v>1</v>
      </c>
      <c r="T403" s="27" t="str">
        <f t="shared" si="119"/>
        <v>1</v>
      </c>
      <c r="U403" s="27" t="str">
        <f t="shared" si="120"/>
        <v>1</v>
      </c>
      <c r="V403" s="27" t="str">
        <f t="shared" si="121"/>
        <v>1</v>
      </c>
      <c r="W403" s="27"/>
      <c r="X403" s="27" t="str">
        <f t="shared" si="122"/>
        <v>0</v>
      </c>
      <c r="Y403" s="27" t="str">
        <f t="shared" si="123"/>
        <v>0</v>
      </c>
      <c r="Z403" s="27" t="str">
        <f t="shared" si="124"/>
        <v>0</v>
      </c>
      <c r="AA403" s="121"/>
      <c r="AB403" s="121"/>
      <c r="AC403" s="121"/>
      <c r="AD403" s="121"/>
      <c r="AE403" s="121" t="s">
        <v>51</v>
      </c>
      <c r="AF403" s="121"/>
      <c r="AG403" s="121"/>
      <c r="AH403" s="28" t="s">
        <v>247</v>
      </c>
      <c r="AI403" s="28" t="s">
        <v>113</v>
      </c>
      <c r="AJ403" s="28">
        <v>80150</v>
      </c>
      <c r="AK403" s="121" t="str">
        <f t="shared" si="110"/>
        <v>0</v>
      </c>
      <c r="AL403" s="123" t="str">
        <f t="shared" si="105"/>
        <v>14821/검사유형별검사항목/qc.basic/InspTypeItem</v>
      </c>
      <c r="AM403" s="27"/>
      <c r="AN403" s="124"/>
      <c r="AO403" s="124" t="s">
        <v>1829</v>
      </c>
      <c r="AP403" s="124" t="s">
        <v>1829</v>
      </c>
      <c r="AQ403" s="124" t="s">
        <v>1829</v>
      </c>
      <c r="AR403" s="124" t="s">
        <v>1829</v>
      </c>
      <c r="AS403" s="124" t="s">
        <v>1829</v>
      </c>
      <c r="AT403" s="124" t="s">
        <v>1942</v>
      </c>
      <c r="AU403" s="124" t="str">
        <f t="shared" si="114"/>
        <v>Q291002</v>
      </c>
      <c r="AV403" s="124" t="s">
        <v>2883</v>
      </c>
      <c r="AW403" s="117" t="s">
        <v>2136</v>
      </c>
      <c r="AX403" s="138" t="str">
        <f t="shared" si="127"/>
        <v>delete from module_mst where pjt_id = '14821' and menu_id = '291002';</v>
      </c>
      <c r="AY403" s="31" t="str">
        <f>IF(C403&lt;&gt;"",CREATE_QUERY($D$1,C$2:AW$2,C403:AW403),"")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'291002', '검사유형별검사항목', '', '', '', '', '1', '1', '1', 'qc.basic', 'InspTypeItem', '1', '1', '1', '1', '1', '1', '1', '', '0', '0', '0', '', '', '', '', 'N', '', '', '291000', '5', '80150', '0', '14821/검사유형별검사항목/qc.basic/InspTypeItem', '', '', 'Y', 'Y', 'Y', 'Y', 'Y', 'Q', 'MES-TD3-542', '검사 특성별 검사항목 등록 관리');</v>
      </c>
    </row>
    <row r="404" spans="1:51">
      <c r="A404" s="1">
        <v>153</v>
      </c>
      <c r="B404" s="121" t="str">
        <f t="shared" si="128"/>
        <v xml:space="preserve">        └ 품목검사기준관리</v>
      </c>
      <c r="C404" s="27" t="str">
        <f t="shared" si="109"/>
        <v>14821</v>
      </c>
      <c r="D404" s="121"/>
      <c r="E404" s="27">
        <v>291003</v>
      </c>
      <c r="F404" s="121" t="s">
        <v>250</v>
      </c>
      <c r="G404" s="121"/>
      <c r="H404" s="121"/>
      <c r="I404" s="121"/>
      <c r="J404" s="121"/>
      <c r="K404" s="27" t="str">
        <f t="shared" si="111"/>
        <v>1</v>
      </c>
      <c r="L404" s="27">
        <v>1</v>
      </c>
      <c r="M404" s="27" t="str">
        <f t="shared" si="112"/>
        <v>1</v>
      </c>
      <c r="N404" s="121" t="s">
        <v>300</v>
      </c>
      <c r="O404" s="121" t="s">
        <v>256</v>
      </c>
      <c r="P404" s="27" t="str">
        <f t="shared" si="115"/>
        <v>1</v>
      </c>
      <c r="Q404" s="27" t="str">
        <f t="shared" si="116"/>
        <v>1</v>
      </c>
      <c r="R404" s="27" t="str">
        <f t="shared" si="117"/>
        <v>1</v>
      </c>
      <c r="S404" s="27" t="str">
        <f t="shared" si="118"/>
        <v>1</v>
      </c>
      <c r="T404" s="27" t="str">
        <f t="shared" si="119"/>
        <v>1</v>
      </c>
      <c r="U404" s="27" t="str">
        <f t="shared" si="120"/>
        <v>1</v>
      </c>
      <c r="V404" s="27" t="str">
        <f t="shared" si="121"/>
        <v>1</v>
      </c>
      <c r="W404" s="27"/>
      <c r="X404" s="27" t="str">
        <f t="shared" si="122"/>
        <v>0</v>
      </c>
      <c r="Y404" s="27" t="str">
        <f t="shared" si="123"/>
        <v>0</v>
      </c>
      <c r="Z404" s="27" t="str">
        <f t="shared" si="124"/>
        <v>0</v>
      </c>
      <c r="AA404" s="121"/>
      <c r="AB404" s="121"/>
      <c r="AC404" s="121"/>
      <c r="AD404" s="121"/>
      <c r="AE404" s="121" t="s">
        <v>51</v>
      </c>
      <c r="AF404" s="121"/>
      <c r="AG404" s="121"/>
      <c r="AH404" s="28" t="s">
        <v>247</v>
      </c>
      <c r="AI404" s="28" t="s">
        <v>113</v>
      </c>
      <c r="AJ404" s="28">
        <v>80200</v>
      </c>
      <c r="AK404" s="121" t="str">
        <f t="shared" si="110"/>
        <v>0</v>
      </c>
      <c r="AL404" s="123" t="str">
        <f t="shared" si="105"/>
        <v>14821/품목검사기준관리/qc.basic/ItemInspStd</v>
      </c>
      <c r="AM404" s="27"/>
      <c r="AN404" s="124"/>
      <c r="AO404" s="124" t="s">
        <v>1829</v>
      </c>
      <c r="AP404" s="124" t="s">
        <v>1829</v>
      </c>
      <c r="AQ404" s="124" t="s">
        <v>1829</v>
      </c>
      <c r="AR404" s="124" t="s">
        <v>1829</v>
      </c>
      <c r="AS404" s="124" t="s">
        <v>1829</v>
      </c>
      <c r="AT404" s="124" t="s">
        <v>1942</v>
      </c>
      <c r="AU404" s="124" t="str">
        <f t="shared" si="114"/>
        <v>Q291003</v>
      </c>
      <c r="AV404" s="124" t="s">
        <v>2733</v>
      </c>
      <c r="AW404" s="117" t="s">
        <v>2137</v>
      </c>
      <c r="AX404" s="138" t="str">
        <f t="shared" si="127"/>
        <v>delete from module_mst where pjt_id = '14821' and menu_id = '291003';</v>
      </c>
      <c r="AY404" s="31" t="str">
        <f>IF(C404&lt;&gt;"",CREATE_QUERY($D$1,C$2:AW$2,C404:AW404),"")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'291003', '품목검사기준관리', '', '', '', '', '1', '1', '1', 'qc.basic', 'ItemInspStd', '1', '1', '1', '1', '1', '1', '1', '', '0', '0', '0', '', '', '', '', 'N', '', '', '291000', '5', '80200', '0', '14821/품목검사기준관리/qc.basic/ItemInspStd', '', '', 'Y', 'Y', 'Y', 'Y', 'Y', 'Q', 'MES-TD3-543', '특별 품목의 검사 기준 등록 관리');</v>
      </c>
    </row>
    <row r="405" spans="1:51" ht="26">
      <c r="A405" s="1">
        <v>153</v>
      </c>
      <c r="B405" s="121" t="str">
        <f t="shared" si="128"/>
        <v xml:space="preserve">        └ (두인)금형검사기준관리</v>
      </c>
      <c r="C405" s="27" t="str">
        <f t="shared" si="109"/>
        <v>14821</v>
      </c>
      <c r="D405" s="121"/>
      <c r="E405" s="27">
        <v>291004</v>
      </c>
      <c r="F405" s="121" t="s">
        <v>1989</v>
      </c>
      <c r="G405" s="121"/>
      <c r="H405" s="121"/>
      <c r="I405" s="121"/>
      <c r="J405" s="121"/>
      <c r="K405" s="27" t="str">
        <f t="shared" si="111"/>
        <v>1</v>
      </c>
      <c r="L405" s="27">
        <v>1</v>
      </c>
      <c r="M405" s="27" t="str">
        <f t="shared" si="112"/>
        <v>1</v>
      </c>
      <c r="N405" s="121" t="s">
        <v>300</v>
      </c>
      <c r="O405" s="121" t="s">
        <v>1990</v>
      </c>
      <c r="P405" s="27" t="str">
        <f t="shared" si="115"/>
        <v>1</v>
      </c>
      <c r="Q405" s="27" t="str">
        <f t="shared" si="116"/>
        <v>1</v>
      </c>
      <c r="R405" s="27" t="str">
        <f t="shared" si="117"/>
        <v>1</v>
      </c>
      <c r="S405" s="27" t="str">
        <f t="shared" si="118"/>
        <v>1</v>
      </c>
      <c r="T405" s="27" t="str">
        <f t="shared" si="119"/>
        <v>1</v>
      </c>
      <c r="U405" s="27" t="str">
        <f t="shared" si="120"/>
        <v>1</v>
      </c>
      <c r="V405" s="27" t="str">
        <f t="shared" si="121"/>
        <v>1</v>
      </c>
      <c r="W405" s="27"/>
      <c r="X405" s="27" t="str">
        <f t="shared" si="122"/>
        <v>0</v>
      </c>
      <c r="Y405" s="27" t="str">
        <f t="shared" si="123"/>
        <v>0</v>
      </c>
      <c r="Z405" s="27" t="str">
        <f t="shared" si="124"/>
        <v>0</v>
      </c>
      <c r="AA405" s="121"/>
      <c r="AB405" s="121"/>
      <c r="AC405" s="121"/>
      <c r="AD405" s="121"/>
      <c r="AE405" s="121" t="s">
        <v>51</v>
      </c>
      <c r="AF405" s="121"/>
      <c r="AG405" s="121"/>
      <c r="AH405" s="28" t="s">
        <v>247</v>
      </c>
      <c r="AI405" s="28" t="s">
        <v>113</v>
      </c>
      <c r="AJ405" s="28">
        <v>80250</v>
      </c>
      <c r="AK405" s="121" t="str">
        <f t="shared" si="110"/>
        <v/>
      </c>
      <c r="AL405" s="123" t="str">
        <f t="shared" si="105"/>
        <v>14821/금형검사기준관리/qc.basic/MoldInspStd</v>
      </c>
      <c r="AM405" s="27" t="s">
        <v>1886</v>
      </c>
      <c r="AN405" s="124"/>
      <c r="AO405" s="124"/>
      <c r="AP405" s="124" t="s">
        <v>1829</v>
      </c>
      <c r="AQ405" s="124"/>
      <c r="AR405" s="124"/>
      <c r="AS405" s="124"/>
      <c r="AT405" s="124" t="s">
        <v>1942</v>
      </c>
      <c r="AU405" s="124" t="str">
        <f t="shared" si="114"/>
        <v>Q291004</v>
      </c>
      <c r="AV405" s="124" t="s">
        <v>2734</v>
      </c>
      <c r="AW405" s="117" t="s">
        <v>2138</v>
      </c>
      <c r="AX405" s="138" t="str">
        <f t="shared" si="127"/>
        <v>delete from module_mst where pjt_id = '14821' and menu_id = '291004';</v>
      </c>
      <c r="AY405" s="31" t="str">
        <f>IF(C405&lt;&gt;"",CREATE_QUERY($D$1,C$2:AW$2,C405:AW405),"")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'291004', '금형검사기준관리', '', '', '', '', '1', '1', '1', 'qc.basic', 'MoldInspStd', '1', '1', '1', '1', '1', '1', '1', '', '0', '0', '0', '', '', '', '', 'N', '', '', '291000', '5', '80250', '', '14821/금형검사기준관리/qc.basic/MoldInspStd', '(두인)', '', '', 'Y', '', '', '', 'Q', 'MES-TD3-544', 'for 두인 생산 금형별 검사 기준을 등록 관리(두인은 검사유형을 제품 대신 금형에 연결하여 관리한다. )');</v>
      </c>
    </row>
    <row r="406" spans="1:51">
      <c r="A406" s="1">
        <v>151</v>
      </c>
      <c r="B406" s="121" t="str">
        <f t="shared" si="128"/>
        <v/>
      </c>
      <c r="C406" s="27" t="str">
        <f t="shared" si="109"/>
        <v/>
      </c>
      <c r="D406" s="121"/>
      <c r="E406" s="27">
        <v>291005</v>
      </c>
      <c r="F406" s="121"/>
      <c r="G406" s="121"/>
      <c r="H406" s="121"/>
      <c r="I406" s="121"/>
      <c r="J406" s="121"/>
      <c r="K406" s="27" t="str">
        <f t="shared" si="111"/>
        <v/>
      </c>
      <c r="L406" s="27">
        <v>1</v>
      </c>
      <c r="M406" s="27" t="str">
        <f t="shared" si="112"/>
        <v>0</v>
      </c>
      <c r="N406" s="121"/>
      <c r="O406" s="121"/>
      <c r="P406" s="27" t="str">
        <f t="shared" si="115"/>
        <v>0</v>
      </c>
      <c r="Q406" s="27" t="str">
        <f t="shared" si="116"/>
        <v>0</v>
      </c>
      <c r="R406" s="27" t="str">
        <f t="shared" si="117"/>
        <v>0</v>
      </c>
      <c r="S406" s="27" t="str">
        <f t="shared" si="118"/>
        <v>0</v>
      </c>
      <c r="T406" s="27" t="str">
        <f t="shared" si="119"/>
        <v>0</v>
      </c>
      <c r="U406" s="27" t="str">
        <f t="shared" si="120"/>
        <v>0</v>
      </c>
      <c r="V406" s="27" t="str">
        <f t="shared" si="121"/>
        <v>1</v>
      </c>
      <c r="W406" s="27"/>
      <c r="X406" s="27" t="str">
        <f t="shared" si="122"/>
        <v/>
      </c>
      <c r="Y406" s="27" t="str">
        <f t="shared" si="123"/>
        <v/>
      </c>
      <c r="Z406" s="27" t="str">
        <f t="shared" si="124"/>
        <v/>
      </c>
      <c r="AA406" s="121"/>
      <c r="AB406" s="121"/>
      <c r="AC406" s="121"/>
      <c r="AD406" s="121"/>
      <c r="AE406" s="121" t="s">
        <v>51</v>
      </c>
      <c r="AF406" s="121"/>
      <c r="AG406" s="121"/>
      <c r="AH406" s="28" t="s">
        <v>247</v>
      </c>
      <c r="AI406" s="28" t="s">
        <v>113</v>
      </c>
      <c r="AJ406" s="28">
        <v>80252</v>
      </c>
      <c r="AK406" s="121" t="str">
        <f t="shared" si="110"/>
        <v/>
      </c>
      <c r="AL406" s="123" t="str">
        <f t="shared" si="105"/>
        <v/>
      </c>
      <c r="AM406" s="27"/>
      <c r="AN406" s="124"/>
      <c r="AO406" s="124"/>
      <c r="AP406" s="124"/>
      <c r="AQ406" s="124"/>
      <c r="AR406" s="124"/>
      <c r="AS406" s="124"/>
      <c r="AT406" s="124" t="s">
        <v>1942</v>
      </c>
      <c r="AU406" s="124" t="str">
        <f t="shared" si="114"/>
        <v/>
      </c>
      <c r="AV406" s="124" t="s">
        <v>2735</v>
      </c>
      <c r="AW406" s="117"/>
      <c r="AX406" s="138" t="str">
        <f t="shared" si="127"/>
        <v/>
      </c>
      <c r="AY406" s="31" t="str">
        <f>IF(C406&lt;&gt;"",CREATE_QUERY($D$1,C$2:AW$2,C406:AW406),"")</f>
        <v/>
      </c>
    </row>
    <row r="407" spans="1:51">
      <c r="A407" s="1">
        <v>152</v>
      </c>
      <c r="B407" s="121" t="str">
        <f t="shared" si="128"/>
        <v/>
      </c>
      <c r="C407" s="27" t="str">
        <f t="shared" si="109"/>
        <v/>
      </c>
      <c r="D407" s="121"/>
      <c r="E407" s="27">
        <v>291006</v>
      </c>
      <c r="F407" s="121"/>
      <c r="G407" s="121"/>
      <c r="H407" s="121"/>
      <c r="I407" s="121"/>
      <c r="J407" s="121"/>
      <c r="K407" s="27" t="str">
        <f t="shared" si="111"/>
        <v/>
      </c>
      <c r="L407" s="27">
        <v>1</v>
      </c>
      <c r="M407" s="27" t="str">
        <f t="shared" si="112"/>
        <v>0</v>
      </c>
      <c r="N407" s="121"/>
      <c r="O407" s="121"/>
      <c r="P407" s="27" t="str">
        <f t="shared" si="115"/>
        <v>0</v>
      </c>
      <c r="Q407" s="27" t="str">
        <f t="shared" si="116"/>
        <v>0</v>
      </c>
      <c r="R407" s="27" t="str">
        <f t="shared" si="117"/>
        <v>0</v>
      </c>
      <c r="S407" s="27" t="str">
        <f t="shared" si="118"/>
        <v>0</v>
      </c>
      <c r="T407" s="27" t="str">
        <f t="shared" si="119"/>
        <v>0</v>
      </c>
      <c r="U407" s="27" t="str">
        <f t="shared" si="120"/>
        <v>0</v>
      </c>
      <c r="V407" s="27" t="str">
        <f t="shared" si="121"/>
        <v>1</v>
      </c>
      <c r="W407" s="27"/>
      <c r="X407" s="27" t="str">
        <f t="shared" si="122"/>
        <v/>
      </c>
      <c r="Y407" s="27" t="str">
        <f t="shared" si="123"/>
        <v/>
      </c>
      <c r="Z407" s="27" t="str">
        <f t="shared" si="124"/>
        <v/>
      </c>
      <c r="AA407" s="121"/>
      <c r="AB407" s="121"/>
      <c r="AC407" s="121"/>
      <c r="AD407" s="121"/>
      <c r="AE407" s="121" t="s">
        <v>51</v>
      </c>
      <c r="AF407" s="121"/>
      <c r="AG407" s="121"/>
      <c r="AH407" s="28" t="s">
        <v>247</v>
      </c>
      <c r="AI407" s="28" t="s">
        <v>113</v>
      </c>
      <c r="AJ407" s="28">
        <v>80254</v>
      </c>
      <c r="AK407" s="121" t="str">
        <f t="shared" ref="AK407:AK483" si="129">IF(B408="","","0")</f>
        <v/>
      </c>
      <c r="AL407" s="123" t="str">
        <f t="shared" si="105"/>
        <v/>
      </c>
      <c r="AM407" s="27"/>
      <c r="AN407" s="124"/>
      <c r="AO407" s="124"/>
      <c r="AP407" s="124"/>
      <c r="AQ407" s="124"/>
      <c r="AR407" s="124"/>
      <c r="AS407" s="124"/>
      <c r="AT407" s="124" t="s">
        <v>1942</v>
      </c>
      <c r="AU407" s="124" t="str">
        <f t="shared" si="114"/>
        <v/>
      </c>
      <c r="AV407" s="124" t="s">
        <v>2736</v>
      </c>
      <c r="AW407" s="117"/>
      <c r="AX407" s="138" t="str">
        <f t="shared" si="127"/>
        <v/>
      </c>
      <c r="AY407" s="31" t="str">
        <f>IF(C407&lt;&gt;"",CREATE_QUERY($D$1,C$2:AW$2,C407:AW407),"")</f>
        <v/>
      </c>
    </row>
    <row r="408" spans="1:51">
      <c r="A408" s="1">
        <v>153</v>
      </c>
      <c r="B408" s="121" t="str">
        <f t="shared" si="128"/>
        <v/>
      </c>
      <c r="C408" s="27" t="str">
        <f t="shared" si="109"/>
        <v/>
      </c>
      <c r="D408" s="121"/>
      <c r="E408" s="27">
        <v>291007</v>
      </c>
      <c r="F408" s="121"/>
      <c r="G408" s="121"/>
      <c r="H408" s="121"/>
      <c r="I408" s="121"/>
      <c r="J408" s="121"/>
      <c r="K408" s="27" t="str">
        <f t="shared" ref="K408:K484" si="130">IF(O408="","","1")</f>
        <v/>
      </c>
      <c r="L408" s="27">
        <v>1</v>
      </c>
      <c r="M408" s="27" t="str">
        <f t="shared" ref="M408:M484" si="131">IF(O408="","0","1")</f>
        <v>0</v>
      </c>
      <c r="N408" s="121"/>
      <c r="O408" s="121"/>
      <c r="P408" s="27" t="str">
        <f t="shared" si="115"/>
        <v>0</v>
      </c>
      <c r="Q408" s="27" t="str">
        <f t="shared" si="116"/>
        <v>0</v>
      </c>
      <c r="R408" s="27" t="str">
        <f t="shared" si="117"/>
        <v>0</v>
      </c>
      <c r="S408" s="27" t="str">
        <f t="shared" si="118"/>
        <v>0</v>
      </c>
      <c r="T408" s="27" t="str">
        <f t="shared" si="119"/>
        <v>0</v>
      </c>
      <c r="U408" s="27" t="str">
        <f t="shared" si="120"/>
        <v>0</v>
      </c>
      <c r="V408" s="27" t="str">
        <f t="shared" si="121"/>
        <v>1</v>
      </c>
      <c r="W408" s="27"/>
      <c r="X408" s="27" t="str">
        <f t="shared" si="122"/>
        <v/>
      </c>
      <c r="Y408" s="27" t="str">
        <f t="shared" si="123"/>
        <v/>
      </c>
      <c r="Z408" s="27" t="str">
        <f t="shared" si="124"/>
        <v/>
      </c>
      <c r="AA408" s="121"/>
      <c r="AB408" s="121"/>
      <c r="AC408" s="121"/>
      <c r="AD408" s="121"/>
      <c r="AE408" s="121" t="s">
        <v>51</v>
      </c>
      <c r="AF408" s="121"/>
      <c r="AG408" s="121"/>
      <c r="AH408" s="28" t="s">
        <v>247</v>
      </c>
      <c r="AI408" s="28" t="s">
        <v>113</v>
      </c>
      <c r="AJ408" s="28">
        <v>80256</v>
      </c>
      <c r="AK408" s="121" t="str">
        <f t="shared" si="129"/>
        <v/>
      </c>
      <c r="AL408" s="123" t="str">
        <f t="shared" si="105"/>
        <v/>
      </c>
      <c r="AM408" s="27"/>
      <c r="AN408" s="124"/>
      <c r="AO408" s="124"/>
      <c r="AP408" s="124"/>
      <c r="AQ408" s="124"/>
      <c r="AR408" s="124"/>
      <c r="AS408" s="124"/>
      <c r="AT408" s="124" t="s">
        <v>1942</v>
      </c>
      <c r="AU408" s="124" t="str">
        <f t="shared" si="114"/>
        <v/>
      </c>
      <c r="AV408" s="124" t="s">
        <v>2884</v>
      </c>
      <c r="AW408" s="117"/>
      <c r="AX408" s="138" t="str">
        <f t="shared" si="127"/>
        <v/>
      </c>
      <c r="AY408" s="31" t="str">
        <f>IF(C408&lt;&gt;"",CREATE_QUERY($D$1,C$2:AW$2,C408:AW408),"")</f>
        <v/>
      </c>
    </row>
    <row r="409" spans="1:51">
      <c r="A409" s="1">
        <v>153</v>
      </c>
      <c r="B409" s="121" t="str">
        <f t="shared" si="128"/>
        <v/>
      </c>
      <c r="C409" s="27" t="str">
        <f t="shared" si="109"/>
        <v/>
      </c>
      <c r="D409" s="121"/>
      <c r="E409" s="27">
        <v>291008</v>
      </c>
      <c r="F409" s="121"/>
      <c r="G409" s="121"/>
      <c r="H409" s="121"/>
      <c r="I409" s="121"/>
      <c r="J409" s="121"/>
      <c r="K409" s="27" t="str">
        <f t="shared" si="130"/>
        <v/>
      </c>
      <c r="L409" s="27">
        <v>1</v>
      </c>
      <c r="M409" s="27" t="str">
        <f t="shared" si="131"/>
        <v>0</v>
      </c>
      <c r="N409" s="121"/>
      <c r="O409" s="121"/>
      <c r="P409" s="27" t="str">
        <f t="shared" si="115"/>
        <v>0</v>
      </c>
      <c r="Q409" s="27" t="str">
        <f t="shared" si="116"/>
        <v>0</v>
      </c>
      <c r="R409" s="27" t="str">
        <f t="shared" si="117"/>
        <v>0</v>
      </c>
      <c r="S409" s="27" t="str">
        <f t="shared" si="118"/>
        <v>0</v>
      </c>
      <c r="T409" s="27" t="str">
        <f t="shared" si="119"/>
        <v>0</v>
      </c>
      <c r="U409" s="27" t="str">
        <f t="shared" si="120"/>
        <v>0</v>
      </c>
      <c r="V409" s="27" t="str">
        <f t="shared" si="121"/>
        <v>1</v>
      </c>
      <c r="W409" s="27"/>
      <c r="X409" s="27" t="str">
        <f t="shared" si="122"/>
        <v/>
      </c>
      <c r="Y409" s="27" t="str">
        <f t="shared" si="123"/>
        <v/>
      </c>
      <c r="Z409" s="27" t="str">
        <f t="shared" si="124"/>
        <v/>
      </c>
      <c r="AA409" s="121"/>
      <c r="AB409" s="121"/>
      <c r="AC409" s="121"/>
      <c r="AD409" s="121"/>
      <c r="AE409" s="121" t="s">
        <v>51</v>
      </c>
      <c r="AF409" s="121"/>
      <c r="AG409" s="121"/>
      <c r="AH409" s="28" t="s">
        <v>247</v>
      </c>
      <c r="AI409" s="28" t="s">
        <v>113</v>
      </c>
      <c r="AJ409" s="28">
        <v>80258</v>
      </c>
      <c r="AK409" s="121" t="str">
        <f>IF(B414="","","0")</f>
        <v/>
      </c>
      <c r="AL409" s="123" t="str">
        <f t="shared" si="105"/>
        <v/>
      </c>
      <c r="AM409" s="27"/>
      <c r="AN409" s="124"/>
      <c r="AO409" s="124"/>
      <c r="AP409" s="124"/>
      <c r="AQ409" s="124"/>
      <c r="AR409" s="124"/>
      <c r="AS409" s="124"/>
      <c r="AT409" s="124" t="s">
        <v>1942</v>
      </c>
      <c r="AU409" s="124" t="str">
        <f t="shared" si="114"/>
        <v/>
      </c>
      <c r="AV409" s="124" t="s">
        <v>2885</v>
      </c>
      <c r="AW409" s="117"/>
      <c r="AX409" s="138" t="str">
        <f t="shared" si="127"/>
        <v/>
      </c>
      <c r="AY409" s="31" t="str">
        <f>IF(C409&lt;&gt;"",CREATE_QUERY($D$1,C$2:AW$2,C409:AW409),"")</f>
        <v/>
      </c>
    </row>
    <row r="410" spans="1:51">
      <c r="A410" s="1">
        <v>151</v>
      </c>
      <c r="B410" s="121" t="str">
        <f t="shared" si="128"/>
        <v/>
      </c>
      <c r="C410" s="27" t="str">
        <f t="shared" si="109"/>
        <v/>
      </c>
      <c r="D410" s="121"/>
      <c r="E410" s="27">
        <v>291009</v>
      </c>
      <c r="F410" s="121"/>
      <c r="G410" s="121"/>
      <c r="H410" s="121"/>
      <c r="I410" s="121"/>
      <c r="J410" s="121"/>
      <c r="K410" s="27" t="str">
        <f t="shared" si="130"/>
        <v/>
      </c>
      <c r="L410" s="27">
        <v>1</v>
      </c>
      <c r="M410" s="27" t="str">
        <f t="shared" si="131"/>
        <v>0</v>
      </c>
      <c r="N410" s="121"/>
      <c r="O410" s="121"/>
      <c r="P410" s="27" t="str">
        <f t="shared" si="115"/>
        <v>0</v>
      </c>
      <c r="Q410" s="27" t="str">
        <f t="shared" si="116"/>
        <v>0</v>
      </c>
      <c r="R410" s="27" t="str">
        <f t="shared" si="117"/>
        <v>0</v>
      </c>
      <c r="S410" s="27" t="str">
        <f t="shared" si="118"/>
        <v>0</v>
      </c>
      <c r="T410" s="27" t="str">
        <f t="shared" si="119"/>
        <v>0</v>
      </c>
      <c r="U410" s="27" t="str">
        <f t="shared" si="120"/>
        <v>0</v>
      </c>
      <c r="V410" s="27" t="str">
        <f t="shared" si="121"/>
        <v>1</v>
      </c>
      <c r="W410" s="27"/>
      <c r="X410" s="27" t="str">
        <f t="shared" si="122"/>
        <v/>
      </c>
      <c r="Y410" s="27" t="str">
        <f t="shared" si="123"/>
        <v/>
      </c>
      <c r="Z410" s="27" t="str">
        <f t="shared" si="124"/>
        <v/>
      </c>
      <c r="AA410" s="121"/>
      <c r="AB410" s="121"/>
      <c r="AC410" s="121"/>
      <c r="AD410" s="121"/>
      <c r="AE410" s="121" t="s">
        <v>51</v>
      </c>
      <c r="AF410" s="121"/>
      <c r="AG410" s="121"/>
      <c r="AH410" s="28" t="s">
        <v>247</v>
      </c>
      <c r="AI410" s="28" t="s">
        <v>113</v>
      </c>
      <c r="AJ410" s="28">
        <v>80260</v>
      </c>
      <c r="AK410" s="121" t="str">
        <f t="shared" ref="AK410:AK412" si="132">IF(B411="","","0")</f>
        <v/>
      </c>
      <c r="AL410" s="123" t="str">
        <f t="shared" si="105"/>
        <v/>
      </c>
      <c r="AM410" s="27"/>
      <c r="AN410" s="124"/>
      <c r="AO410" s="124"/>
      <c r="AP410" s="124"/>
      <c r="AQ410" s="124"/>
      <c r="AR410" s="124"/>
      <c r="AS410" s="124"/>
      <c r="AT410" s="124" t="s">
        <v>1942</v>
      </c>
      <c r="AU410" s="124" t="str">
        <f t="shared" si="114"/>
        <v/>
      </c>
      <c r="AV410" s="124" t="s">
        <v>2886</v>
      </c>
      <c r="AW410" s="117"/>
      <c r="AX410" s="138" t="str">
        <f t="shared" si="127"/>
        <v/>
      </c>
      <c r="AY410" s="31" t="str">
        <f>IF(C410&lt;&gt;"",CREATE_QUERY($D$1,C$2:AW$2,C410:AW410),"")</f>
        <v/>
      </c>
    </row>
    <row r="411" spans="1:51">
      <c r="A411" s="1">
        <v>152</v>
      </c>
      <c r="B411" s="121" t="str">
        <f t="shared" si="128"/>
        <v/>
      </c>
      <c r="C411" s="27" t="str">
        <f t="shared" si="109"/>
        <v/>
      </c>
      <c r="D411" s="121"/>
      <c r="E411" s="27">
        <v>291010</v>
      </c>
      <c r="F411" s="121"/>
      <c r="G411" s="121"/>
      <c r="H411" s="121"/>
      <c r="I411" s="121"/>
      <c r="J411" s="121"/>
      <c r="K411" s="27" t="str">
        <f t="shared" si="130"/>
        <v/>
      </c>
      <c r="L411" s="27">
        <v>1</v>
      </c>
      <c r="M411" s="27" t="str">
        <f t="shared" si="131"/>
        <v>0</v>
      </c>
      <c r="N411" s="121"/>
      <c r="O411" s="121"/>
      <c r="P411" s="27" t="str">
        <f t="shared" si="115"/>
        <v>0</v>
      </c>
      <c r="Q411" s="27" t="str">
        <f t="shared" si="116"/>
        <v>0</v>
      </c>
      <c r="R411" s="27" t="str">
        <f t="shared" si="117"/>
        <v>0</v>
      </c>
      <c r="S411" s="27" t="str">
        <f t="shared" si="118"/>
        <v>0</v>
      </c>
      <c r="T411" s="27" t="str">
        <f t="shared" si="119"/>
        <v>0</v>
      </c>
      <c r="U411" s="27" t="str">
        <f t="shared" si="120"/>
        <v>0</v>
      </c>
      <c r="V411" s="27" t="str">
        <f t="shared" si="121"/>
        <v>1</v>
      </c>
      <c r="W411" s="27"/>
      <c r="X411" s="27" t="str">
        <f t="shared" si="122"/>
        <v/>
      </c>
      <c r="Y411" s="27" t="str">
        <f t="shared" si="123"/>
        <v/>
      </c>
      <c r="Z411" s="27" t="str">
        <f t="shared" si="124"/>
        <v/>
      </c>
      <c r="AA411" s="121"/>
      <c r="AB411" s="121"/>
      <c r="AC411" s="121"/>
      <c r="AD411" s="121"/>
      <c r="AE411" s="121" t="s">
        <v>51</v>
      </c>
      <c r="AF411" s="121"/>
      <c r="AG411" s="121"/>
      <c r="AH411" s="28" t="s">
        <v>247</v>
      </c>
      <c r="AI411" s="28" t="s">
        <v>113</v>
      </c>
      <c r="AJ411" s="28">
        <v>80262</v>
      </c>
      <c r="AK411" s="121" t="str">
        <f t="shared" si="132"/>
        <v/>
      </c>
      <c r="AL411" s="123" t="str">
        <f t="shared" si="105"/>
        <v/>
      </c>
      <c r="AM411" s="27"/>
      <c r="AN411" s="124"/>
      <c r="AO411" s="124"/>
      <c r="AP411" s="124"/>
      <c r="AQ411" s="124"/>
      <c r="AR411" s="124"/>
      <c r="AS411" s="124"/>
      <c r="AT411" s="124" t="s">
        <v>1942</v>
      </c>
      <c r="AU411" s="124" t="str">
        <f t="shared" si="114"/>
        <v/>
      </c>
      <c r="AV411" s="124" t="s">
        <v>2887</v>
      </c>
      <c r="AW411" s="117"/>
      <c r="AX411" s="138" t="str">
        <f t="shared" si="127"/>
        <v/>
      </c>
      <c r="AY411" s="31" t="str">
        <f>IF(C411&lt;&gt;"",CREATE_QUERY($D$1,C$2:AW$2,C411:AW411),"")</f>
        <v/>
      </c>
    </row>
    <row r="412" spans="1:51">
      <c r="A412" s="1">
        <v>153</v>
      </c>
      <c r="B412" s="121" t="str">
        <f t="shared" si="128"/>
        <v/>
      </c>
      <c r="C412" s="27" t="str">
        <f t="shared" si="109"/>
        <v/>
      </c>
      <c r="D412" s="121"/>
      <c r="E412" s="27">
        <v>291011</v>
      </c>
      <c r="F412" s="121"/>
      <c r="G412" s="121"/>
      <c r="H412" s="121"/>
      <c r="I412" s="121"/>
      <c r="J412" s="121"/>
      <c r="K412" s="27" t="str">
        <f t="shared" si="130"/>
        <v/>
      </c>
      <c r="L412" s="27">
        <v>1</v>
      </c>
      <c r="M412" s="27" t="str">
        <f t="shared" si="131"/>
        <v>0</v>
      </c>
      <c r="N412" s="121"/>
      <c r="O412" s="121"/>
      <c r="P412" s="27" t="str">
        <f t="shared" si="115"/>
        <v>0</v>
      </c>
      <c r="Q412" s="27" t="str">
        <f t="shared" si="116"/>
        <v>0</v>
      </c>
      <c r="R412" s="27" t="str">
        <f t="shared" si="117"/>
        <v>0</v>
      </c>
      <c r="S412" s="27" t="str">
        <f t="shared" si="118"/>
        <v>0</v>
      </c>
      <c r="T412" s="27" t="str">
        <f t="shared" si="119"/>
        <v>0</v>
      </c>
      <c r="U412" s="27" t="str">
        <f t="shared" si="120"/>
        <v>0</v>
      </c>
      <c r="V412" s="27" t="str">
        <f t="shared" si="121"/>
        <v>1</v>
      </c>
      <c r="W412" s="27"/>
      <c r="X412" s="27" t="str">
        <f t="shared" si="122"/>
        <v/>
      </c>
      <c r="Y412" s="27" t="str">
        <f t="shared" si="123"/>
        <v/>
      </c>
      <c r="Z412" s="27" t="str">
        <f t="shared" si="124"/>
        <v/>
      </c>
      <c r="AA412" s="121"/>
      <c r="AB412" s="121"/>
      <c r="AC412" s="121"/>
      <c r="AD412" s="121"/>
      <c r="AE412" s="121" t="s">
        <v>51</v>
      </c>
      <c r="AF412" s="121"/>
      <c r="AG412" s="121"/>
      <c r="AH412" s="28" t="s">
        <v>247</v>
      </c>
      <c r="AI412" s="28" t="s">
        <v>113</v>
      </c>
      <c r="AJ412" s="28">
        <v>80264</v>
      </c>
      <c r="AK412" s="121" t="str">
        <f t="shared" si="132"/>
        <v/>
      </c>
      <c r="AL412" s="123" t="str">
        <f t="shared" si="105"/>
        <v/>
      </c>
      <c r="AM412" s="27"/>
      <c r="AN412" s="124"/>
      <c r="AO412" s="124"/>
      <c r="AP412" s="124"/>
      <c r="AQ412" s="124"/>
      <c r="AR412" s="124"/>
      <c r="AS412" s="124"/>
      <c r="AT412" s="124" t="s">
        <v>1942</v>
      </c>
      <c r="AU412" s="124" t="str">
        <f t="shared" si="114"/>
        <v/>
      </c>
      <c r="AV412" s="124" t="s">
        <v>2888</v>
      </c>
      <c r="AW412" s="117"/>
      <c r="AX412" s="138" t="str">
        <f t="shared" si="127"/>
        <v/>
      </c>
      <c r="AY412" s="31" t="str">
        <f>IF(C412&lt;&gt;"",CREATE_QUERY($D$1,C$2:AW$2,C412:AW412),"")</f>
        <v/>
      </c>
    </row>
    <row r="413" spans="1:51">
      <c r="A413" s="1">
        <v>153</v>
      </c>
      <c r="B413" s="121" t="str">
        <f t="shared" si="128"/>
        <v/>
      </c>
      <c r="C413" s="27" t="str">
        <f t="shared" si="109"/>
        <v/>
      </c>
      <c r="D413" s="121"/>
      <c r="E413" s="27">
        <v>291012</v>
      </c>
      <c r="F413" s="121"/>
      <c r="G413" s="121"/>
      <c r="H413" s="121"/>
      <c r="I413" s="121"/>
      <c r="J413" s="121"/>
      <c r="K413" s="27" t="str">
        <f t="shared" si="130"/>
        <v/>
      </c>
      <c r="L413" s="27">
        <v>1</v>
      </c>
      <c r="M413" s="27" t="str">
        <f t="shared" si="131"/>
        <v>0</v>
      </c>
      <c r="N413" s="121"/>
      <c r="O413" s="121"/>
      <c r="P413" s="27" t="str">
        <f t="shared" si="115"/>
        <v>0</v>
      </c>
      <c r="Q413" s="27" t="str">
        <f t="shared" si="116"/>
        <v>0</v>
      </c>
      <c r="R413" s="27" t="str">
        <f t="shared" si="117"/>
        <v>0</v>
      </c>
      <c r="S413" s="27" t="str">
        <f t="shared" si="118"/>
        <v>0</v>
      </c>
      <c r="T413" s="27" t="str">
        <f t="shared" si="119"/>
        <v>0</v>
      </c>
      <c r="U413" s="27" t="str">
        <f t="shared" si="120"/>
        <v>0</v>
      </c>
      <c r="V413" s="27" t="str">
        <f t="shared" si="121"/>
        <v>1</v>
      </c>
      <c r="W413" s="27"/>
      <c r="X413" s="27" t="str">
        <f t="shared" si="122"/>
        <v/>
      </c>
      <c r="Y413" s="27" t="str">
        <f t="shared" si="123"/>
        <v/>
      </c>
      <c r="Z413" s="27" t="str">
        <f t="shared" si="124"/>
        <v/>
      </c>
      <c r="AA413" s="121"/>
      <c r="AB413" s="121"/>
      <c r="AC413" s="121"/>
      <c r="AD413" s="121"/>
      <c r="AE413" s="121" t="s">
        <v>51</v>
      </c>
      <c r="AF413" s="121"/>
      <c r="AG413" s="121"/>
      <c r="AH413" s="28" t="s">
        <v>247</v>
      </c>
      <c r="AI413" s="28" t="s">
        <v>113</v>
      </c>
      <c r="AJ413" s="28">
        <v>80266</v>
      </c>
      <c r="AK413" s="121" t="str">
        <f>IF(B418="","","0")</f>
        <v>0</v>
      </c>
      <c r="AL413" s="123" t="str">
        <f t="shared" si="105"/>
        <v/>
      </c>
      <c r="AM413" s="27"/>
      <c r="AN413" s="124"/>
      <c r="AO413" s="124"/>
      <c r="AP413" s="124"/>
      <c r="AQ413" s="124"/>
      <c r="AR413" s="124"/>
      <c r="AS413" s="124"/>
      <c r="AT413" s="124" t="s">
        <v>1942</v>
      </c>
      <c r="AU413" s="124" t="str">
        <f t="shared" si="114"/>
        <v/>
      </c>
      <c r="AV413" s="124" t="s">
        <v>2737</v>
      </c>
      <c r="AW413" s="117"/>
      <c r="AX413" s="138" t="str">
        <f t="shared" si="127"/>
        <v/>
      </c>
      <c r="AY413" s="31" t="str">
        <f>IF(C413&lt;&gt;"",CREATE_QUERY($D$1,C$2:AW$2,C413:AW413),"")</f>
        <v/>
      </c>
    </row>
    <row r="414" spans="1:51">
      <c r="A414" s="1">
        <v>154</v>
      </c>
      <c r="B414" s="121" t="str">
        <f t="shared" si="128"/>
        <v/>
      </c>
      <c r="C414" s="27" t="str">
        <f t="shared" si="109"/>
        <v/>
      </c>
      <c r="D414" s="121"/>
      <c r="E414" s="27"/>
      <c r="F414" s="121"/>
      <c r="G414" s="121"/>
      <c r="H414" s="121"/>
      <c r="I414" s="121"/>
      <c r="J414" s="121"/>
      <c r="K414" s="27" t="str">
        <f t="shared" si="130"/>
        <v/>
      </c>
      <c r="L414" s="27">
        <v>1</v>
      </c>
      <c r="M414" s="27" t="str">
        <f t="shared" si="131"/>
        <v>0</v>
      </c>
      <c r="N414" s="121"/>
      <c r="O414" s="121"/>
      <c r="P414" s="27" t="str">
        <f t="shared" si="115"/>
        <v>0</v>
      </c>
      <c r="Q414" s="27" t="str">
        <f t="shared" si="116"/>
        <v>0</v>
      </c>
      <c r="R414" s="27" t="str">
        <f t="shared" si="117"/>
        <v>0</v>
      </c>
      <c r="S414" s="27" t="str">
        <f t="shared" si="118"/>
        <v>0</v>
      </c>
      <c r="T414" s="27" t="str">
        <f t="shared" si="119"/>
        <v>0</v>
      </c>
      <c r="U414" s="27" t="str">
        <f t="shared" si="120"/>
        <v>0</v>
      </c>
      <c r="V414" s="27" t="str">
        <f t="shared" si="121"/>
        <v>1</v>
      </c>
      <c r="W414" s="27"/>
      <c r="X414" s="27" t="str">
        <f t="shared" si="122"/>
        <v/>
      </c>
      <c r="Y414" s="27" t="str">
        <f t="shared" si="123"/>
        <v/>
      </c>
      <c r="Z414" s="27" t="str">
        <f t="shared" si="124"/>
        <v/>
      </c>
      <c r="AA414" s="121"/>
      <c r="AB414" s="121"/>
      <c r="AC414" s="121"/>
      <c r="AD414" s="121"/>
      <c r="AE414" s="121"/>
      <c r="AF414" s="121"/>
      <c r="AG414" s="121"/>
      <c r="AH414" s="27"/>
      <c r="AI414" s="27"/>
      <c r="AJ414" s="27" t="s">
        <v>900</v>
      </c>
      <c r="AK414" s="121" t="str">
        <f t="shared" si="129"/>
        <v>0</v>
      </c>
      <c r="AL414" s="123" t="str">
        <f t="shared" si="105"/>
        <v/>
      </c>
      <c r="AM414" s="27"/>
      <c r="AN414" s="124"/>
      <c r="AO414" s="124"/>
      <c r="AP414" s="124"/>
      <c r="AQ414" s="124"/>
      <c r="AR414" s="124"/>
      <c r="AS414" s="124"/>
      <c r="AT414" s="124"/>
      <c r="AU414" s="124" t="str">
        <f t="shared" si="114"/>
        <v/>
      </c>
      <c r="AV414" s="124"/>
      <c r="AW414" s="117"/>
      <c r="AX414" s="138" t="str">
        <f t="shared" si="127"/>
        <v/>
      </c>
      <c r="AY414" s="31" t="str">
        <f>IF(C414&lt;&gt;"",CREATE_QUERY($D$1,C$2:AW$2,C414:AW414),"")</f>
        <v/>
      </c>
    </row>
    <row r="415" spans="1:51">
      <c r="A415" s="1">
        <v>155</v>
      </c>
      <c r="B415" s="121" t="str">
        <f t="shared" si="128"/>
        <v xml:space="preserve">    └ 검사실적관리</v>
      </c>
      <c r="C415" s="27" t="str">
        <f t="shared" si="109"/>
        <v>14821</v>
      </c>
      <c r="D415" s="121"/>
      <c r="E415" s="21" t="s">
        <v>261</v>
      </c>
      <c r="F415" s="118" t="s">
        <v>258</v>
      </c>
      <c r="G415" s="118"/>
      <c r="H415" s="118"/>
      <c r="I415" s="118"/>
      <c r="J415" s="118"/>
      <c r="K415" s="21" t="str">
        <f t="shared" si="130"/>
        <v/>
      </c>
      <c r="L415" s="21">
        <v>1</v>
      </c>
      <c r="M415" s="21" t="str">
        <f t="shared" si="131"/>
        <v>0</v>
      </c>
      <c r="N415" s="118"/>
      <c r="O415" s="118"/>
      <c r="P415" s="21" t="str">
        <f t="shared" si="115"/>
        <v>0</v>
      </c>
      <c r="Q415" s="21" t="str">
        <f t="shared" si="116"/>
        <v>0</v>
      </c>
      <c r="R415" s="21" t="str">
        <f t="shared" si="117"/>
        <v>0</v>
      </c>
      <c r="S415" s="21" t="str">
        <f t="shared" si="118"/>
        <v>0</v>
      </c>
      <c r="T415" s="21" t="str">
        <f t="shared" si="119"/>
        <v>0</v>
      </c>
      <c r="U415" s="21" t="str">
        <f t="shared" si="120"/>
        <v>0</v>
      </c>
      <c r="V415" s="21" t="str">
        <f t="shared" si="121"/>
        <v>1</v>
      </c>
      <c r="W415" s="21"/>
      <c r="X415" s="21" t="str">
        <f t="shared" si="122"/>
        <v/>
      </c>
      <c r="Y415" s="21" t="str">
        <f t="shared" si="123"/>
        <v/>
      </c>
      <c r="Z415" s="21" t="str">
        <f t="shared" si="124"/>
        <v/>
      </c>
      <c r="AA415" s="118"/>
      <c r="AB415" s="118"/>
      <c r="AC415" s="118"/>
      <c r="AD415" s="118"/>
      <c r="AE415" s="118" t="s">
        <v>51</v>
      </c>
      <c r="AF415" s="118"/>
      <c r="AG415" s="118"/>
      <c r="AH415" s="26" t="s">
        <v>246</v>
      </c>
      <c r="AI415" s="26" t="s">
        <v>112</v>
      </c>
      <c r="AJ415" s="26">
        <v>82000</v>
      </c>
      <c r="AK415" s="121" t="str">
        <f t="shared" si="129"/>
        <v>0</v>
      </c>
      <c r="AL415" s="123" t="str">
        <f t="shared" si="105"/>
        <v>14821/검사실적관리//</v>
      </c>
      <c r="AM415" s="21"/>
      <c r="AN415" s="124"/>
      <c r="AO415" s="124" t="s">
        <v>1829</v>
      </c>
      <c r="AP415" s="124" t="s">
        <v>1829</v>
      </c>
      <c r="AQ415" s="124" t="s">
        <v>1829</v>
      </c>
      <c r="AR415" s="124" t="s">
        <v>1829</v>
      </c>
      <c r="AS415" s="124" t="s">
        <v>1829</v>
      </c>
      <c r="AT415" s="124" t="s">
        <v>1942</v>
      </c>
      <c r="AU415" s="124" t="str">
        <f t="shared" si="114"/>
        <v/>
      </c>
      <c r="AV415" s="124"/>
      <c r="AW415" s="117"/>
      <c r="AX415" s="138" t="str">
        <f t="shared" si="127"/>
        <v>delete from module_mst where pjt_id = '14821' and menu_id = '292000';</v>
      </c>
      <c r="AY415" s="31" t="str">
        <f>IF(C415&lt;&gt;"",CREATE_QUERY($D$1,C$2:AW$2,C415:AW415),"")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'292000', '검사실적관리', '', '', '', '', '', '1', '0', '', '', '0', '0', '0', '0', '0', '0', '1', '', '', '', '', '', '', '', '', 'N', '', '', '290000', '4', '82000', '0', '14821/검사실적관리//', '', '', 'Y', 'Y', 'Y', 'Y', 'Y', 'Q', '', '');</v>
      </c>
    </row>
    <row r="416" spans="1:51" ht="26">
      <c r="A416" s="1">
        <v>156</v>
      </c>
      <c r="B416" s="121" t="str">
        <f t="shared" si="128"/>
        <v xml:space="preserve">        └ 의뢰품입고검사</v>
      </c>
      <c r="C416" s="27" t="str">
        <f t="shared" si="109"/>
        <v>14821</v>
      </c>
      <c r="D416" s="121"/>
      <c r="E416" s="27">
        <v>292001</v>
      </c>
      <c r="F416" s="121" t="s">
        <v>259</v>
      </c>
      <c r="G416" s="121"/>
      <c r="H416" s="121"/>
      <c r="I416" s="121"/>
      <c r="J416" s="121"/>
      <c r="K416" s="27" t="str">
        <f t="shared" si="130"/>
        <v>1</v>
      </c>
      <c r="L416" s="27">
        <v>1</v>
      </c>
      <c r="M416" s="27" t="str">
        <f t="shared" si="131"/>
        <v>1</v>
      </c>
      <c r="N416" s="121" t="s">
        <v>301</v>
      </c>
      <c r="O416" s="121" t="s">
        <v>270</v>
      </c>
      <c r="P416" s="27" t="str">
        <f t="shared" si="115"/>
        <v>1</v>
      </c>
      <c r="Q416" s="27" t="str">
        <f t="shared" si="116"/>
        <v>1</v>
      </c>
      <c r="R416" s="27" t="str">
        <f t="shared" si="117"/>
        <v>1</v>
      </c>
      <c r="S416" s="27" t="str">
        <f t="shared" si="118"/>
        <v>1</v>
      </c>
      <c r="T416" s="27" t="str">
        <f t="shared" si="119"/>
        <v>1</v>
      </c>
      <c r="U416" s="27" t="str">
        <f t="shared" si="120"/>
        <v>1</v>
      </c>
      <c r="V416" s="27" t="str">
        <f t="shared" si="121"/>
        <v>1</v>
      </c>
      <c r="W416" s="27"/>
      <c r="X416" s="27" t="str">
        <f t="shared" si="122"/>
        <v>0</v>
      </c>
      <c r="Y416" s="27" t="str">
        <f t="shared" si="123"/>
        <v>0</v>
      </c>
      <c r="Z416" s="27" t="str">
        <f t="shared" si="124"/>
        <v>0</v>
      </c>
      <c r="AA416" s="121"/>
      <c r="AB416" s="121"/>
      <c r="AC416" s="121"/>
      <c r="AD416" s="121"/>
      <c r="AE416" s="121" t="s">
        <v>51</v>
      </c>
      <c r="AF416" s="121"/>
      <c r="AG416" s="121"/>
      <c r="AH416" s="28" t="s">
        <v>261</v>
      </c>
      <c r="AI416" s="28" t="s">
        <v>113</v>
      </c>
      <c r="AJ416" s="28">
        <v>82050</v>
      </c>
      <c r="AK416" s="121" t="str">
        <f t="shared" si="129"/>
        <v>0</v>
      </c>
      <c r="AL416" s="123" t="str">
        <f t="shared" si="105"/>
        <v>14821/의뢰품입고검사/qc.insp/InspEntry1</v>
      </c>
      <c r="AM416" s="27"/>
      <c r="AN416" s="124"/>
      <c r="AO416" s="124"/>
      <c r="AP416" s="124"/>
      <c r="AQ416" s="124"/>
      <c r="AR416" s="124"/>
      <c r="AS416" s="124"/>
      <c r="AT416" s="124" t="s">
        <v>1942</v>
      </c>
      <c r="AU416" s="124" t="str">
        <f t="shared" si="114"/>
        <v>Q292001</v>
      </c>
      <c r="AV416" s="124" t="s">
        <v>2738</v>
      </c>
      <c r="AW416" s="117" t="s">
        <v>2139</v>
      </c>
      <c r="AX416" s="138" t="str">
        <f t="shared" si="127"/>
        <v>delete from module_mst where pjt_id = '14821' and menu_id = '292001';</v>
      </c>
      <c r="AY416" s="31" t="str">
        <f>IF(C416&lt;&gt;"",CREATE_QUERY($D$1,C$2:AW$2,C416:AW416),"")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'292001', '의뢰품입고검사', '', '', '', '', '1', '1', '1', 'qc.insp', 'InspEntry1', '1', '1', '1', '1', '1', '1', '1', '', '0', '0', '0', '', '', '', '', 'N', '', '', '292000', '5', '82050', '0', '14821/의뢰품입고검사/qc.insp/InspEntry1', '', '', '', '', '', '', '', 'Q', 'MES-TD3-561', '외주 가공 업체인 경우 발주처로 부터 인수 받은 품목의 품질검사 내용을 등록 관리');</v>
      </c>
    </row>
    <row r="417" spans="1:51">
      <c r="A417" s="1">
        <v>157</v>
      </c>
      <c r="B417" s="121" t="str">
        <f t="shared" si="128"/>
        <v xml:space="preserve">        └ 공정검사</v>
      </c>
      <c r="C417" s="27" t="str">
        <f t="shared" si="109"/>
        <v>14821</v>
      </c>
      <c r="D417" s="121"/>
      <c r="E417" s="27">
        <v>292002</v>
      </c>
      <c r="F417" s="121" t="s">
        <v>2358</v>
      </c>
      <c r="G417" s="121"/>
      <c r="H417" s="121"/>
      <c r="I417" s="121"/>
      <c r="J417" s="121"/>
      <c r="K417" s="27" t="str">
        <f t="shared" si="130"/>
        <v>1</v>
      </c>
      <c r="L417" s="27">
        <v>1</v>
      </c>
      <c r="M417" s="27" t="str">
        <f t="shared" si="131"/>
        <v>1</v>
      </c>
      <c r="N417" s="121" t="s">
        <v>301</v>
      </c>
      <c r="O417" s="121" t="s">
        <v>271</v>
      </c>
      <c r="P417" s="27" t="str">
        <f t="shared" si="115"/>
        <v>1</v>
      </c>
      <c r="Q417" s="27" t="str">
        <f t="shared" si="116"/>
        <v>1</v>
      </c>
      <c r="R417" s="27" t="str">
        <f t="shared" si="117"/>
        <v>1</v>
      </c>
      <c r="S417" s="27" t="str">
        <f t="shared" si="118"/>
        <v>1</v>
      </c>
      <c r="T417" s="27" t="str">
        <f t="shared" si="119"/>
        <v>1</v>
      </c>
      <c r="U417" s="27" t="str">
        <f t="shared" si="120"/>
        <v>1</v>
      </c>
      <c r="V417" s="27" t="str">
        <f t="shared" si="121"/>
        <v>1</v>
      </c>
      <c r="W417" s="27"/>
      <c r="X417" s="27" t="str">
        <f t="shared" si="122"/>
        <v>0</v>
      </c>
      <c r="Y417" s="27" t="str">
        <f t="shared" si="123"/>
        <v>0</v>
      </c>
      <c r="Z417" s="27" t="str">
        <f t="shared" si="124"/>
        <v>0</v>
      </c>
      <c r="AA417" s="121"/>
      <c r="AB417" s="121"/>
      <c r="AC417" s="121"/>
      <c r="AD417" s="121"/>
      <c r="AE417" s="121" t="s">
        <v>51</v>
      </c>
      <c r="AF417" s="121"/>
      <c r="AG417" s="121"/>
      <c r="AH417" s="28" t="s">
        <v>261</v>
      </c>
      <c r="AI417" s="28" t="s">
        <v>113</v>
      </c>
      <c r="AJ417" s="28">
        <v>82100</v>
      </c>
      <c r="AK417" s="121" t="str">
        <f t="shared" si="129"/>
        <v>0</v>
      </c>
      <c r="AL417" s="123" t="str">
        <f t="shared" si="105"/>
        <v>14821/공정검사/qc.insp/InspEntry2</v>
      </c>
      <c r="AM417" s="27"/>
      <c r="AN417" s="124"/>
      <c r="AO417" s="124" t="s">
        <v>1829</v>
      </c>
      <c r="AP417" s="124" t="s">
        <v>1829</v>
      </c>
      <c r="AQ417" s="124"/>
      <c r="AR417" s="124" t="s">
        <v>1829</v>
      </c>
      <c r="AS417" s="124" t="s">
        <v>1829</v>
      </c>
      <c r="AT417" s="124" t="s">
        <v>1942</v>
      </c>
      <c r="AU417" s="124" t="str">
        <f t="shared" si="114"/>
        <v>Q292002</v>
      </c>
      <c r="AV417" s="124" t="s">
        <v>2889</v>
      </c>
      <c r="AW417" s="117" t="s">
        <v>2141</v>
      </c>
      <c r="AX417" s="138" t="str">
        <f t="shared" si="127"/>
        <v>delete from module_mst where pjt_id = '14821' and menu_id = '292002';</v>
      </c>
      <c r="AY417" s="31" t="str">
        <f>IF(C417&lt;&gt;"",CREATE_QUERY($D$1,C$2:AW$2,C417:AW417),"")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'292002', '공정검사', '', '', '', '', '1', '1', '1', 'qc.insp', 'InspEntry2', '1', '1', '1', '1', '1', '1', '1', '', '0', '0', '0', '', '', '', '', 'N', '', '', '292000', '5', '82100', '0', '14821/공정검사/qc.insp/InspEntry2', '', '', 'Y', 'Y', '', 'Y', 'Y', 'Q', 'MES-TD3-562', '공정 수시 검사 등록 관리');</v>
      </c>
    </row>
    <row r="418" spans="1:51">
      <c r="A418" s="1">
        <v>157</v>
      </c>
      <c r="B418" s="121" t="str">
        <f t="shared" si="128"/>
        <v xml:space="preserve">        └ 공정검사(초중종)</v>
      </c>
      <c r="C418" s="27" t="str">
        <f t="shared" si="109"/>
        <v>14821</v>
      </c>
      <c r="D418" s="121"/>
      <c r="E418" s="27">
        <v>292009</v>
      </c>
      <c r="F418" s="121" t="s">
        <v>260</v>
      </c>
      <c r="G418" s="121"/>
      <c r="H418" s="121"/>
      <c r="I418" s="121"/>
      <c r="J418" s="121"/>
      <c r="K418" s="27" t="str">
        <f t="shared" si="130"/>
        <v>1</v>
      </c>
      <c r="L418" s="27">
        <v>1</v>
      </c>
      <c r="M418" s="27" t="str">
        <f t="shared" si="131"/>
        <v>1</v>
      </c>
      <c r="N418" s="121" t="s">
        <v>301</v>
      </c>
      <c r="O418" s="121" t="s">
        <v>2359</v>
      </c>
      <c r="P418" s="27" t="str">
        <f t="shared" si="115"/>
        <v>1</v>
      </c>
      <c r="Q418" s="27" t="str">
        <f t="shared" si="116"/>
        <v>1</v>
      </c>
      <c r="R418" s="27" t="str">
        <f t="shared" si="117"/>
        <v>1</v>
      </c>
      <c r="S418" s="27" t="str">
        <f t="shared" si="118"/>
        <v>1</v>
      </c>
      <c r="T418" s="27" t="str">
        <f t="shared" si="119"/>
        <v>1</v>
      </c>
      <c r="U418" s="27" t="str">
        <f t="shared" si="120"/>
        <v>1</v>
      </c>
      <c r="V418" s="27" t="str">
        <f t="shared" si="121"/>
        <v>1</v>
      </c>
      <c r="W418" s="27"/>
      <c r="X418" s="27" t="str">
        <f t="shared" si="122"/>
        <v>0</v>
      </c>
      <c r="Y418" s="27" t="str">
        <f t="shared" si="123"/>
        <v>0</v>
      </c>
      <c r="Z418" s="27" t="str">
        <f t="shared" si="124"/>
        <v>0</v>
      </c>
      <c r="AA418" s="121"/>
      <c r="AB418" s="121"/>
      <c r="AC418" s="121"/>
      <c r="AD418" s="121"/>
      <c r="AE418" s="121" t="s">
        <v>51</v>
      </c>
      <c r="AF418" s="121"/>
      <c r="AG418" s="121"/>
      <c r="AH418" s="28" t="s">
        <v>261</v>
      </c>
      <c r="AI418" s="28" t="s">
        <v>113</v>
      </c>
      <c r="AJ418" s="28">
        <v>82150</v>
      </c>
      <c r="AK418" s="121" t="str">
        <f t="shared" si="129"/>
        <v>0</v>
      </c>
      <c r="AL418" s="123" t="str">
        <f t="shared" si="105"/>
        <v>14821/공정검사(초중종)/qc.insp/InspEntry7</v>
      </c>
      <c r="AM418" s="27"/>
      <c r="AN418" s="124"/>
      <c r="AO418" s="124" t="s">
        <v>1829</v>
      </c>
      <c r="AP418" s="124" t="s">
        <v>1829</v>
      </c>
      <c r="AQ418" s="124"/>
      <c r="AR418" s="124" t="s">
        <v>1829</v>
      </c>
      <c r="AS418" s="124" t="s">
        <v>1829</v>
      </c>
      <c r="AT418" s="124" t="s">
        <v>1942</v>
      </c>
      <c r="AU418" s="124" t="str">
        <f t="shared" si="114"/>
        <v>Q292009</v>
      </c>
      <c r="AV418" s="124" t="s">
        <v>2890</v>
      </c>
      <c r="AW418" s="117" t="s">
        <v>2360</v>
      </c>
      <c r="AX418" s="138" t="str">
        <f t="shared" si="127"/>
        <v>delete from module_mst where pjt_id = '14821' and menu_id = '292009';</v>
      </c>
      <c r="AY418" s="31" t="str">
        <f>IF(C418&lt;&gt;"",CREATE_QUERY($D$1,C$2:AW$2,C418:AW418),"")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'292009', '공정검사(초중종)', '', '', '', '', '1', '1', '1', 'qc.insp', 'InspEntry7', '1', '1', '1', '1', '1', '1', '1', '', '0', '0', '0', '', '', '', '', 'N', '', '', '292000', '5', '82150', '0', '14821/공정검사(초중종)/qc.insp/InspEntry7', '', '', 'Y', 'Y', '', 'Y', 'Y', 'Q', 'MES-TD3-563', '초중종 공정 검사 등록 관리');</v>
      </c>
    </row>
    <row r="419" spans="1:51">
      <c r="A419" s="1">
        <v>158</v>
      </c>
      <c r="B419" s="121" t="str">
        <f t="shared" si="128"/>
        <v xml:space="preserve">        └ 수입검사 관리</v>
      </c>
      <c r="C419" s="27" t="str">
        <f t="shared" si="109"/>
        <v>14821</v>
      </c>
      <c r="D419" s="121"/>
      <c r="E419" s="27">
        <v>292003</v>
      </c>
      <c r="F419" s="121" t="s">
        <v>2837</v>
      </c>
      <c r="G419" s="121"/>
      <c r="H419" s="121"/>
      <c r="I419" s="121"/>
      <c r="J419" s="121"/>
      <c r="K419" s="27" t="str">
        <f t="shared" si="130"/>
        <v>1</v>
      </c>
      <c r="L419" s="27">
        <v>1</v>
      </c>
      <c r="M419" s="27" t="str">
        <f t="shared" si="131"/>
        <v>1</v>
      </c>
      <c r="N419" s="121" t="s">
        <v>301</v>
      </c>
      <c r="O419" s="121" t="s">
        <v>272</v>
      </c>
      <c r="P419" s="27" t="str">
        <f t="shared" si="115"/>
        <v>1</v>
      </c>
      <c r="Q419" s="27" t="str">
        <f t="shared" si="116"/>
        <v>1</v>
      </c>
      <c r="R419" s="27" t="str">
        <f t="shared" si="117"/>
        <v>1</v>
      </c>
      <c r="S419" s="27" t="str">
        <f t="shared" si="118"/>
        <v>1</v>
      </c>
      <c r="T419" s="27" t="str">
        <f t="shared" si="119"/>
        <v>1</v>
      </c>
      <c r="U419" s="27" t="str">
        <f t="shared" si="120"/>
        <v>1</v>
      </c>
      <c r="V419" s="27" t="str">
        <f t="shared" si="121"/>
        <v>1</v>
      </c>
      <c r="W419" s="27"/>
      <c r="X419" s="27" t="str">
        <f t="shared" si="122"/>
        <v>0</v>
      </c>
      <c r="Y419" s="27" t="str">
        <f t="shared" si="123"/>
        <v>0</v>
      </c>
      <c r="Z419" s="27" t="str">
        <f t="shared" si="124"/>
        <v>0</v>
      </c>
      <c r="AA419" s="121"/>
      <c r="AB419" s="121"/>
      <c r="AC419" s="121"/>
      <c r="AD419" s="121"/>
      <c r="AE419" s="121" t="s">
        <v>51</v>
      </c>
      <c r="AF419" s="121"/>
      <c r="AG419" s="121"/>
      <c r="AH419" s="28" t="s">
        <v>261</v>
      </c>
      <c r="AI419" s="28" t="s">
        <v>113</v>
      </c>
      <c r="AJ419" s="28">
        <v>82200</v>
      </c>
      <c r="AK419" s="121" t="str">
        <f t="shared" si="129"/>
        <v>0</v>
      </c>
      <c r="AL419" s="123" t="str">
        <f t="shared" si="105"/>
        <v>14821/수입검사 관리/qc.insp/InspEntry3</v>
      </c>
      <c r="AM419" s="27"/>
      <c r="AN419" s="124"/>
      <c r="AO419" s="124" t="s">
        <v>1829</v>
      </c>
      <c r="AP419" s="124" t="s">
        <v>1829</v>
      </c>
      <c r="AQ419" s="124" t="s">
        <v>1829</v>
      </c>
      <c r="AR419" s="124" t="s">
        <v>1829</v>
      </c>
      <c r="AS419" s="124" t="s">
        <v>1829</v>
      </c>
      <c r="AT419" s="124" t="s">
        <v>1942</v>
      </c>
      <c r="AU419" s="124" t="str">
        <f t="shared" si="114"/>
        <v>Q292003</v>
      </c>
      <c r="AV419" s="124" t="s">
        <v>2891</v>
      </c>
      <c r="AW419" s="117" t="s">
        <v>2143</v>
      </c>
      <c r="AX419" s="138" t="str">
        <f t="shared" si="127"/>
        <v>delete from module_mst where pjt_id = '14821' and menu_id = '292003';</v>
      </c>
      <c r="AY419" s="31" t="str">
        <f>IF(C419&lt;&gt;"",CREATE_QUERY($D$1,C$2:AW$2,C419:AW419),"")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'292003', '수입검사 관리', '', '', '', '', '1', '1', '1', 'qc.insp', 'InspEntry3', '1', '1', '1', '1', '1', '1', '1', '', '0', '0', '0', '', '', '', '', 'N', '', '', '292000', '5', '82200', '0', '14821/수입검사 관리/qc.insp/InspEntry3', '', '', 'Y', 'Y', 'Y', 'Y', 'Y', 'Q', 'MES-TD3-564', '입고 처리 전 구매발주 품목의 수입 검사 결과 등록 관리');</v>
      </c>
    </row>
    <row r="420" spans="1:51">
      <c r="A420" s="1">
        <v>160</v>
      </c>
      <c r="B420" s="121" t="str">
        <f t="shared" si="128"/>
        <v xml:space="preserve">        └ 최종검사 관리</v>
      </c>
      <c r="C420" s="27" t="str">
        <f t="shared" si="109"/>
        <v>14821</v>
      </c>
      <c r="D420" s="121"/>
      <c r="E420" s="27">
        <v>292004</v>
      </c>
      <c r="F420" s="121" t="s">
        <v>2838</v>
      </c>
      <c r="G420" s="121"/>
      <c r="H420" s="121"/>
      <c r="I420" s="121"/>
      <c r="J420" s="121"/>
      <c r="K420" s="27" t="str">
        <f t="shared" si="130"/>
        <v>1</v>
      </c>
      <c r="L420" s="27">
        <v>1</v>
      </c>
      <c r="M420" s="27" t="str">
        <f t="shared" si="131"/>
        <v>1</v>
      </c>
      <c r="N420" s="121" t="s">
        <v>301</v>
      </c>
      <c r="O420" s="121" t="s">
        <v>1823</v>
      </c>
      <c r="P420" s="27" t="str">
        <f t="shared" si="115"/>
        <v>1</v>
      </c>
      <c r="Q420" s="27" t="str">
        <f t="shared" si="116"/>
        <v>1</v>
      </c>
      <c r="R420" s="27" t="str">
        <f t="shared" si="117"/>
        <v>1</v>
      </c>
      <c r="S420" s="27" t="str">
        <f t="shared" si="118"/>
        <v>1</v>
      </c>
      <c r="T420" s="27" t="str">
        <f t="shared" si="119"/>
        <v>1</v>
      </c>
      <c r="U420" s="27" t="str">
        <f t="shared" si="120"/>
        <v>1</v>
      </c>
      <c r="V420" s="27" t="str">
        <f t="shared" si="121"/>
        <v>1</v>
      </c>
      <c r="W420" s="27"/>
      <c r="X420" s="27" t="str">
        <f t="shared" si="122"/>
        <v>0</v>
      </c>
      <c r="Y420" s="27" t="str">
        <f t="shared" si="123"/>
        <v>0</v>
      </c>
      <c r="Z420" s="27" t="str">
        <f t="shared" si="124"/>
        <v>0</v>
      </c>
      <c r="AA420" s="121"/>
      <c r="AB420" s="121"/>
      <c r="AC420" s="121"/>
      <c r="AD420" s="121"/>
      <c r="AE420" s="121" t="s">
        <v>51</v>
      </c>
      <c r="AF420" s="121"/>
      <c r="AG420" s="121"/>
      <c r="AH420" s="28" t="s">
        <v>261</v>
      </c>
      <c r="AI420" s="28" t="s">
        <v>113</v>
      </c>
      <c r="AJ420" s="28">
        <v>82250</v>
      </c>
      <c r="AK420" s="121" t="str">
        <f t="shared" si="129"/>
        <v>0</v>
      </c>
      <c r="AL420" s="123" t="str">
        <f t="shared" si="105"/>
        <v>14821/최종검사 관리/qc.insp/InspEntry4</v>
      </c>
      <c r="AM420" s="27"/>
      <c r="AN420" s="124"/>
      <c r="AO420" s="124" t="s">
        <v>1829</v>
      </c>
      <c r="AP420" s="124" t="s">
        <v>1829</v>
      </c>
      <c r="AQ420" s="124" t="s">
        <v>1829</v>
      </c>
      <c r="AR420" s="124" t="s">
        <v>1829</v>
      </c>
      <c r="AS420" s="124" t="s">
        <v>1829</v>
      </c>
      <c r="AT420" s="124" t="s">
        <v>1942</v>
      </c>
      <c r="AU420" s="124" t="str">
        <f t="shared" ref="AU420:AU483" si="133">IF(O420="","",AT420&amp;E420)</f>
        <v>Q292004</v>
      </c>
      <c r="AV420" s="124" t="s">
        <v>2892</v>
      </c>
      <c r="AW420" s="117" t="s">
        <v>2144</v>
      </c>
      <c r="AX420" s="138" t="str">
        <f t="shared" si="127"/>
        <v>delete from module_mst where pjt_id = '14821' and menu_id = '292004';</v>
      </c>
      <c r="AY420" s="31" t="str">
        <f>IF(C420&lt;&gt;"",CREATE_QUERY($D$1,C$2:AW$2,C420:AW420),"")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'292004', '최종검사 관리', '', '', '', '', '1', '1', '1', 'qc.insp', 'InspEntry4', '1', '1', '1', '1', '1', '1', '1', '', '0', '0', '0', '', '', '', '', 'N', '', '', '292000', '5', '82250', '0', '14821/최종검사 관리/qc.insp/InspEntry4', '', '', 'Y', 'Y', 'Y', 'Y', 'Y', 'Q', 'MES-TD3-565', '완제품 출고 전 최종적으로 실시하는 검사 실적을 등록 관리');</v>
      </c>
    </row>
    <row r="421" spans="1:51">
      <c r="A421" s="1">
        <v>160</v>
      </c>
      <c r="B421" s="121" t="str">
        <f t="shared" si="128"/>
        <v xml:space="preserve">        └ 출하검사 관리</v>
      </c>
      <c r="C421" s="27" t="str">
        <f t="shared" si="109"/>
        <v>14821</v>
      </c>
      <c r="D421" s="121"/>
      <c r="E421" s="27">
        <v>292005</v>
      </c>
      <c r="F421" s="121" t="s">
        <v>2839</v>
      </c>
      <c r="G421" s="121"/>
      <c r="H421" s="121"/>
      <c r="I421" s="121"/>
      <c r="J421" s="121"/>
      <c r="K421" s="27" t="str">
        <f t="shared" si="130"/>
        <v>1</v>
      </c>
      <c r="L421" s="27">
        <v>1</v>
      </c>
      <c r="M421" s="27" t="str">
        <f t="shared" si="131"/>
        <v>1</v>
      </c>
      <c r="N421" s="121" t="s">
        <v>301</v>
      </c>
      <c r="O421" s="121" t="s">
        <v>273</v>
      </c>
      <c r="P421" s="27" t="str">
        <f t="shared" si="115"/>
        <v>1</v>
      </c>
      <c r="Q421" s="27" t="str">
        <f t="shared" si="116"/>
        <v>1</v>
      </c>
      <c r="R421" s="27" t="str">
        <f t="shared" si="117"/>
        <v>1</v>
      </c>
      <c r="S421" s="27" t="str">
        <f t="shared" si="118"/>
        <v>1</v>
      </c>
      <c r="T421" s="27" t="str">
        <f t="shared" si="119"/>
        <v>1</v>
      </c>
      <c r="U421" s="27" t="str">
        <f t="shared" si="120"/>
        <v>1</v>
      </c>
      <c r="V421" s="27" t="str">
        <f t="shared" si="121"/>
        <v>1</v>
      </c>
      <c r="W421" s="27"/>
      <c r="X421" s="27" t="str">
        <f t="shared" si="122"/>
        <v>0</v>
      </c>
      <c r="Y421" s="27" t="str">
        <f t="shared" si="123"/>
        <v>0</v>
      </c>
      <c r="Z421" s="27" t="str">
        <f t="shared" si="124"/>
        <v>0</v>
      </c>
      <c r="AA421" s="121"/>
      <c r="AB421" s="121"/>
      <c r="AC421" s="121"/>
      <c r="AD421" s="121"/>
      <c r="AE421" s="121" t="s">
        <v>51</v>
      </c>
      <c r="AF421" s="121"/>
      <c r="AG421" s="121"/>
      <c r="AH421" s="28" t="s">
        <v>261</v>
      </c>
      <c r="AI421" s="28" t="s">
        <v>113</v>
      </c>
      <c r="AJ421" s="28">
        <v>82300</v>
      </c>
      <c r="AK421" s="121" t="str">
        <f t="shared" si="129"/>
        <v>0</v>
      </c>
      <c r="AL421" s="123" t="str">
        <f t="shared" si="105"/>
        <v>14821/출하검사 관리/qc.insp/InspEntry5</v>
      </c>
      <c r="AM421" s="27"/>
      <c r="AN421" s="124"/>
      <c r="AO421" s="124" t="s">
        <v>1829</v>
      </c>
      <c r="AP421" s="124" t="s">
        <v>1829</v>
      </c>
      <c r="AQ421" s="124" t="s">
        <v>1829</v>
      </c>
      <c r="AR421" s="124" t="s">
        <v>1829</v>
      </c>
      <c r="AS421" s="124" t="s">
        <v>1829</v>
      </c>
      <c r="AT421" s="124" t="s">
        <v>1942</v>
      </c>
      <c r="AU421" s="124" t="str">
        <f t="shared" si="133"/>
        <v>Q292005</v>
      </c>
      <c r="AV421" s="124" t="s">
        <v>2893</v>
      </c>
      <c r="AW421" s="117" t="s">
        <v>2146</v>
      </c>
      <c r="AX421" s="138" t="str">
        <f t="shared" si="127"/>
        <v>delete from module_mst where pjt_id = '14821' and menu_id = '292005';</v>
      </c>
      <c r="AY421" s="31" t="str">
        <f>IF(C421&lt;&gt;"",CREATE_QUERY($D$1,C$2:AW$2,C421:AW421),"")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'292005', '출하검사 관리', '', '', '', '', '1', '1', '1', 'qc.insp', 'InspEntry5', '1', '1', '1', '1', '1', '1', '1', '', '0', '0', '0', '', '', '', '', 'N', '', '', '292000', '5', '82300', '0', '14821/출하검사 관리/qc.insp/InspEntry5', '', '', 'Y', 'Y', 'Y', 'Y', 'Y', 'Q', 'MES-TD3-566', '출하 담당자의 검사 성적을 등록 관리');</v>
      </c>
    </row>
    <row r="422" spans="1:51">
      <c r="A422" s="1">
        <v>161</v>
      </c>
      <c r="B422" s="121" t="str">
        <f t="shared" si="128"/>
        <v xml:space="preserve">        └ 검사일보</v>
      </c>
      <c r="C422" s="27" t="str">
        <f t="shared" si="109"/>
        <v>14821</v>
      </c>
      <c r="D422" s="121"/>
      <c r="E422" s="27">
        <v>292006</v>
      </c>
      <c r="F422" s="121" t="s">
        <v>284</v>
      </c>
      <c r="G422" s="121"/>
      <c r="H422" s="121"/>
      <c r="I422" s="121"/>
      <c r="J422" s="121"/>
      <c r="K422" s="27" t="str">
        <f t="shared" si="130"/>
        <v>1</v>
      </c>
      <c r="L422" s="27">
        <v>1</v>
      </c>
      <c r="M422" s="27" t="str">
        <f t="shared" si="131"/>
        <v>1</v>
      </c>
      <c r="N422" s="121" t="s">
        <v>301</v>
      </c>
      <c r="O422" s="121" t="s">
        <v>396</v>
      </c>
      <c r="P422" s="27" t="str">
        <f t="shared" si="115"/>
        <v>1</v>
      </c>
      <c r="Q422" s="27" t="str">
        <f t="shared" si="116"/>
        <v>1</v>
      </c>
      <c r="R422" s="27" t="str">
        <f t="shared" si="117"/>
        <v>1</v>
      </c>
      <c r="S422" s="27" t="str">
        <f t="shared" si="118"/>
        <v>1</v>
      </c>
      <c r="T422" s="27" t="str">
        <f t="shared" si="119"/>
        <v>1</v>
      </c>
      <c r="U422" s="27" t="str">
        <f t="shared" si="120"/>
        <v>1</v>
      </c>
      <c r="V422" s="27" t="str">
        <f t="shared" si="121"/>
        <v>1</v>
      </c>
      <c r="W422" s="27"/>
      <c r="X422" s="27" t="str">
        <f t="shared" si="122"/>
        <v>0</v>
      </c>
      <c r="Y422" s="27" t="str">
        <f t="shared" si="123"/>
        <v>0</v>
      </c>
      <c r="Z422" s="27" t="str">
        <f t="shared" si="124"/>
        <v>0</v>
      </c>
      <c r="AA422" s="121"/>
      <c r="AB422" s="121"/>
      <c r="AC422" s="121"/>
      <c r="AD422" s="121"/>
      <c r="AE422" s="121" t="s">
        <v>51</v>
      </c>
      <c r="AF422" s="121"/>
      <c r="AG422" s="121"/>
      <c r="AH422" s="28" t="s">
        <v>261</v>
      </c>
      <c r="AI422" s="28" t="s">
        <v>113</v>
      </c>
      <c r="AJ422" s="28">
        <v>82350</v>
      </c>
      <c r="AK422" s="121" t="str">
        <f t="shared" si="129"/>
        <v>0</v>
      </c>
      <c r="AL422" s="123" t="str">
        <f t="shared" si="105"/>
        <v>14821/검사일보/qc.insp/InspReport</v>
      </c>
      <c r="AM422" s="27"/>
      <c r="AN422" s="124"/>
      <c r="AO422" s="124" t="s">
        <v>1829</v>
      </c>
      <c r="AP422" s="124" t="s">
        <v>1829</v>
      </c>
      <c r="AQ422" s="124" t="s">
        <v>1829</v>
      </c>
      <c r="AR422" s="124" t="s">
        <v>1829</v>
      </c>
      <c r="AS422" s="124" t="s">
        <v>1829</v>
      </c>
      <c r="AT422" s="124" t="s">
        <v>1942</v>
      </c>
      <c r="AU422" s="124" t="str">
        <f t="shared" si="133"/>
        <v>Q292006</v>
      </c>
      <c r="AV422" s="124" t="s">
        <v>2894</v>
      </c>
      <c r="AW422" s="117" t="s">
        <v>2148</v>
      </c>
      <c r="AX422" s="138" t="str">
        <f t="shared" si="127"/>
        <v>delete from module_mst where pjt_id = '14821' and menu_id = '292006';</v>
      </c>
      <c r="AY422" s="31" t="str">
        <f>IF(C422&lt;&gt;"",CREATE_QUERY($D$1,C$2:AW$2,C422:AW422),"")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'292006', '검사일보', '', '', '', '', '1', '1', '1', 'qc.insp', 'InspReport', '1', '1', '1', '1', '1', '1', '1', '', '0', '0', '0', '', '', '', '', 'N', '', '', '292000', '5', '82350', '0', '14821/검사일보/qc.insp/InspReport', '', '', 'Y', 'Y', 'Y', 'Y', 'Y', 'Q', 'MES-TD3-567', '검사 내용을 확인할 수 있는 검사일보를 조회');</v>
      </c>
    </row>
    <row r="423" spans="1:51">
      <c r="A423" s="1">
        <v>161</v>
      </c>
      <c r="B423" s="121" t="str">
        <f t="shared" si="128"/>
        <v xml:space="preserve">        └ 불량처리보고</v>
      </c>
      <c r="C423" s="27" t="str">
        <f t="shared" si="109"/>
        <v>14821</v>
      </c>
      <c r="D423" s="121"/>
      <c r="E423" s="27">
        <v>292008</v>
      </c>
      <c r="F423" s="121" t="s">
        <v>2345</v>
      </c>
      <c r="G423" s="121"/>
      <c r="H423" s="121"/>
      <c r="I423" s="121"/>
      <c r="J423" s="121"/>
      <c r="K423" s="27" t="str">
        <f t="shared" si="130"/>
        <v>1</v>
      </c>
      <c r="L423" s="27">
        <v>1</v>
      </c>
      <c r="M423" s="27" t="str">
        <f t="shared" si="131"/>
        <v>1</v>
      </c>
      <c r="N423" s="121" t="s">
        <v>301</v>
      </c>
      <c r="O423" s="121" t="s">
        <v>2346</v>
      </c>
      <c r="P423" s="27" t="str">
        <f t="shared" si="115"/>
        <v>1</v>
      </c>
      <c r="Q423" s="27" t="str">
        <f t="shared" si="116"/>
        <v>1</v>
      </c>
      <c r="R423" s="27" t="str">
        <f t="shared" si="117"/>
        <v>1</v>
      </c>
      <c r="S423" s="27" t="str">
        <f t="shared" si="118"/>
        <v>1</v>
      </c>
      <c r="T423" s="27" t="str">
        <f t="shared" si="119"/>
        <v>1</v>
      </c>
      <c r="U423" s="27" t="str">
        <f t="shared" si="120"/>
        <v>1</v>
      </c>
      <c r="V423" s="27" t="str">
        <f t="shared" si="121"/>
        <v>1</v>
      </c>
      <c r="W423" s="27"/>
      <c r="X423" s="27" t="str">
        <f t="shared" si="122"/>
        <v>0</v>
      </c>
      <c r="Y423" s="27" t="str">
        <f t="shared" si="123"/>
        <v>0</v>
      </c>
      <c r="Z423" s="27" t="str">
        <f t="shared" si="124"/>
        <v>0</v>
      </c>
      <c r="AA423" s="121"/>
      <c r="AB423" s="121"/>
      <c r="AC423" s="121"/>
      <c r="AD423" s="121"/>
      <c r="AE423" s="121" t="s">
        <v>51</v>
      </c>
      <c r="AF423" s="121"/>
      <c r="AG423" s="121"/>
      <c r="AH423" s="28" t="s">
        <v>261</v>
      </c>
      <c r="AI423" s="28" t="s">
        <v>113</v>
      </c>
      <c r="AJ423" s="28">
        <v>82450</v>
      </c>
      <c r="AK423" s="121" t="str">
        <f t="shared" si="129"/>
        <v>0</v>
      </c>
      <c r="AL423" s="123" t="str">
        <f t="shared" si="105"/>
        <v>14821/불량처리보고/qc.insp/InspEntry6</v>
      </c>
      <c r="AM423" s="27"/>
      <c r="AN423" s="124"/>
      <c r="AO423" s="124"/>
      <c r="AP423" s="124"/>
      <c r="AQ423" s="124" t="s">
        <v>1829</v>
      </c>
      <c r="AR423" s="124"/>
      <c r="AS423" s="124"/>
      <c r="AT423" s="124" t="s">
        <v>1942</v>
      </c>
      <c r="AU423" s="124" t="str">
        <f t="shared" si="133"/>
        <v>Q292008</v>
      </c>
      <c r="AV423" s="124" t="s">
        <v>2895</v>
      </c>
      <c r="AW423" s="117" t="s">
        <v>2347</v>
      </c>
      <c r="AX423" s="138" t="str">
        <f t="shared" si="127"/>
        <v>delete from module_mst where pjt_id = '14821' and menu_id = '292008';</v>
      </c>
      <c r="AY423" s="31" t="str">
        <f>IF(C423&lt;&gt;"",CREATE_QUERY($D$1,C$2:AW$2,C423:AW423),"")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'292008', '불량처리보고', '', '', '', '', '1', '1', '1', 'qc.insp', 'InspEntry6', '1', '1', '1', '1', '1', '1', '1', '', '0', '0', '0', '', '', '', '', 'N', '', '', '292000', '5', '82450', '0', '14821/불량처리보고/qc.insp/InspEntry6', '', '', '', '', 'Y', '', '', 'Q', 'MES-TD3-568', '불량 발생내역을 참조하여 불량품 처리 결과를 관리');</v>
      </c>
    </row>
    <row r="424" spans="1:51">
      <c r="A424" s="1">
        <v>161</v>
      </c>
      <c r="B424" s="121" t="str">
        <f t="shared" si="128"/>
        <v xml:space="preserve">        └ 검사 성적서</v>
      </c>
      <c r="C424" s="27" t="str">
        <f t="shared" si="109"/>
        <v>14821</v>
      </c>
      <c r="D424" s="121"/>
      <c r="E424" s="27">
        <v>292010</v>
      </c>
      <c r="F424" s="121" t="s">
        <v>2373</v>
      </c>
      <c r="G424" s="121"/>
      <c r="H424" s="121"/>
      <c r="I424" s="121"/>
      <c r="J424" s="121"/>
      <c r="K424" s="27" t="str">
        <f t="shared" si="130"/>
        <v>1</v>
      </c>
      <c r="L424" s="27">
        <v>1</v>
      </c>
      <c r="M424" s="27" t="str">
        <f t="shared" si="131"/>
        <v>1</v>
      </c>
      <c r="N424" s="121" t="s">
        <v>301</v>
      </c>
      <c r="O424" s="121" t="s">
        <v>2374</v>
      </c>
      <c r="P424" s="27" t="str">
        <f t="shared" si="115"/>
        <v>1</v>
      </c>
      <c r="Q424" s="27" t="str">
        <f t="shared" si="116"/>
        <v>1</v>
      </c>
      <c r="R424" s="27" t="str">
        <f t="shared" si="117"/>
        <v>1</v>
      </c>
      <c r="S424" s="27" t="str">
        <f t="shared" si="118"/>
        <v>1</v>
      </c>
      <c r="T424" s="27" t="str">
        <f t="shared" si="119"/>
        <v>1</v>
      </c>
      <c r="U424" s="27" t="str">
        <f t="shared" si="120"/>
        <v>1</v>
      </c>
      <c r="V424" s="27" t="str">
        <f t="shared" si="121"/>
        <v>1</v>
      </c>
      <c r="W424" s="27"/>
      <c r="X424" s="27" t="str">
        <f t="shared" si="122"/>
        <v>0</v>
      </c>
      <c r="Y424" s="27" t="str">
        <f t="shared" si="123"/>
        <v>0</v>
      </c>
      <c r="Z424" s="27" t="str">
        <f t="shared" si="124"/>
        <v>0</v>
      </c>
      <c r="AA424" s="121"/>
      <c r="AB424" s="121"/>
      <c r="AC424" s="121"/>
      <c r="AD424" s="121"/>
      <c r="AE424" s="121" t="s">
        <v>51</v>
      </c>
      <c r="AF424" s="121"/>
      <c r="AG424" s="121"/>
      <c r="AH424" s="28" t="s">
        <v>261</v>
      </c>
      <c r="AI424" s="28" t="s">
        <v>113</v>
      </c>
      <c r="AJ424" s="28">
        <v>82500</v>
      </c>
      <c r="AK424" s="121" t="str">
        <f t="shared" si="129"/>
        <v>0</v>
      </c>
      <c r="AL424" s="123" t="str">
        <f t="shared" si="105"/>
        <v>14821/검사 성적서/qc.insp/InspReport2</v>
      </c>
      <c r="AM424" s="27"/>
      <c r="AN424" s="124"/>
      <c r="AO424" s="124"/>
      <c r="AP424" s="124"/>
      <c r="AQ424" s="124" t="s">
        <v>1829</v>
      </c>
      <c r="AR424" s="124"/>
      <c r="AS424" s="124"/>
      <c r="AT424" s="124" t="s">
        <v>1942</v>
      </c>
      <c r="AU424" s="124" t="str">
        <f t="shared" si="133"/>
        <v>Q292010</v>
      </c>
      <c r="AV424" s="124" t="s">
        <v>2896</v>
      </c>
      <c r="AW424" s="117" t="s">
        <v>2375</v>
      </c>
      <c r="AX424" s="138" t="str">
        <f t="shared" si="127"/>
        <v>delete from module_mst where pjt_id = '14821' and menu_id = '292010';</v>
      </c>
      <c r="AY424" s="31" t="str">
        <f>IF(C424&lt;&gt;"",CREATE_QUERY($D$1,C$2:AW$2,C424:AW424),"")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'292010', '검사 성적서', '', '', '', '', '1', '1', '1', 'qc.insp', 'InspReport2', '1', '1', '1', '1', '1', '1', '1', '', '0', '0', '0', '', '', '', '', 'N', '', '', '292000', '5', '82500', '0', '14821/검사 성적서/qc.insp/InspReport2', '', '', '', '', 'Y', '', '', 'Q', 'MES-TD3-569', '오더별 검사 성적서 조회 및 발행');</v>
      </c>
    </row>
    <row r="425" spans="1:51">
      <c r="A425" s="1">
        <v>161</v>
      </c>
      <c r="B425" s="121" t="str">
        <f t="shared" si="128"/>
        <v xml:space="preserve">        └ (프로젝트)출하검사Ⅱ</v>
      </c>
      <c r="C425" s="27" t="str">
        <f>IF(F425="","","14821")</f>
        <v>14821</v>
      </c>
      <c r="D425" s="121"/>
      <c r="E425" s="27">
        <v>292007</v>
      </c>
      <c r="F425" s="121" t="s">
        <v>2291</v>
      </c>
      <c r="G425" s="121"/>
      <c r="H425" s="121"/>
      <c r="I425" s="121"/>
      <c r="J425" s="121"/>
      <c r="K425" s="27" t="str">
        <f t="shared" si="130"/>
        <v>1</v>
      </c>
      <c r="L425" s="27">
        <v>1</v>
      </c>
      <c r="M425" s="27" t="str">
        <f t="shared" si="131"/>
        <v>1</v>
      </c>
      <c r="N425" s="121" t="s">
        <v>301</v>
      </c>
      <c r="O425" s="121" t="s">
        <v>2292</v>
      </c>
      <c r="P425" s="27" t="str">
        <f t="shared" si="115"/>
        <v>1</v>
      </c>
      <c r="Q425" s="27" t="str">
        <f t="shared" si="116"/>
        <v>1</v>
      </c>
      <c r="R425" s="27" t="str">
        <f t="shared" si="117"/>
        <v>1</v>
      </c>
      <c r="S425" s="27" t="str">
        <f t="shared" si="118"/>
        <v>1</v>
      </c>
      <c r="T425" s="27" t="str">
        <f t="shared" si="119"/>
        <v>1</v>
      </c>
      <c r="U425" s="27" t="str">
        <f t="shared" si="120"/>
        <v>1</v>
      </c>
      <c r="V425" s="27" t="str">
        <f t="shared" si="121"/>
        <v>1</v>
      </c>
      <c r="W425" s="27"/>
      <c r="X425" s="27" t="str">
        <f t="shared" si="122"/>
        <v>0</v>
      </c>
      <c r="Y425" s="27" t="str">
        <f t="shared" si="123"/>
        <v>0</v>
      </c>
      <c r="Z425" s="27" t="str">
        <f t="shared" si="124"/>
        <v>0</v>
      </c>
      <c r="AA425" s="121"/>
      <c r="AB425" s="121"/>
      <c r="AC425" s="121"/>
      <c r="AD425" s="121"/>
      <c r="AE425" s="121" t="s">
        <v>51</v>
      </c>
      <c r="AF425" s="121"/>
      <c r="AG425" s="121"/>
      <c r="AH425" s="28" t="s">
        <v>261</v>
      </c>
      <c r="AI425" s="28" t="s">
        <v>113</v>
      </c>
      <c r="AJ425" s="28">
        <v>82400</v>
      </c>
      <c r="AK425" s="121" t="str">
        <f t="shared" si="129"/>
        <v>0</v>
      </c>
      <c r="AL425" s="123" t="str">
        <f>IF(C425="","",C425&amp;"/"&amp;F425&amp;"/"&amp;N425&amp;"/"&amp;O425)</f>
        <v>14821/출하검사Ⅱ/qc.insp/InspEntry51</v>
      </c>
      <c r="AM425" s="27" t="s">
        <v>1887</v>
      </c>
      <c r="AN425" s="124"/>
      <c r="AO425" s="124"/>
      <c r="AP425" s="124"/>
      <c r="AQ425" s="124" t="s">
        <v>1829</v>
      </c>
      <c r="AR425" s="124"/>
      <c r="AS425" s="124"/>
      <c r="AT425" s="124" t="s">
        <v>1942</v>
      </c>
      <c r="AU425" s="124" t="str">
        <f t="shared" si="133"/>
        <v>Q292007</v>
      </c>
      <c r="AV425" s="124" t="s">
        <v>2897</v>
      </c>
      <c r="AW425" s="117" t="s">
        <v>2293</v>
      </c>
      <c r="AX425" s="138" t="str">
        <f t="shared" si="127"/>
        <v>delete from module_mst where pjt_id = '14821' and menu_id = '292007';</v>
      </c>
      <c r="AY425" s="31" t="str">
        <f>IF(C425&lt;&gt;"",CREATE_QUERY($D$1,C$2:AW$2,C425:AW425),"")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'292007', '출하검사Ⅱ', '', '', '', '', '1', '1', '1', 'qc.insp', 'InspEntry51', '1', '1', '1', '1', '1', '1', '1', '', '0', '0', '0', '', '', '', '', 'N', '', '', '292000', '5', '82400', '0', '14821/출하검사Ⅱ/qc.insp/InspEntry51', '(프로젝트)', '', '', '', 'Y', '', '', 'Q', 'MES-TD3-570', '수주목록을 근거로 출하 검사 실시');</v>
      </c>
    </row>
    <row r="426" spans="1:51">
      <c r="A426" s="1">
        <v>157</v>
      </c>
      <c r="B426" s="121" t="str">
        <f t="shared" si="128"/>
        <v xml:space="preserve">        └ (출하)품질측정</v>
      </c>
      <c r="C426" s="27" t="str">
        <f t="shared" ref="C426:C442" si="134">IF(F426="","","14821")</f>
        <v>14821</v>
      </c>
      <c r="D426" s="121"/>
      <c r="E426" s="27">
        <v>292011</v>
      </c>
      <c r="F426" s="121" t="s">
        <v>2451</v>
      </c>
      <c r="G426" s="121"/>
      <c r="H426" s="121"/>
      <c r="I426" s="121"/>
      <c r="J426" s="121"/>
      <c r="K426" s="27" t="str">
        <f t="shared" si="130"/>
        <v>1</v>
      </c>
      <c r="L426" s="27">
        <v>1</v>
      </c>
      <c r="M426" s="27" t="str">
        <f t="shared" si="131"/>
        <v>1</v>
      </c>
      <c r="N426" s="121" t="s">
        <v>301</v>
      </c>
      <c r="O426" s="121" t="s">
        <v>2449</v>
      </c>
      <c r="P426" s="27" t="str">
        <f t="shared" si="115"/>
        <v>1</v>
      </c>
      <c r="Q426" s="27" t="str">
        <f t="shared" si="116"/>
        <v>1</v>
      </c>
      <c r="R426" s="27" t="str">
        <f t="shared" si="117"/>
        <v>1</v>
      </c>
      <c r="S426" s="27" t="str">
        <f t="shared" si="118"/>
        <v>1</v>
      </c>
      <c r="T426" s="27" t="str">
        <f t="shared" si="119"/>
        <v>1</v>
      </c>
      <c r="U426" s="27" t="str">
        <f t="shared" si="120"/>
        <v>1</v>
      </c>
      <c r="V426" s="27" t="str">
        <f t="shared" si="121"/>
        <v>1</v>
      </c>
      <c r="W426" s="27"/>
      <c r="X426" s="27" t="str">
        <f t="shared" si="122"/>
        <v>0</v>
      </c>
      <c r="Y426" s="27" t="str">
        <f t="shared" si="123"/>
        <v>0</v>
      </c>
      <c r="Z426" s="27" t="str">
        <f t="shared" si="124"/>
        <v>0</v>
      </c>
      <c r="AA426" s="121"/>
      <c r="AB426" s="121"/>
      <c r="AC426" s="121"/>
      <c r="AD426" s="121"/>
      <c r="AE426" s="121" t="s">
        <v>51</v>
      </c>
      <c r="AF426" s="121"/>
      <c r="AG426" s="121"/>
      <c r="AH426" s="28" t="s">
        <v>261</v>
      </c>
      <c r="AI426" s="28" t="s">
        <v>113</v>
      </c>
      <c r="AJ426" s="28">
        <v>82150</v>
      </c>
      <c r="AK426" s="121" t="str">
        <f t="shared" si="129"/>
        <v/>
      </c>
      <c r="AL426" s="123" t="str">
        <f t="shared" si="105"/>
        <v>14821/(출하)품질측정/qc.insp/InspEntry52</v>
      </c>
      <c r="AM426" s="27"/>
      <c r="AN426" s="124"/>
      <c r="AO426" s="124"/>
      <c r="AP426" s="124"/>
      <c r="AQ426" s="124"/>
      <c r="AR426" s="124"/>
      <c r="AS426" s="124"/>
      <c r="AT426" s="124" t="s">
        <v>1942</v>
      </c>
      <c r="AU426" s="124" t="str">
        <f t="shared" si="133"/>
        <v>Q292011</v>
      </c>
      <c r="AV426" s="124" t="s">
        <v>2898</v>
      </c>
      <c r="AW426" s="117" t="s">
        <v>2450</v>
      </c>
      <c r="AX426" s="138" t="str">
        <f t="shared" si="127"/>
        <v>delete from module_mst where pjt_id = '14821' and menu_id = '292011';</v>
      </c>
      <c r="AY426" s="31" t="str">
        <f>IF(C426&lt;&gt;"",CREATE_QUERY($D$1,C$2:AW$2,C426:AW426),"")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'292011', '(출하)품질측정', '', '', '', '', '1', '1', '1', 'qc.insp', 'InspEntry52', '1', '1', '1', '1', '1', '1', '1', '', '0', '0', '0', '', '', '', '', 'N', '', '', '292000', '5', '82150', '', '14821/(출하)품질측정/qc.insp/InspEntry52', '', '', '', '', '', '', '', 'Q', 'MES-TD3-571', 'for 대덕정밀 출하검사 입력(세부 측정치 등록)');</v>
      </c>
    </row>
    <row r="427" spans="1:51">
      <c r="A427" s="1">
        <v>157</v>
      </c>
      <c r="B427" s="121" t="str">
        <f t="shared" si="128"/>
        <v/>
      </c>
      <c r="C427" s="27" t="str">
        <f t="shared" si="134"/>
        <v/>
      </c>
      <c r="D427" s="121"/>
      <c r="E427" s="27">
        <v>292012</v>
      </c>
      <c r="F427" s="121"/>
      <c r="G427" s="121"/>
      <c r="H427" s="121"/>
      <c r="I427" s="121"/>
      <c r="J427" s="121"/>
      <c r="K427" s="27" t="str">
        <f t="shared" si="130"/>
        <v/>
      </c>
      <c r="L427" s="27">
        <v>1</v>
      </c>
      <c r="M427" s="27" t="str">
        <f t="shared" si="131"/>
        <v>0</v>
      </c>
      <c r="N427" s="121"/>
      <c r="O427" s="121"/>
      <c r="P427" s="27" t="str">
        <f t="shared" si="115"/>
        <v>0</v>
      </c>
      <c r="Q427" s="27" t="str">
        <f t="shared" si="116"/>
        <v>0</v>
      </c>
      <c r="R427" s="27" t="str">
        <f t="shared" si="117"/>
        <v>0</v>
      </c>
      <c r="S427" s="27" t="str">
        <f t="shared" si="118"/>
        <v>0</v>
      </c>
      <c r="T427" s="27" t="str">
        <f t="shared" si="119"/>
        <v>0</v>
      </c>
      <c r="U427" s="27" t="str">
        <f t="shared" si="120"/>
        <v>0</v>
      </c>
      <c r="V427" s="27" t="str">
        <f t="shared" si="121"/>
        <v>1</v>
      </c>
      <c r="W427" s="27"/>
      <c r="X427" s="27" t="str">
        <f t="shared" si="122"/>
        <v/>
      </c>
      <c r="Y427" s="27" t="str">
        <f t="shared" si="123"/>
        <v/>
      </c>
      <c r="Z427" s="27" t="str">
        <f t="shared" si="124"/>
        <v/>
      </c>
      <c r="AA427" s="121"/>
      <c r="AB427" s="121"/>
      <c r="AC427" s="121"/>
      <c r="AD427" s="121"/>
      <c r="AE427" s="121" t="s">
        <v>51</v>
      </c>
      <c r="AF427" s="121"/>
      <c r="AG427" s="121"/>
      <c r="AH427" s="28" t="s">
        <v>261</v>
      </c>
      <c r="AI427" s="28" t="s">
        <v>113</v>
      </c>
      <c r="AJ427" s="28">
        <v>82200</v>
      </c>
      <c r="AK427" s="121" t="str">
        <f t="shared" si="129"/>
        <v/>
      </c>
      <c r="AL427" s="123" t="str">
        <f t="shared" si="105"/>
        <v/>
      </c>
      <c r="AM427" s="27"/>
      <c r="AN427" s="124"/>
      <c r="AO427" s="124"/>
      <c r="AP427" s="124"/>
      <c r="AQ427" s="124"/>
      <c r="AR427" s="124"/>
      <c r="AS427" s="124"/>
      <c r="AT427" s="124" t="s">
        <v>1942</v>
      </c>
      <c r="AU427" s="124" t="str">
        <f t="shared" si="133"/>
        <v/>
      </c>
      <c r="AV427" s="124" t="s">
        <v>2899</v>
      </c>
      <c r="AW427" s="117"/>
      <c r="AX427" s="138" t="str">
        <f t="shared" si="127"/>
        <v/>
      </c>
      <c r="AY427" s="31" t="str">
        <f>IF(C427&lt;&gt;"",CREATE_QUERY($D$1,C$2:AW$2,C427:AW427),"")</f>
        <v/>
      </c>
    </row>
    <row r="428" spans="1:51">
      <c r="A428" s="1">
        <v>158</v>
      </c>
      <c r="B428" s="121" t="str">
        <f t="shared" si="128"/>
        <v/>
      </c>
      <c r="C428" s="27" t="str">
        <f t="shared" si="134"/>
        <v/>
      </c>
      <c r="D428" s="121"/>
      <c r="E428" s="27">
        <v>292013</v>
      </c>
      <c r="F428" s="121"/>
      <c r="G428" s="121"/>
      <c r="H428" s="121"/>
      <c r="I428" s="121"/>
      <c r="J428" s="121"/>
      <c r="K428" s="27" t="str">
        <f t="shared" si="130"/>
        <v/>
      </c>
      <c r="L428" s="27">
        <v>1</v>
      </c>
      <c r="M428" s="27" t="str">
        <f t="shared" si="131"/>
        <v>0</v>
      </c>
      <c r="N428" s="121"/>
      <c r="O428" s="121"/>
      <c r="P428" s="27" t="str">
        <f t="shared" si="115"/>
        <v>0</v>
      </c>
      <c r="Q428" s="27" t="str">
        <f t="shared" si="116"/>
        <v>0</v>
      </c>
      <c r="R428" s="27" t="str">
        <f t="shared" si="117"/>
        <v>0</v>
      </c>
      <c r="S428" s="27" t="str">
        <f t="shared" si="118"/>
        <v>0</v>
      </c>
      <c r="T428" s="27" t="str">
        <f t="shared" si="119"/>
        <v>0</v>
      </c>
      <c r="U428" s="27" t="str">
        <f t="shared" si="120"/>
        <v>0</v>
      </c>
      <c r="V428" s="27" t="str">
        <f t="shared" si="121"/>
        <v>1</v>
      </c>
      <c r="W428" s="27"/>
      <c r="X428" s="27" t="str">
        <f t="shared" si="122"/>
        <v/>
      </c>
      <c r="Y428" s="27" t="str">
        <f t="shared" si="123"/>
        <v/>
      </c>
      <c r="Z428" s="27" t="str">
        <f t="shared" si="124"/>
        <v/>
      </c>
      <c r="AA428" s="121"/>
      <c r="AB428" s="121"/>
      <c r="AC428" s="121"/>
      <c r="AD428" s="121"/>
      <c r="AE428" s="121" t="s">
        <v>51</v>
      </c>
      <c r="AF428" s="121"/>
      <c r="AG428" s="121"/>
      <c r="AH428" s="28" t="s">
        <v>261</v>
      </c>
      <c r="AI428" s="28" t="s">
        <v>113</v>
      </c>
      <c r="AJ428" s="28">
        <v>82100</v>
      </c>
      <c r="AK428" s="121" t="str">
        <f t="shared" si="129"/>
        <v/>
      </c>
      <c r="AL428" s="123" t="str">
        <f t="shared" si="105"/>
        <v/>
      </c>
      <c r="AM428" s="27"/>
      <c r="AN428" s="124"/>
      <c r="AO428" s="124"/>
      <c r="AP428" s="124"/>
      <c r="AQ428" s="124"/>
      <c r="AR428" s="124"/>
      <c r="AS428" s="124"/>
      <c r="AT428" s="124" t="s">
        <v>1942</v>
      </c>
      <c r="AU428" s="124" t="str">
        <f t="shared" si="133"/>
        <v/>
      </c>
      <c r="AV428" s="124" t="s">
        <v>2900</v>
      </c>
      <c r="AW428" s="117"/>
      <c r="AX428" s="138" t="str">
        <f t="shared" si="127"/>
        <v/>
      </c>
      <c r="AY428" s="31" t="str">
        <f>IF(C428&lt;&gt;"",CREATE_QUERY($D$1,C$2:AW$2,C428:AW428),"")</f>
        <v/>
      </c>
    </row>
    <row r="429" spans="1:51">
      <c r="A429" s="1">
        <v>160</v>
      </c>
      <c r="B429" s="121" t="str">
        <f t="shared" si="128"/>
        <v/>
      </c>
      <c r="C429" s="27" t="str">
        <f t="shared" si="134"/>
        <v/>
      </c>
      <c r="D429" s="121"/>
      <c r="E429" s="27">
        <v>292014</v>
      </c>
      <c r="F429" s="121"/>
      <c r="G429" s="121"/>
      <c r="H429" s="121"/>
      <c r="I429" s="121"/>
      <c r="J429" s="121"/>
      <c r="K429" s="27" t="str">
        <f t="shared" si="130"/>
        <v/>
      </c>
      <c r="L429" s="27">
        <v>1</v>
      </c>
      <c r="M429" s="27" t="str">
        <f t="shared" si="131"/>
        <v>0</v>
      </c>
      <c r="N429" s="121"/>
      <c r="O429" s="121"/>
      <c r="P429" s="27" t="str">
        <f t="shared" si="115"/>
        <v>0</v>
      </c>
      <c r="Q429" s="27" t="str">
        <f t="shared" si="116"/>
        <v>0</v>
      </c>
      <c r="R429" s="27" t="str">
        <f t="shared" si="117"/>
        <v>0</v>
      </c>
      <c r="S429" s="27" t="str">
        <f t="shared" si="118"/>
        <v>0</v>
      </c>
      <c r="T429" s="27" t="str">
        <f t="shared" si="119"/>
        <v>0</v>
      </c>
      <c r="U429" s="27" t="str">
        <f t="shared" si="120"/>
        <v>0</v>
      </c>
      <c r="V429" s="27" t="str">
        <f t="shared" si="121"/>
        <v>1</v>
      </c>
      <c r="W429" s="27"/>
      <c r="X429" s="27" t="str">
        <f t="shared" si="122"/>
        <v/>
      </c>
      <c r="Y429" s="27" t="str">
        <f t="shared" si="123"/>
        <v/>
      </c>
      <c r="Z429" s="27" t="str">
        <f t="shared" si="124"/>
        <v/>
      </c>
      <c r="AA429" s="121"/>
      <c r="AB429" s="121"/>
      <c r="AC429" s="121"/>
      <c r="AD429" s="121"/>
      <c r="AE429" s="121" t="s">
        <v>51</v>
      </c>
      <c r="AF429" s="121"/>
      <c r="AG429" s="121"/>
      <c r="AH429" s="28" t="s">
        <v>261</v>
      </c>
      <c r="AI429" s="28" t="s">
        <v>113</v>
      </c>
      <c r="AJ429" s="28">
        <v>82000</v>
      </c>
      <c r="AK429" s="121" t="str">
        <f t="shared" si="129"/>
        <v/>
      </c>
      <c r="AL429" s="123" t="str">
        <f t="shared" si="105"/>
        <v/>
      </c>
      <c r="AM429" s="27"/>
      <c r="AN429" s="124"/>
      <c r="AO429" s="124"/>
      <c r="AP429" s="124"/>
      <c r="AQ429" s="124"/>
      <c r="AR429" s="124"/>
      <c r="AS429" s="124"/>
      <c r="AT429" s="124" t="s">
        <v>1942</v>
      </c>
      <c r="AU429" s="124" t="str">
        <f t="shared" si="133"/>
        <v/>
      </c>
      <c r="AV429" s="124" t="s">
        <v>2901</v>
      </c>
      <c r="AW429" s="117"/>
      <c r="AX429" s="138" t="str">
        <f t="shared" si="127"/>
        <v/>
      </c>
      <c r="AY429" s="31" t="str">
        <f>IF(C429&lt;&gt;"",CREATE_QUERY($D$1,C$2:AW$2,C429:AW429),"")</f>
        <v/>
      </c>
    </row>
    <row r="430" spans="1:51">
      <c r="A430" s="1">
        <v>160</v>
      </c>
      <c r="B430" s="121" t="str">
        <f t="shared" si="128"/>
        <v/>
      </c>
      <c r="C430" s="27" t="str">
        <f t="shared" si="134"/>
        <v/>
      </c>
      <c r="D430" s="121"/>
      <c r="E430" s="27">
        <v>292015</v>
      </c>
      <c r="F430" s="121"/>
      <c r="G430" s="121"/>
      <c r="H430" s="121"/>
      <c r="I430" s="121"/>
      <c r="J430" s="121"/>
      <c r="K430" s="27" t="str">
        <f t="shared" si="130"/>
        <v/>
      </c>
      <c r="L430" s="27">
        <v>1</v>
      </c>
      <c r="M430" s="27" t="str">
        <f t="shared" si="131"/>
        <v>0</v>
      </c>
      <c r="N430" s="121"/>
      <c r="O430" s="121"/>
      <c r="P430" s="27" t="str">
        <f t="shared" si="115"/>
        <v>0</v>
      </c>
      <c r="Q430" s="27" t="str">
        <f t="shared" si="116"/>
        <v>0</v>
      </c>
      <c r="R430" s="27" t="str">
        <f t="shared" si="117"/>
        <v>0</v>
      </c>
      <c r="S430" s="27" t="str">
        <f t="shared" si="118"/>
        <v>0</v>
      </c>
      <c r="T430" s="27" t="str">
        <f t="shared" si="119"/>
        <v>0</v>
      </c>
      <c r="U430" s="27" t="str">
        <f t="shared" si="120"/>
        <v>0</v>
      </c>
      <c r="V430" s="27" t="str">
        <f t="shared" si="121"/>
        <v>1</v>
      </c>
      <c r="W430" s="27"/>
      <c r="X430" s="27" t="str">
        <f t="shared" si="122"/>
        <v/>
      </c>
      <c r="Y430" s="27" t="str">
        <f t="shared" si="123"/>
        <v/>
      </c>
      <c r="Z430" s="27" t="str">
        <f t="shared" si="124"/>
        <v/>
      </c>
      <c r="AA430" s="121"/>
      <c r="AB430" s="121"/>
      <c r="AC430" s="121"/>
      <c r="AD430" s="121"/>
      <c r="AE430" s="121" t="s">
        <v>51</v>
      </c>
      <c r="AF430" s="121"/>
      <c r="AG430" s="121"/>
      <c r="AH430" s="28" t="s">
        <v>261</v>
      </c>
      <c r="AI430" s="28" t="s">
        <v>113</v>
      </c>
      <c r="AJ430" s="28">
        <v>81900</v>
      </c>
      <c r="AK430" s="121" t="str">
        <f t="shared" si="129"/>
        <v/>
      </c>
      <c r="AL430" s="123" t="str">
        <f t="shared" si="105"/>
        <v/>
      </c>
      <c r="AM430" s="27"/>
      <c r="AN430" s="124"/>
      <c r="AO430" s="124"/>
      <c r="AP430" s="124"/>
      <c r="AQ430" s="124"/>
      <c r="AR430" s="124"/>
      <c r="AS430" s="124"/>
      <c r="AT430" s="124" t="s">
        <v>1942</v>
      </c>
      <c r="AU430" s="124" t="str">
        <f t="shared" si="133"/>
        <v/>
      </c>
      <c r="AV430" s="124" t="s">
        <v>2902</v>
      </c>
      <c r="AW430" s="117"/>
      <c r="AX430" s="138" t="str">
        <f t="shared" si="127"/>
        <v/>
      </c>
      <c r="AY430" s="31" t="str">
        <f>IF(C430&lt;&gt;"",CREATE_QUERY($D$1,C$2:AW$2,C430:AW430),"")</f>
        <v/>
      </c>
    </row>
    <row r="431" spans="1:51">
      <c r="A431" s="1">
        <v>161</v>
      </c>
      <c r="B431" s="121" t="str">
        <f t="shared" si="128"/>
        <v/>
      </c>
      <c r="C431" s="27" t="str">
        <f t="shared" si="134"/>
        <v/>
      </c>
      <c r="D431" s="121"/>
      <c r="E431" s="27">
        <v>292016</v>
      </c>
      <c r="F431" s="121"/>
      <c r="G431" s="121"/>
      <c r="H431" s="121"/>
      <c r="I431" s="121"/>
      <c r="J431" s="121"/>
      <c r="K431" s="27" t="str">
        <f t="shared" si="130"/>
        <v/>
      </c>
      <c r="L431" s="27">
        <v>1</v>
      </c>
      <c r="M431" s="27" t="str">
        <f t="shared" si="131"/>
        <v>0</v>
      </c>
      <c r="N431" s="121"/>
      <c r="O431" s="121"/>
      <c r="P431" s="27" t="str">
        <f t="shared" ref="P431:P507" si="135">IF(O431="","0","1")</f>
        <v>0</v>
      </c>
      <c r="Q431" s="27" t="str">
        <f t="shared" ref="Q431:Q507" si="136">IF(O431="","0","1")</f>
        <v>0</v>
      </c>
      <c r="R431" s="27" t="str">
        <f t="shared" ref="R431:R507" si="137">IF(O431="","0","1")</f>
        <v>0</v>
      </c>
      <c r="S431" s="27" t="str">
        <f t="shared" ref="S431:S507" si="138">IF(O431="","0","1")</f>
        <v>0</v>
      </c>
      <c r="T431" s="27" t="str">
        <f t="shared" ref="T431:T507" si="139">IF(O431="","0","1")</f>
        <v>0</v>
      </c>
      <c r="U431" s="27" t="str">
        <f t="shared" ref="U431:U507" si="140">IF(O431="","0","1")</f>
        <v>0</v>
      </c>
      <c r="V431" s="27" t="str">
        <f t="shared" ref="V431:V507" si="141">IF(O431="","1","1")</f>
        <v>1</v>
      </c>
      <c r="W431" s="27"/>
      <c r="X431" s="27" t="str">
        <f t="shared" ref="X431:X507" si="142">IF(O431="","","0")</f>
        <v/>
      </c>
      <c r="Y431" s="27" t="str">
        <f t="shared" ref="Y431:Y507" si="143">IF(O431="","","0")</f>
        <v/>
      </c>
      <c r="Z431" s="27" t="str">
        <f t="shared" ref="Z431:Z507" si="144">IF(O431="","","0")</f>
        <v/>
      </c>
      <c r="AA431" s="121"/>
      <c r="AB431" s="121"/>
      <c r="AC431" s="121"/>
      <c r="AD431" s="121"/>
      <c r="AE431" s="121" t="s">
        <v>51</v>
      </c>
      <c r="AF431" s="121"/>
      <c r="AG431" s="121"/>
      <c r="AH431" s="28" t="s">
        <v>261</v>
      </c>
      <c r="AI431" s="28" t="s">
        <v>113</v>
      </c>
      <c r="AJ431" s="28">
        <v>81800</v>
      </c>
      <c r="AK431" s="121" t="str">
        <f t="shared" si="129"/>
        <v/>
      </c>
      <c r="AL431" s="123" t="str">
        <f t="shared" si="105"/>
        <v/>
      </c>
      <c r="AM431" s="27"/>
      <c r="AN431" s="124"/>
      <c r="AO431" s="124"/>
      <c r="AP431" s="124"/>
      <c r="AQ431" s="124"/>
      <c r="AR431" s="124"/>
      <c r="AS431" s="124"/>
      <c r="AT431" s="124" t="s">
        <v>1942</v>
      </c>
      <c r="AU431" s="124" t="str">
        <f t="shared" si="133"/>
        <v/>
      </c>
      <c r="AV431" s="124" t="s">
        <v>2903</v>
      </c>
      <c r="AW431" s="117"/>
      <c r="AX431" s="138" t="str">
        <f t="shared" si="127"/>
        <v/>
      </c>
      <c r="AY431" s="31" t="str">
        <f>IF(C431&lt;&gt;"",CREATE_QUERY($D$1,C$2:AW$2,C431:AW431),"")</f>
        <v/>
      </c>
    </row>
    <row r="432" spans="1:51">
      <c r="A432" s="1">
        <v>161</v>
      </c>
      <c r="B432" s="121" t="str">
        <f t="shared" si="128"/>
        <v/>
      </c>
      <c r="C432" s="27" t="str">
        <f t="shared" si="134"/>
        <v/>
      </c>
      <c r="D432" s="121"/>
      <c r="E432" s="27">
        <v>292017</v>
      </c>
      <c r="F432" s="121"/>
      <c r="G432" s="121"/>
      <c r="H432" s="121"/>
      <c r="I432" s="121"/>
      <c r="J432" s="121"/>
      <c r="K432" s="27" t="str">
        <f t="shared" si="130"/>
        <v/>
      </c>
      <c r="L432" s="27">
        <v>1</v>
      </c>
      <c r="M432" s="27" t="str">
        <f t="shared" si="131"/>
        <v>0</v>
      </c>
      <c r="N432" s="121"/>
      <c r="O432" s="121"/>
      <c r="P432" s="27" t="str">
        <f t="shared" si="135"/>
        <v>0</v>
      </c>
      <c r="Q432" s="27" t="str">
        <f t="shared" si="136"/>
        <v>0</v>
      </c>
      <c r="R432" s="27" t="str">
        <f t="shared" si="137"/>
        <v>0</v>
      </c>
      <c r="S432" s="27" t="str">
        <f t="shared" si="138"/>
        <v>0</v>
      </c>
      <c r="T432" s="27" t="str">
        <f t="shared" si="139"/>
        <v>0</v>
      </c>
      <c r="U432" s="27" t="str">
        <f t="shared" si="140"/>
        <v>0</v>
      </c>
      <c r="V432" s="27" t="str">
        <f t="shared" si="141"/>
        <v>1</v>
      </c>
      <c r="W432" s="27"/>
      <c r="X432" s="27" t="str">
        <f t="shared" si="142"/>
        <v/>
      </c>
      <c r="Y432" s="27" t="str">
        <f t="shared" si="143"/>
        <v/>
      </c>
      <c r="Z432" s="27" t="str">
        <f t="shared" si="144"/>
        <v/>
      </c>
      <c r="AA432" s="121"/>
      <c r="AB432" s="121"/>
      <c r="AC432" s="121"/>
      <c r="AD432" s="121"/>
      <c r="AE432" s="121" t="s">
        <v>51</v>
      </c>
      <c r="AF432" s="121"/>
      <c r="AG432" s="121"/>
      <c r="AH432" s="28" t="s">
        <v>261</v>
      </c>
      <c r="AI432" s="28" t="s">
        <v>113</v>
      </c>
      <c r="AJ432" s="28">
        <v>81700</v>
      </c>
      <c r="AK432" s="121" t="str">
        <f t="shared" si="129"/>
        <v/>
      </c>
      <c r="AL432" s="123" t="str">
        <f t="shared" si="105"/>
        <v/>
      </c>
      <c r="AM432" s="27"/>
      <c r="AN432" s="124"/>
      <c r="AO432" s="124"/>
      <c r="AP432" s="124"/>
      <c r="AQ432" s="124"/>
      <c r="AR432" s="124"/>
      <c r="AS432" s="124"/>
      <c r="AT432" s="124" t="s">
        <v>1942</v>
      </c>
      <c r="AU432" s="124" t="str">
        <f t="shared" si="133"/>
        <v/>
      </c>
      <c r="AV432" s="124" t="s">
        <v>2904</v>
      </c>
      <c r="AW432" s="117"/>
      <c r="AX432" s="138" t="str">
        <f t="shared" si="127"/>
        <v/>
      </c>
      <c r="AY432" s="31" t="str">
        <f>IF(C432&lt;&gt;"",CREATE_QUERY($D$1,C$2:AW$2,C432:AW432),"")</f>
        <v/>
      </c>
    </row>
    <row r="433" spans="1:51">
      <c r="A433" s="1">
        <v>161</v>
      </c>
      <c r="B433" s="121" t="str">
        <f t="shared" si="128"/>
        <v/>
      </c>
      <c r="C433" s="27" t="str">
        <f t="shared" si="134"/>
        <v/>
      </c>
      <c r="D433" s="121"/>
      <c r="E433" s="27">
        <v>292018</v>
      </c>
      <c r="F433" s="121"/>
      <c r="G433" s="121"/>
      <c r="H433" s="121"/>
      <c r="I433" s="121"/>
      <c r="J433" s="121"/>
      <c r="K433" s="27" t="str">
        <f t="shared" si="130"/>
        <v/>
      </c>
      <c r="L433" s="27">
        <v>1</v>
      </c>
      <c r="M433" s="27" t="str">
        <f t="shared" si="131"/>
        <v>0</v>
      </c>
      <c r="N433" s="121"/>
      <c r="O433" s="121"/>
      <c r="P433" s="27" t="str">
        <f t="shared" si="135"/>
        <v>0</v>
      </c>
      <c r="Q433" s="27" t="str">
        <f t="shared" si="136"/>
        <v>0</v>
      </c>
      <c r="R433" s="27" t="str">
        <f t="shared" si="137"/>
        <v>0</v>
      </c>
      <c r="S433" s="27" t="str">
        <f t="shared" si="138"/>
        <v>0</v>
      </c>
      <c r="T433" s="27" t="str">
        <f t="shared" si="139"/>
        <v>0</v>
      </c>
      <c r="U433" s="27" t="str">
        <f t="shared" si="140"/>
        <v>0</v>
      </c>
      <c r="V433" s="27" t="str">
        <f t="shared" si="141"/>
        <v>1</v>
      </c>
      <c r="W433" s="27"/>
      <c r="X433" s="27" t="str">
        <f t="shared" si="142"/>
        <v/>
      </c>
      <c r="Y433" s="27" t="str">
        <f t="shared" si="143"/>
        <v/>
      </c>
      <c r="Z433" s="27" t="str">
        <f t="shared" si="144"/>
        <v/>
      </c>
      <c r="AA433" s="121"/>
      <c r="AB433" s="121"/>
      <c r="AC433" s="121"/>
      <c r="AD433" s="121"/>
      <c r="AE433" s="121" t="s">
        <v>51</v>
      </c>
      <c r="AF433" s="121"/>
      <c r="AG433" s="121"/>
      <c r="AH433" s="28" t="s">
        <v>261</v>
      </c>
      <c r="AI433" s="28" t="s">
        <v>113</v>
      </c>
      <c r="AJ433" s="28">
        <v>81600</v>
      </c>
      <c r="AK433" s="121" t="str">
        <f t="shared" si="129"/>
        <v/>
      </c>
      <c r="AL433" s="123" t="str">
        <f t="shared" si="105"/>
        <v/>
      </c>
      <c r="AM433" s="27"/>
      <c r="AN433" s="124"/>
      <c r="AO433" s="124"/>
      <c r="AP433" s="124"/>
      <c r="AQ433" s="124"/>
      <c r="AR433" s="124"/>
      <c r="AS433" s="124"/>
      <c r="AT433" s="124" t="s">
        <v>1942</v>
      </c>
      <c r="AU433" s="124" t="str">
        <f t="shared" si="133"/>
        <v/>
      </c>
      <c r="AV433" s="124" t="s">
        <v>2905</v>
      </c>
      <c r="AW433" s="117"/>
      <c r="AX433" s="138" t="str">
        <f t="shared" si="127"/>
        <v/>
      </c>
      <c r="AY433" s="31" t="str">
        <f>IF(C433&lt;&gt;"",CREATE_QUERY($D$1,C$2:AW$2,C433:AW433),"")</f>
        <v/>
      </c>
    </row>
    <row r="434" spans="1:51">
      <c r="A434" s="1">
        <v>161</v>
      </c>
      <c r="B434" s="121" t="str">
        <f t="shared" si="128"/>
        <v/>
      </c>
      <c r="C434" s="27" t="str">
        <f t="shared" si="134"/>
        <v/>
      </c>
      <c r="D434" s="121"/>
      <c r="E434" s="27">
        <v>292019</v>
      </c>
      <c r="F434" s="121"/>
      <c r="G434" s="121"/>
      <c r="H434" s="121"/>
      <c r="I434" s="121"/>
      <c r="J434" s="121"/>
      <c r="K434" s="27" t="str">
        <f t="shared" si="130"/>
        <v/>
      </c>
      <c r="L434" s="27">
        <v>1</v>
      </c>
      <c r="M434" s="27" t="str">
        <f t="shared" si="131"/>
        <v>0</v>
      </c>
      <c r="N434" s="121"/>
      <c r="O434" s="121"/>
      <c r="P434" s="27" t="str">
        <f t="shared" si="135"/>
        <v>0</v>
      </c>
      <c r="Q434" s="27" t="str">
        <f t="shared" si="136"/>
        <v>0</v>
      </c>
      <c r="R434" s="27" t="str">
        <f t="shared" si="137"/>
        <v>0</v>
      </c>
      <c r="S434" s="27" t="str">
        <f t="shared" si="138"/>
        <v>0</v>
      </c>
      <c r="T434" s="27" t="str">
        <f t="shared" si="139"/>
        <v>0</v>
      </c>
      <c r="U434" s="27" t="str">
        <f t="shared" si="140"/>
        <v>0</v>
      </c>
      <c r="V434" s="27" t="str">
        <f t="shared" si="141"/>
        <v>1</v>
      </c>
      <c r="W434" s="27"/>
      <c r="X434" s="27" t="str">
        <f t="shared" si="142"/>
        <v/>
      </c>
      <c r="Y434" s="27" t="str">
        <f t="shared" si="143"/>
        <v/>
      </c>
      <c r="Z434" s="27" t="str">
        <f t="shared" si="144"/>
        <v/>
      </c>
      <c r="AA434" s="121"/>
      <c r="AB434" s="121"/>
      <c r="AC434" s="121"/>
      <c r="AD434" s="121"/>
      <c r="AE434" s="121" t="s">
        <v>51</v>
      </c>
      <c r="AF434" s="121"/>
      <c r="AG434" s="121"/>
      <c r="AH434" s="28" t="s">
        <v>261</v>
      </c>
      <c r="AI434" s="28" t="s">
        <v>113</v>
      </c>
      <c r="AJ434" s="28">
        <v>81500</v>
      </c>
      <c r="AK434" s="121" t="str">
        <f>IF(B443="","","0")</f>
        <v/>
      </c>
      <c r="AL434" s="123" t="str">
        <f t="shared" si="105"/>
        <v/>
      </c>
      <c r="AM434" s="27"/>
      <c r="AN434" s="124"/>
      <c r="AO434" s="124"/>
      <c r="AP434" s="124"/>
      <c r="AQ434" s="124"/>
      <c r="AR434" s="124"/>
      <c r="AS434" s="124"/>
      <c r="AT434" s="124" t="s">
        <v>1942</v>
      </c>
      <c r="AU434" s="124" t="str">
        <f t="shared" si="133"/>
        <v/>
      </c>
      <c r="AV434" s="124" t="s">
        <v>2906</v>
      </c>
      <c r="AW434" s="117"/>
      <c r="AX434" s="138" t="str">
        <f t="shared" si="127"/>
        <v/>
      </c>
      <c r="AY434" s="31" t="str">
        <f>IF(C434&lt;&gt;"",CREATE_QUERY($D$1,C$2:AW$2,C434:AW434),"")</f>
        <v/>
      </c>
    </row>
    <row r="435" spans="1:51">
      <c r="A435" s="1">
        <v>157</v>
      </c>
      <c r="B435" s="121" t="str">
        <f t="shared" si="128"/>
        <v/>
      </c>
      <c r="C435" s="27" t="str">
        <f t="shared" si="134"/>
        <v/>
      </c>
      <c r="D435" s="121"/>
      <c r="E435" s="27">
        <v>292012</v>
      </c>
      <c r="F435" s="121"/>
      <c r="G435" s="121"/>
      <c r="H435" s="121"/>
      <c r="I435" s="121"/>
      <c r="J435" s="121"/>
      <c r="K435" s="27" t="str">
        <f t="shared" si="130"/>
        <v/>
      </c>
      <c r="L435" s="27">
        <v>1</v>
      </c>
      <c r="M435" s="27" t="str">
        <f t="shared" si="131"/>
        <v>0</v>
      </c>
      <c r="N435" s="121"/>
      <c r="O435" s="121"/>
      <c r="P435" s="27" t="str">
        <f t="shared" si="135"/>
        <v>0</v>
      </c>
      <c r="Q435" s="27" t="str">
        <f t="shared" si="136"/>
        <v>0</v>
      </c>
      <c r="R435" s="27" t="str">
        <f t="shared" si="137"/>
        <v>0</v>
      </c>
      <c r="S435" s="27" t="str">
        <f t="shared" si="138"/>
        <v>0</v>
      </c>
      <c r="T435" s="27" t="str">
        <f t="shared" si="139"/>
        <v>0</v>
      </c>
      <c r="U435" s="27" t="str">
        <f t="shared" si="140"/>
        <v>0</v>
      </c>
      <c r="V435" s="27" t="str">
        <f t="shared" si="141"/>
        <v>1</v>
      </c>
      <c r="W435" s="27"/>
      <c r="X435" s="27" t="str">
        <f t="shared" si="142"/>
        <v/>
      </c>
      <c r="Y435" s="27" t="str">
        <f t="shared" si="143"/>
        <v/>
      </c>
      <c r="Z435" s="27" t="str">
        <f t="shared" si="144"/>
        <v/>
      </c>
      <c r="AA435" s="121"/>
      <c r="AB435" s="121"/>
      <c r="AC435" s="121"/>
      <c r="AD435" s="121"/>
      <c r="AE435" s="121" t="s">
        <v>51</v>
      </c>
      <c r="AF435" s="121"/>
      <c r="AG435" s="121"/>
      <c r="AH435" s="28" t="s">
        <v>261</v>
      </c>
      <c r="AI435" s="28" t="s">
        <v>113</v>
      </c>
      <c r="AJ435" s="28">
        <v>81400</v>
      </c>
      <c r="AK435" s="121" t="str">
        <f t="shared" ref="AK435:AK441" si="145">IF(B436="","","0")</f>
        <v/>
      </c>
      <c r="AL435" s="123" t="str">
        <f t="shared" si="105"/>
        <v/>
      </c>
      <c r="AM435" s="27"/>
      <c r="AN435" s="124"/>
      <c r="AO435" s="124"/>
      <c r="AP435" s="124"/>
      <c r="AQ435" s="124"/>
      <c r="AR435" s="124"/>
      <c r="AS435" s="124"/>
      <c r="AT435" s="124" t="s">
        <v>1942</v>
      </c>
      <c r="AU435" s="124" t="str">
        <f t="shared" si="133"/>
        <v/>
      </c>
      <c r="AV435" s="124" t="s">
        <v>2907</v>
      </c>
      <c r="AW435" s="117"/>
      <c r="AX435" s="138" t="str">
        <f t="shared" si="127"/>
        <v/>
      </c>
      <c r="AY435" s="31" t="str">
        <f>IF(C435&lt;&gt;"",CREATE_QUERY($D$1,C$2:AW$2,C435:AW435),"")</f>
        <v/>
      </c>
    </row>
    <row r="436" spans="1:51">
      <c r="A436" s="1">
        <v>158</v>
      </c>
      <c r="B436" s="121" t="str">
        <f t="shared" si="128"/>
        <v/>
      </c>
      <c r="C436" s="27" t="str">
        <f t="shared" si="134"/>
        <v/>
      </c>
      <c r="D436" s="121"/>
      <c r="E436" s="27">
        <v>292013</v>
      </c>
      <c r="F436" s="121"/>
      <c r="G436" s="121"/>
      <c r="H436" s="121"/>
      <c r="I436" s="121"/>
      <c r="J436" s="121"/>
      <c r="K436" s="27" t="str">
        <f t="shared" si="130"/>
        <v/>
      </c>
      <c r="L436" s="27">
        <v>1</v>
      </c>
      <c r="M436" s="27" t="str">
        <f t="shared" si="131"/>
        <v>0</v>
      </c>
      <c r="N436" s="121"/>
      <c r="O436" s="121"/>
      <c r="P436" s="27" t="str">
        <f t="shared" si="135"/>
        <v>0</v>
      </c>
      <c r="Q436" s="27" t="str">
        <f t="shared" si="136"/>
        <v>0</v>
      </c>
      <c r="R436" s="27" t="str">
        <f t="shared" si="137"/>
        <v>0</v>
      </c>
      <c r="S436" s="27" t="str">
        <f t="shared" si="138"/>
        <v>0</v>
      </c>
      <c r="T436" s="27" t="str">
        <f t="shared" si="139"/>
        <v>0</v>
      </c>
      <c r="U436" s="27" t="str">
        <f t="shared" si="140"/>
        <v>0</v>
      </c>
      <c r="V436" s="27" t="str">
        <f t="shared" si="141"/>
        <v>1</v>
      </c>
      <c r="W436" s="27"/>
      <c r="X436" s="27" t="str">
        <f t="shared" si="142"/>
        <v/>
      </c>
      <c r="Y436" s="27" t="str">
        <f t="shared" si="143"/>
        <v/>
      </c>
      <c r="Z436" s="27" t="str">
        <f t="shared" si="144"/>
        <v/>
      </c>
      <c r="AA436" s="121"/>
      <c r="AB436" s="121"/>
      <c r="AC436" s="121"/>
      <c r="AD436" s="121"/>
      <c r="AE436" s="121" t="s">
        <v>51</v>
      </c>
      <c r="AF436" s="121"/>
      <c r="AG436" s="121"/>
      <c r="AH436" s="28" t="s">
        <v>261</v>
      </c>
      <c r="AI436" s="28" t="s">
        <v>113</v>
      </c>
      <c r="AJ436" s="28">
        <v>81300</v>
      </c>
      <c r="AK436" s="121" t="str">
        <f t="shared" si="145"/>
        <v/>
      </c>
      <c r="AL436" s="123" t="str">
        <f t="shared" si="105"/>
        <v/>
      </c>
      <c r="AM436" s="27"/>
      <c r="AN436" s="124"/>
      <c r="AO436" s="124"/>
      <c r="AP436" s="124"/>
      <c r="AQ436" s="124"/>
      <c r="AR436" s="124"/>
      <c r="AS436" s="124"/>
      <c r="AT436" s="124" t="s">
        <v>1942</v>
      </c>
      <c r="AU436" s="124" t="str">
        <f t="shared" si="133"/>
        <v/>
      </c>
      <c r="AV436" s="124" t="s">
        <v>2908</v>
      </c>
      <c r="AW436" s="117"/>
      <c r="AX436" s="138" t="str">
        <f t="shared" si="127"/>
        <v/>
      </c>
      <c r="AY436" s="31" t="str">
        <f>IF(C436&lt;&gt;"",CREATE_QUERY($D$1,C$2:AW$2,C436:AW436),"")</f>
        <v/>
      </c>
    </row>
    <row r="437" spans="1:51">
      <c r="A437" s="1">
        <v>160</v>
      </c>
      <c r="B437" s="121" t="str">
        <f t="shared" si="128"/>
        <v/>
      </c>
      <c r="C437" s="27" t="str">
        <f t="shared" si="134"/>
        <v/>
      </c>
      <c r="D437" s="121"/>
      <c r="E437" s="27">
        <v>292014</v>
      </c>
      <c r="F437" s="121"/>
      <c r="G437" s="121"/>
      <c r="H437" s="121"/>
      <c r="I437" s="121"/>
      <c r="J437" s="121"/>
      <c r="K437" s="27" t="str">
        <f t="shared" si="130"/>
        <v/>
      </c>
      <c r="L437" s="27">
        <v>1</v>
      </c>
      <c r="M437" s="27" t="str">
        <f t="shared" si="131"/>
        <v>0</v>
      </c>
      <c r="N437" s="121"/>
      <c r="O437" s="121"/>
      <c r="P437" s="27" t="str">
        <f t="shared" si="135"/>
        <v>0</v>
      </c>
      <c r="Q437" s="27" t="str">
        <f t="shared" si="136"/>
        <v>0</v>
      </c>
      <c r="R437" s="27" t="str">
        <f t="shared" si="137"/>
        <v>0</v>
      </c>
      <c r="S437" s="27" t="str">
        <f t="shared" si="138"/>
        <v>0</v>
      </c>
      <c r="T437" s="27" t="str">
        <f t="shared" si="139"/>
        <v>0</v>
      </c>
      <c r="U437" s="27" t="str">
        <f t="shared" si="140"/>
        <v>0</v>
      </c>
      <c r="V437" s="27" t="str">
        <f t="shared" si="141"/>
        <v>1</v>
      </c>
      <c r="W437" s="27"/>
      <c r="X437" s="27" t="str">
        <f t="shared" si="142"/>
        <v/>
      </c>
      <c r="Y437" s="27" t="str">
        <f t="shared" si="143"/>
        <v/>
      </c>
      <c r="Z437" s="27" t="str">
        <f t="shared" si="144"/>
        <v/>
      </c>
      <c r="AA437" s="121"/>
      <c r="AB437" s="121"/>
      <c r="AC437" s="121"/>
      <c r="AD437" s="121"/>
      <c r="AE437" s="121" t="s">
        <v>51</v>
      </c>
      <c r="AF437" s="121"/>
      <c r="AG437" s="121"/>
      <c r="AH437" s="28" t="s">
        <v>261</v>
      </c>
      <c r="AI437" s="28" t="s">
        <v>113</v>
      </c>
      <c r="AJ437" s="28">
        <v>81200</v>
      </c>
      <c r="AK437" s="121" t="str">
        <f t="shared" si="145"/>
        <v/>
      </c>
      <c r="AL437" s="123" t="str">
        <f t="shared" si="105"/>
        <v/>
      </c>
      <c r="AM437" s="27"/>
      <c r="AN437" s="124"/>
      <c r="AO437" s="124"/>
      <c r="AP437" s="124"/>
      <c r="AQ437" s="124"/>
      <c r="AR437" s="124"/>
      <c r="AS437" s="124"/>
      <c r="AT437" s="124" t="s">
        <v>1942</v>
      </c>
      <c r="AU437" s="124" t="str">
        <f t="shared" si="133"/>
        <v/>
      </c>
      <c r="AV437" s="124" t="s">
        <v>2909</v>
      </c>
      <c r="AW437" s="117"/>
      <c r="AX437" s="138" t="str">
        <f t="shared" si="127"/>
        <v/>
      </c>
      <c r="AY437" s="31" t="str">
        <f>IF(C437&lt;&gt;"",CREATE_QUERY($D$1,C$2:AW$2,C437:AW437),"")</f>
        <v/>
      </c>
    </row>
    <row r="438" spans="1:51">
      <c r="A438" s="1">
        <v>160</v>
      </c>
      <c r="B438" s="121" t="str">
        <f t="shared" si="128"/>
        <v/>
      </c>
      <c r="C438" s="27" t="str">
        <f t="shared" si="134"/>
        <v/>
      </c>
      <c r="D438" s="121"/>
      <c r="E438" s="27">
        <v>292015</v>
      </c>
      <c r="F438" s="121"/>
      <c r="G438" s="121"/>
      <c r="H438" s="121"/>
      <c r="I438" s="121"/>
      <c r="J438" s="121"/>
      <c r="K438" s="27" t="str">
        <f t="shared" si="130"/>
        <v/>
      </c>
      <c r="L438" s="27">
        <v>1</v>
      </c>
      <c r="M438" s="27" t="str">
        <f t="shared" si="131"/>
        <v>0</v>
      </c>
      <c r="N438" s="121"/>
      <c r="O438" s="121"/>
      <c r="P438" s="27" t="str">
        <f t="shared" si="135"/>
        <v>0</v>
      </c>
      <c r="Q438" s="27" t="str">
        <f t="shared" si="136"/>
        <v>0</v>
      </c>
      <c r="R438" s="27" t="str">
        <f t="shared" si="137"/>
        <v>0</v>
      </c>
      <c r="S438" s="27" t="str">
        <f t="shared" si="138"/>
        <v>0</v>
      </c>
      <c r="T438" s="27" t="str">
        <f t="shared" si="139"/>
        <v>0</v>
      </c>
      <c r="U438" s="27" t="str">
        <f t="shared" si="140"/>
        <v>0</v>
      </c>
      <c r="V438" s="27" t="str">
        <f t="shared" si="141"/>
        <v>1</v>
      </c>
      <c r="W438" s="27"/>
      <c r="X438" s="27" t="str">
        <f t="shared" si="142"/>
        <v/>
      </c>
      <c r="Y438" s="27" t="str">
        <f t="shared" si="143"/>
        <v/>
      </c>
      <c r="Z438" s="27" t="str">
        <f t="shared" si="144"/>
        <v/>
      </c>
      <c r="AA438" s="121"/>
      <c r="AB438" s="121"/>
      <c r="AC438" s="121"/>
      <c r="AD438" s="121"/>
      <c r="AE438" s="121" t="s">
        <v>51</v>
      </c>
      <c r="AF438" s="121"/>
      <c r="AG438" s="121"/>
      <c r="AH438" s="28" t="s">
        <v>261</v>
      </c>
      <c r="AI438" s="28" t="s">
        <v>113</v>
      </c>
      <c r="AJ438" s="28">
        <v>81100</v>
      </c>
      <c r="AK438" s="121" t="str">
        <f t="shared" si="145"/>
        <v/>
      </c>
      <c r="AL438" s="123" t="str">
        <f t="shared" si="105"/>
        <v/>
      </c>
      <c r="AM438" s="27"/>
      <c r="AN438" s="124"/>
      <c r="AO438" s="124"/>
      <c r="AP438" s="124"/>
      <c r="AQ438" s="124"/>
      <c r="AR438" s="124"/>
      <c r="AS438" s="124"/>
      <c r="AT438" s="124" t="s">
        <v>1942</v>
      </c>
      <c r="AU438" s="124" t="str">
        <f t="shared" si="133"/>
        <v/>
      </c>
      <c r="AV438" s="124" t="s">
        <v>2910</v>
      </c>
      <c r="AW438" s="117"/>
      <c r="AX438" s="138" t="str">
        <f t="shared" si="127"/>
        <v/>
      </c>
      <c r="AY438" s="31" t="str">
        <f>IF(C438&lt;&gt;"",CREATE_QUERY($D$1,C$2:AW$2,C438:AW438),"")</f>
        <v/>
      </c>
    </row>
    <row r="439" spans="1:51">
      <c r="A439" s="1">
        <v>161</v>
      </c>
      <c r="B439" s="121" t="str">
        <f t="shared" si="128"/>
        <v/>
      </c>
      <c r="C439" s="27" t="str">
        <f t="shared" si="134"/>
        <v/>
      </c>
      <c r="D439" s="121"/>
      <c r="E439" s="27">
        <v>292016</v>
      </c>
      <c r="F439" s="121"/>
      <c r="G439" s="121"/>
      <c r="H439" s="121"/>
      <c r="I439" s="121"/>
      <c r="J439" s="121"/>
      <c r="K439" s="27" t="str">
        <f t="shared" si="130"/>
        <v/>
      </c>
      <c r="L439" s="27">
        <v>1</v>
      </c>
      <c r="M439" s="27" t="str">
        <f t="shared" si="131"/>
        <v>0</v>
      </c>
      <c r="N439" s="121"/>
      <c r="O439" s="121"/>
      <c r="P439" s="27" t="str">
        <f t="shared" si="135"/>
        <v>0</v>
      </c>
      <c r="Q439" s="27" t="str">
        <f t="shared" si="136"/>
        <v>0</v>
      </c>
      <c r="R439" s="27" t="str">
        <f t="shared" si="137"/>
        <v>0</v>
      </c>
      <c r="S439" s="27" t="str">
        <f t="shared" si="138"/>
        <v>0</v>
      </c>
      <c r="T439" s="27" t="str">
        <f t="shared" si="139"/>
        <v>0</v>
      </c>
      <c r="U439" s="27" t="str">
        <f t="shared" si="140"/>
        <v>0</v>
      </c>
      <c r="V439" s="27" t="str">
        <f t="shared" si="141"/>
        <v>1</v>
      </c>
      <c r="W439" s="27"/>
      <c r="X439" s="27" t="str">
        <f t="shared" si="142"/>
        <v/>
      </c>
      <c r="Y439" s="27" t="str">
        <f t="shared" si="143"/>
        <v/>
      </c>
      <c r="Z439" s="27" t="str">
        <f t="shared" si="144"/>
        <v/>
      </c>
      <c r="AA439" s="121"/>
      <c r="AB439" s="121"/>
      <c r="AC439" s="121"/>
      <c r="AD439" s="121"/>
      <c r="AE439" s="121" t="s">
        <v>51</v>
      </c>
      <c r="AF439" s="121"/>
      <c r="AG439" s="121"/>
      <c r="AH439" s="28" t="s">
        <v>261</v>
      </c>
      <c r="AI439" s="28" t="s">
        <v>113</v>
      </c>
      <c r="AJ439" s="28">
        <v>81000</v>
      </c>
      <c r="AK439" s="121" t="str">
        <f t="shared" si="145"/>
        <v/>
      </c>
      <c r="AL439" s="123" t="str">
        <f t="shared" si="105"/>
        <v/>
      </c>
      <c r="AM439" s="27"/>
      <c r="AN439" s="124"/>
      <c r="AO439" s="124"/>
      <c r="AP439" s="124"/>
      <c r="AQ439" s="124"/>
      <c r="AR439" s="124"/>
      <c r="AS439" s="124"/>
      <c r="AT439" s="124" t="s">
        <v>1942</v>
      </c>
      <c r="AU439" s="124" t="str">
        <f t="shared" si="133"/>
        <v/>
      </c>
      <c r="AV439" s="124" t="s">
        <v>2911</v>
      </c>
      <c r="AW439" s="117"/>
      <c r="AX439" s="138" t="str">
        <f t="shared" si="127"/>
        <v/>
      </c>
      <c r="AY439" s="31" t="str">
        <f>IF(C439&lt;&gt;"",CREATE_QUERY($D$1,C$2:AW$2,C439:AW439),"")</f>
        <v/>
      </c>
    </row>
    <row r="440" spans="1:51">
      <c r="A440" s="1">
        <v>161</v>
      </c>
      <c r="B440" s="121" t="str">
        <f t="shared" si="128"/>
        <v/>
      </c>
      <c r="C440" s="27" t="str">
        <f t="shared" si="134"/>
        <v/>
      </c>
      <c r="D440" s="121"/>
      <c r="E440" s="27">
        <v>292017</v>
      </c>
      <c r="F440" s="121"/>
      <c r="G440" s="121"/>
      <c r="H440" s="121"/>
      <c r="I440" s="121"/>
      <c r="J440" s="121"/>
      <c r="K440" s="27" t="str">
        <f t="shared" si="130"/>
        <v/>
      </c>
      <c r="L440" s="27">
        <v>1</v>
      </c>
      <c r="M440" s="27" t="str">
        <f t="shared" si="131"/>
        <v>0</v>
      </c>
      <c r="N440" s="121"/>
      <c r="O440" s="121"/>
      <c r="P440" s="27" t="str">
        <f t="shared" si="135"/>
        <v>0</v>
      </c>
      <c r="Q440" s="27" t="str">
        <f t="shared" si="136"/>
        <v>0</v>
      </c>
      <c r="R440" s="27" t="str">
        <f t="shared" si="137"/>
        <v>0</v>
      </c>
      <c r="S440" s="27" t="str">
        <f t="shared" si="138"/>
        <v>0</v>
      </c>
      <c r="T440" s="27" t="str">
        <f t="shared" si="139"/>
        <v>0</v>
      </c>
      <c r="U440" s="27" t="str">
        <f t="shared" si="140"/>
        <v>0</v>
      </c>
      <c r="V440" s="27" t="str">
        <f t="shared" si="141"/>
        <v>1</v>
      </c>
      <c r="W440" s="27"/>
      <c r="X440" s="27" t="str">
        <f t="shared" si="142"/>
        <v/>
      </c>
      <c r="Y440" s="27" t="str">
        <f t="shared" si="143"/>
        <v/>
      </c>
      <c r="Z440" s="27" t="str">
        <f t="shared" si="144"/>
        <v/>
      </c>
      <c r="AA440" s="121"/>
      <c r="AB440" s="121"/>
      <c r="AC440" s="121"/>
      <c r="AD440" s="121"/>
      <c r="AE440" s="121" t="s">
        <v>51</v>
      </c>
      <c r="AF440" s="121"/>
      <c r="AG440" s="121"/>
      <c r="AH440" s="28" t="s">
        <v>261</v>
      </c>
      <c r="AI440" s="28" t="s">
        <v>113</v>
      </c>
      <c r="AJ440" s="28">
        <v>80900</v>
      </c>
      <c r="AK440" s="121" t="str">
        <f t="shared" si="145"/>
        <v/>
      </c>
      <c r="AL440" s="123" t="str">
        <f t="shared" si="105"/>
        <v/>
      </c>
      <c r="AM440" s="27"/>
      <c r="AN440" s="124"/>
      <c r="AO440" s="124"/>
      <c r="AP440" s="124"/>
      <c r="AQ440" s="124"/>
      <c r="AR440" s="124"/>
      <c r="AS440" s="124"/>
      <c r="AT440" s="124" t="s">
        <v>1942</v>
      </c>
      <c r="AU440" s="124" t="str">
        <f t="shared" si="133"/>
        <v/>
      </c>
      <c r="AV440" s="124" t="s">
        <v>2912</v>
      </c>
      <c r="AW440" s="117"/>
      <c r="AX440" s="138" t="str">
        <f t="shared" si="127"/>
        <v/>
      </c>
      <c r="AY440" s="31" t="str">
        <f>IF(C440&lt;&gt;"",CREATE_QUERY($D$1,C$2:AW$2,C440:AW440),"")</f>
        <v/>
      </c>
    </row>
    <row r="441" spans="1:51">
      <c r="A441" s="1">
        <v>161</v>
      </c>
      <c r="B441" s="121" t="str">
        <f t="shared" si="128"/>
        <v/>
      </c>
      <c r="C441" s="27" t="str">
        <f t="shared" si="134"/>
        <v/>
      </c>
      <c r="D441" s="121"/>
      <c r="E441" s="27">
        <v>292018</v>
      </c>
      <c r="F441" s="121"/>
      <c r="G441" s="121"/>
      <c r="H441" s="121"/>
      <c r="I441" s="121"/>
      <c r="J441" s="121"/>
      <c r="K441" s="27" t="str">
        <f t="shared" si="130"/>
        <v/>
      </c>
      <c r="L441" s="27">
        <v>1</v>
      </c>
      <c r="M441" s="27" t="str">
        <f t="shared" si="131"/>
        <v>0</v>
      </c>
      <c r="N441" s="121"/>
      <c r="O441" s="121"/>
      <c r="P441" s="27" t="str">
        <f t="shared" si="135"/>
        <v>0</v>
      </c>
      <c r="Q441" s="27" t="str">
        <f t="shared" si="136"/>
        <v>0</v>
      </c>
      <c r="R441" s="27" t="str">
        <f t="shared" si="137"/>
        <v>0</v>
      </c>
      <c r="S441" s="27" t="str">
        <f t="shared" si="138"/>
        <v>0</v>
      </c>
      <c r="T441" s="27" t="str">
        <f t="shared" si="139"/>
        <v>0</v>
      </c>
      <c r="U441" s="27" t="str">
        <f t="shared" si="140"/>
        <v>0</v>
      </c>
      <c r="V441" s="27" t="str">
        <f t="shared" si="141"/>
        <v>1</v>
      </c>
      <c r="W441" s="27"/>
      <c r="X441" s="27" t="str">
        <f t="shared" si="142"/>
        <v/>
      </c>
      <c r="Y441" s="27" t="str">
        <f t="shared" si="143"/>
        <v/>
      </c>
      <c r="Z441" s="27" t="str">
        <f t="shared" si="144"/>
        <v/>
      </c>
      <c r="AA441" s="121"/>
      <c r="AB441" s="121"/>
      <c r="AC441" s="121"/>
      <c r="AD441" s="121"/>
      <c r="AE441" s="121" t="s">
        <v>51</v>
      </c>
      <c r="AF441" s="121"/>
      <c r="AG441" s="121"/>
      <c r="AH441" s="28" t="s">
        <v>261</v>
      </c>
      <c r="AI441" s="28" t="s">
        <v>113</v>
      </c>
      <c r="AJ441" s="28">
        <v>80800</v>
      </c>
      <c r="AK441" s="121" t="str">
        <f t="shared" si="145"/>
        <v/>
      </c>
      <c r="AL441" s="123" t="str">
        <f t="shared" si="105"/>
        <v/>
      </c>
      <c r="AM441" s="27"/>
      <c r="AN441" s="124"/>
      <c r="AO441" s="124"/>
      <c r="AP441" s="124"/>
      <c r="AQ441" s="124"/>
      <c r="AR441" s="124"/>
      <c r="AS441" s="124"/>
      <c r="AT441" s="124" t="s">
        <v>1942</v>
      </c>
      <c r="AU441" s="124" t="str">
        <f t="shared" si="133"/>
        <v/>
      </c>
      <c r="AV441" s="124" t="s">
        <v>2913</v>
      </c>
      <c r="AW441" s="117"/>
      <c r="AX441" s="138" t="str">
        <f t="shared" si="127"/>
        <v/>
      </c>
      <c r="AY441" s="31" t="str">
        <f>IF(C441&lt;&gt;"",CREATE_QUERY($D$1,C$2:AW$2,C441:AW441),"")</f>
        <v/>
      </c>
    </row>
    <row r="442" spans="1:51">
      <c r="A442" s="1">
        <v>161</v>
      </c>
      <c r="B442" s="121" t="str">
        <f t="shared" si="128"/>
        <v/>
      </c>
      <c r="C442" s="27" t="str">
        <f t="shared" si="134"/>
        <v/>
      </c>
      <c r="D442" s="121"/>
      <c r="E442" s="27">
        <v>292019</v>
      </c>
      <c r="F442" s="121"/>
      <c r="G442" s="121"/>
      <c r="H442" s="121"/>
      <c r="I442" s="121"/>
      <c r="J442" s="121"/>
      <c r="K442" s="27" t="str">
        <f t="shared" si="130"/>
        <v/>
      </c>
      <c r="L442" s="27">
        <v>1</v>
      </c>
      <c r="M442" s="27" t="str">
        <f t="shared" si="131"/>
        <v>0</v>
      </c>
      <c r="N442" s="121"/>
      <c r="O442" s="121"/>
      <c r="P442" s="27" t="str">
        <f t="shared" si="135"/>
        <v>0</v>
      </c>
      <c r="Q442" s="27" t="str">
        <f t="shared" si="136"/>
        <v>0</v>
      </c>
      <c r="R442" s="27" t="str">
        <f t="shared" si="137"/>
        <v>0</v>
      </c>
      <c r="S442" s="27" t="str">
        <f t="shared" si="138"/>
        <v>0</v>
      </c>
      <c r="T442" s="27" t="str">
        <f t="shared" si="139"/>
        <v>0</v>
      </c>
      <c r="U442" s="27" t="str">
        <f t="shared" si="140"/>
        <v>0</v>
      </c>
      <c r="V442" s="27" t="str">
        <f t="shared" si="141"/>
        <v>1</v>
      </c>
      <c r="W442" s="27"/>
      <c r="X442" s="27" t="str">
        <f t="shared" si="142"/>
        <v/>
      </c>
      <c r="Y442" s="27" t="str">
        <f t="shared" si="143"/>
        <v/>
      </c>
      <c r="Z442" s="27" t="str">
        <f t="shared" si="144"/>
        <v/>
      </c>
      <c r="AA442" s="121"/>
      <c r="AB442" s="121"/>
      <c r="AC442" s="121"/>
      <c r="AD442" s="121"/>
      <c r="AE442" s="121" t="s">
        <v>51</v>
      </c>
      <c r="AF442" s="121"/>
      <c r="AG442" s="121"/>
      <c r="AH442" s="28" t="s">
        <v>261</v>
      </c>
      <c r="AI442" s="28" t="s">
        <v>113</v>
      </c>
      <c r="AJ442" s="28">
        <v>80700</v>
      </c>
      <c r="AK442" s="121" t="str">
        <f>IF(B451="","","0")</f>
        <v>0</v>
      </c>
      <c r="AL442" s="123" t="str">
        <f t="shared" si="105"/>
        <v/>
      </c>
      <c r="AM442" s="27"/>
      <c r="AN442" s="124"/>
      <c r="AO442" s="124"/>
      <c r="AP442" s="124"/>
      <c r="AQ442" s="124"/>
      <c r="AR442" s="124"/>
      <c r="AS442" s="124"/>
      <c r="AT442" s="124" t="s">
        <v>1942</v>
      </c>
      <c r="AU442" s="124" t="str">
        <f t="shared" si="133"/>
        <v/>
      </c>
      <c r="AV442" s="124" t="s">
        <v>2914</v>
      </c>
      <c r="AW442" s="117"/>
      <c r="AX442" s="138" t="str">
        <f t="shared" si="127"/>
        <v/>
      </c>
      <c r="AY442" s="31" t="str">
        <f>IF(C442&lt;&gt;"",CREATE_QUERY($D$1,C$2:AW$2,C442:AW442),"")</f>
        <v/>
      </c>
    </row>
    <row r="443" spans="1:51">
      <c r="A443" s="1">
        <v>154</v>
      </c>
      <c r="B443" s="121" t="str">
        <f t="shared" si="128"/>
        <v/>
      </c>
      <c r="C443" s="27" t="str">
        <f t="shared" si="109"/>
        <v/>
      </c>
      <c r="D443" s="121"/>
      <c r="E443" s="27"/>
      <c r="F443" s="121"/>
      <c r="G443" s="121"/>
      <c r="H443" s="121"/>
      <c r="I443" s="121"/>
      <c r="J443" s="121"/>
      <c r="K443" s="27" t="str">
        <f t="shared" si="130"/>
        <v/>
      </c>
      <c r="L443" s="27">
        <v>1</v>
      </c>
      <c r="M443" s="27" t="str">
        <f t="shared" si="131"/>
        <v>0</v>
      </c>
      <c r="N443" s="121"/>
      <c r="O443" s="121"/>
      <c r="P443" s="27" t="str">
        <f t="shared" si="135"/>
        <v>0</v>
      </c>
      <c r="Q443" s="27" t="str">
        <f t="shared" si="136"/>
        <v>0</v>
      </c>
      <c r="R443" s="27" t="str">
        <f t="shared" si="137"/>
        <v>0</v>
      </c>
      <c r="S443" s="27" t="str">
        <f t="shared" si="138"/>
        <v>0</v>
      </c>
      <c r="T443" s="27" t="str">
        <f t="shared" si="139"/>
        <v>0</v>
      </c>
      <c r="U443" s="27" t="str">
        <f t="shared" si="140"/>
        <v>0</v>
      </c>
      <c r="V443" s="27" t="str">
        <f t="shared" si="141"/>
        <v>1</v>
      </c>
      <c r="W443" s="27"/>
      <c r="X443" s="27" t="str">
        <f t="shared" si="142"/>
        <v/>
      </c>
      <c r="Y443" s="27" t="str">
        <f t="shared" si="143"/>
        <v/>
      </c>
      <c r="Z443" s="27" t="str">
        <f t="shared" si="144"/>
        <v/>
      </c>
      <c r="AA443" s="121"/>
      <c r="AB443" s="121"/>
      <c r="AC443" s="121"/>
      <c r="AD443" s="121"/>
      <c r="AE443" s="121"/>
      <c r="AF443" s="121"/>
      <c r="AG443" s="121"/>
      <c r="AH443" s="27"/>
      <c r="AI443" s="27"/>
      <c r="AJ443" s="27" t="s">
        <v>900</v>
      </c>
      <c r="AK443" s="121" t="str">
        <f t="shared" si="129"/>
        <v>0</v>
      </c>
      <c r="AL443" s="123" t="str">
        <f t="shared" si="105"/>
        <v/>
      </c>
      <c r="AM443" s="27"/>
      <c r="AN443" s="124"/>
      <c r="AO443" s="124"/>
      <c r="AP443" s="124"/>
      <c r="AQ443" s="124"/>
      <c r="AR443" s="124"/>
      <c r="AS443" s="124"/>
      <c r="AT443" s="124"/>
      <c r="AU443" s="124" t="str">
        <f t="shared" si="133"/>
        <v/>
      </c>
      <c r="AV443" s="124"/>
      <c r="AW443" s="117"/>
      <c r="AX443" s="138" t="str">
        <f t="shared" si="127"/>
        <v/>
      </c>
      <c r="AY443" s="31" t="str">
        <f>IF(C443&lt;&gt;"",CREATE_QUERY($D$1,C$2:AW$2,C443:AW443),"")</f>
        <v/>
      </c>
    </row>
    <row r="444" spans="1:51">
      <c r="A444" s="1">
        <v>155</v>
      </c>
      <c r="B444" s="121" t="str">
        <f t="shared" si="128"/>
        <v xml:space="preserve">    └ (프로젝트)시험생산</v>
      </c>
      <c r="C444" s="27" t="str">
        <f t="shared" si="109"/>
        <v>14821</v>
      </c>
      <c r="D444" s="121"/>
      <c r="E444" s="21">
        <v>293000</v>
      </c>
      <c r="F444" s="118" t="s">
        <v>386</v>
      </c>
      <c r="G444" s="118"/>
      <c r="H444" s="118"/>
      <c r="I444" s="118"/>
      <c r="J444" s="118"/>
      <c r="K444" s="21" t="str">
        <f t="shared" si="130"/>
        <v/>
      </c>
      <c r="L444" s="21">
        <v>1</v>
      </c>
      <c r="M444" s="21" t="str">
        <f t="shared" si="131"/>
        <v>0</v>
      </c>
      <c r="N444" s="118"/>
      <c r="O444" s="118"/>
      <c r="P444" s="21" t="str">
        <f t="shared" si="135"/>
        <v>0</v>
      </c>
      <c r="Q444" s="21" t="str">
        <f t="shared" si="136"/>
        <v>0</v>
      </c>
      <c r="R444" s="21" t="str">
        <f t="shared" si="137"/>
        <v>0</v>
      </c>
      <c r="S444" s="21" t="str">
        <f t="shared" si="138"/>
        <v>0</v>
      </c>
      <c r="T444" s="21" t="str">
        <f t="shared" si="139"/>
        <v>0</v>
      </c>
      <c r="U444" s="21" t="str">
        <f t="shared" si="140"/>
        <v>0</v>
      </c>
      <c r="V444" s="21" t="str">
        <f t="shared" si="141"/>
        <v>1</v>
      </c>
      <c r="W444" s="21"/>
      <c r="X444" s="21" t="str">
        <f t="shared" si="142"/>
        <v/>
      </c>
      <c r="Y444" s="21" t="str">
        <f t="shared" si="143"/>
        <v/>
      </c>
      <c r="Z444" s="21" t="str">
        <f t="shared" si="144"/>
        <v/>
      </c>
      <c r="AA444" s="118"/>
      <c r="AB444" s="118"/>
      <c r="AC444" s="118"/>
      <c r="AD444" s="118"/>
      <c r="AE444" s="118" t="s">
        <v>51</v>
      </c>
      <c r="AF444" s="118"/>
      <c r="AG444" s="118"/>
      <c r="AH444" s="26" t="s">
        <v>246</v>
      </c>
      <c r="AI444" s="26" t="s">
        <v>112</v>
      </c>
      <c r="AJ444" s="26">
        <v>83000</v>
      </c>
      <c r="AK444" s="121" t="str">
        <f t="shared" si="129"/>
        <v>0</v>
      </c>
      <c r="AL444" s="123" t="str">
        <f t="shared" si="105"/>
        <v>14821/시험생산//</v>
      </c>
      <c r="AM444" s="21" t="s">
        <v>1887</v>
      </c>
      <c r="AN444" s="124"/>
      <c r="AO444" s="124"/>
      <c r="AP444" s="124"/>
      <c r="AQ444" s="124" t="s">
        <v>1829</v>
      </c>
      <c r="AR444" s="124"/>
      <c r="AS444" s="124"/>
      <c r="AT444" s="124" t="s">
        <v>1942</v>
      </c>
      <c r="AU444" s="124" t="str">
        <f t="shared" si="133"/>
        <v/>
      </c>
      <c r="AV444" s="124"/>
      <c r="AW444" s="117"/>
      <c r="AX444" s="138" t="str">
        <f t="shared" si="127"/>
        <v>delete from module_mst where pjt_id = '14821' and menu_id = '293000';</v>
      </c>
      <c r="AY444" s="31" t="str">
        <f>IF(C444&lt;&gt;"",CREATE_QUERY($D$1,C$2:AW$2,C444:AW444),"")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'293000', '시험생산', '', '', '', '', '', '1', '0', '', '', '0', '0', '0', '0', '0', '0', '1', '', '', '', '', '', '', '', '', 'N', '', '', '290000', '4', '83000', '0', '14821/시험생산//', '(프로젝트)', '', '', '', 'Y', '', '', 'Q', '', '');</v>
      </c>
    </row>
    <row r="445" spans="1:51">
      <c r="A445" s="1">
        <v>161</v>
      </c>
      <c r="B445" s="121" t="str">
        <f t="shared" si="128"/>
        <v xml:space="preserve">        └ 시험생산보고</v>
      </c>
      <c r="C445" s="27" t="str">
        <f t="shared" si="109"/>
        <v>14821</v>
      </c>
      <c r="D445" s="121"/>
      <c r="E445" s="27">
        <v>293001</v>
      </c>
      <c r="F445" s="121" t="s">
        <v>385</v>
      </c>
      <c r="G445" s="121"/>
      <c r="H445" s="121"/>
      <c r="I445" s="121"/>
      <c r="J445" s="121"/>
      <c r="K445" s="27" t="str">
        <f t="shared" si="130"/>
        <v>1</v>
      </c>
      <c r="L445" s="27">
        <v>1</v>
      </c>
      <c r="M445" s="27" t="str">
        <f t="shared" si="131"/>
        <v>1</v>
      </c>
      <c r="N445" s="121" t="s">
        <v>347</v>
      </c>
      <c r="O445" s="121" t="s">
        <v>341</v>
      </c>
      <c r="P445" s="27" t="str">
        <f t="shared" si="135"/>
        <v>1</v>
      </c>
      <c r="Q445" s="27" t="str">
        <f t="shared" si="136"/>
        <v>1</v>
      </c>
      <c r="R445" s="27" t="str">
        <f t="shared" si="137"/>
        <v>1</v>
      </c>
      <c r="S445" s="27" t="str">
        <f t="shared" si="138"/>
        <v>1</v>
      </c>
      <c r="T445" s="27" t="str">
        <f t="shared" si="139"/>
        <v>1</v>
      </c>
      <c r="U445" s="27" t="str">
        <f t="shared" si="140"/>
        <v>1</v>
      </c>
      <c r="V445" s="27" t="str">
        <f t="shared" si="141"/>
        <v>1</v>
      </c>
      <c r="W445" s="27"/>
      <c r="X445" s="27" t="str">
        <f t="shared" si="142"/>
        <v>0</v>
      </c>
      <c r="Y445" s="27" t="str">
        <f t="shared" si="143"/>
        <v>0</v>
      </c>
      <c r="Z445" s="27" t="str">
        <f t="shared" si="144"/>
        <v>0</v>
      </c>
      <c r="AA445" s="121"/>
      <c r="AB445" s="121"/>
      <c r="AC445" s="121"/>
      <c r="AD445" s="121"/>
      <c r="AE445" s="121" t="s">
        <v>51</v>
      </c>
      <c r="AF445" s="121"/>
      <c r="AG445" s="121"/>
      <c r="AH445" s="28" t="s">
        <v>387</v>
      </c>
      <c r="AI445" s="28" t="s">
        <v>113</v>
      </c>
      <c r="AJ445" s="28">
        <v>83050</v>
      </c>
      <c r="AK445" s="121" t="str">
        <f t="shared" si="129"/>
        <v>0</v>
      </c>
      <c r="AL445" s="123" t="str">
        <f t="shared" si="105"/>
        <v>14821/시험생산보고/qc.project/TestProd</v>
      </c>
      <c r="AM445" s="27"/>
      <c r="AN445" s="124"/>
      <c r="AO445" s="124"/>
      <c r="AP445" s="124"/>
      <c r="AQ445" s="124" t="s">
        <v>1829</v>
      </c>
      <c r="AR445" s="124"/>
      <c r="AS445" s="124"/>
      <c r="AT445" s="124" t="s">
        <v>1942</v>
      </c>
      <c r="AU445" s="124" t="str">
        <f t="shared" si="133"/>
        <v>Q293001</v>
      </c>
      <c r="AV445" s="124" t="s">
        <v>2915</v>
      </c>
      <c r="AW445" s="117" t="s">
        <v>1929</v>
      </c>
      <c r="AX445" s="138" t="str">
        <f t="shared" si="127"/>
        <v>delete from module_mst where pjt_id = '14821' and menu_id = '293001';</v>
      </c>
      <c r="AY445" s="31" t="str">
        <f>IF(C445&lt;&gt;"",CREATE_QUERY($D$1,C$2:AW$2,C445:AW445),"")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'293001', '시험생산보고', '', '', '', '', '1', '1', '1', 'qc.project', 'TestProd', '1', '1', '1', '1', '1', '1', '1', '', '0', '0', '0', '', '', '', '', 'N', '', '', '293000', '5', '83050', '0', '14821/시험생산보고/qc.project/TestProd', '', '', '', '', 'Y', '', '', 'Q', 'MES-TD3-591', '시사출 생산 실적을 보고');</v>
      </c>
    </row>
    <row r="446" spans="1:51">
      <c r="A446" s="1">
        <v>161</v>
      </c>
      <c r="B446" s="121" t="str">
        <f t="shared" si="128"/>
        <v xml:space="preserve">        └ 육성 보고</v>
      </c>
      <c r="C446" s="27" t="str">
        <f t="shared" si="109"/>
        <v>14821</v>
      </c>
      <c r="D446" s="121"/>
      <c r="E446" s="27">
        <v>293002</v>
      </c>
      <c r="F446" s="121" t="s">
        <v>339</v>
      </c>
      <c r="G446" s="121"/>
      <c r="H446" s="121"/>
      <c r="I446" s="121"/>
      <c r="J446" s="121"/>
      <c r="K446" s="27" t="str">
        <f t="shared" si="130"/>
        <v>1</v>
      </c>
      <c r="L446" s="27">
        <v>1</v>
      </c>
      <c r="M446" s="27" t="str">
        <f t="shared" si="131"/>
        <v>1</v>
      </c>
      <c r="N446" s="121" t="s">
        <v>347</v>
      </c>
      <c r="O446" s="121" t="s">
        <v>342</v>
      </c>
      <c r="P446" s="27" t="str">
        <f t="shared" si="135"/>
        <v>1</v>
      </c>
      <c r="Q446" s="27" t="str">
        <f t="shared" si="136"/>
        <v>1</v>
      </c>
      <c r="R446" s="27" t="str">
        <f t="shared" si="137"/>
        <v>1</v>
      </c>
      <c r="S446" s="27" t="str">
        <f t="shared" si="138"/>
        <v>1</v>
      </c>
      <c r="T446" s="27" t="str">
        <f t="shared" si="139"/>
        <v>1</v>
      </c>
      <c r="U446" s="27" t="str">
        <f t="shared" si="140"/>
        <v>1</v>
      </c>
      <c r="V446" s="27" t="str">
        <f t="shared" si="141"/>
        <v>1</v>
      </c>
      <c r="W446" s="27"/>
      <c r="X446" s="27" t="str">
        <f t="shared" si="142"/>
        <v>0</v>
      </c>
      <c r="Y446" s="27" t="str">
        <f t="shared" si="143"/>
        <v>0</v>
      </c>
      <c r="Z446" s="27" t="str">
        <f t="shared" si="144"/>
        <v>0</v>
      </c>
      <c r="AA446" s="121"/>
      <c r="AB446" s="121"/>
      <c r="AC446" s="121"/>
      <c r="AD446" s="121"/>
      <c r="AE446" s="121" t="s">
        <v>51</v>
      </c>
      <c r="AF446" s="121"/>
      <c r="AG446" s="121"/>
      <c r="AH446" s="28" t="s">
        <v>387</v>
      </c>
      <c r="AI446" s="28" t="s">
        <v>113</v>
      </c>
      <c r="AJ446" s="28">
        <v>83100</v>
      </c>
      <c r="AK446" s="121" t="str">
        <f t="shared" si="129"/>
        <v>0</v>
      </c>
      <c r="AL446" s="123" t="str">
        <f t="shared" si="105"/>
        <v>14821/육성 보고/qc.project/RemkWork</v>
      </c>
      <c r="AM446" s="27"/>
      <c r="AN446" s="124"/>
      <c r="AO446" s="124"/>
      <c r="AP446" s="124"/>
      <c r="AQ446" s="124" t="s">
        <v>1829</v>
      </c>
      <c r="AR446" s="124"/>
      <c r="AS446" s="124"/>
      <c r="AT446" s="124" t="s">
        <v>1942</v>
      </c>
      <c r="AU446" s="124" t="str">
        <f t="shared" si="133"/>
        <v>Q293002</v>
      </c>
      <c r="AV446" s="124" t="s">
        <v>2916</v>
      </c>
      <c r="AW446" s="117" t="s">
        <v>1930</v>
      </c>
      <c r="AX446" s="138" t="str">
        <f t="shared" si="127"/>
        <v>delete from module_mst where pjt_id = '14821' and menu_id = '293002';</v>
      </c>
      <c r="AY446" s="31" t="str">
        <f>IF(C446&lt;&gt;"",CREATE_QUERY($D$1,C$2:AW$2,C446:AW446),"")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'293002', '육성 보고', '', '', '', '', '1', '1', '1', 'qc.project', 'RemkWork', '1', '1', '1', '1', '1', '1', '1', '', '0', '0', '0', '', '', '', '', 'N', '', '', '293000', '5', '83100', '0', '14821/육성 보고/qc.project/RemkWork', '', '', '', '', 'Y', '', '', 'Q', 'MES-TD3-592', '육성 작업일지를 보고');</v>
      </c>
    </row>
    <row r="447" spans="1:51">
      <c r="A447" s="1">
        <v>161</v>
      </c>
      <c r="B447" s="121" t="str">
        <f t="shared" si="128"/>
        <v xml:space="preserve">        └ 육성 리스트</v>
      </c>
      <c r="C447" s="27" t="str">
        <f t="shared" si="109"/>
        <v>14821</v>
      </c>
      <c r="D447" s="121"/>
      <c r="E447" s="27">
        <v>293003</v>
      </c>
      <c r="F447" s="121" t="s">
        <v>340</v>
      </c>
      <c r="G447" s="121"/>
      <c r="H447" s="121"/>
      <c r="I447" s="121"/>
      <c r="J447" s="121"/>
      <c r="K447" s="27" t="str">
        <f t="shared" si="130"/>
        <v>1</v>
      </c>
      <c r="L447" s="27">
        <v>1</v>
      </c>
      <c r="M447" s="27" t="str">
        <f t="shared" si="131"/>
        <v>1</v>
      </c>
      <c r="N447" s="121" t="s">
        <v>347</v>
      </c>
      <c r="O447" s="121" t="s">
        <v>343</v>
      </c>
      <c r="P447" s="27" t="str">
        <f t="shared" si="135"/>
        <v>1</v>
      </c>
      <c r="Q447" s="27" t="str">
        <f t="shared" si="136"/>
        <v>1</v>
      </c>
      <c r="R447" s="27" t="str">
        <f t="shared" si="137"/>
        <v>1</v>
      </c>
      <c r="S447" s="27" t="str">
        <f t="shared" si="138"/>
        <v>1</v>
      </c>
      <c r="T447" s="27" t="str">
        <f t="shared" si="139"/>
        <v>1</v>
      </c>
      <c r="U447" s="27" t="str">
        <f t="shared" si="140"/>
        <v>1</v>
      </c>
      <c r="V447" s="27" t="str">
        <f t="shared" si="141"/>
        <v>1</v>
      </c>
      <c r="W447" s="27"/>
      <c r="X447" s="27" t="str">
        <f t="shared" si="142"/>
        <v>0</v>
      </c>
      <c r="Y447" s="27" t="str">
        <f t="shared" si="143"/>
        <v>0</v>
      </c>
      <c r="Z447" s="27" t="str">
        <f t="shared" si="144"/>
        <v>0</v>
      </c>
      <c r="AA447" s="121"/>
      <c r="AB447" s="121"/>
      <c r="AC447" s="121"/>
      <c r="AD447" s="121"/>
      <c r="AE447" s="121" t="s">
        <v>51</v>
      </c>
      <c r="AF447" s="121"/>
      <c r="AG447" s="121"/>
      <c r="AH447" s="28" t="s">
        <v>387</v>
      </c>
      <c r="AI447" s="28" t="s">
        <v>113</v>
      </c>
      <c r="AJ447" s="28">
        <v>83150</v>
      </c>
      <c r="AK447" s="121" t="str">
        <f t="shared" si="129"/>
        <v>0</v>
      </c>
      <c r="AL447" s="123" t="str">
        <f t="shared" si="105"/>
        <v>14821/육성 리스트/qc.project/RemkList</v>
      </c>
      <c r="AM447" s="27"/>
      <c r="AN447" s="124"/>
      <c r="AO447" s="124"/>
      <c r="AP447" s="124"/>
      <c r="AQ447" s="124" t="s">
        <v>1829</v>
      </c>
      <c r="AR447" s="124"/>
      <c r="AS447" s="124"/>
      <c r="AT447" s="124" t="s">
        <v>1942</v>
      </c>
      <c r="AU447" s="124" t="str">
        <f t="shared" si="133"/>
        <v>Q293003</v>
      </c>
      <c r="AV447" s="124" t="s">
        <v>2917</v>
      </c>
      <c r="AW447" s="117" t="s">
        <v>1931</v>
      </c>
      <c r="AX447" s="138" t="str">
        <f t="shared" si="127"/>
        <v>delete from module_mst where pjt_id = '14821' and menu_id = '293003';</v>
      </c>
      <c r="AY447" s="31" t="str">
        <f>IF(C447&lt;&gt;"",CREATE_QUERY($D$1,C$2:AW$2,C447:AW447),"")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'293003', '육성 리스트', '', '', '', '', '1', '1', '1', 'qc.project', 'RemkList', '1', '1', '1', '1', '1', '1', '1', '', '0', '0', '0', '', '', '', '', 'N', '', '', '293000', '5', '83150', '0', '14821/육성 리스트/qc.project/RemkList', '', '', '', '', 'Y', '', '', 'Q', 'MES-TD3-593', '육성 작업일지 조회');</v>
      </c>
    </row>
    <row r="448" spans="1:51">
      <c r="A448" s="1">
        <v>161</v>
      </c>
      <c r="B448" s="121" t="str">
        <f t="shared" si="128"/>
        <v xml:space="preserve">        └ 출하검사Ⅱ</v>
      </c>
      <c r="C448" s="27" t="str">
        <f t="shared" si="109"/>
        <v>14821</v>
      </c>
      <c r="D448" s="121"/>
      <c r="E448" s="27">
        <v>293007</v>
      </c>
      <c r="F448" s="121" t="s">
        <v>2291</v>
      </c>
      <c r="G448" s="121"/>
      <c r="H448" s="121"/>
      <c r="I448" s="121"/>
      <c r="J448" s="121"/>
      <c r="K448" s="27" t="str">
        <f t="shared" si="130"/>
        <v>1</v>
      </c>
      <c r="L448" s="27">
        <v>1</v>
      </c>
      <c r="M448" s="27" t="str">
        <f t="shared" si="131"/>
        <v>1</v>
      </c>
      <c r="N448" s="121" t="s">
        <v>347</v>
      </c>
      <c r="O448" s="121" t="s">
        <v>2292</v>
      </c>
      <c r="P448" s="27" t="str">
        <f t="shared" si="135"/>
        <v>1</v>
      </c>
      <c r="Q448" s="27" t="str">
        <f t="shared" si="136"/>
        <v>1</v>
      </c>
      <c r="R448" s="27" t="str">
        <f t="shared" si="137"/>
        <v>1</v>
      </c>
      <c r="S448" s="27" t="str">
        <f t="shared" si="138"/>
        <v>1</v>
      </c>
      <c r="T448" s="27" t="str">
        <f t="shared" si="139"/>
        <v>1</v>
      </c>
      <c r="U448" s="27" t="str">
        <f t="shared" si="140"/>
        <v>1</v>
      </c>
      <c r="V448" s="27" t="str">
        <f t="shared" si="141"/>
        <v>1</v>
      </c>
      <c r="W448" s="27"/>
      <c r="X448" s="27" t="str">
        <f t="shared" si="142"/>
        <v>0</v>
      </c>
      <c r="Y448" s="27" t="str">
        <f t="shared" si="143"/>
        <v>0</v>
      </c>
      <c r="Z448" s="27" t="str">
        <f t="shared" si="144"/>
        <v>0</v>
      </c>
      <c r="AA448" s="121"/>
      <c r="AB448" s="121"/>
      <c r="AC448" s="121"/>
      <c r="AD448" s="121"/>
      <c r="AE448" s="121" t="s">
        <v>51</v>
      </c>
      <c r="AF448" s="121"/>
      <c r="AG448" s="121"/>
      <c r="AH448" s="28" t="s">
        <v>387</v>
      </c>
      <c r="AI448" s="28" t="s">
        <v>113</v>
      </c>
      <c r="AJ448" s="28">
        <v>83200</v>
      </c>
      <c r="AK448" s="121" t="str">
        <f t="shared" si="129"/>
        <v>0</v>
      </c>
      <c r="AL448" s="123" t="str">
        <f t="shared" si="105"/>
        <v>14821/출하검사Ⅱ/qc.project/InspEntry51</v>
      </c>
      <c r="AM448" s="27"/>
      <c r="AN448" s="124"/>
      <c r="AO448" s="124"/>
      <c r="AP448" s="124"/>
      <c r="AQ448" s="124" t="s">
        <v>1829</v>
      </c>
      <c r="AR448" s="124"/>
      <c r="AS448" s="124"/>
      <c r="AT448" s="124" t="s">
        <v>1942</v>
      </c>
      <c r="AU448" s="124" t="str">
        <f t="shared" si="133"/>
        <v>Q293007</v>
      </c>
      <c r="AV448" s="124" t="s">
        <v>2918</v>
      </c>
      <c r="AW448" s="117" t="s">
        <v>2293</v>
      </c>
      <c r="AX448" s="138" t="str">
        <f t="shared" si="127"/>
        <v>delete from module_mst where pjt_id = '14821' and menu_id = '293007';</v>
      </c>
      <c r="AY448" s="31" t="str">
        <f>IF(C448&lt;&gt;"",CREATE_QUERY($D$1,C$2:AW$2,C448:AW448),"")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'293007', '출하검사Ⅱ', '', '', '', '', '1', '1', '1', 'qc.project', 'InspEntry51', '1', '1', '1', '1', '1', '1', '1', '', '0', '0', '0', '', '', '', '', 'N', '', '', '293000', '5', '83200', '0', '14821/출하검사Ⅱ/qc.project/InspEntry51', '', '', '', '', 'Y', '', '', 'Q', 'MES-TD3-594', '수주목록을 근거로 출하 검사 실시');</v>
      </c>
    </row>
    <row r="449" spans="1:51">
      <c r="A449" s="1">
        <v>161</v>
      </c>
      <c r="B449" s="121" t="str">
        <f t="shared" si="128"/>
        <v xml:space="preserve">        └ (프로젝트)손실 보고</v>
      </c>
      <c r="C449" s="27" t="str">
        <f t="shared" si="109"/>
        <v>14821</v>
      </c>
      <c r="D449" s="121"/>
      <c r="E449" s="27">
        <v>293008</v>
      </c>
      <c r="F449" s="121" t="s">
        <v>2330</v>
      </c>
      <c r="G449" s="121"/>
      <c r="H449" s="121"/>
      <c r="I449" s="121"/>
      <c r="J449" s="121"/>
      <c r="K449" s="27" t="str">
        <f t="shared" si="130"/>
        <v>1</v>
      </c>
      <c r="L449" s="27">
        <v>1</v>
      </c>
      <c r="M449" s="27" t="str">
        <f t="shared" si="131"/>
        <v>1</v>
      </c>
      <c r="N449" s="121" t="s">
        <v>347</v>
      </c>
      <c r="O449" s="121" t="s">
        <v>2331</v>
      </c>
      <c r="P449" s="27" t="str">
        <f t="shared" si="135"/>
        <v>1</v>
      </c>
      <c r="Q449" s="27" t="str">
        <f t="shared" si="136"/>
        <v>1</v>
      </c>
      <c r="R449" s="27" t="str">
        <f t="shared" si="137"/>
        <v>1</v>
      </c>
      <c r="S449" s="27" t="str">
        <f t="shared" si="138"/>
        <v>1</v>
      </c>
      <c r="T449" s="27" t="str">
        <f t="shared" si="139"/>
        <v>1</v>
      </c>
      <c r="U449" s="27" t="str">
        <f t="shared" si="140"/>
        <v>1</v>
      </c>
      <c r="V449" s="27" t="str">
        <f t="shared" si="141"/>
        <v>1</v>
      </c>
      <c r="W449" s="27"/>
      <c r="X449" s="27" t="str">
        <f t="shared" si="142"/>
        <v>0</v>
      </c>
      <c r="Y449" s="27" t="str">
        <f t="shared" si="143"/>
        <v>0</v>
      </c>
      <c r="Z449" s="27" t="str">
        <f t="shared" si="144"/>
        <v>0</v>
      </c>
      <c r="AA449" s="121"/>
      <c r="AB449" s="121"/>
      <c r="AC449" s="121"/>
      <c r="AD449" s="121"/>
      <c r="AE449" s="121" t="s">
        <v>51</v>
      </c>
      <c r="AF449" s="121"/>
      <c r="AG449" s="121"/>
      <c r="AH449" s="28" t="s">
        <v>387</v>
      </c>
      <c r="AI449" s="28" t="s">
        <v>113</v>
      </c>
      <c r="AJ449" s="28">
        <v>83250</v>
      </c>
      <c r="AK449" s="121" t="str">
        <f t="shared" si="129"/>
        <v/>
      </c>
      <c r="AL449" s="123" t="str">
        <f t="shared" si="105"/>
        <v>14821/손실 보고/qc.project/LossWork</v>
      </c>
      <c r="AM449" s="27" t="s">
        <v>1887</v>
      </c>
      <c r="AN449" s="124"/>
      <c r="AO449" s="124"/>
      <c r="AP449" s="124"/>
      <c r="AQ449" s="124" t="s">
        <v>1829</v>
      </c>
      <c r="AR449" s="124"/>
      <c r="AS449" s="124"/>
      <c r="AT449" s="124" t="s">
        <v>1942</v>
      </c>
      <c r="AU449" s="124" t="str">
        <f t="shared" si="133"/>
        <v>Q293008</v>
      </c>
      <c r="AV449" s="124" t="s">
        <v>2919</v>
      </c>
      <c r="AW449" s="117" t="s">
        <v>2332</v>
      </c>
      <c r="AX449" s="138" t="str">
        <f t="shared" si="127"/>
        <v>delete from module_mst where pjt_id = '14821' and menu_id = '293008';</v>
      </c>
      <c r="AY449" s="31" t="str">
        <f>IF(C449&lt;&gt;"",CREATE_QUERY($D$1,C$2:AW$2,C449:AW449),"")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'293008', '손실 보고', '', '', '', '', '1', '1', '1', 'qc.project', 'LossWork', '1', '1', '1', '1', '1', '1', '1', '', '0', '0', '0', '', '', '', '', 'N', '', '', '293000', '5', '83250', '', '14821/손실 보고/qc.project/LossWork', '(프로젝트)', '', '', '', 'Y', '', '', 'Q', 'MES-TD3-595', '프로젝트별 손실내역을 등록하고, 손실보고서를 발행');</v>
      </c>
    </row>
    <row r="450" spans="1:51">
      <c r="A450" s="1">
        <v>162</v>
      </c>
      <c r="B450" s="121" t="str">
        <f t="shared" si="128"/>
        <v/>
      </c>
      <c r="C450" s="27" t="str">
        <f t="shared" si="109"/>
        <v/>
      </c>
      <c r="D450" s="121"/>
      <c r="E450" s="27"/>
      <c r="F450" s="121"/>
      <c r="G450" s="121"/>
      <c r="H450" s="121"/>
      <c r="I450" s="121"/>
      <c r="J450" s="121"/>
      <c r="K450" s="27" t="str">
        <f t="shared" si="130"/>
        <v/>
      </c>
      <c r="L450" s="27">
        <v>1</v>
      </c>
      <c r="M450" s="27" t="str">
        <f t="shared" si="131"/>
        <v>0</v>
      </c>
      <c r="N450" s="121"/>
      <c r="O450" s="121"/>
      <c r="P450" s="27" t="str">
        <f t="shared" si="135"/>
        <v>0</v>
      </c>
      <c r="Q450" s="27" t="str">
        <f t="shared" si="136"/>
        <v>0</v>
      </c>
      <c r="R450" s="27" t="str">
        <f t="shared" si="137"/>
        <v>0</v>
      </c>
      <c r="S450" s="27" t="str">
        <f t="shared" si="138"/>
        <v>0</v>
      </c>
      <c r="T450" s="27" t="str">
        <f t="shared" si="139"/>
        <v>0</v>
      </c>
      <c r="U450" s="27" t="str">
        <f t="shared" si="140"/>
        <v>0</v>
      </c>
      <c r="V450" s="27" t="str">
        <f t="shared" si="141"/>
        <v>1</v>
      </c>
      <c r="W450" s="27"/>
      <c r="X450" s="27" t="str">
        <f t="shared" si="142"/>
        <v/>
      </c>
      <c r="Y450" s="27" t="str">
        <f t="shared" si="143"/>
        <v/>
      </c>
      <c r="Z450" s="27" t="str">
        <f t="shared" si="144"/>
        <v/>
      </c>
      <c r="AA450" s="121"/>
      <c r="AB450" s="121"/>
      <c r="AC450" s="121"/>
      <c r="AD450" s="121"/>
      <c r="AE450" s="121"/>
      <c r="AF450" s="121"/>
      <c r="AG450" s="121"/>
      <c r="AH450" s="27"/>
      <c r="AI450" s="27"/>
      <c r="AJ450" s="27" t="s">
        <v>900</v>
      </c>
      <c r="AK450" s="121" t="str">
        <f t="shared" si="129"/>
        <v>0</v>
      </c>
      <c r="AL450" s="123" t="str">
        <f t="shared" si="105"/>
        <v/>
      </c>
      <c r="AM450" s="27"/>
      <c r="AN450" s="124"/>
      <c r="AO450" s="124"/>
      <c r="AP450" s="124"/>
      <c r="AQ450" s="124"/>
      <c r="AR450" s="124"/>
      <c r="AS450" s="124"/>
      <c r="AT450" s="124"/>
      <c r="AU450" s="124" t="str">
        <f t="shared" si="133"/>
        <v/>
      </c>
      <c r="AV450" s="124"/>
      <c r="AW450" s="117"/>
      <c r="AX450" s="138" t="str">
        <f t="shared" si="127"/>
        <v/>
      </c>
      <c r="AY450" s="31" t="str">
        <f>IF(C450&lt;&gt;"",CREATE_QUERY($D$1,C$2:AW$2,C450:AW450),"")</f>
        <v/>
      </c>
    </row>
    <row r="451" spans="1:51">
      <c r="A451" s="1">
        <v>163</v>
      </c>
      <c r="B451" s="121" t="str">
        <f t="shared" si="128"/>
        <v xml:space="preserve">    └ 검사실적 분석</v>
      </c>
      <c r="C451" s="27" t="str">
        <f t="shared" si="109"/>
        <v>14821</v>
      </c>
      <c r="D451" s="121"/>
      <c r="E451" s="21">
        <v>294000</v>
      </c>
      <c r="F451" s="118" t="s">
        <v>262</v>
      </c>
      <c r="G451" s="118"/>
      <c r="H451" s="118"/>
      <c r="I451" s="118"/>
      <c r="J451" s="118"/>
      <c r="K451" s="21" t="str">
        <f t="shared" si="130"/>
        <v/>
      </c>
      <c r="L451" s="21">
        <v>1</v>
      </c>
      <c r="M451" s="21" t="str">
        <f t="shared" si="131"/>
        <v>0</v>
      </c>
      <c r="N451" s="118"/>
      <c r="O451" s="118"/>
      <c r="P451" s="21" t="str">
        <f t="shared" si="135"/>
        <v>0</v>
      </c>
      <c r="Q451" s="21" t="str">
        <f t="shared" si="136"/>
        <v>0</v>
      </c>
      <c r="R451" s="21" t="str">
        <f t="shared" si="137"/>
        <v>0</v>
      </c>
      <c r="S451" s="21" t="str">
        <f t="shared" si="138"/>
        <v>0</v>
      </c>
      <c r="T451" s="21" t="str">
        <f t="shared" si="139"/>
        <v>0</v>
      </c>
      <c r="U451" s="21" t="str">
        <f t="shared" si="140"/>
        <v>0</v>
      </c>
      <c r="V451" s="21" t="str">
        <f t="shared" si="141"/>
        <v>1</v>
      </c>
      <c r="W451" s="21"/>
      <c r="X451" s="21" t="str">
        <f t="shared" si="142"/>
        <v/>
      </c>
      <c r="Y451" s="21" t="str">
        <f t="shared" si="143"/>
        <v/>
      </c>
      <c r="Z451" s="21" t="str">
        <f t="shared" si="144"/>
        <v/>
      </c>
      <c r="AA451" s="118"/>
      <c r="AB451" s="118"/>
      <c r="AC451" s="118"/>
      <c r="AD451" s="118"/>
      <c r="AE451" s="118" t="s">
        <v>51</v>
      </c>
      <c r="AF451" s="118"/>
      <c r="AG451" s="118"/>
      <c r="AH451" s="26" t="s">
        <v>246</v>
      </c>
      <c r="AI451" s="26" t="s">
        <v>112</v>
      </c>
      <c r="AJ451" s="26">
        <v>84000</v>
      </c>
      <c r="AK451" s="121" t="str">
        <f t="shared" si="129"/>
        <v>0</v>
      </c>
      <c r="AL451" s="123" t="str">
        <f t="shared" si="105"/>
        <v>14821/검사실적 분석//</v>
      </c>
      <c r="AM451" s="21"/>
      <c r="AN451" s="124"/>
      <c r="AO451" s="124"/>
      <c r="AP451" s="124"/>
      <c r="AQ451" s="124"/>
      <c r="AR451" s="124"/>
      <c r="AS451" s="124"/>
      <c r="AT451" s="124" t="s">
        <v>1942</v>
      </c>
      <c r="AU451" s="124" t="str">
        <f t="shared" si="133"/>
        <v/>
      </c>
      <c r="AV451" s="124"/>
      <c r="AW451" s="117"/>
      <c r="AX451" s="138" t="str">
        <f t="shared" si="127"/>
        <v>delete from module_mst where pjt_id = '14821' and menu_id = '294000';</v>
      </c>
      <c r="AY451" s="31" t="str">
        <f>IF(C451&lt;&gt;"",CREATE_QUERY($D$1,C$2:AW$2,C451:AW451),"")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'294000', '검사실적 분석', '', '', '', '', '', '1', '0', '', '', '0', '0', '0', '0', '0', '0', '1', '', '', '', '', '', '', '', '', 'N', '', '', '290000', '4', '84000', '0', '14821/검사실적 분석//', '', '', '', '', '', '', '', 'Q', '', '');</v>
      </c>
    </row>
    <row r="452" spans="1:51">
      <c r="A452" s="1">
        <v>164</v>
      </c>
      <c r="B452" s="121" t="str">
        <f t="shared" si="128"/>
        <v xml:space="preserve">        └ 불량현황 분석</v>
      </c>
      <c r="C452" s="27" t="str">
        <f t="shared" si="109"/>
        <v>14821</v>
      </c>
      <c r="D452" s="121"/>
      <c r="E452" s="27">
        <v>294001</v>
      </c>
      <c r="F452" s="121" t="s">
        <v>263</v>
      </c>
      <c r="G452" s="121"/>
      <c r="H452" s="121"/>
      <c r="I452" s="121"/>
      <c r="J452" s="121"/>
      <c r="K452" s="27" t="str">
        <f t="shared" si="130"/>
        <v>1</v>
      </c>
      <c r="L452" s="27">
        <v>1</v>
      </c>
      <c r="M452" s="27" t="str">
        <f t="shared" si="131"/>
        <v>1</v>
      </c>
      <c r="N452" s="121" t="s">
        <v>302</v>
      </c>
      <c r="O452" s="121" t="s">
        <v>268</v>
      </c>
      <c r="P452" s="27" t="str">
        <f t="shared" si="135"/>
        <v>1</v>
      </c>
      <c r="Q452" s="27" t="str">
        <f t="shared" si="136"/>
        <v>1</v>
      </c>
      <c r="R452" s="27" t="str">
        <f t="shared" si="137"/>
        <v>1</v>
      </c>
      <c r="S452" s="27" t="str">
        <f t="shared" si="138"/>
        <v>1</v>
      </c>
      <c r="T452" s="27" t="str">
        <f t="shared" si="139"/>
        <v>1</v>
      </c>
      <c r="U452" s="27" t="str">
        <f t="shared" si="140"/>
        <v>1</v>
      </c>
      <c r="V452" s="27" t="str">
        <f t="shared" si="141"/>
        <v>1</v>
      </c>
      <c r="W452" s="27"/>
      <c r="X452" s="27" t="str">
        <f t="shared" si="142"/>
        <v>0</v>
      </c>
      <c r="Y452" s="27" t="str">
        <f t="shared" si="143"/>
        <v>0</v>
      </c>
      <c r="Z452" s="27" t="str">
        <f t="shared" si="144"/>
        <v>0</v>
      </c>
      <c r="AA452" s="121"/>
      <c r="AB452" s="121"/>
      <c r="AC452" s="121"/>
      <c r="AD452" s="121"/>
      <c r="AE452" s="121" t="s">
        <v>51</v>
      </c>
      <c r="AF452" s="121"/>
      <c r="AG452" s="121"/>
      <c r="AH452" s="28" t="s">
        <v>388</v>
      </c>
      <c r="AI452" s="28" t="s">
        <v>113</v>
      </c>
      <c r="AJ452" s="28">
        <v>84050</v>
      </c>
      <c r="AK452" s="121" t="str">
        <f t="shared" si="129"/>
        <v>0</v>
      </c>
      <c r="AL452" s="123" t="str">
        <f t="shared" si="105"/>
        <v>14821/불량현황 분석/qc.anal/InspList2</v>
      </c>
      <c r="AM452" s="27"/>
      <c r="AN452" s="124"/>
      <c r="AO452" s="124"/>
      <c r="AP452" s="124"/>
      <c r="AQ452" s="124"/>
      <c r="AR452" s="124"/>
      <c r="AS452" s="124"/>
      <c r="AT452" s="124" t="s">
        <v>1942</v>
      </c>
      <c r="AU452" s="124" t="str">
        <f t="shared" si="133"/>
        <v>Q294001</v>
      </c>
      <c r="AV452" s="124" t="s">
        <v>2920</v>
      </c>
      <c r="AW452" s="117" t="s">
        <v>2150</v>
      </c>
      <c r="AX452" s="138" t="str">
        <f t="shared" si="127"/>
        <v>delete from module_mst where pjt_id = '14821' and menu_id = '294001';</v>
      </c>
      <c r="AY452" s="31" t="str">
        <f>IF(C452&lt;&gt;"",CREATE_QUERY($D$1,C$2:AW$2,C452:AW452),"")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'294001', '불량현황 분석', '', '', '', '', '1', '1', '1', 'qc.anal', 'InspList2', '1', '1', '1', '1', '1', '1', '1', '', '0', '0', '0', '', '', '', '', 'N', '', '', '294000', '5', '84050', '0', '14821/불량현황 분석/qc.anal/InspList2', '', '', '', '', '', '', '', 'Q', 'MES-TD3-596', '불량 현황 조회');</v>
      </c>
    </row>
    <row r="453" spans="1:51">
      <c r="A453" s="1">
        <v>165</v>
      </c>
      <c r="B453" s="121" t="str">
        <f t="shared" si="128"/>
        <v xml:space="preserve">        └ X-R 관리도</v>
      </c>
      <c r="C453" s="27" t="str">
        <f t="shared" si="109"/>
        <v>14821</v>
      </c>
      <c r="D453" s="121"/>
      <c r="E453" s="27">
        <v>294002</v>
      </c>
      <c r="F453" s="121" t="s">
        <v>264</v>
      </c>
      <c r="G453" s="121"/>
      <c r="H453" s="121"/>
      <c r="I453" s="121"/>
      <c r="J453" s="121"/>
      <c r="K453" s="27" t="str">
        <f t="shared" si="130"/>
        <v>1</v>
      </c>
      <c r="L453" s="27">
        <v>1</v>
      </c>
      <c r="M453" s="27" t="str">
        <f t="shared" si="131"/>
        <v>1</v>
      </c>
      <c r="N453" s="121" t="s">
        <v>302</v>
      </c>
      <c r="O453" s="121" t="s">
        <v>269</v>
      </c>
      <c r="P453" s="27" t="str">
        <f t="shared" si="135"/>
        <v>1</v>
      </c>
      <c r="Q453" s="27" t="str">
        <f t="shared" si="136"/>
        <v>1</v>
      </c>
      <c r="R453" s="27" t="str">
        <f t="shared" si="137"/>
        <v>1</v>
      </c>
      <c r="S453" s="27" t="str">
        <f t="shared" si="138"/>
        <v>1</v>
      </c>
      <c r="T453" s="27" t="str">
        <f t="shared" si="139"/>
        <v>1</v>
      </c>
      <c r="U453" s="27" t="str">
        <f t="shared" si="140"/>
        <v>1</v>
      </c>
      <c r="V453" s="27" t="str">
        <f t="shared" si="141"/>
        <v>1</v>
      </c>
      <c r="W453" s="27"/>
      <c r="X453" s="27" t="str">
        <f t="shared" si="142"/>
        <v>0</v>
      </c>
      <c r="Y453" s="27" t="str">
        <f t="shared" si="143"/>
        <v>0</v>
      </c>
      <c r="Z453" s="27" t="str">
        <f t="shared" si="144"/>
        <v>0</v>
      </c>
      <c r="AA453" s="121"/>
      <c r="AB453" s="121"/>
      <c r="AC453" s="121"/>
      <c r="AD453" s="121"/>
      <c r="AE453" s="121" t="s">
        <v>51</v>
      </c>
      <c r="AF453" s="121"/>
      <c r="AG453" s="121"/>
      <c r="AH453" s="28" t="s">
        <v>388</v>
      </c>
      <c r="AI453" s="28" t="s">
        <v>113</v>
      </c>
      <c r="AJ453" s="28">
        <v>84100</v>
      </c>
      <c r="AK453" s="121" t="str">
        <f t="shared" si="129"/>
        <v/>
      </c>
      <c r="AL453" s="123" t="str">
        <f t="shared" si="105"/>
        <v>14821/X-R 관리도/qc.anal/InspXrList</v>
      </c>
      <c r="AM453" s="27"/>
      <c r="AN453" s="124"/>
      <c r="AO453" s="124"/>
      <c r="AP453" s="124"/>
      <c r="AQ453" s="124"/>
      <c r="AR453" s="124"/>
      <c r="AS453" s="124"/>
      <c r="AT453" s="124" t="s">
        <v>1942</v>
      </c>
      <c r="AU453" s="124" t="str">
        <f t="shared" si="133"/>
        <v>Q294002</v>
      </c>
      <c r="AV453" s="124" t="s">
        <v>2921</v>
      </c>
      <c r="AW453" s="117" t="s">
        <v>2152</v>
      </c>
      <c r="AX453" s="138" t="str">
        <f t="shared" ref="AX453:AX516" si="146">IF(C453="","","delete from module_mst where pjt_id = '"&amp;C453&amp;"' and menu_id = '"&amp;E453&amp;"';")</f>
        <v>delete from module_mst where pjt_id = '14821' and menu_id = '294002';</v>
      </c>
      <c r="AY453" s="31" t="str">
        <f>IF(C453&lt;&gt;"",CREATE_QUERY($D$1,C$2:AW$2,C453:AW453),"")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'294002', 'X-R 관리도', '', '', '', '', '1', '1', '1', 'qc.anal', 'InspXrList', '1', '1', '1', '1', '1', '1', '1', '', '0', '0', '0', '', '', '', '', 'N', '', '', '294000', '5', '84100', '', '14821/X-R 관리도/qc.anal/InspXrList', '', '', '', '', '', '', '', 'Q', 'MES-TD3-597', 'X-R 관리도조회');</v>
      </c>
    </row>
    <row r="454" spans="1:51">
      <c r="A454" s="1">
        <v>166</v>
      </c>
      <c r="B454" s="121" t="str">
        <f t="shared" ref="B454:B517" si="147">IF(F454="","",IF(AI454="1","",IF(AI454="2","└ ",IF(AI454="3","  └ ",IF(AI454="4","    └ ",IF(AI454="5","        └ ",IF(AI454="6","         └ ",IF(AI454="7"="            └ ",""))))))))&amp;AM454&amp;F454</f>
        <v/>
      </c>
      <c r="C454" s="27" t="str">
        <f t="shared" si="109"/>
        <v/>
      </c>
      <c r="D454" s="121"/>
      <c r="E454" s="27"/>
      <c r="F454" s="121"/>
      <c r="G454" s="121"/>
      <c r="H454" s="121"/>
      <c r="I454" s="121"/>
      <c r="J454" s="121"/>
      <c r="K454" s="27" t="str">
        <f t="shared" si="130"/>
        <v/>
      </c>
      <c r="L454" s="27">
        <v>1</v>
      </c>
      <c r="M454" s="27" t="str">
        <f t="shared" si="131"/>
        <v>0</v>
      </c>
      <c r="N454" s="121"/>
      <c r="O454" s="121"/>
      <c r="P454" s="27" t="str">
        <f t="shared" si="135"/>
        <v>0</v>
      </c>
      <c r="Q454" s="27" t="str">
        <f t="shared" si="136"/>
        <v>0</v>
      </c>
      <c r="R454" s="27" t="str">
        <f t="shared" si="137"/>
        <v>0</v>
      </c>
      <c r="S454" s="27" t="str">
        <f t="shared" si="138"/>
        <v>0</v>
      </c>
      <c r="T454" s="27" t="str">
        <f t="shared" si="139"/>
        <v>0</v>
      </c>
      <c r="U454" s="27" t="str">
        <f t="shared" si="140"/>
        <v>0</v>
      </c>
      <c r="V454" s="27" t="str">
        <f t="shared" si="141"/>
        <v>1</v>
      </c>
      <c r="W454" s="27"/>
      <c r="X454" s="27" t="str">
        <f t="shared" si="142"/>
        <v/>
      </c>
      <c r="Y454" s="27" t="str">
        <f t="shared" si="143"/>
        <v/>
      </c>
      <c r="Z454" s="27" t="str">
        <f t="shared" si="144"/>
        <v/>
      </c>
      <c r="AA454" s="121"/>
      <c r="AB454" s="121"/>
      <c r="AC454" s="121"/>
      <c r="AD454" s="121"/>
      <c r="AE454" s="121"/>
      <c r="AF454" s="121"/>
      <c r="AG454" s="121"/>
      <c r="AH454" s="27"/>
      <c r="AI454" s="27"/>
      <c r="AJ454" s="27" t="s">
        <v>900</v>
      </c>
      <c r="AK454" s="121" t="str">
        <f t="shared" si="129"/>
        <v>0</v>
      </c>
      <c r="AL454" s="123" t="str">
        <f t="shared" si="105"/>
        <v/>
      </c>
      <c r="AM454" s="27"/>
      <c r="AN454" s="124"/>
      <c r="AO454" s="124"/>
      <c r="AP454" s="124"/>
      <c r="AQ454" s="124"/>
      <c r="AR454" s="124"/>
      <c r="AS454" s="124"/>
      <c r="AT454" s="124"/>
      <c r="AU454" s="124" t="str">
        <f t="shared" si="133"/>
        <v/>
      </c>
      <c r="AV454" s="124"/>
      <c r="AW454" s="117"/>
      <c r="AX454" s="138" t="str">
        <f t="shared" si="146"/>
        <v/>
      </c>
      <c r="AY454" s="31" t="str">
        <f>IF(C454&lt;&gt;"",CREATE_QUERY($D$1,C$2:AW$2,C454:AW454),"")</f>
        <v/>
      </c>
    </row>
    <row r="455" spans="1:51">
      <c r="A455" s="1">
        <v>149</v>
      </c>
      <c r="B455" s="121" t="str">
        <f t="shared" si="147"/>
        <v xml:space="preserve">  └ (프로젝트)설계 관리</v>
      </c>
      <c r="C455" s="27" t="str">
        <f t="shared" si="109"/>
        <v>14821</v>
      </c>
      <c r="D455" s="121"/>
      <c r="E455" s="24" t="s">
        <v>363</v>
      </c>
      <c r="F455" s="127" t="s">
        <v>364</v>
      </c>
      <c r="G455" s="127"/>
      <c r="H455" s="127"/>
      <c r="I455" s="127"/>
      <c r="J455" s="127"/>
      <c r="K455" s="25" t="str">
        <f t="shared" si="130"/>
        <v/>
      </c>
      <c r="L455" s="25">
        <v>1</v>
      </c>
      <c r="M455" s="25" t="str">
        <f t="shared" si="131"/>
        <v>0</v>
      </c>
      <c r="N455" s="127"/>
      <c r="O455" s="127"/>
      <c r="P455" s="25" t="str">
        <f t="shared" si="135"/>
        <v>0</v>
      </c>
      <c r="Q455" s="25" t="str">
        <f t="shared" si="136"/>
        <v>0</v>
      </c>
      <c r="R455" s="25" t="str">
        <f t="shared" si="137"/>
        <v>0</v>
      </c>
      <c r="S455" s="25" t="str">
        <f t="shared" si="138"/>
        <v>0</v>
      </c>
      <c r="T455" s="25" t="str">
        <f t="shared" si="139"/>
        <v>0</v>
      </c>
      <c r="U455" s="25" t="str">
        <f t="shared" si="140"/>
        <v>0</v>
      </c>
      <c r="V455" s="25" t="str">
        <f t="shared" si="141"/>
        <v>1</v>
      </c>
      <c r="W455" s="25"/>
      <c r="X455" s="25" t="str">
        <f t="shared" si="142"/>
        <v/>
      </c>
      <c r="Y455" s="25" t="str">
        <f t="shared" si="143"/>
        <v/>
      </c>
      <c r="Z455" s="25" t="str">
        <f t="shared" si="144"/>
        <v/>
      </c>
      <c r="AA455" s="127"/>
      <c r="AB455" s="127"/>
      <c r="AC455" s="127"/>
      <c r="AD455" s="127"/>
      <c r="AE455" s="127" t="s">
        <v>51</v>
      </c>
      <c r="AF455" s="127"/>
      <c r="AG455" s="127"/>
      <c r="AH455" s="24" t="s">
        <v>120</v>
      </c>
      <c r="AI455" s="24" t="s">
        <v>111</v>
      </c>
      <c r="AJ455" s="24">
        <v>85000</v>
      </c>
      <c r="AK455" s="121" t="str">
        <f t="shared" si="129"/>
        <v>0</v>
      </c>
      <c r="AL455" s="123" t="str">
        <f t="shared" si="105"/>
        <v>14821/설계 관리//</v>
      </c>
      <c r="AM455" s="24" t="s">
        <v>1887</v>
      </c>
      <c r="AN455" s="124"/>
      <c r="AO455" s="124"/>
      <c r="AP455" s="124"/>
      <c r="AQ455" s="124" t="s">
        <v>1829</v>
      </c>
      <c r="AR455" s="124"/>
      <c r="AS455" s="124"/>
      <c r="AT455" s="124" t="s">
        <v>1943</v>
      </c>
      <c r="AU455" s="124" t="str">
        <f t="shared" si="133"/>
        <v/>
      </c>
      <c r="AV455" s="124"/>
      <c r="AW455" s="117"/>
      <c r="AX455" s="138" t="str">
        <f t="shared" si="146"/>
        <v>delete from module_mst where pjt_id = '14821' and menu_id = '300000';</v>
      </c>
      <c r="AY455" s="31" t="str">
        <f>IF(C455&lt;&gt;"",CREATE_QUERY($D$1,C$2:AW$2,C455:AW455),"")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'300000', '설계 관리', '', '', '', '', '', '1', '0', '', '', '0', '0', '0', '0', '0', '0', '1', '', '', '', '', '', '', '', '', 'N', '', '', '200000', '3', '85000', '0', '14821/설계 관리//', '(프로젝트)', '', '', '', 'Y', '', '', 'D', '', '');</v>
      </c>
    </row>
    <row r="456" spans="1:51">
      <c r="A456" s="1">
        <v>150</v>
      </c>
      <c r="B456" s="121" t="str">
        <f t="shared" si="147"/>
        <v xml:space="preserve">    └ 대일정계획 관리</v>
      </c>
      <c r="C456" s="27" t="str">
        <f t="shared" si="109"/>
        <v>14821</v>
      </c>
      <c r="D456" s="121"/>
      <c r="E456" s="21">
        <v>300001</v>
      </c>
      <c r="F456" s="118" t="s">
        <v>365</v>
      </c>
      <c r="G456" s="118"/>
      <c r="H456" s="118"/>
      <c r="I456" s="118"/>
      <c r="J456" s="118"/>
      <c r="K456" s="21" t="str">
        <f t="shared" si="130"/>
        <v>1</v>
      </c>
      <c r="L456" s="21">
        <v>1</v>
      </c>
      <c r="M456" s="21" t="str">
        <f t="shared" si="131"/>
        <v>1</v>
      </c>
      <c r="N456" s="118" t="s">
        <v>391</v>
      </c>
      <c r="O456" s="118" t="s">
        <v>367</v>
      </c>
      <c r="P456" s="21" t="str">
        <f t="shared" si="135"/>
        <v>1</v>
      </c>
      <c r="Q456" s="21" t="str">
        <f t="shared" si="136"/>
        <v>1</v>
      </c>
      <c r="R456" s="21" t="str">
        <f t="shared" si="137"/>
        <v>1</v>
      </c>
      <c r="S456" s="21" t="str">
        <f t="shared" si="138"/>
        <v>1</v>
      </c>
      <c r="T456" s="21" t="str">
        <f t="shared" si="139"/>
        <v>1</v>
      </c>
      <c r="U456" s="21" t="str">
        <f t="shared" si="140"/>
        <v>1</v>
      </c>
      <c r="V456" s="21" t="str">
        <f t="shared" si="141"/>
        <v>1</v>
      </c>
      <c r="W456" s="21"/>
      <c r="X456" s="21" t="str">
        <f t="shared" si="142"/>
        <v>0</v>
      </c>
      <c r="Y456" s="21" t="str">
        <f t="shared" si="143"/>
        <v>0</v>
      </c>
      <c r="Z456" s="21" t="str">
        <f t="shared" si="144"/>
        <v>0</v>
      </c>
      <c r="AA456" s="118"/>
      <c r="AB456" s="118"/>
      <c r="AC456" s="118"/>
      <c r="AD456" s="118"/>
      <c r="AE456" s="118" t="s">
        <v>51</v>
      </c>
      <c r="AF456" s="118"/>
      <c r="AG456" s="118"/>
      <c r="AH456" s="21" t="s">
        <v>363</v>
      </c>
      <c r="AI456" s="26" t="s">
        <v>112</v>
      </c>
      <c r="AJ456" s="26">
        <v>85050</v>
      </c>
      <c r="AK456" s="121" t="str">
        <f t="shared" si="129"/>
        <v>0</v>
      </c>
      <c r="AL456" s="123" t="str">
        <f t="shared" si="105"/>
        <v>14821/대일정계획 관리/design.project/DsigPlan1</v>
      </c>
      <c r="AM456" s="21"/>
      <c r="AN456" s="124"/>
      <c r="AO456" s="124"/>
      <c r="AP456" s="124"/>
      <c r="AQ456" s="124" t="s">
        <v>1829</v>
      </c>
      <c r="AR456" s="124"/>
      <c r="AS456" s="124"/>
      <c r="AT456" s="124" t="s">
        <v>1943</v>
      </c>
      <c r="AU456" s="124" t="str">
        <f t="shared" si="133"/>
        <v>D300001</v>
      </c>
      <c r="AV456" s="124" t="s">
        <v>2739</v>
      </c>
      <c r="AW456" s="117" t="s">
        <v>1890</v>
      </c>
      <c r="AX456" s="138" t="str">
        <f t="shared" si="146"/>
        <v>delete from module_mst where pjt_id = '14821' and menu_id = '300001';</v>
      </c>
      <c r="AY456" s="31" t="str">
        <f>IF(C456&lt;&gt;"",CREATE_QUERY($D$1,C$2:AW$2,C456:AW456),"")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'300001', '대일정계획 관리', '', '', '', '', '1', '1', '1', 'design.project', 'DsigPlan1', '1', '1', '1', '1', '1', '1', '1', '', '0', '0', '0', '', '', '', '', 'N', '', '', '300000', '4', '85050', '0', '14821/대일정계획 관리/design.project/DsigPlan1', '', '', '', '', 'Y', '', '', 'D', 'MES-TD3-601', '설계 개략 일정 계획 등록');</v>
      </c>
    </row>
    <row r="457" spans="1:51">
      <c r="A457" s="1">
        <v>167</v>
      </c>
      <c r="B457" s="121" t="str">
        <f t="shared" si="147"/>
        <v xml:space="preserve">    └ 세부일정계획 관리</v>
      </c>
      <c r="C457" s="27" t="str">
        <f t="shared" si="109"/>
        <v>14821</v>
      </c>
      <c r="D457" s="121"/>
      <c r="E457" s="21">
        <v>300002</v>
      </c>
      <c r="F457" s="118" t="s">
        <v>366</v>
      </c>
      <c r="G457" s="118"/>
      <c r="H457" s="118"/>
      <c r="I457" s="118"/>
      <c r="J457" s="118"/>
      <c r="K457" s="21" t="str">
        <f t="shared" si="130"/>
        <v>1</v>
      </c>
      <c r="L457" s="21">
        <v>1</v>
      </c>
      <c r="M457" s="21" t="str">
        <f t="shared" si="131"/>
        <v>1</v>
      </c>
      <c r="N457" s="118" t="s">
        <v>391</v>
      </c>
      <c r="O457" s="118" t="s">
        <v>389</v>
      </c>
      <c r="P457" s="21" t="str">
        <f t="shared" si="135"/>
        <v>1</v>
      </c>
      <c r="Q457" s="21" t="str">
        <f t="shared" si="136"/>
        <v>1</v>
      </c>
      <c r="R457" s="21" t="str">
        <f t="shared" si="137"/>
        <v>1</v>
      </c>
      <c r="S457" s="21" t="str">
        <f t="shared" si="138"/>
        <v>1</v>
      </c>
      <c r="T457" s="21" t="str">
        <f t="shared" si="139"/>
        <v>1</v>
      </c>
      <c r="U457" s="21" t="str">
        <f t="shared" si="140"/>
        <v>1</v>
      </c>
      <c r="V457" s="21" t="str">
        <f t="shared" si="141"/>
        <v>1</v>
      </c>
      <c r="W457" s="21"/>
      <c r="X457" s="21" t="str">
        <f t="shared" si="142"/>
        <v>0</v>
      </c>
      <c r="Y457" s="21" t="str">
        <f t="shared" si="143"/>
        <v>0</v>
      </c>
      <c r="Z457" s="21" t="str">
        <f t="shared" si="144"/>
        <v>0</v>
      </c>
      <c r="AA457" s="118"/>
      <c r="AB457" s="118"/>
      <c r="AC457" s="118"/>
      <c r="AD457" s="118"/>
      <c r="AE457" s="118"/>
      <c r="AF457" s="118"/>
      <c r="AG457" s="118"/>
      <c r="AH457" s="21" t="s">
        <v>363</v>
      </c>
      <c r="AI457" s="26" t="s">
        <v>112</v>
      </c>
      <c r="AJ457" s="26">
        <v>85100</v>
      </c>
      <c r="AK457" s="121" t="str">
        <f t="shared" si="129"/>
        <v>0</v>
      </c>
      <c r="AL457" s="123" t="str">
        <f t="shared" si="105"/>
        <v>14821/세부일정계획 관리/design.project/DsigPlan2</v>
      </c>
      <c r="AM457" s="21"/>
      <c r="AN457" s="124"/>
      <c r="AO457" s="124"/>
      <c r="AP457" s="124"/>
      <c r="AQ457" s="124" t="s">
        <v>1829</v>
      </c>
      <c r="AR457" s="124"/>
      <c r="AS457" s="124"/>
      <c r="AT457" s="124" t="s">
        <v>1943</v>
      </c>
      <c r="AU457" s="124" t="str">
        <f t="shared" si="133"/>
        <v>D300002</v>
      </c>
      <c r="AV457" s="124" t="s">
        <v>2740</v>
      </c>
      <c r="AW457" s="117" t="s">
        <v>1891</v>
      </c>
      <c r="AX457" s="138" t="str">
        <f t="shared" si="146"/>
        <v>delete from module_mst where pjt_id = '14821' and menu_id = '300002';</v>
      </c>
      <c r="AY457" s="31" t="str">
        <f>IF(C457&lt;&gt;"",CREATE_QUERY($D$1,C$2:AW$2,C457:AW457),"")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'300002', '세부일정계획 관리', '', '', '', '', '1', '1', '1', 'design.project', 'DsigPlan2', '1', '1', '1', '1', '1', '1', '1', '', '0', '0', '0', '', '', '', '', '', '', '', '300000', '4', '85100', '0', '14821/세부일정계획 관리/design.project/DsigPlan2', '', '', '', '', 'Y', '', '', 'D', 'MES-TD3-602', '확정된 상세 설계 일정 계획 관리');</v>
      </c>
    </row>
    <row r="458" spans="1:51">
      <c r="A458" s="1">
        <v>168</v>
      </c>
      <c r="B458" s="121" t="str">
        <f t="shared" si="147"/>
        <v xml:space="preserve">    └ 설계작업일지관리</v>
      </c>
      <c r="C458" s="27" t="str">
        <f t="shared" si="109"/>
        <v>14821</v>
      </c>
      <c r="D458" s="121"/>
      <c r="E458" s="21">
        <v>300003</v>
      </c>
      <c r="F458" s="118" t="s">
        <v>382</v>
      </c>
      <c r="G458" s="118"/>
      <c r="H458" s="118"/>
      <c r="I458" s="118"/>
      <c r="J458" s="118"/>
      <c r="K458" s="21" t="str">
        <f t="shared" si="130"/>
        <v>1</v>
      </c>
      <c r="L458" s="21">
        <v>1</v>
      </c>
      <c r="M458" s="21" t="str">
        <f t="shared" si="131"/>
        <v>1</v>
      </c>
      <c r="N458" s="118" t="s">
        <v>391</v>
      </c>
      <c r="O458" s="118" t="s">
        <v>368</v>
      </c>
      <c r="P458" s="21" t="str">
        <f t="shared" si="135"/>
        <v>1</v>
      </c>
      <c r="Q458" s="21" t="str">
        <f t="shared" si="136"/>
        <v>1</v>
      </c>
      <c r="R458" s="21" t="str">
        <f t="shared" si="137"/>
        <v>1</v>
      </c>
      <c r="S458" s="21" t="str">
        <f t="shared" si="138"/>
        <v>1</v>
      </c>
      <c r="T458" s="21" t="str">
        <f t="shared" si="139"/>
        <v>1</v>
      </c>
      <c r="U458" s="21" t="str">
        <f t="shared" si="140"/>
        <v>1</v>
      </c>
      <c r="V458" s="21" t="str">
        <f t="shared" si="141"/>
        <v>1</v>
      </c>
      <c r="W458" s="21"/>
      <c r="X458" s="21" t="str">
        <f t="shared" si="142"/>
        <v>0</v>
      </c>
      <c r="Y458" s="21" t="str">
        <f t="shared" si="143"/>
        <v>0</v>
      </c>
      <c r="Z458" s="21" t="str">
        <f t="shared" si="144"/>
        <v>0</v>
      </c>
      <c r="AA458" s="118"/>
      <c r="AB458" s="118"/>
      <c r="AC458" s="118"/>
      <c r="AD458" s="118"/>
      <c r="AE458" s="118"/>
      <c r="AF458" s="118"/>
      <c r="AG458" s="118"/>
      <c r="AH458" s="21" t="s">
        <v>363</v>
      </c>
      <c r="AI458" s="26" t="s">
        <v>112</v>
      </c>
      <c r="AJ458" s="26">
        <v>85150</v>
      </c>
      <c r="AK458" s="121" t="str">
        <f t="shared" si="129"/>
        <v>0</v>
      </c>
      <c r="AL458" s="123" t="str">
        <f t="shared" ref="AL458:AL542" si="148">IF(C458="","",C458&amp;"/"&amp;F458&amp;"/"&amp;N458&amp;"/"&amp;O458)</f>
        <v>14821/설계작업일지관리/design.project/DsigWork</v>
      </c>
      <c r="AM458" s="21"/>
      <c r="AN458" s="124"/>
      <c r="AO458" s="124"/>
      <c r="AP458" s="124"/>
      <c r="AQ458" s="124" t="s">
        <v>1829</v>
      </c>
      <c r="AR458" s="124"/>
      <c r="AS458" s="124"/>
      <c r="AT458" s="124" t="s">
        <v>1943</v>
      </c>
      <c r="AU458" s="124" t="str">
        <f t="shared" si="133"/>
        <v>D300003</v>
      </c>
      <c r="AV458" s="124" t="s">
        <v>2741</v>
      </c>
      <c r="AW458" s="117" t="s">
        <v>1892</v>
      </c>
      <c r="AX458" s="138" t="str">
        <f t="shared" si="146"/>
        <v>delete from module_mst where pjt_id = '14821' and menu_id = '300003';</v>
      </c>
      <c r="AY458" s="31" t="str">
        <f>IF(C458&lt;&gt;"",CREATE_QUERY($D$1,C$2:AW$2,C458:AW458),"")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'300003', '설계작업일지관리', '', '', '', '', '1', '1', '1', 'design.project', 'DsigWork', '1', '1', '1', '1', '1', '1', '1', '', '0', '0', '0', '', '', '', '', '', '', '', '300000', '4', '85150', '0', '14821/설계작업일지관리/design.project/DsigWork', '', '', '', '', 'Y', '', '', 'D', 'MES-TD3-603', '설계 작업 실적 등록(일정계획을 근거로)');</v>
      </c>
    </row>
    <row r="459" spans="1:51">
      <c r="A459" s="1">
        <v>168</v>
      </c>
      <c r="B459" s="121" t="str">
        <f t="shared" si="147"/>
        <v xml:space="preserve">    └ BOM 등록</v>
      </c>
      <c r="C459" s="27" t="str">
        <f t="shared" si="109"/>
        <v>14821</v>
      </c>
      <c r="D459" s="121"/>
      <c r="E459" s="21">
        <v>300004</v>
      </c>
      <c r="F459" s="118" t="s">
        <v>1965</v>
      </c>
      <c r="G459" s="118"/>
      <c r="H459" s="118"/>
      <c r="I459" s="118"/>
      <c r="J459" s="118"/>
      <c r="K459" s="21" t="str">
        <f t="shared" si="130"/>
        <v>1</v>
      </c>
      <c r="L459" s="21">
        <v>1</v>
      </c>
      <c r="M459" s="21" t="str">
        <f t="shared" si="131"/>
        <v>1</v>
      </c>
      <c r="N459" s="118" t="s">
        <v>391</v>
      </c>
      <c r="O459" s="118" t="s">
        <v>1966</v>
      </c>
      <c r="P459" s="21" t="str">
        <f t="shared" si="135"/>
        <v>1</v>
      </c>
      <c r="Q459" s="21" t="str">
        <f t="shared" si="136"/>
        <v>1</v>
      </c>
      <c r="R459" s="21" t="str">
        <f t="shared" si="137"/>
        <v>1</v>
      </c>
      <c r="S459" s="21" t="str">
        <f t="shared" si="138"/>
        <v>1</v>
      </c>
      <c r="T459" s="21" t="str">
        <f t="shared" si="139"/>
        <v>1</v>
      </c>
      <c r="U459" s="21" t="str">
        <f t="shared" si="140"/>
        <v>1</v>
      </c>
      <c r="V459" s="21" t="str">
        <f t="shared" si="141"/>
        <v>1</v>
      </c>
      <c r="W459" s="21"/>
      <c r="X459" s="21" t="str">
        <f t="shared" si="142"/>
        <v>0</v>
      </c>
      <c r="Y459" s="21" t="str">
        <f t="shared" si="143"/>
        <v>0</v>
      </c>
      <c r="Z459" s="21" t="str">
        <f t="shared" si="144"/>
        <v>0</v>
      </c>
      <c r="AA459" s="118"/>
      <c r="AB459" s="118"/>
      <c r="AC459" s="118"/>
      <c r="AD459" s="118"/>
      <c r="AE459" s="118"/>
      <c r="AF459" s="118"/>
      <c r="AG459" s="118"/>
      <c r="AH459" s="21" t="s">
        <v>363</v>
      </c>
      <c r="AI459" s="26" t="s">
        <v>112</v>
      </c>
      <c r="AJ459" s="26">
        <v>85200</v>
      </c>
      <c r="AK459" s="121" t="str">
        <f t="shared" si="129"/>
        <v>0</v>
      </c>
      <c r="AL459" s="123" t="str">
        <f t="shared" si="148"/>
        <v>14821/BOM 등록/design.project/BomWork</v>
      </c>
      <c r="AM459" s="21"/>
      <c r="AN459" s="124"/>
      <c r="AO459" s="124"/>
      <c r="AP459" s="124"/>
      <c r="AQ459" s="124" t="s">
        <v>1829</v>
      </c>
      <c r="AR459" s="124"/>
      <c r="AS459" s="124"/>
      <c r="AT459" s="124" t="s">
        <v>1943</v>
      </c>
      <c r="AU459" s="124" t="str">
        <f t="shared" si="133"/>
        <v>D300004</v>
      </c>
      <c r="AV459" s="124" t="s">
        <v>2742</v>
      </c>
      <c r="AW459" s="117" t="s">
        <v>1967</v>
      </c>
      <c r="AX459" s="138" t="str">
        <f t="shared" si="146"/>
        <v>delete from module_mst where pjt_id = '14821' and menu_id = '300004';</v>
      </c>
      <c r="AY459" s="31" t="str">
        <f>IF(C459&lt;&gt;"",CREATE_QUERY($D$1,C$2:AW$2,C459:AW459),"")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'300004', 'BOM 등록', '', '', '', '', '1', '1', '1', 'design.project', 'BomWork', '1', '1', '1', '1', '1', '1', '1', '', '0', '0', '0', '', '', '', '', '', '', '', '300000', '4', '85200', '0', '14821/BOM 등록/design.project/BomWork', '', '', '', '', 'Y', '', '', 'D', 'MES-TD3-604', '제작에 필요한 BOM 등록');</v>
      </c>
    </row>
    <row r="460" spans="1:51">
      <c r="A460" s="1">
        <v>168</v>
      </c>
      <c r="B460" s="121" t="str">
        <f t="shared" si="147"/>
        <v xml:space="preserve">    └ 설계자료 관리</v>
      </c>
      <c r="C460" s="27" t="str">
        <f t="shared" si="109"/>
        <v>14821</v>
      </c>
      <c r="D460" s="121"/>
      <c r="E460" s="21">
        <v>300005</v>
      </c>
      <c r="F460" s="118" t="s">
        <v>2067</v>
      </c>
      <c r="G460" s="118"/>
      <c r="H460" s="118"/>
      <c r="I460" s="118"/>
      <c r="J460" s="118"/>
      <c r="K460" s="21" t="str">
        <f t="shared" si="130"/>
        <v>1</v>
      </c>
      <c r="L460" s="21">
        <v>1</v>
      </c>
      <c r="M460" s="21" t="str">
        <f t="shared" si="131"/>
        <v>1</v>
      </c>
      <c r="N460" s="118" t="s">
        <v>391</v>
      </c>
      <c r="O460" s="118" t="s">
        <v>2068</v>
      </c>
      <c r="P460" s="21" t="str">
        <f t="shared" si="135"/>
        <v>1</v>
      </c>
      <c r="Q460" s="21" t="str">
        <f t="shared" si="136"/>
        <v>1</v>
      </c>
      <c r="R460" s="21" t="str">
        <f t="shared" si="137"/>
        <v>1</v>
      </c>
      <c r="S460" s="21" t="str">
        <f t="shared" si="138"/>
        <v>1</v>
      </c>
      <c r="T460" s="21" t="str">
        <f t="shared" si="139"/>
        <v>1</v>
      </c>
      <c r="U460" s="21" t="str">
        <f t="shared" si="140"/>
        <v>1</v>
      </c>
      <c r="V460" s="21" t="str">
        <f t="shared" si="141"/>
        <v>1</v>
      </c>
      <c r="W460" s="21"/>
      <c r="X460" s="21" t="str">
        <f t="shared" si="142"/>
        <v>0</v>
      </c>
      <c r="Y460" s="21" t="str">
        <f t="shared" si="143"/>
        <v>0</v>
      </c>
      <c r="Z460" s="21" t="str">
        <f t="shared" si="144"/>
        <v>0</v>
      </c>
      <c r="AA460" s="118"/>
      <c r="AB460" s="118"/>
      <c r="AC460" s="118"/>
      <c r="AD460" s="118"/>
      <c r="AE460" s="118"/>
      <c r="AF460" s="118"/>
      <c r="AG460" s="118"/>
      <c r="AH460" s="21" t="s">
        <v>363</v>
      </c>
      <c r="AI460" s="26" t="s">
        <v>112</v>
      </c>
      <c r="AJ460" s="26">
        <v>85250</v>
      </c>
      <c r="AK460" s="121" t="str">
        <f t="shared" si="129"/>
        <v/>
      </c>
      <c r="AL460" s="123" t="str">
        <f t="shared" si="148"/>
        <v>14821/설계자료 관리/design.project/DsigFile</v>
      </c>
      <c r="AM460" s="21"/>
      <c r="AN460" s="124"/>
      <c r="AO460" s="124"/>
      <c r="AP460" s="124"/>
      <c r="AQ460" s="124" t="s">
        <v>1829</v>
      </c>
      <c r="AR460" s="124"/>
      <c r="AS460" s="124"/>
      <c r="AT460" s="124" t="s">
        <v>1943</v>
      </c>
      <c r="AU460" s="124" t="str">
        <f t="shared" si="133"/>
        <v>D300005</v>
      </c>
      <c r="AV460" s="124" t="s">
        <v>2743</v>
      </c>
      <c r="AW460" s="117" t="s">
        <v>2069</v>
      </c>
      <c r="AX460" s="138" t="str">
        <f t="shared" si="146"/>
        <v>delete from module_mst where pjt_id = '14821' and menu_id = '300005';</v>
      </c>
      <c r="AY460" s="31" t="str">
        <f>IF(C460&lt;&gt;"",CREATE_QUERY($D$1,C$2:AW$2,C460:AW460),"")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'300005', '설계자료 관리', '', '', '', '', '1', '1', '1', 'design.project', 'DsigFile', '1', '1', '1', '1', '1', '1', '1', '', '0', '0', '0', '', '', '', '', '', '', '', '300000', '4', '85250', '', '14821/설계자료 관리/design.project/DsigFile', '', '', '', '', 'Y', '', '', 'D', 'MES-TD3-605', '설계도면 자료 관리');</v>
      </c>
    </row>
    <row r="461" spans="1:51">
      <c r="A461" s="1">
        <v>169</v>
      </c>
      <c r="B461" s="121" t="str">
        <f t="shared" si="147"/>
        <v/>
      </c>
      <c r="C461" s="27" t="str">
        <f t="shared" ref="C461:C538" si="149">IF(F461="","","14821")</f>
        <v/>
      </c>
      <c r="D461" s="121"/>
      <c r="E461" s="27"/>
      <c r="F461" s="121"/>
      <c r="G461" s="121"/>
      <c r="H461" s="121"/>
      <c r="I461" s="121"/>
      <c r="J461" s="121"/>
      <c r="K461" s="27" t="str">
        <f t="shared" si="130"/>
        <v/>
      </c>
      <c r="L461" s="27">
        <v>1</v>
      </c>
      <c r="M461" s="27" t="str">
        <f t="shared" si="131"/>
        <v>0</v>
      </c>
      <c r="N461" s="121"/>
      <c r="O461" s="121"/>
      <c r="P461" s="27" t="str">
        <f t="shared" si="135"/>
        <v>0</v>
      </c>
      <c r="Q461" s="27" t="str">
        <f t="shared" si="136"/>
        <v>0</v>
      </c>
      <c r="R461" s="27" t="str">
        <f t="shared" si="137"/>
        <v>0</v>
      </c>
      <c r="S461" s="27" t="str">
        <f t="shared" si="138"/>
        <v>0</v>
      </c>
      <c r="T461" s="27" t="str">
        <f t="shared" si="139"/>
        <v>0</v>
      </c>
      <c r="U461" s="27" t="str">
        <f t="shared" si="140"/>
        <v>0</v>
      </c>
      <c r="V461" s="27" t="str">
        <f t="shared" si="141"/>
        <v>1</v>
      </c>
      <c r="W461" s="27"/>
      <c r="X461" s="27" t="str">
        <f t="shared" si="142"/>
        <v/>
      </c>
      <c r="Y461" s="27" t="str">
        <f t="shared" si="143"/>
        <v/>
      </c>
      <c r="Z461" s="27" t="str">
        <f t="shared" si="144"/>
        <v/>
      </c>
      <c r="AA461" s="121"/>
      <c r="AB461" s="121"/>
      <c r="AC461" s="121"/>
      <c r="AD461" s="121"/>
      <c r="AE461" s="121"/>
      <c r="AF461" s="121"/>
      <c r="AG461" s="121"/>
      <c r="AH461" s="27"/>
      <c r="AI461" s="27"/>
      <c r="AJ461" s="27" t="s">
        <v>900</v>
      </c>
      <c r="AK461" s="121" t="str">
        <f t="shared" si="129"/>
        <v>0</v>
      </c>
      <c r="AL461" s="123" t="str">
        <f t="shared" si="148"/>
        <v/>
      </c>
      <c r="AM461" s="27"/>
      <c r="AN461" s="124"/>
      <c r="AO461" s="124"/>
      <c r="AP461" s="124"/>
      <c r="AQ461" s="124"/>
      <c r="AR461" s="124"/>
      <c r="AS461" s="124"/>
      <c r="AT461" s="124"/>
      <c r="AU461" s="124" t="str">
        <f t="shared" si="133"/>
        <v/>
      </c>
      <c r="AV461" s="124"/>
      <c r="AW461" s="117"/>
      <c r="AX461" s="138" t="str">
        <f t="shared" si="146"/>
        <v/>
      </c>
      <c r="AY461" s="31" t="str">
        <f>IF(C461&lt;&gt;"",CREATE_QUERY($D$1,C$2:AW$2,C461:AW461),"")</f>
        <v/>
      </c>
    </row>
    <row r="462" spans="1:51">
      <c r="A462" s="1">
        <v>73</v>
      </c>
      <c r="B462" s="121" t="str">
        <f t="shared" si="147"/>
        <v xml:space="preserve">  └ 공지사항 관리</v>
      </c>
      <c r="C462" s="27" t="str">
        <f t="shared" si="149"/>
        <v>14821</v>
      </c>
      <c r="D462" s="121"/>
      <c r="E462" s="24" t="s">
        <v>1914</v>
      </c>
      <c r="F462" s="127" t="s">
        <v>1915</v>
      </c>
      <c r="G462" s="127"/>
      <c r="H462" s="127"/>
      <c r="I462" s="127"/>
      <c r="J462" s="127"/>
      <c r="K462" s="25" t="str">
        <f t="shared" si="130"/>
        <v/>
      </c>
      <c r="L462" s="25">
        <v>1</v>
      </c>
      <c r="M462" s="25" t="str">
        <f t="shared" si="131"/>
        <v>0</v>
      </c>
      <c r="N462" s="127"/>
      <c r="O462" s="127"/>
      <c r="P462" s="25" t="str">
        <f t="shared" si="135"/>
        <v>0</v>
      </c>
      <c r="Q462" s="25" t="str">
        <f t="shared" si="136"/>
        <v>0</v>
      </c>
      <c r="R462" s="25" t="str">
        <f t="shared" si="137"/>
        <v>0</v>
      </c>
      <c r="S462" s="25" t="str">
        <f t="shared" si="138"/>
        <v>0</v>
      </c>
      <c r="T462" s="25" t="str">
        <f t="shared" si="139"/>
        <v>0</v>
      </c>
      <c r="U462" s="25" t="str">
        <f t="shared" si="140"/>
        <v>0</v>
      </c>
      <c r="V462" s="25" t="str">
        <f t="shared" si="141"/>
        <v>1</v>
      </c>
      <c r="W462" s="25"/>
      <c r="X462" s="25" t="str">
        <f t="shared" si="142"/>
        <v/>
      </c>
      <c r="Y462" s="25" t="str">
        <f t="shared" si="143"/>
        <v/>
      </c>
      <c r="Z462" s="25" t="str">
        <f t="shared" si="144"/>
        <v/>
      </c>
      <c r="AA462" s="127"/>
      <c r="AB462" s="127"/>
      <c r="AC462" s="127"/>
      <c r="AD462" s="127"/>
      <c r="AE462" s="127" t="s">
        <v>51</v>
      </c>
      <c r="AF462" s="127"/>
      <c r="AG462" s="127"/>
      <c r="AH462" s="24" t="s">
        <v>120</v>
      </c>
      <c r="AI462" s="24" t="s">
        <v>111</v>
      </c>
      <c r="AJ462" s="24">
        <v>90000</v>
      </c>
      <c r="AK462" s="121" t="str">
        <f t="shared" si="129"/>
        <v>0</v>
      </c>
      <c r="AL462" s="123" t="str">
        <f t="shared" si="148"/>
        <v>14821/공지사항 관리//</v>
      </c>
      <c r="AM462" s="24"/>
      <c r="AN462" s="124"/>
      <c r="AO462" s="124" t="s">
        <v>1829</v>
      </c>
      <c r="AP462" s="124" t="s">
        <v>1829</v>
      </c>
      <c r="AQ462" s="124" t="s">
        <v>1829</v>
      </c>
      <c r="AR462" s="124" t="s">
        <v>1829</v>
      </c>
      <c r="AS462" s="124" t="s">
        <v>1829</v>
      </c>
      <c r="AT462" s="124" t="s">
        <v>1944</v>
      </c>
      <c r="AU462" s="124" t="str">
        <f t="shared" si="133"/>
        <v/>
      </c>
      <c r="AV462" s="124"/>
      <c r="AW462" s="117"/>
      <c r="AX462" s="138" t="str">
        <f t="shared" si="146"/>
        <v>delete from module_mst where pjt_id = '14821' and menu_id = '910000';</v>
      </c>
      <c r="AY462" s="31" t="str">
        <f>IF(C462&lt;&gt;"",CREATE_QUERY($D$1,C$2:AW$2,C462:AW462),"")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'910000', '공지사항 관리', '', '', '', '', '', '1', '0', '', '', '0', '0', '0', '0', '0', '0', '1', '', '', '', '', '', '', '', '', 'N', '', '', '200000', '3', '90000', '0', '14821/공지사항 관리//', '', '', 'Y', 'Y', 'Y', 'Y', 'Y', 'N', '', '');</v>
      </c>
    </row>
    <row r="463" spans="1:51">
      <c r="A463" s="1">
        <v>150</v>
      </c>
      <c r="B463" s="121" t="str">
        <f t="shared" si="147"/>
        <v xml:space="preserve">    └ 공지사항 등록</v>
      </c>
      <c r="C463" s="27" t="str">
        <f t="shared" si="149"/>
        <v>14821</v>
      </c>
      <c r="D463" s="121"/>
      <c r="E463" s="21">
        <v>910001</v>
      </c>
      <c r="F463" s="118" t="s">
        <v>1916</v>
      </c>
      <c r="G463" s="118"/>
      <c r="H463" s="118"/>
      <c r="I463" s="118"/>
      <c r="J463" s="118"/>
      <c r="K463" s="21" t="str">
        <f t="shared" si="130"/>
        <v>1</v>
      </c>
      <c r="L463" s="21">
        <v>1</v>
      </c>
      <c r="M463" s="21" t="str">
        <f t="shared" si="131"/>
        <v>1</v>
      </c>
      <c r="N463" s="118" t="s">
        <v>1918</v>
      </c>
      <c r="O463" s="118" t="s">
        <v>1919</v>
      </c>
      <c r="P463" s="21" t="str">
        <f t="shared" si="135"/>
        <v>1</v>
      </c>
      <c r="Q463" s="21" t="str">
        <f t="shared" si="136"/>
        <v>1</v>
      </c>
      <c r="R463" s="21" t="str">
        <f t="shared" si="137"/>
        <v>1</v>
      </c>
      <c r="S463" s="21" t="str">
        <f t="shared" si="138"/>
        <v>1</v>
      </c>
      <c r="T463" s="21" t="str">
        <f t="shared" si="139"/>
        <v>1</v>
      </c>
      <c r="U463" s="21" t="str">
        <f t="shared" si="140"/>
        <v>1</v>
      </c>
      <c r="V463" s="21" t="str">
        <f t="shared" si="141"/>
        <v>1</v>
      </c>
      <c r="W463" s="21"/>
      <c r="X463" s="21" t="str">
        <f t="shared" si="142"/>
        <v>0</v>
      </c>
      <c r="Y463" s="21" t="str">
        <f t="shared" si="143"/>
        <v>0</v>
      </c>
      <c r="Z463" s="21" t="str">
        <f t="shared" si="144"/>
        <v>0</v>
      </c>
      <c r="AA463" s="118"/>
      <c r="AB463" s="118"/>
      <c r="AC463" s="118"/>
      <c r="AD463" s="118"/>
      <c r="AE463" s="118" t="s">
        <v>51</v>
      </c>
      <c r="AF463" s="118"/>
      <c r="AG463" s="118"/>
      <c r="AH463" s="21">
        <v>910000</v>
      </c>
      <c r="AI463" s="26" t="s">
        <v>112</v>
      </c>
      <c r="AJ463" s="26">
        <v>90050</v>
      </c>
      <c r="AK463" s="121" t="str">
        <f t="shared" si="129"/>
        <v>0</v>
      </c>
      <c r="AL463" s="123" t="str">
        <f t="shared" si="148"/>
        <v>14821/공지사항 등록/notice/NoticeWork</v>
      </c>
      <c r="AM463" s="21"/>
      <c r="AN463" s="124"/>
      <c r="AO463" s="124" t="s">
        <v>1829</v>
      </c>
      <c r="AP463" s="124" t="s">
        <v>1829</v>
      </c>
      <c r="AQ463" s="124" t="s">
        <v>1829</v>
      </c>
      <c r="AR463" s="124" t="s">
        <v>1829</v>
      </c>
      <c r="AS463" s="124" t="s">
        <v>1829</v>
      </c>
      <c r="AT463" s="124" t="s">
        <v>1944</v>
      </c>
      <c r="AU463" s="124" t="str">
        <f t="shared" si="133"/>
        <v>N910001</v>
      </c>
      <c r="AV463" s="124" t="s">
        <v>2744</v>
      </c>
      <c r="AW463" s="117" t="s">
        <v>1921</v>
      </c>
      <c r="AX463" s="138" t="str">
        <f t="shared" si="146"/>
        <v>delete from module_mst where pjt_id = '14821' and menu_id = '910001';</v>
      </c>
      <c r="AY463" s="31" t="str">
        <f>IF(C463&lt;&gt;"",CREATE_QUERY($D$1,C$2:AW$2,C463:AW463),"")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'910001', '공지사항 등록', '', '', '', '', '1', '1', '1', 'notice', 'NoticeWork', '1', '1', '1', '1', '1', '1', '1', '', '0', '0', '0', '', '', '', '', 'N', '', '', '910000', '4', '90050', '0', '14821/공지사항 등록/notice/NoticeWork', '', '', 'Y', 'Y', 'Y', 'Y', 'Y', 'N', 'MES-TD3-701', '공지사항 등록 및 대상자 선별 입력');</v>
      </c>
    </row>
    <row r="464" spans="1:51">
      <c r="A464" s="1">
        <v>167</v>
      </c>
      <c r="B464" s="121" t="str">
        <f t="shared" si="147"/>
        <v xml:space="preserve">    └ 공지사항 확인</v>
      </c>
      <c r="C464" s="27" t="str">
        <f t="shared" si="149"/>
        <v>14821</v>
      </c>
      <c r="D464" s="121"/>
      <c r="E464" s="21">
        <v>910002</v>
      </c>
      <c r="F464" s="118" t="s">
        <v>1917</v>
      </c>
      <c r="G464" s="118"/>
      <c r="H464" s="118"/>
      <c r="I464" s="118"/>
      <c r="J464" s="118"/>
      <c r="K464" s="21" t="str">
        <f t="shared" si="130"/>
        <v>1</v>
      </c>
      <c r="L464" s="21">
        <v>1</v>
      </c>
      <c r="M464" s="21" t="str">
        <f t="shared" si="131"/>
        <v>1</v>
      </c>
      <c r="N464" s="118" t="s">
        <v>1918</v>
      </c>
      <c r="O464" s="118" t="s">
        <v>1920</v>
      </c>
      <c r="P464" s="21" t="str">
        <f t="shared" si="135"/>
        <v>1</v>
      </c>
      <c r="Q464" s="21" t="str">
        <f t="shared" si="136"/>
        <v>1</v>
      </c>
      <c r="R464" s="21" t="str">
        <f t="shared" si="137"/>
        <v>1</v>
      </c>
      <c r="S464" s="21" t="str">
        <f t="shared" si="138"/>
        <v>1</v>
      </c>
      <c r="T464" s="21" t="str">
        <f t="shared" si="139"/>
        <v>1</v>
      </c>
      <c r="U464" s="21" t="str">
        <f t="shared" si="140"/>
        <v>1</v>
      </c>
      <c r="V464" s="21" t="str">
        <f t="shared" si="141"/>
        <v>1</v>
      </c>
      <c r="W464" s="21"/>
      <c r="X464" s="21" t="str">
        <f t="shared" si="142"/>
        <v>0</v>
      </c>
      <c r="Y464" s="21" t="str">
        <f t="shared" si="143"/>
        <v>0</v>
      </c>
      <c r="Z464" s="21" t="str">
        <f t="shared" si="144"/>
        <v>0</v>
      </c>
      <c r="AA464" s="118"/>
      <c r="AB464" s="118"/>
      <c r="AC464" s="118"/>
      <c r="AD464" s="118"/>
      <c r="AE464" s="118"/>
      <c r="AF464" s="118"/>
      <c r="AG464" s="118"/>
      <c r="AH464" s="21">
        <v>910000</v>
      </c>
      <c r="AI464" s="26" t="s">
        <v>112</v>
      </c>
      <c r="AJ464" s="26">
        <v>90100</v>
      </c>
      <c r="AK464" s="121" t="str">
        <f>IF(B466="","","0")</f>
        <v/>
      </c>
      <c r="AL464" s="123" t="str">
        <f t="shared" si="148"/>
        <v>14821/공지사항 확인/notice/NoticeView</v>
      </c>
      <c r="AM464" s="21"/>
      <c r="AN464" s="124"/>
      <c r="AO464" s="124" t="s">
        <v>1829</v>
      </c>
      <c r="AP464" s="124" t="s">
        <v>1829</v>
      </c>
      <c r="AQ464" s="124" t="s">
        <v>1829</v>
      </c>
      <c r="AR464" s="124" t="s">
        <v>1829</v>
      </c>
      <c r="AS464" s="124" t="s">
        <v>1829</v>
      </c>
      <c r="AT464" s="124" t="s">
        <v>1944</v>
      </c>
      <c r="AU464" s="124" t="str">
        <f t="shared" si="133"/>
        <v>N910002</v>
      </c>
      <c r="AV464" s="124" t="s">
        <v>2745</v>
      </c>
      <c r="AW464" s="117" t="s">
        <v>1922</v>
      </c>
      <c r="AX464" s="138" t="str">
        <f t="shared" si="146"/>
        <v>delete from module_mst where pjt_id = '14821' and menu_id = '910002';</v>
      </c>
      <c r="AY464" s="31" t="str">
        <f>IF(C464&lt;&gt;"",CREATE_QUERY($D$1,C$2:AW$2,C464:AW464),"")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'910002', '공지사항 확인', '', '', '', '', '1', '1', '1', 'notice', 'NoticeView', '1', '1', '1', '1', '1', '1', '1', '', '0', '0', '0', '', '', '', '', '', '', '', '910000', '4', '90100', '', '14821/공지사항 확인/notice/NoticeView', '', '', 'Y', 'Y', 'Y', 'Y', 'Y', 'N', 'MES-TD3-702', '대상자 본인의 공지사항 조회');</v>
      </c>
    </row>
    <row r="465" spans="1:51">
      <c r="A465" s="1">
        <v>167</v>
      </c>
      <c r="B465" s="121" t="str">
        <f t="shared" si="147"/>
        <v xml:space="preserve">    └ 업무일지 보고</v>
      </c>
      <c r="C465" s="27" t="str">
        <f t="shared" si="149"/>
        <v>14821</v>
      </c>
      <c r="D465" s="121"/>
      <c r="E465" s="21">
        <v>910003</v>
      </c>
      <c r="F465" s="118" t="s">
        <v>2437</v>
      </c>
      <c r="G465" s="118"/>
      <c r="H465" s="118"/>
      <c r="I465" s="118"/>
      <c r="J465" s="118"/>
      <c r="K465" s="21" t="str">
        <f t="shared" si="130"/>
        <v>1</v>
      </c>
      <c r="L465" s="21">
        <v>1</v>
      </c>
      <c r="M465" s="21" t="str">
        <f t="shared" si="131"/>
        <v>1</v>
      </c>
      <c r="N465" s="118" t="s">
        <v>1918</v>
      </c>
      <c r="O465" s="118" t="s">
        <v>2438</v>
      </c>
      <c r="P465" s="21" t="str">
        <f t="shared" si="135"/>
        <v>1</v>
      </c>
      <c r="Q465" s="21" t="str">
        <f t="shared" si="136"/>
        <v>1</v>
      </c>
      <c r="R465" s="21" t="str">
        <f t="shared" si="137"/>
        <v>1</v>
      </c>
      <c r="S465" s="21" t="str">
        <f t="shared" si="138"/>
        <v>1</v>
      </c>
      <c r="T465" s="21" t="str">
        <f t="shared" si="139"/>
        <v>1</v>
      </c>
      <c r="U465" s="21" t="str">
        <f t="shared" si="140"/>
        <v>1</v>
      </c>
      <c r="V465" s="21" t="str">
        <f t="shared" si="141"/>
        <v>1</v>
      </c>
      <c r="W465" s="21"/>
      <c r="X465" s="21" t="str">
        <f t="shared" si="142"/>
        <v>0</v>
      </c>
      <c r="Y465" s="21" t="str">
        <f t="shared" si="143"/>
        <v>0</v>
      </c>
      <c r="Z465" s="21" t="str">
        <f t="shared" si="144"/>
        <v>0</v>
      </c>
      <c r="AA465" s="118"/>
      <c r="AB465" s="118"/>
      <c r="AC465" s="118"/>
      <c r="AD465" s="118"/>
      <c r="AE465" s="118"/>
      <c r="AF465" s="118"/>
      <c r="AG465" s="118"/>
      <c r="AH465" s="21">
        <v>910000</v>
      </c>
      <c r="AI465" s="26" t="s">
        <v>112</v>
      </c>
      <c r="AJ465" s="26">
        <v>90150</v>
      </c>
      <c r="AK465" s="121" t="str">
        <f>IF(B467="","","0")</f>
        <v>0</v>
      </c>
      <c r="AL465" s="123" t="str">
        <f t="shared" si="148"/>
        <v>14821/업무일지 보고/notice/DailyReport</v>
      </c>
      <c r="AM465" s="21"/>
      <c r="AN465" s="124"/>
      <c r="AO465" s="124" t="s">
        <v>1829</v>
      </c>
      <c r="AP465" s="124" t="s">
        <v>1829</v>
      </c>
      <c r="AQ465" s="124" t="s">
        <v>1829</v>
      </c>
      <c r="AR465" s="124" t="s">
        <v>1829</v>
      </c>
      <c r="AS465" s="124" t="s">
        <v>1829</v>
      </c>
      <c r="AT465" s="124" t="s">
        <v>1944</v>
      </c>
      <c r="AU465" s="124" t="str">
        <f t="shared" si="133"/>
        <v>N910003</v>
      </c>
      <c r="AV465" s="124" t="s">
        <v>2746</v>
      </c>
      <c r="AW465" s="117" t="s">
        <v>2439</v>
      </c>
      <c r="AX465" s="138" t="str">
        <f t="shared" si="146"/>
        <v>delete from module_mst where pjt_id = '14821' and menu_id = '910003';</v>
      </c>
      <c r="AY465" s="31" t="str">
        <f>IF(C465&lt;&gt;"",CREATE_QUERY($D$1,C$2:AW$2,C465:AW465),"")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'910003', '업무일지 보고', '', '', '', '', '1', '1', '1', 'notice', 'DailyReport', '1', '1', '1', '1', '1', '1', '1', '', '0', '0', '0', '', '', '', '', '', '', '', '910000', '4', '90150', '0', '14821/업무일지 보고/notice/DailyReport', '', '', 'Y', 'Y', 'Y', 'Y', 'Y', 'N', 'MES-TD3-703', '업무 일지 작성 보고 및 결재권자 승인처리');</v>
      </c>
    </row>
    <row r="466" spans="1:51">
      <c r="A466" s="1">
        <v>169</v>
      </c>
      <c r="B466" s="121" t="str">
        <f t="shared" si="147"/>
        <v/>
      </c>
      <c r="C466" s="27" t="str">
        <f t="shared" si="149"/>
        <v/>
      </c>
      <c r="D466" s="121"/>
      <c r="E466" s="27"/>
      <c r="F466" s="121"/>
      <c r="G466" s="121"/>
      <c r="H466" s="121"/>
      <c r="I466" s="121"/>
      <c r="J466" s="121"/>
      <c r="K466" s="27" t="str">
        <f t="shared" si="130"/>
        <v/>
      </c>
      <c r="L466" s="27">
        <v>1</v>
      </c>
      <c r="M466" s="27" t="str">
        <f t="shared" si="131"/>
        <v>0</v>
      </c>
      <c r="N466" s="121"/>
      <c r="O466" s="121"/>
      <c r="P466" s="27" t="str">
        <f t="shared" si="135"/>
        <v>0</v>
      </c>
      <c r="Q466" s="27" t="str">
        <f t="shared" si="136"/>
        <v>0</v>
      </c>
      <c r="R466" s="27" t="str">
        <f t="shared" si="137"/>
        <v>0</v>
      </c>
      <c r="S466" s="27" t="str">
        <f t="shared" si="138"/>
        <v>0</v>
      </c>
      <c r="T466" s="27" t="str">
        <f t="shared" si="139"/>
        <v>0</v>
      </c>
      <c r="U466" s="27" t="str">
        <f t="shared" si="140"/>
        <v>0</v>
      </c>
      <c r="V466" s="27" t="str">
        <f t="shared" si="141"/>
        <v>1</v>
      </c>
      <c r="W466" s="27"/>
      <c r="X466" s="27" t="str">
        <f t="shared" si="142"/>
        <v/>
      </c>
      <c r="Y466" s="27" t="str">
        <f t="shared" si="143"/>
        <v/>
      </c>
      <c r="Z466" s="27" t="str">
        <f t="shared" si="144"/>
        <v/>
      </c>
      <c r="AA466" s="121"/>
      <c r="AB466" s="121"/>
      <c r="AC466" s="121"/>
      <c r="AD466" s="121"/>
      <c r="AE466" s="121"/>
      <c r="AF466" s="121"/>
      <c r="AG466" s="121"/>
      <c r="AH466" s="27"/>
      <c r="AI466" s="27"/>
      <c r="AJ466" s="27" t="s">
        <v>900</v>
      </c>
      <c r="AK466" s="121" t="str">
        <f t="shared" si="129"/>
        <v>0</v>
      </c>
      <c r="AL466" s="123" t="str">
        <f t="shared" si="148"/>
        <v/>
      </c>
      <c r="AM466" s="27"/>
      <c r="AN466" s="124"/>
      <c r="AO466" s="124"/>
      <c r="AP466" s="124"/>
      <c r="AQ466" s="124"/>
      <c r="AR466" s="124"/>
      <c r="AS466" s="124"/>
      <c r="AT466" s="124"/>
      <c r="AU466" s="124" t="str">
        <f t="shared" si="133"/>
        <v/>
      </c>
      <c r="AV466" s="124"/>
      <c r="AW466" s="117"/>
      <c r="AX466" s="138" t="str">
        <f t="shared" si="146"/>
        <v/>
      </c>
      <c r="AY466" s="31" t="str">
        <f>IF(C466&lt;&gt;"",CREATE_QUERY($D$1,C$2:AW$2,C466:AW466),"")</f>
        <v/>
      </c>
    </row>
    <row r="467" spans="1:51">
      <c r="A467" s="1">
        <v>73</v>
      </c>
      <c r="B467" s="121" t="str">
        <f t="shared" si="147"/>
        <v xml:space="preserve">  └ (프로젝트)임원정보</v>
      </c>
      <c r="C467" s="27" t="str">
        <f t="shared" si="149"/>
        <v>14821</v>
      </c>
      <c r="D467" s="121"/>
      <c r="E467" s="24" t="s">
        <v>1923</v>
      </c>
      <c r="F467" s="127" t="s">
        <v>369</v>
      </c>
      <c r="G467" s="127"/>
      <c r="H467" s="127"/>
      <c r="I467" s="127"/>
      <c r="J467" s="127"/>
      <c r="K467" s="25" t="str">
        <f t="shared" si="130"/>
        <v/>
      </c>
      <c r="L467" s="25">
        <v>1</v>
      </c>
      <c r="M467" s="25" t="str">
        <f t="shared" si="131"/>
        <v>0</v>
      </c>
      <c r="N467" s="127"/>
      <c r="O467" s="127"/>
      <c r="P467" s="25" t="str">
        <f t="shared" si="135"/>
        <v>0</v>
      </c>
      <c r="Q467" s="25" t="str">
        <f t="shared" si="136"/>
        <v>0</v>
      </c>
      <c r="R467" s="25" t="str">
        <f t="shared" si="137"/>
        <v>0</v>
      </c>
      <c r="S467" s="25" t="str">
        <f t="shared" si="138"/>
        <v>0</v>
      </c>
      <c r="T467" s="25" t="str">
        <f t="shared" si="139"/>
        <v>0</v>
      </c>
      <c r="U467" s="25" t="str">
        <f t="shared" si="140"/>
        <v>0</v>
      </c>
      <c r="V467" s="25" t="str">
        <f t="shared" si="141"/>
        <v>1</v>
      </c>
      <c r="W467" s="25"/>
      <c r="X467" s="25" t="str">
        <f t="shared" si="142"/>
        <v/>
      </c>
      <c r="Y467" s="25" t="str">
        <f t="shared" si="143"/>
        <v/>
      </c>
      <c r="Z467" s="25" t="str">
        <f t="shared" si="144"/>
        <v/>
      </c>
      <c r="AA467" s="127"/>
      <c r="AB467" s="127"/>
      <c r="AC467" s="127"/>
      <c r="AD467" s="127"/>
      <c r="AE467" s="127" t="s">
        <v>51</v>
      </c>
      <c r="AF467" s="127"/>
      <c r="AG467" s="127"/>
      <c r="AH467" s="24" t="s">
        <v>120</v>
      </c>
      <c r="AI467" s="24" t="s">
        <v>111</v>
      </c>
      <c r="AJ467" s="24">
        <v>95000</v>
      </c>
      <c r="AK467" s="121" t="str">
        <f t="shared" si="129"/>
        <v>0</v>
      </c>
      <c r="AL467" s="123" t="str">
        <f t="shared" si="148"/>
        <v>14821/임원정보//</v>
      </c>
      <c r="AM467" s="24" t="s">
        <v>1887</v>
      </c>
      <c r="AN467" s="124"/>
      <c r="AO467" s="124"/>
      <c r="AP467" s="124"/>
      <c r="AQ467" s="124" t="s">
        <v>1829</v>
      </c>
      <c r="AR467" s="124"/>
      <c r="AS467" s="124"/>
      <c r="AT467" s="124" t="s">
        <v>1945</v>
      </c>
      <c r="AU467" s="124" t="str">
        <f t="shared" si="133"/>
        <v/>
      </c>
      <c r="AV467" s="124"/>
      <c r="AW467" s="117"/>
      <c r="AX467" s="138" t="str">
        <f t="shared" si="146"/>
        <v>delete from module_mst where pjt_id = '14821' and menu_id = '920000';</v>
      </c>
      <c r="AY467" s="31" t="str">
        <f>IF(C467&lt;&gt;"",CREATE_QUERY($D$1,C$2:AW$2,C467:AW467),"")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'920000', '임원정보', '', '', '', '', '', '1', '0', '', '', '0', '0', '0', '0', '0', '0', '1', '', '', '', '', '', '', '', '', 'N', '', '', '200000', '3', '95000', '0', '14821/임원정보//', '(프로젝트)', '', '', '', 'Y', '', '', 'E', '', '');</v>
      </c>
    </row>
    <row r="468" spans="1:51" ht="26">
      <c r="A468" s="1">
        <v>150</v>
      </c>
      <c r="B468" s="121" t="str">
        <f t="shared" si="147"/>
        <v xml:space="preserve">    └ 종합현황</v>
      </c>
      <c r="C468" s="27" t="str">
        <f t="shared" si="149"/>
        <v>14821</v>
      </c>
      <c r="D468" s="121"/>
      <c r="E468" s="21">
        <v>920001</v>
      </c>
      <c r="F468" s="118" t="s">
        <v>370</v>
      </c>
      <c r="G468" s="118"/>
      <c r="H468" s="118"/>
      <c r="I468" s="118"/>
      <c r="J468" s="118"/>
      <c r="K468" s="21" t="str">
        <f t="shared" si="130"/>
        <v>1</v>
      </c>
      <c r="L468" s="21">
        <v>1</v>
      </c>
      <c r="M468" s="21" t="str">
        <f t="shared" si="131"/>
        <v>1</v>
      </c>
      <c r="N468" s="118" t="s">
        <v>374</v>
      </c>
      <c r="O468" s="118" t="s">
        <v>390</v>
      </c>
      <c r="P468" s="21" t="str">
        <f t="shared" si="135"/>
        <v>1</v>
      </c>
      <c r="Q468" s="21" t="str">
        <f t="shared" si="136"/>
        <v>1</v>
      </c>
      <c r="R468" s="21" t="str">
        <f t="shared" si="137"/>
        <v>1</v>
      </c>
      <c r="S468" s="21" t="str">
        <f t="shared" si="138"/>
        <v>1</v>
      </c>
      <c r="T468" s="21" t="str">
        <f t="shared" si="139"/>
        <v>1</v>
      </c>
      <c r="U468" s="21" t="str">
        <f t="shared" si="140"/>
        <v>1</v>
      </c>
      <c r="V468" s="21" t="str">
        <f t="shared" si="141"/>
        <v>1</v>
      </c>
      <c r="W468" s="21"/>
      <c r="X468" s="21" t="str">
        <f t="shared" si="142"/>
        <v>0</v>
      </c>
      <c r="Y468" s="21" t="str">
        <f t="shared" si="143"/>
        <v>0</v>
      </c>
      <c r="Z468" s="21" t="str">
        <f t="shared" si="144"/>
        <v>0</v>
      </c>
      <c r="AA468" s="118"/>
      <c r="AB468" s="118"/>
      <c r="AC468" s="118"/>
      <c r="AD468" s="118"/>
      <c r="AE468" s="118" t="s">
        <v>51</v>
      </c>
      <c r="AF468" s="118"/>
      <c r="AG468" s="118"/>
      <c r="AH468" s="21">
        <v>920000</v>
      </c>
      <c r="AI468" s="26" t="s">
        <v>112</v>
      </c>
      <c r="AJ468" s="26">
        <v>95050</v>
      </c>
      <c r="AK468" s="121" t="str">
        <f t="shared" si="129"/>
        <v>0</v>
      </c>
      <c r="AL468" s="123" t="str">
        <f t="shared" si="148"/>
        <v>14821/종합현황/eis.project/EisReport</v>
      </c>
      <c r="AM468" s="21"/>
      <c r="AN468" s="124"/>
      <c r="AO468" s="124"/>
      <c r="AP468" s="124"/>
      <c r="AQ468" s="124" t="s">
        <v>1829</v>
      </c>
      <c r="AR468" s="124"/>
      <c r="AS468" s="124"/>
      <c r="AT468" s="124" t="s">
        <v>1945</v>
      </c>
      <c r="AU468" s="124" t="str">
        <f t="shared" si="133"/>
        <v>E920001</v>
      </c>
      <c r="AV468" s="124" t="s">
        <v>2747</v>
      </c>
      <c r="AW468" s="117" t="s">
        <v>1834</v>
      </c>
      <c r="AX468" s="138" t="str">
        <f t="shared" si="146"/>
        <v>delete from module_mst where pjt_id = '14821' and menu_id = '920001';</v>
      </c>
      <c r="AY468" s="31" t="str">
        <f>IF(C468&lt;&gt;"",CREATE_QUERY($D$1,C$2:AW$2,C468:AW468),"")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'920001', '종합현황', '', '', '', '', '1', '1', '1', 'eis.project', 'EisReport', '1', '1', '1', '1', '1', '1', '1', '', '0', '0', '0', '', '', '', '', 'N', '', '', '920000', '4', '95050', '0', '14821/종합현황/eis.project/EisReport', '', '', '', '', 'Y', '', '', 'E', 'MES-TD3-801', '수주건별, 작업일정, 설계일정, 작업일보, 수금현황… 등을 종합적으로 조회');</v>
      </c>
    </row>
    <row r="469" spans="1:51">
      <c r="A469" s="1">
        <v>167</v>
      </c>
      <c r="B469" s="121" t="str">
        <f t="shared" si="147"/>
        <v xml:space="preserve">    └ AR List</v>
      </c>
      <c r="C469" s="27" t="str">
        <f t="shared" si="149"/>
        <v>14821</v>
      </c>
      <c r="D469" s="121"/>
      <c r="E469" s="21">
        <v>920002</v>
      </c>
      <c r="F469" s="118" t="s">
        <v>371</v>
      </c>
      <c r="G469" s="118"/>
      <c r="H469" s="118"/>
      <c r="I469" s="118"/>
      <c r="J469" s="118"/>
      <c r="K469" s="21" t="str">
        <f t="shared" si="130"/>
        <v>1</v>
      </c>
      <c r="L469" s="21">
        <v>1</v>
      </c>
      <c r="M469" s="21" t="str">
        <f t="shared" si="131"/>
        <v>1</v>
      </c>
      <c r="N469" s="118" t="s">
        <v>374</v>
      </c>
      <c r="O469" s="118" t="s">
        <v>375</v>
      </c>
      <c r="P469" s="21" t="str">
        <f t="shared" si="135"/>
        <v>1</v>
      </c>
      <c r="Q469" s="21" t="str">
        <f t="shared" si="136"/>
        <v>1</v>
      </c>
      <c r="R469" s="21" t="str">
        <f t="shared" si="137"/>
        <v>1</v>
      </c>
      <c r="S469" s="21" t="str">
        <f t="shared" si="138"/>
        <v>1</v>
      </c>
      <c r="T469" s="21" t="str">
        <f t="shared" si="139"/>
        <v>1</v>
      </c>
      <c r="U469" s="21" t="str">
        <f t="shared" si="140"/>
        <v>1</v>
      </c>
      <c r="V469" s="21" t="str">
        <f t="shared" si="141"/>
        <v>1</v>
      </c>
      <c r="W469" s="21"/>
      <c r="X469" s="21" t="str">
        <f t="shared" si="142"/>
        <v>0</v>
      </c>
      <c r="Y469" s="21" t="str">
        <f t="shared" si="143"/>
        <v>0</v>
      </c>
      <c r="Z469" s="21" t="str">
        <f t="shared" si="144"/>
        <v>0</v>
      </c>
      <c r="AA469" s="118"/>
      <c r="AB469" s="118"/>
      <c r="AC469" s="118"/>
      <c r="AD469" s="118"/>
      <c r="AE469" s="118" t="s">
        <v>51</v>
      </c>
      <c r="AF469" s="118"/>
      <c r="AG469" s="118"/>
      <c r="AH469" s="21">
        <v>920000</v>
      </c>
      <c r="AI469" s="26" t="s">
        <v>112</v>
      </c>
      <c r="AJ469" s="26">
        <v>95100</v>
      </c>
      <c r="AK469" s="121" t="str">
        <f t="shared" si="129"/>
        <v>0</v>
      </c>
      <c r="AL469" s="123" t="str">
        <f t="shared" si="148"/>
        <v>14821/AR List/eis.project/ARList</v>
      </c>
      <c r="AM469" s="21"/>
      <c r="AN469" s="124"/>
      <c r="AO469" s="124"/>
      <c r="AP469" s="124"/>
      <c r="AQ469" s="124" t="s">
        <v>1829</v>
      </c>
      <c r="AR469" s="124"/>
      <c r="AS469" s="124"/>
      <c r="AT469" s="124" t="s">
        <v>1945</v>
      </c>
      <c r="AU469" s="124" t="str">
        <f t="shared" si="133"/>
        <v>E920002</v>
      </c>
      <c r="AV469" s="124" t="s">
        <v>2748</v>
      </c>
      <c r="AW469" s="117" t="s">
        <v>1893</v>
      </c>
      <c r="AX469" s="138" t="str">
        <f t="shared" si="146"/>
        <v>delete from module_mst where pjt_id = '14821' and menu_id = '920002';</v>
      </c>
      <c r="AY469" s="31" t="str">
        <f>IF(C469&lt;&gt;"",CREATE_QUERY($D$1,C$2:AW$2,C469:AW469),"")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'920002', 'AR List', '', '', '', '', '1', '1', '1', 'eis.project', 'ARList', '1', '1', '1', '1', '1', '1', '1', '', '0', '0', '0', '', '', '', '', 'N', '', '', '920000', '4', '95100', '0', '14821/AR List/eis.project/ARList', '', '', '', '', 'Y', '', '', 'E', 'MES-TD3-802', '수금 일정 계획 대비 입금 실적 조회');</v>
      </c>
    </row>
    <row r="470" spans="1:51">
      <c r="A470" s="1">
        <v>168</v>
      </c>
      <c r="B470" s="121" t="str">
        <f t="shared" si="147"/>
        <v xml:space="preserve">    └ 불량현황</v>
      </c>
      <c r="C470" s="27" t="str">
        <f t="shared" si="149"/>
        <v>14821</v>
      </c>
      <c r="D470" s="121"/>
      <c r="E470" s="21">
        <v>920003</v>
      </c>
      <c r="F470" s="118" t="s">
        <v>372</v>
      </c>
      <c r="G470" s="118"/>
      <c r="H470" s="118"/>
      <c r="I470" s="118"/>
      <c r="J470" s="118"/>
      <c r="K470" s="21" t="str">
        <f t="shared" si="130"/>
        <v>1</v>
      </c>
      <c r="L470" s="21">
        <v>1</v>
      </c>
      <c r="M470" s="21" t="str">
        <f t="shared" si="131"/>
        <v>1</v>
      </c>
      <c r="N470" s="118" t="s">
        <v>374</v>
      </c>
      <c r="O470" s="118" t="s">
        <v>376</v>
      </c>
      <c r="P470" s="21" t="str">
        <f t="shared" si="135"/>
        <v>1</v>
      </c>
      <c r="Q470" s="21" t="str">
        <f t="shared" si="136"/>
        <v>1</v>
      </c>
      <c r="R470" s="21" t="str">
        <f t="shared" si="137"/>
        <v>1</v>
      </c>
      <c r="S470" s="21" t="str">
        <f t="shared" si="138"/>
        <v>1</v>
      </c>
      <c r="T470" s="21" t="str">
        <f t="shared" si="139"/>
        <v>1</v>
      </c>
      <c r="U470" s="21" t="str">
        <f t="shared" si="140"/>
        <v>1</v>
      </c>
      <c r="V470" s="21" t="str">
        <f t="shared" si="141"/>
        <v>1</v>
      </c>
      <c r="W470" s="21"/>
      <c r="X470" s="21" t="str">
        <f t="shared" si="142"/>
        <v>0</v>
      </c>
      <c r="Y470" s="21" t="str">
        <f t="shared" si="143"/>
        <v>0</v>
      </c>
      <c r="Z470" s="21" t="str">
        <f t="shared" si="144"/>
        <v>0</v>
      </c>
      <c r="AA470" s="118"/>
      <c r="AB470" s="118"/>
      <c r="AC470" s="118"/>
      <c r="AD470" s="118"/>
      <c r="AE470" s="118" t="s">
        <v>51</v>
      </c>
      <c r="AF470" s="118"/>
      <c r="AG470" s="118"/>
      <c r="AH470" s="21">
        <v>920000</v>
      </c>
      <c r="AI470" s="26" t="s">
        <v>112</v>
      </c>
      <c r="AJ470" s="26">
        <v>95150</v>
      </c>
      <c r="AK470" s="121" t="str">
        <f t="shared" si="129"/>
        <v>0</v>
      </c>
      <c r="AL470" s="123" t="str">
        <f t="shared" si="148"/>
        <v>14821/불량현황/eis.project/PoorReport</v>
      </c>
      <c r="AM470" s="21"/>
      <c r="AN470" s="124"/>
      <c r="AO470" s="124"/>
      <c r="AP470" s="124"/>
      <c r="AQ470" s="124" t="s">
        <v>1829</v>
      </c>
      <c r="AR470" s="124"/>
      <c r="AS470" s="124"/>
      <c r="AT470" s="124" t="s">
        <v>1945</v>
      </c>
      <c r="AU470" s="124" t="str">
        <f t="shared" si="133"/>
        <v>E920003</v>
      </c>
      <c r="AV470" s="124" t="s">
        <v>2749</v>
      </c>
      <c r="AW470" s="117" t="s">
        <v>1895</v>
      </c>
      <c r="AX470" s="138" t="str">
        <f t="shared" si="146"/>
        <v>delete from module_mst where pjt_id = '14821' and menu_id = '920003';</v>
      </c>
      <c r="AY470" s="31" t="str">
        <f>IF(C470&lt;&gt;"",CREATE_QUERY($D$1,C$2:AW$2,C470:AW470),"")</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'920003', '불량현황', '', '', '', '', '1', '1', '1', 'eis.project', 'PoorReport', '1', '1', '1', '1', '1', '1', '1', '', '0', '0', '0', '', '', '', '', 'N', '', '', '920000', '4', '95150', '0', '14821/불량현황/eis.project/PoorReport', '', '', '', '', 'Y', '', '', 'E', 'MES-TD3-803', '일자별, 공정별, 불량 요소별 불량 발생현황 조회');</v>
      </c>
    </row>
    <row r="471" spans="1:51">
      <c r="A471" s="1">
        <v>168</v>
      </c>
      <c r="B471" s="121" t="str">
        <f t="shared" si="147"/>
        <v xml:space="preserve">    └ Load / Capa 현황</v>
      </c>
      <c r="C471" s="27" t="str">
        <f t="shared" si="149"/>
        <v>14821</v>
      </c>
      <c r="D471" s="121"/>
      <c r="E471" s="21">
        <v>920004</v>
      </c>
      <c r="F471" s="118" t="s">
        <v>373</v>
      </c>
      <c r="G471" s="118"/>
      <c r="H471" s="118"/>
      <c r="I471" s="118"/>
      <c r="J471" s="118"/>
      <c r="K471" s="21" t="str">
        <f t="shared" si="130"/>
        <v>1</v>
      </c>
      <c r="L471" s="21">
        <v>1</v>
      </c>
      <c r="M471" s="21" t="str">
        <f t="shared" si="131"/>
        <v>1</v>
      </c>
      <c r="N471" s="118" t="s">
        <v>374</v>
      </c>
      <c r="O471" s="118" t="s">
        <v>377</v>
      </c>
      <c r="P471" s="21" t="str">
        <f t="shared" si="135"/>
        <v>1</v>
      </c>
      <c r="Q471" s="21" t="str">
        <f t="shared" si="136"/>
        <v>1</v>
      </c>
      <c r="R471" s="21" t="str">
        <f t="shared" si="137"/>
        <v>1</v>
      </c>
      <c r="S471" s="21" t="str">
        <f t="shared" si="138"/>
        <v>1</v>
      </c>
      <c r="T471" s="21" t="str">
        <f t="shared" si="139"/>
        <v>1</v>
      </c>
      <c r="U471" s="21" t="str">
        <f t="shared" si="140"/>
        <v>1</v>
      </c>
      <c r="V471" s="21" t="str">
        <f t="shared" si="141"/>
        <v>1</v>
      </c>
      <c r="W471" s="21"/>
      <c r="X471" s="21" t="str">
        <f t="shared" si="142"/>
        <v>0</v>
      </c>
      <c r="Y471" s="21" t="str">
        <f t="shared" si="143"/>
        <v>0</v>
      </c>
      <c r="Z471" s="21" t="str">
        <f t="shared" si="144"/>
        <v>0</v>
      </c>
      <c r="AA471" s="118"/>
      <c r="AB471" s="118"/>
      <c r="AC471" s="118"/>
      <c r="AD471" s="118"/>
      <c r="AE471" s="118" t="s">
        <v>51</v>
      </c>
      <c r="AF471" s="118"/>
      <c r="AG471" s="118"/>
      <c r="AH471" s="21">
        <v>920000</v>
      </c>
      <c r="AI471" s="26" t="s">
        <v>112</v>
      </c>
      <c r="AJ471" s="26">
        <v>95200</v>
      </c>
      <c r="AK471" s="121" t="str">
        <f t="shared" si="129"/>
        <v>0</v>
      </c>
      <c r="AL471" s="123" t="str">
        <f t="shared" si="148"/>
        <v>14821/Load / Capa 현황/eis.project/LoadCapaList</v>
      </c>
      <c r="AM471" s="21"/>
      <c r="AN471" s="124"/>
      <c r="AO471" s="124"/>
      <c r="AP471" s="124"/>
      <c r="AQ471" s="124" t="s">
        <v>1829</v>
      </c>
      <c r="AR471" s="124"/>
      <c r="AS471" s="124"/>
      <c r="AT471" s="124" t="s">
        <v>1945</v>
      </c>
      <c r="AU471" s="124" t="str">
        <f t="shared" si="133"/>
        <v>E920004</v>
      </c>
      <c r="AV471" s="124" t="s">
        <v>2750</v>
      </c>
      <c r="AW471" s="117" t="s">
        <v>1894</v>
      </c>
      <c r="AX471" s="138" t="str">
        <f t="shared" si="146"/>
        <v>delete from module_mst where pjt_id = '14821' and menu_id = '920004';</v>
      </c>
      <c r="AY471" s="31" t="str">
        <f>IF(C471&lt;&gt;"",CREATE_QUERY($D$1,C$2:AW$2,C471:AW471),"")</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'920004', 'Load / Capa 현황', '', '', '', '', '1', '1', '1', 'eis.project', 'LoadCapaList', '1', '1', '1', '1', '1', '1', '1', '', '0', '0', '0', '', '', '', '', 'N', '', '', '920000', '4', '95200', '0', '14821/Load / Capa 현황/eis.project/LoadCapaList', '', '', '', '', 'Y', '', '', 'E', 'MES-TD3-804', '생산 설비 또는 생산 공정별 생산 능력 대비 작업량 분석');</v>
      </c>
    </row>
    <row r="472" spans="1:51">
      <c r="A472" s="1">
        <v>168</v>
      </c>
      <c r="B472" s="121" t="str">
        <f t="shared" si="147"/>
        <v xml:space="preserve">    └ 원가 현황</v>
      </c>
      <c r="C472" s="27" t="str">
        <f t="shared" si="149"/>
        <v>14821</v>
      </c>
      <c r="D472" s="121"/>
      <c r="E472" s="21">
        <v>920005</v>
      </c>
      <c r="F472" s="118" t="s">
        <v>2064</v>
      </c>
      <c r="G472" s="118"/>
      <c r="H472" s="118"/>
      <c r="I472" s="118"/>
      <c r="J472" s="118"/>
      <c r="K472" s="21" t="str">
        <f t="shared" si="130"/>
        <v>1</v>
      </c>
      <c r="L472" s="21">
        <v>1</v>
      </c>
      <c r="M472" s="21" t="str">
        <f t="shared" si="131"/>
        <v>1</v>
      </c>
      <c r="N472" s="118" t="s">
        <v>374</v>
      </c>
      <c r="O472" s="118" t="s">
        <v>2065</v>
      </c>
      <c r="P472" s="21" t="str">
        <f t="shared" si="135"/>
        <v>1</v>
      </c>
      <c r="Q472" s="21" t="str">
        <f t="shared" si="136"/>
        <v>1</v>
      </c>
      <c r="R472" s="21" t="str">
        <f t="shared" si="137"/>
        <v>1</v>
      </c>
      <c r="S472" s="21" t="str">
        <f t="shared" si="138"/>
        <v>1</v>
      </c>
      <c r="T472" s="21" t="str">
        <f t="shared" si="139"/>
        <v>1</v>
      </c>
      <c r="U472" s="21" t="str">
        <f t="shared" si="140"/>
        <v>1</v>
      </c>
      <c r="V472" s="21" t="str">
        <f t="shared" si="141"/>
        <v>1</v>
      </c>
      <c r="W472" s="21"/>
      <c r="X472" s="21" t="str">
        <f t="shared" si="142"/>
        <v>0</v>
      </c>
      <c r="Y472" s="21" t="str">
        <f t="shared" si="143"/>
        <v>0</v>
      </c>
      <c r="Z472" s="21" t="str">
        <f t="shared" si="144"/>
        <v>0</v>
      </c>
      <c r="AA472" s="118"/>
      <c r="AB472" s="118"/>
      <c r="AC472" s="118"/>
      <c r="AD472" s="118"/>
      <c r="AE472" s="118" t="s">
        <v>51</v>
      </c>
      <c r="AF472" s="118"/>
      <c r="AG472" s="118"/>
      <c r="AH472" s="21">
        <v>920000</v>
      </c>
      <c r="AI472" s="26" t="s">
        <v>112</v>
      </c>
      <c r="AJ472" s="26">
        <v>95250</v>
      </c>
      <c r="AK472" s="121" t="str">
        <f t="shared" si="129"/>
        <v>0</v>
      </c>
      <c r="AL472" s="123" t="str">
        <f t="shared" si="148"/>
        <v>14821/원가 현황/eis.project/CostReport</v>
      </c>
      <c r="AM472" s="21"/>
      <c r="AN472" s="124"/>
      <c r="AO472" s="124"/>
      <c r="AP472" s="124"/>
      <c r="AQ472" s="124" t="s">
        <v>1829</v>
      </c>
      <c r="AR472" s="124"/>
      <c r="AS472" s="124"/>
      <c r="AT472" s="124" t="s">
        <v>1945</v>
      </c>
      <c r="AU472" s="124" t="str">
        <f t="shared" si="133"/>
        <v>E920005</v>
      </c>
      <c r="AV472" s="124" t="s">
        <v>2751</v>
      </c>
      <c r="AW472" s="117" t="s">
        <v>2066</v>
      </c>
      <c r="AX472" s="138" t="str">
        <f t="shared" si="146"/>
        <v>delete from module_mst where pjt_id = '14821' and menu_id = '920005';</v>
      </c>
      <c r="AY472" s="31" t="str">
        <f>IF(C472&lt;&gt;"",CREATE_QUERY($D$1,C$2:AW$2,C472:AW472),"")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'920005', '원가 현황', '', '', '', '', '1', '1', '1', 'eis.project', 'CostReport', '1', '1', '1', '1', '1', '1', '1', '', '0', '0', '0', '', '', '', '', 'N', '', '', '920000', '4', '95250', '0', '14821/원가 현황/eis.project/CostReport', '', '', '', '', 'Y', '', '', 'E', 'MES-TD3-805', '프로젝트별 원가내역을 조회');</v>
      </c>
    </row>
    <row r="473" spans="1:51">
      <c r="A473" s="1">
        <v>168</v>
      </c>
      <c r="B473" s="121" t="str">
        <f t="shared" si="147"/>
        <v xml:space="preserve">    └ 제조리드타임 현황</v>
      </c>
      <c r="C473" s="27" t="str">
        <f t="shared" si="149"/>
        <v>14821</v>
      </c>
      <c r="D473" s="121"/>
      <c r="E473" s="21">
        <v>920006</v>
      </c>
      <c r="F473" s="118" t="s">
        <v>2321</v>
      </c>
      <c r="G473" s="118"/>
      <c r="H473" s="118"/>
      <c r="I473" s="118"/>
      <c r="J473" s="118"/>
      <c r="K473" s="21" t="str">
        <f t="shared" si="130"/>
        <v>1</v>
      </c>
      <c r="L473" s="21">
        <v>1</v>
      </c>
      <c r="M473" s="21" t="str">
        <f t="shared" si="131"/>
        <v>1</v>
      </c>
      <c r="N473" s="118" t="s">
        <v>2322</v>
      </c>
      <c r="O473" s="118" t="s">
        <v>2323</v>
      </c>
      <c r="P473" s="21" t="str">
        <f t="shared" si="135"/>
        <v>1</v>
      </c>
      <c r="Q473" s="21" t="str">
        <f t="shared" si="136"/>
        <v>1</v>
      </c>
      <c r="R473" s="21" t="str">
        <f t="shared" si="137"/>
        <v>1</v>
      </c>
      <c r="S473" s="21" t="str">
        <f t="shared" si="138"/>
        <v>1</v>
      </c>
      <c r="T473" s="21" t="str">
        <f t="shared" si="139"/>
        <v>1</v>
      </c>
      <c r="U473" s="21" t="str">
        <f t="shared" si="140"/>
        <v>1</v>
      </c>
      <c r="V473" s="21" t="str">
        <f t="shared" si="141"/>
        <v>1</v>
      </c>
      <c r="W473" s="21"/>
      <c r="X473" s="21" t="str">
        <f t="shared" si="142"/>
        <v>0</v>
      </c>
      <c r="Y473" s="21" t="str">
        <f t="shared" si="143"/>
        <v>0</v>
      </c>
      <c r="Z473" s="21" t="str">
        <f t="shared" si="144"/>
        <v>0</v>
      </c>
      <c r="AA473" s="118"/>
      <c r="AB473" s="118"/>
      <c r="AC473" s="118"/>
      <c r="AD473" s="118"/>
      <c r="AE473" s="118" t="s">
        <v>51</v>
      </c>
      <c r="AF473" s="118"/>
      <c r="AG473" s="118"/>
      <c r="AH473" s="21">
        <v>920000</v>
      </c>
      <c r="AI473" s="26" t="s">
        <v>112</v>
      </c>
      <c r="AJ473" s="26">
        <v>95300</v>
      </c>
      <c r="AK473" s="121" t="str">
        <f t="shared" si="129"/>
        <v>0</v>
      </c>
      <c r="AL473" s="123" t="str">
        <f t="shared" si="148"/>
        <v>14821/제조리드타임 현황/eis.report/EisReport11</v>
      </c>
      <c r="AM473" s="21"/>
      <c r="AN473" s="124"/>
      <c r="AO473" s="124"/>
      <c r="AP473" s="124"/>
      <c r="AQ473" s="124" t="s">
        <v>1829</v>
      </c>
      <c r="AR473" s="124"/>
      <c r="AS473" s="124"/>
      <c r="AT473" s="124" t="s">
        <v>1945</v>
      </c>
      <c r="AU473" s="124" t="str">
        <f t="shared" si="133"/>
        <v>E920006</v>
      </c>
      <c r="AV473" s="124" t="s">
        <v>2752</v>
      </c>
      <c r="AW473" s="117" t="s">
        <v>1894</v>
      </c>
      <c r="AX473" s="138" t="str">
        <f t="shared" si="146"/>
        <v>delete from module_mst where pjt_id = '14821' and menu_id = '920006';</v>
      </c>
      <c r="AY473" s="31" t="str">
        <f>IF(C473&lt;&gt;"",CREATE_QUERY($D$1,C$2:AW$2,C473:AW473),"")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'920006', '제조리드타임 현황', '', '', '', '', '1', '1', '1', 'eis.report', 'EisReport11', '1', '1', '1', '1', '1', '1', '1', '', '0', '0', '0', '', '', '', '', 'N', '', '', '920000', '4', '95300', '0', '14821/제조리드타임 현황/eis.report/EisReport11', '', '', '', '', 'Y', '', '', 'E', 'MES-TD3-806', '생산 설비 또는 생산 공정별 생산 능력 대비 작업량 분석');</v>
      </c>
    </row>
    <row r="474" spans="1:51">
      <c r="A474" s="1">
        <v>168</v>
      </c>
      <c r="B474" s="121" t="str">
        <f t="shared" si="147"/>
        <v xml:space="preserve">    └ 납기일대비납품일현황</v>
      </c>
      <c r="C474" s="27" t="str">
        <f t="shared" si="149"/>
        <v>14821</v>
      </c>
      <c r="D474" s="121"/>
      <c r="E474" s="21">
        <v>920007</v>
      </c>
      <c r="F474" s="118" t="s">
        <v>2324</v>
      </c>
      <c r="G474" s="118"/>
      <c r="H474" s="118"/>
      <c r="I474" s="118"/>
      <c r="J474" s="118"/>
      <c r="K474" s="21" t="str">
        <f t="shared" si="130"/>
        <v>1</v>
      </c>
      <c r="L474" s="21">
        <v>1</v>
      </c>
      <c r="M474" s="21" t="str">
        <f t="shared" si="131"/>
        <v>1</v>
      </c>
      <c r="N474" s="118" t="s">
        <v>2322</v>
      </c>
      <c r="O474" s="118" t="s">
        <v>2327</v>
      </c>
      <c r="P474" s="21" t="str">
        <f t="shared" si="135"/>
        <v>1</v>
      </c>
      <c r="Q474" s="21" t="str">
        <f t="shared" si="136"/>
        <v>1</v>
      </c>
      <c r="R474" s="21" t="str">
        <f t="shared" si="137"/>
        <v>1</v>
      </c>
      <c r="S474" s="21" t="str">
        <f t="shared" si="138"/>
        <v>1</v>
      </c>
      <c r="T474" s="21" t="str">
        <f t="shared" si="139"/>
        <v>1</v>
      </c>
      <c r="U474" s="21" t="str">
        <f t="shared" si="140"/>
        <v>1</v>
      </c>
      <c r="V474" s="21" t="str">
        <f t="shared" si="141"/>
        <v>1</v>
      </c>
      <c r="W474" s="21"/>
      <c r="X474" s="21" t="str">
        <f t="shared" si="142"/>
        <v>0</v>
      </c>
      <c r="Y474" s="21" t="str">
        <f t="shared" si="143"/>
        <v>0</v>
      </c>
      <c r="Z474" s="21" t="str">
        <f t="shared" si="144"/>
        <v>0</v>
      </c>
      <c r="AA474" s="118"/>
      <c r="AB474" s="118"/>
      <c r="AC474" s="118"/>
      <c r="AD474" s="118"/>
      <c r="AE474" s="118" t="s">
        <v>51</v>
      </c>
      <c r="AF474" s="118"/>
      <c r="AG474" s="118"/>
      <c r="AH474" s="21">
        <v>920000</v>
      </c>
      <c r="AI474" s="26" t="s">
        <v>112</v>
      </c>
      <c r="AJ474" s="26">
        <v>95350</v>
      </c>
      <c r="AK474" s="121" t="str">
        <f t="shared" si="129"/>
        <v>0</v>
      </c>
      <c r="AL474" s="123" t="str">
        <f t="shared" si="148"/>
        <v>14821/납기일대비납품일현황/eis.report/EisReport12</v>
      </c>
      <c r="AM474" s="21"/>
      <c r="AN474" s="124"/>
      <c r="AO474" s="124"/>
      <c r="AP474" s="124"/>
      <c r="AQ474" s="124" t="s">
        <v>1829</v>
      </c>
      <c r="AR474" s="124"/>
      <c r="AS474" s="124"/>
      <c r="AT474" s="124" t="s">
        <v>1945</v>
      </c>
      <c r="AU474" s="124" t="str">
        <f t="shared" si="133"/>
        <v>E920007</v>
      </c>
      <c r="AV474" s="124" t="s">
        <v>2753</v>
      </c>
      <c r="AW474" s="117" t="s">
        <v>2355</v>
      </c>
      <c r="AX474" s="138" t="str">
        <f t="shared" si="146"/>
        <v>delete from module_mst where pjt_id = '14821' and menu_id = '920007';</v>
      </c>
      <c r="AY474" s="31" t="str">
        <f>IF(C474&lt;&gt;"",CREATE_QUERY($D$1,C$2:AW$2,C474:AW474),"")</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'920007', '납기일대비납품일현황', '', '', '', '', '1', '1', '1', 'eis.report', 'EisReport12', '1', '1', '1', '1', '1', '1', '1', '', '0', '0', '0', '', '', '', '', 'N', '', '', '920000', '4', '95350', '0', '14821/납기일대비납품일현황/eis.report/EisReport12', '', '', '', '', 'Y', '', '', 'E', 'MES-TD3-807', '납기일자 대비 납품 일정 비교표');</v>
      </c>
    </row>
    <row r="475" spans="1:51">
      <c r="A475" s="1">
        <v>168</v>
      </c>
      <c r="B475" s="121" t="str">
        <f t="shared" si="147"/>
        <v xml:space="preserve">    └ 불량율 현황</v>
      </c>
      <c r="C475" s="27" t="str">
        <f t="shared" si="149"/>
        <v>14821</v>
      </c>
      <c r="D475" s="121"/>
      <c r="E475" s="21">
        <v>920008</v>
      </c>
      <c r="F475" s="118" t="s">
        <v>2325</v>
      </c>
      <c r="G475" s="118"/>
      <c r="H475" s="118"/>
      <c r="I475" s="118"/>
      <c r="J475" s="118"/>
      <c r="K475" s="21" t="str">
        <f t="shared" si="130"/>
        <v>1</v>
      </c>
      <c r="L475" s="21">
        <v>1</v>
      </c>
      <c r="M475" s="21" t="str">
        <f t="shared" si="131"/>
        <v>1</v>
      </c>
      <c r="N475" s="118" t="s">
        <v>2322</v>
      </c>
      <c r="O475" s="118" t="s">
        <v>2328</v>
      </c>
      <c r="P475" s="21" t="str">
        <f t="shared" si="135"/>
        <v>1</v>
      </c>
      <c r="Q475" s="21" t="str">
        <f t="shared" si="136"/>
        <v>1</v>
      </c>
      <c r="R475" s="21" t="str">
        <f t="shared" si="137"/>
        <v>1</v>
      </c>
      <c r="S475" s="21" t="str">
        <f t="shared" si="138"/>
        <v>1</v>
      </c>
      <c r="T475" s="21" t="str">
        <f t="shared" si="139"/>
        <v>1</v>
      </c>
      <c r="U475" s="21" t="str">
        <f t="shared" si="140"/>
        <v>1</v>
      </c>
      <c r="V475" s="21" t="str">
        <f t="shared" si="141"/>
        <v>1</v>
      </c>
      <c r="W475" s="21"/>
      <c r="X475" s="21" t="str">
        <f t="shared" si="142"/>
        <v>0</v>
      </c>
      <c r="Y475" s="21" t="str">
        <f t="shared" si="143"/>
        <v>0</v>
      </c>
      <c r="Z475" s="21" t="str">
        <f t="shared" si="144"/>
        <v>0</v>
      </c>
      <c r="AA475" s="118"/>
      <c r="AB475" s="118"/>
      <c r="AC475" s="118"/>
      <c r="AD475" s="118"/>
      <c r="AE475" s="118" t="s">
        <v>51</v>
      </c>
      <c r="AF475" s="118"/>
      <c r="AG475" s="118"/>
      <c r="AH475" s="21">
        <v>920000</v>
      </c>
      <c r="AI475" s="26" t="s">
        <v>112</v>
      </c>
      <c r="AJ475" s="26">
        <v>95400</v>
      </c>
      <c r="AK475" s="121" t="str">
        <f t="shared" si="129"/>
        <v>0</v>
      </c>
      <c r="AL475" s="123" t="str">
        <f t="shared" si="148"/>
        <v>14821/불량율 현황/eis.report/EisReport13</v>
      </c>
      <c r="AM475" s="21"/>
      <c r="AN475" s="124"/>
      <c r="AO475" s="124"/>
      <c r="AP475" s="124"/>
      <c r="AQ475" s="124" t="s">
        <v>1829</v>
      </c>
      <c r="AR475" s="124"/>
      <c r="AS475" s="124"/>
      <c r="AT475" s="124" t="s">
        <v>1945</v>
      </c>
      <c r="AU475" s="124" t="str">
        <f t="shared" si="133"/>
        <v>E920008</v>
      </c>
      <c r="AV475" s="124" t="s">
        <v>2754</v>
      </c>
      <c r="AW475" s="117" t="s">
        <v>2354</v>
      </c>
      <c r="AX475" s="138" t="str">
        <f t="shared" si="146"/>
        <v>delete from module_mst where pjt_id = '14821' and menu_id = '920008';</v>
      </c>
      <c r="AY475" s="31" t="str">
        <f>IF(C475&lt;&gt;"",CREATE_QUERY($D$1,C$2:AW$2,C475:AW475),"")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'920008', '불량율 현황', '', '', '', '', '1', '1', '1', 'eis.report', 'EisReport13', '1', '1', '1', '1', '1', '1', '1', '', '0', '0', '0', '', '', '', '', 'N', '', '', '920000', '4', '95400', '0', '14821/불량율 현황/eis.report/EisReport13', '', '', '', '', 'Y', '', '', 'E', 'MES-TD3-808', '거래처별, 품목별 불량율 현황 조회');</v>
      </c>
    </row>
    <row r="476" spans="1:51">
      <c r="A476" s="1">
        <v>168</v>
      </c>
      <c r="B476" s="121" t="str">
        <f t="shared" si="147"/>
        <v xml:space="preserve">    └ 투입공수 현황</v>
      </c>
      <c r="C476" s="27" t="str">
        <f t="shared" si="149"/>
        <v>14821</v>
      </c>
      <c r="D476" s="121"/>
      <c r="E476" s="21">
        <v>920009</v>
      </c>
      <c r="F476" s="118" t="s">
        <v>2326</v>
      </c>
      <c r="G476" s="118"/>
      <c r="H476" s="118"/>
      <c r="I476" s="118"/>
      <c r="J476" s="118"/>
      <c r="K476" s="21" t="str">
        <f t="shared" si="130"/>
        <v>1</v>
      </c>
      <c r="L476" s="21">
        <v>1</v>
      </c>
      <c r="M476" s="21" t="str">
        <f t="shared" si="131"/>
        <v>1</v>
      </c>
      <c r="N476" s="118" t="s">
        <v>2322</v>
      </c>
      <c r="O476" s="118" t="s">
        <v>2329</v>
      </c>
      <c r="P476" s="21" t="str">
        <f t="shared" si="135"/>
        <v>1</v>
      </c>
      <c r="Q476" s="21" t="str">
        <f t="shared" si="136"/>
        <v>1</v>
      </c>
      <c r="R476" s="21" t="str">
        <f t="shared" si="137"/>
        <v>1</v>
      </c>
      <c r="S476" s="21" t="str">
        <f t="shared" si="138"/>
        <v>1</v>
      </c>
      <c r="T476" s="21" t="str">
        <f t="shared" si="139"/>
        <v>1</v>
      </c>
      <c r="U476" s="21" t="str">
        <f t="shared" si="140"/>
        <v>1</v>
      </c>
      <c r="V476" s="21" t="str">
        <f t="shared" si="141"/>
        <v>1</v>
      </c>
      <c r="W476" s="21"/>
      <c r="X476" s="21" t="str">
        <f t="shared" si="142"/>
        <v>0</v>
      </c>
      <c r="Y476" s="21" t="str">
        <f t="shared" si="143"/>
        <v>0</v>
      </c>
      <c r="Z476" s="21" t="str">
        <f t="shared" si="144"/>
        <v>0</v>
      </c>
      <c r="AA476" s="118"/>
      <c r="AB476" s="118"/>
      <c r="AC476" s="118"/>
      <c r="AD476" s="118"/>
      <c r="AE476" s="118" t="s">
        <v>51</v>
      </c>
      <c r="AF476" s="118"/>
      <c r="AG476" s="118"/>
      <c r="AH476" s="21">
        <v>920000</v>
      </c>
      <c r="AI476" s="26" t="s">
        <v>112</v>
      </c>
      <c r="AJ476" s="26">
        <v>95450</v>
      </c>
      <c r="AK476" s="121" t="str">
        <f t="shared" si="129"/>
        <v>0</v>
      </c>
      <c r="AL476" s="123" t="str">
        <f t="shared" si="148"/>
        <v>14821/투입공수 현황/eis.report/EisReport14</v>
      </c>
      <c r="AM476" s="21"/>
      <c r="AN476" s="124"/>
      <c r="AO476" s="124"/>
      <c r="AP476" s="124"/>
      <c r="AQ476" s="124" t="s">
        <v>1829</v>
      </c>
      <c r="AR476" s="124"/>
      <c r="AS476" s="124"/>
      <c r="AT476" s="124" t="s">
        <v>1945</v>
      </c>
      <c r="AU476" s="124" t="str">
        <f t="shared" si="133"/>
        <v>E920009</v>
      </c>
      <c r="AV476" s="124" t="s">
        <v>2755</v>
      </c>
      <c r="AW476" s="117" t="s">
        <v>2353</v>
      </c>
      <c r="AX476" s="138" t="str">
        <f t="shared" si="146"/>
        <v>delete from module_mst where pjt_id = '14821' and menu_id = '920009';</v>
      </c>
      <c r="AY476" s="31" t="str">
        <f>IF(C476&lt;&gt;"",CREATE_QUERY($D$1,C$2:AW$2,C476:AW476),"")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'920009', '투입공수 현황', '', '', '', '', '1', '1', '1', 'eis.report', 'EisReport14', '1', '1', '1', '1', '1', '1', '1', '', '0', '0', '0', '', '', '', '', 'N', '', '', '920000', '4', '95450', '0', '14821/투입공수 현황/eis.report/EisReport14', '', '', '', '', 'Y', '', '', 'E', 'MES-TD3-809', '프로젝트별 투입 공수 현황을 조회');</v>
      </c>
    </row>
    <row r="477" spans="1:51">
      <c r="A477" s="1">
        <v>168</v>
      </c>
      <c r="B477" s="121" t="str">
        <f t="shared" si="147"/>
        <v xml:space="preserve">    └ (프로젝트)생산설비 모니터링</v>
      </c>
      <c r="C477" s="27" t="str">
        <f t="shared" si="149"/>
        <v>14821</v>
      </c>
      <c r="D477" s="121"/>
      <c r="E477" s="21">
        <v>920010</v>
      </c>
      <c r="F477" s="118" t="s">
        <v>2357</v>
      </c>
      <c r="G477" s="118"/>
      <c r="H477" s="118"/>
      <c r="I477" s="118"/>
      <c r="J477" s="118"/>
      <c r="K477" s="21" t="str">
        <f t="shared" si="130"/>
        <v>1</v>
      </c>
      <c r="L477" s="21">
        <v>1</v>
      </c>
      <c r="M477" s="21" t="str">
        <f t="shared" si="131"/>
        <v>1</v>
      </c>
      <c r="N477" s="118" t="s">
        <v>292</v>
      </c>
      <c r="O477" s="118" t="s">
        <v>229</v>
      </c>
      <c r="P477" s="21" t="str">
        <f t="shared" si="135"/>
        <v>1</v>
      </c>
      <c r="Q477" s="21" t="str">
        <f t="shared" si="136"/>
        <v>1</v>
      </c>
      <c r="R477" s="21" t="str">
        <f t="shared" si="137"/>
        <v>1</v>
      </c>
      <c r="S477" s="21" t="str">
        <f t="shared" si="138"/>
        <v>1</v>
      </c>
      <c r="T477" s="21" t="str">
        <f t="shared" si="139"/>
        <v>1</v>
      </c>
      <c r="U477" s="21" t="str">
        <f t="shared" si="140"/>
        <v>1</v>
      </c>
      <c r="V477" s="21" t="str">
        <f t="shared" si="141"/>
        <v>1</v>
      </c>
      <c r="W477" s="21"/>
      <c r="X477" s="21" t="str">
        <f t="shared" si="142"/>
        <v>0</v>
      </c>
      <c r="Y477" s="21" t="str">
        <f t="shared" si="143"/>
        <v>0</v>
      </c>
      <c r="Z477" s="21" t="str">
        <f t="shared" si="144"/>
        <v>0</v>
      </c>
      <c r="AA477" s="118"/>
      <c r="AB477" s="118"/>
      <c r="AC477" s="118"/>
      <c r="AD477" s="118"/>
      <c r="AE477" s="118" t="s">
        <v>51</v>
      </c>
      <c r="AF477" s="118"/>
      <c r="AG477" s="118"/>
      <c r="AH477" s="21">
        <v>920000</v>
      </c>
      <c r="AI477" s="26" t="s">
        <v>112</v>
      </c>
      <c r="AJ477" s="26">
        <v>95500</v>
      </c>
      <c r="AK477" s="121" t="str">
        <f t="shared" si="129"/>
        <v>0</v>
      </c>
      <c r="AL477" s="123" t="str">
        <f t="shared" si="148"/>
        <v>14821/생산설비 모니터링/prod.cvic/CvicMonitring</v>
      </c>
      <c r="AM477" s="21" t="s">
        <v>1887</v>
      </c>
      <c r="AN477" s="124"/>
      <c r="AO477" s="124"/>
      <c r="AP477" s="124"/>
      <c r="AQ477" s="124" t="s">
        <v>1829</v>
      </c>
      <c r="AR477" s="124"/>
      <c r="AS477" s="124"/>
      <c r="AT477" s="124" t="s">
        <v>1945</v>
      </c>
      <c r="AU477" s="124" t="str">
        <f t="shared" si="133"/>
        <v>E920010</v>
      </c>
      <c r="AV477" s="124" t="s">
        <v>2756</v>
      </c>
      <c r="AW477" s="117" t="s">
        <v>2356</v>
      </c>
      <c r="AX477" s="138" t="str">
        <f t="shared" si="146"/>
        <v>delete from module_mst where pjt_id = '14821' and menu_id = '920010';</v>
      </c>
      <c r="AY477" s="31" t="str">
        <f>IF(C477&lt;&gt;"",CREATE_QUERY($D$1,C$2:AW$2,C477:AW477),"")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'920010', '생산설비 모니터링', '', '', '', '', '1', '1', '1', 'prod.cvic', 'CvicMonitring', '1', '1', '1', '1', '1', '1', '1', '', '0', '0', '0', '', '', '', '', 'N', '', '', '920000', '4', '95500', '0', '14821/생산설비 모니터링/prod.cvic/CvicMonitring', '(프로젝트)', '', '', '', 'Y', '', '', 'E', 'MES-TD3-810', '생산 설비별 가동 현황 그래프 조회');</v>
      </c>
    </row>
    <row r="478" spans="1:51">
      <c r="A478" s="1">
        <v>168</v>
      </c>
      <c r="B478" s="121" t="str">
        <f t="shared" si="147"/>
        <v xml:space="preserve">    └ 월간 일정 현황</v>
      </c>
      <c r="C478" s="27" t="str">
        <f t="shared" si="149"/>
        <v>14821</v>
      </c>
      <c r="D478" s="121"/>
      <c r="E478" s="21">
        <v>920011</v>
      </c>
      <c r="F478" s="118" t="s">
        <v>2434</v>
      </c>
      <c r="G478" s="118"/>
      <c r="H478" s="118"/>
      <c r="I478" s="118"/>
      <c r="J478" s="118"/>
      <c r="K478" s="21" t="str">
        <f t="shared" si="130"/>
        <v>1</v>
      </c>
      <c r="L478" s="21">
        <v>1</v>
      </c>
      <c r="M478" s="21" t="str">
        <f t="shared" si="131"/>
        <v>1</v>
      </c>
      <c r="N478" s="118" t="s">
        <v>2322</v>
      </c>
      <c r="O478" s="118" t="s">
        <v>2435</v>
      </c>
      <c r="P478" s="21" t="str">
        <f t="shared" si="135"/>
        <v>1</v>
      </c>
      <c r="Q478" s="21" t="str">
        <f t="shared" si="136"/>
        <v>1</v>
      </c>
      <c r="R478" s="21" t="str">
        <f t="shared" si="137"/>
        <v>1</v>
      </c>
      <c r="S478" s="21" t="str">
        <f t="shared" si="138"/>
        <v>1</v>
      </c>
      <c r="T478" s="21" t="str">
        <f t="shared" si="139"/>
        <v>1</v>
      </c>
      <c r="U478" s="21" t="str">
        <f t="shared" si="140"/>
        <v>1</v>
      </c>
      <c r="V478" s="21" t="str">
        <f t="shared" si="141"/>
        <v>1</v>
      </c>
      <c r="W478" s="21"/>
      <c r="X478" s="21" t="str">
        <f t="shared" si="142"/>
        <v>0</v>
      </c>
      <c r="Y478" s="21" t="str">
        <f t="shared" si="143"/>
        <v>0</v>
      </c>
      <c r="Z478" s="21" t="str">
        <f t="shared" si="144"/>
        <v>0</v>
      </c>
      <c r="AA478" s="118"/>
      <c r="AB478" s="118"/>
      <c r="AC478" s="118"/>
      <c r="AD478" s="118"/>
      <c r="AE478" s="118" t="s">
        <v>51</v>
      </c>
      <c r="AF478" s="118"/>
      <c r="AG478" s="118"/>
      <c r="AH478" s="21">
        <v>920000</v>
      </c>
      <c r="AI478" s="26" t="s">
        <v>112</v>
      </c>
      <c r="AJ478" s="26">
        <v>95502</v>
      </c>
      <c r="AK478" s="121" t="str">
        <f t="shared" si="129"/>
        <v>0</v>
      </c>
      <c r="AL478" s="123" t="str">
        <f t="shared" si="148"/>
        <v>14821/월간 일정 현황/eis.report/EisReport15</v>
      </c>
      <c r="AM478" s="21"/>
      <c r="AN478" s="124"/>
      <c r="AO478" s="124"/>
      <c r="AP478" s="124"/>
      <c r="AQ478" s="124" t="s">
        <v>1829</v>
      </c>
      <c r="AR478" s="124"/>
      <c r="AS478" s="124"/>
      <c r="AT478" s="124" t="s">
        <v>1945</v>
      </c>
      <c r="AU478" s="124" t="str">
        <f t="shared" si="133"/>
        <v>E920011</v>
      </c>
      <c r="AV478" s="124" t="s">
        <v>2757</v>
      </c>
      <c r="AW478" s="117" t="s">
        <v>2436</v>
      </c>
      <c r="AX478" s="138" t="str">
        <f t="shared" si="146"/>
        <v>delete from module_mst where pjt_id = '14821' and menu_id = '920011';</v>
      </c>
      <c r="AY478" s="31" t="str">
        <f>IF(C478&lt;&gt;"",CREATE_QUERY($D$1,C$2:AW$2,C478:AW478),"")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'920011', '월간 일정 현황', '', '', '', '', '1', '1', '1', 'eis.report', 'EisReport15', '1', '1', '1', '1', '1', '1', '1', '', '0', '0', '0', '', '', '', '', 'N', '', '', '920000', '4', '95502', '0', '14821/월간 일정 현황/eis.report/EisReport15', '', '', '', '', 'Y', '', '', 'E', 'MES-TD3-811', '월간 주요 일정 현황 조회');</v>
      </c>
    </row>
    <row r="479" spans="1:51">
      <c r="A479" s="1">
        <v>168</v>
      </c>
      <c r="B479" s="121" t="str">
        <f t="shared" si="147"/>
        <v xml:space="preserve">    └ (인코팩)종합현황</v>
      </c>
      <c r="C479" s="27" t="str">
        <f t="shared" si="149"/>
        <v>14821</v>
      </c>
      <c r="D479" s="121"/>
      <c r="E479" s="21">
        <v>920012</v>
      </c>
      <c r="F479" s="118" t="s">
        <v>370</v>
      </c>
      <c r="G479" s="118"/>
      <c r="H479" s="118"/>
      <c r="I479" s="118"/>
      <c r="J479" s="118"/>
      <c r="K479" s="21" t="str">
        <f t="shared" si="130"/>
        <v>1</v>
      </c>
      <c r="L479" s="21">
        <v>1</v>
      </c>
      <c r="M479" s="21" t="str">
        <f t="shared" si="131"/>
        <v>1</v>
      </c>
      <c r="N479" s="118" t="s">
        <v>2443</v>
      </c>
      <c r="O479" s="118" t="s">
        <v>2444</v>
      </c>
      <c r="P479" s="21" t="str">
        <f t="shared" si="135"/>
        <v>1</v>
      </c>
      <c r="Q479" s="21" t="str">
        <f t="shared" si="136"/>
        <v>1</v>
      </c>
      <c r="R479" s="21" t="str">
        <f t="shared" si="137"/>
        <v>1</v>
      </c>
      <c r="S479" s="21" t="str">
        <f t="shared" si="138"/>
        <v>1</v>
      </c>
      <c r="T479" s="21" t="str">
        <f t="shared" si="139"/>
        <v>1</v>
      </c>
      <c r="U479" s="21" t="str">
        <f t="shared" si="140"/>
        <v>1</v>
      </c>
      <c r="V479" s="21" t="str">
        <f t="shared" si="141"/>
        <v>1</v>
      </c>
      <c r="W479" s="21"/>
      <c r="X479" s="21" t="str">
        <f t="shared" si="142"/>
        <v>0</v>
      </c>
      <c r="Y479" s="21" t="str">
        <f t="shared" si="143"/>
        <v>0</v>
      </c>
      <c r="Z479" s="21" t="str">
        <f t="shared" si="144"/>
        <v>0</v>
      </c>
      <c r="AA479" s="118"/>
      <c r="AB479" s="118"/>
      <c r="AC479" s="118"/>
      <c r="AD479" s="118"/>
      <c r="AE479" s="118" t="s">
        <v>51</v>
      </c>
      <c r="AF479" s="118"/>
      <c r="AG479" s="118"/>
      <c r="AH479" s="21">
        <v>920000</v>
      </c>
      <c r="AI479" s="26" t="s">
        <v>112</v>
      </c>
      <c r="AJ479" s="26">
        <v>95504</v>
      </c>
      <c r="AK479" s="121" t="str">
        <f t="shared" si="129"/>
        <v/>
      </c>
      <c r="AL479" s="123" t="str">
        <f t="shared" si="148"/>
        <v>14821/종합현황/custom.inkopack.eis/EisReport16</v>
      </c>
      <c r="AM479" s="21" t="s">
        <v>2386</v>
      </c>
      <c r="AN479" s="124"/>
      <c r="AO479" s="124"/>
      <c r="AP479" s="124"/>
      <c r="AQ479" s="124" t="s">
        <v>1829</v>
      </c>
      <c r="AR479" s="124"/>
      <c r="AS479" s="124"/>
      <c r="AT479" s="124" t="s">
        <v>1945</v>
      </c>
      <c r="AU479" s="124" t="str">
        <f t="shared" si="133"/>
        <v>E920012</v>
      </c>
      <c r="AV479" s="124" t="s">
        <v>2758</v>
      </c>
      <c r="AW479" s="117" t="s">
        <v>2445</v>
      </c>
      <c r="AX479" s="138" t="str">
        <f t="shared" si="146"/>
        <v>delete from module_mst where pjt_id = '14821' and menu_id = '920012';</v>
      </c>
      <c r="AY479" s="31" t="str">
        <f>IF(C479&lt;&gt;"",CREATE_QUERY($D$1,C$2:AW$2,C479:AW479),"")</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'920012', '종합현황', '', '', '', '', '1', '1', '1', 'custom.inkopack.eis', 'EisReport16', '1', '1', '1', '1', '1', '1', '1', '', '0', '0', '0', '', '', '', '', 'N', '', '', '920000', '4', '95504', '', '14821/종합현황/custom.inkopack.eis/EisReport16', '(인코팩)', '', '', '', 'Y', '', '', 'E', 'MES-TD3-812', 'for 인코팩 종합 현황 판');</v>
      </c>
    </row>
    <row r="480" spans="1:51">
      <c r="A480" s="1">
        <v>168</v>
      </c>
      <c r="B480" s="121" t="str">
        <f t="shared" si="147"/>
        <v/>
      </c>
      <c r="C480" s="27" t="str">
        <f t="shared" si="149"/>
        <v/>
      </c>
      <c r="D480" s="121"/>
      <c r="E480" s="21">
        <v>920013</v>
      </c>
      <c r="F480" s="118"/>
      <c r="G480" s="118"/>
      <c r="H480" s="118"/>
      <c r="I480" s="118"/>
      <c r="J480" s="118"/>
      <c r="K480" s="21" t="str">
        <f t="shared" si="130"/>
        <v/>
      </c>
      <c r="L480" s="21">
        <v>1</v>
      </c>
      <c r="M480" s="21" t="str">
        <f t="shared" si="131"/>
        <v>0</v>
      </c>
      <c r="N480" s="118"/>
      <c r="O480" s="118"/>
      <c r="P480" s="21" t="str">
        <f t="shared" si="135"/>
        <v>0</v>
      </c>
      <c r="Q480" s="21" t="str">
        <f t="shared" si="136"/>
        <v>0</v>
      </c>
      <c r="R480" s="21" t="str">
        <f t="shared" si="137"/>
        <v>0</v>
      </c>
      <c r="S480" s="21" t="str">
        <f t="shared" si="138"/>
        <v>0</v>
      </c>
      <c r="T480" s="21" t="str">
        <f t="shared" si="139"/>
        <v>0</v>
      </c>
      <c r="U480" s="21" t="str">
        <f t="shared" si="140"/>
        <v>0</v>
      </c>
      <c r="V480" s="21" t="str">
        <f t="shared" si="141"/>
        <v>1</v>
      </c>
      <c r="W480" s="21"/>
      <c r="X480" s="21" t="str">
        <f t="shared" si="142"/>
        <v/>
      </c>
      <c r="Y480" s="21" t="str">
        <f t="shared" si="143"/>
        <v/>
      </c>
      <c r="Z480" s="21" t="str">
        <f t="shared" si="144"/>
        <v/>
      </c>
      <c r="AA480" s="118"/>
      <c r="AB480" s="118"/>
      <c r="AC480" s="118"/>
      <c r="AD480" s="118"/>
      <c r="AE480" s="118" t="s">
        <v>51</v>
      </c>
      <c r="AF480" s="118"/>
      <c r="AG480" s="118"/>
      <c r="AH480" s="21">
        <v>920000</v>
      </c>
      <c r="AI480" s="26" t="s">
        <v>112</v>
      </c>
      <c r="AJ480" s="26">
        <v>95506</v>
      </c>
      <c r="AK480" s="121" t="str">
        <f t="shared" si="129"/>
        <v/>
      </c>
      <c r="AL480" s="123" t="str">
        <f t="shared" si="148"/>
        <v/>
      </c>
      <c r="AM480" s="21"/>
      <c r="AN480" s="124"/>
      <c r="AO480" s="124"/>
      <c r="AP480" s="124"/>
      <c r="AQ480" s="124" t="s">
        <v>1829</v>
      </c>
      <c r="AR480" s="124"/>
      <c r="AS480" s="124"/>
      <c r="AT480" s="124" t="s">
        <v>1945</v>
      </c>
      <c r="AU480" s="124" t="str">
        <f t="shared" si="133"/>
        <v/>
      </c>
      <c r="AV480" s="124" t="s">
        <v>2759</v>
      </c>
      <c r="AW480" s="117"/>
      <c r="AX480" s="138" t="str">
        <f t="shared" si="146"/>
        <v/>
      </c>
      <c r="AY480" s="31" t="str">
        <f>IF(C480&lt;&gt;"",CREATE_QUERY($D$1,C$2:AW$2,C480:AW480),"")</f>
        <v/>
      </c>
    </row>
    <row r="481" spans="1:51">
      <c r="A481" s="1">
        <v>168</v>
      </c>
      <c r="B481" s="121" t="str">
        <f t="shared" si="147"/>
        <v/>
      </c>
      <c r="C481" s="27" t="str">
        <f t="shared" si="149"/>
        <v/>
      </c>
      <c r="D481" s="121"/>
      <c r="E481" s="21">
        <v>920014</v>
      </c>
      <c r="F481" s="118"/>
      <c r="G481" s="118"/>
      <c r="H481" s="118"/>
      <c r="I481" s="118"/>
      <c r="J481" s="118"/>
      <c r="K481" s="21" t="str">
        <f t="shared" si="130"/>
        <v/>
      </c>
      <c r="L481" s="21">
        <v>1</v>
      </c>
      <c r="M481" s="21" t="str">
        <f t="shared" si="131"/>
        <v>0</v>
      </c>
      <c r="N481" s="118"/>
      <c r="O481" s="118"/>
      <c r="P481" s="21" t="str">
        <f t="shared" si="135"/>
        <v>0</v>
      </c>
      <c r="Q481" s="21" t="str">
        <f t="shared" si="136"/>
        <v>0</v>
      </c>
      <c r="R481" s="21" t="str">
        <f t="shared" si="137"/>
        <v>0</v>
      </c>
      <c r="S481" s="21" t="str">
        <f t="shared" si="138"/>
        <v>0</v>
      </c>
      <c r="T481" s="21" t="str">
        <f t="shared" si="139"/>
        <v>0</v>
      </c>
      <c r="U481" s="21" t="str">
        <f t="shared" si="140"/>
        <v>0</v>
      </c>
      <c r="V481" s="21" t="str">
        <f t="shared" si="141"/>
        <v>1</v>
      </c>
      <c r="W481" s="21"/>
      <c r="X481" s="21" t="str">
        <f t="shared" si="142"/>
        <v/>
      </c>
      <c r="Y481" s="21" t="str">
        <f t="shared" si="143"/>
        <v/>
      </c>
      <c r="Z481" s="21" t="str">
        <f t="shared" si="144"/>
        <v/>
      </c>
      <c r="AA481" s="118"/>
      <c r="AB481" s="118"/>
      <c r="AC481" s="118"/>
      <c r="AD481" s="118"/>
      <c r="AE481" s="118" t="s">
        <v>51</v>
      </c>
      <c r="AF481" s="118"/>
      <c r="AG481" s="118"/>
      <c r="AH481" s="21">
        <v>920000</v>
      </c>
      <c r="AI481" s="26" t="s">
        <v>112</v>
      </c>
      <c r="AJ481" s="26">
        <v>95508</v>
      </c>
      <c r="AK481" s="121" t="str">
        <f t="shared" si="129"/>
        <v/>
      </c>
      <c r="AL481" s="123" t="str">
        <f t="shared" si="148"/>
        <v/>
      </c>
      <c r="AM481" s="21"/>
      <c r="AN481" s="124"/>
      <c r="AO481" s="124"/>
      <c r="AP481" s="124"/>
      <c r="AQ481" s="124" t="s">
        <v>1829</v>
      </c>
      <c r="AR481" s="124"/>
      <c r="AS481" s="124"/>
      <c r="AT481" s="124" t="s">
        <v>1945</v>
      </c>
      <c r="AU481" s="124" t="str">
        <f t="shared" si="133"/>
        <v/>
      </c>
      <c r="AV481" s="124" t="s">
        <v>2760</v>
      </c>
      <c r="AW481" s="117"/>
      <c r="AX481" s="138" t="str">
        <f t="shared" si="146"/>
        <v/>
      </c>
      <c r="AY481" s="31" t="str">
        <f>IF(C481&lt;&gt;"",CREATE_QUERY($D$1,C$2:AW$2,C481:AW481),"")</f>
        <v/>
      </c>
    </row>
    <row r="482" spans="1:51">
      <c r="A482" s="1">
        <v>168</v>
      </c>
      <c r="B482" s="121" t="str">
        <f t="shared" si="147"/>
        <v/>
      </c>
      <c r="C482" s="27" t="str">
        <f t="shared" si="149"/>
        <v/>
      </c>
      <c r="D482" s="121"/>
      <c r="E482" s="21">
        <v>920015</v>
      </c>
      <c r="F482" s="118"/>
      <c r="G482" s="118"/>
      <c r="H482" s="118"/>
      <c r="I482" s="118"/>
      <c r="J482" s="118"/>
      <c r="K482" s="21" t="str">
        <f t="shared" si="130"/>
        <v/>
      </c>
      <c r="L482" s="21">
        <v>1</v>
      </c>
      <c r="M482" s="21" t="str">
        <f t="shared" si="131"/>
        <v>0</v>
      </c>
      <c r="N482" s="118"/>
      <c r="O482" s="118"/>
      <c r="P482" s="21" t="str">
        <f t="shared" si="135"/>
        <v>0</v>
      </c>
      <c r="Q482" s="21" t="str">
        <f t="shared" si="136"/>
        <v>0</v>
      </c>
      <c r="R482" s="21" t="str">
        <f t="shared" si="137"/>
        <v>0</v>
      </c>
      <c r="S482" s="21" t="str">
        <f t="shared" si="138"/>
        <v>0</v>
      </c>
      <c r="T482" s="21" t="str">
        <f t="shared" si="139"/>
        <v>0</v>
      </c>
      <c r="U482" s="21" t="str">
        <f t="shared" si="140"/>
        <v>0</v>
      </c>
      <c r="V482" s="21" t="str">
        <f t="shared" si="141"/>
        <v>1</v>
      </c>
      <c r="W482" s="21"/>
      <c r="X482" s="21" t="str">
        <f t="shared" si="142"/>
        <v/>
      </c>
      <c r="Y482" s="21" t="str">
        <f t="shared" si="143"/>
        <v/>
      </c>
      <c r="Z482" s="21" t="str">
        <f t="shared" si="144"/>
        <v/>
      </c>
      <c r="AA482" s="118"/>
      <c r="AB482" s="118"/>
      <c r="AC482" s="118"/>
      <c r="AD482" s="118"/>
      <c r="AE482" s="118" t="s">
        <v>51</v>
      </c>
      <c r="AF482" s="118"/>
      <c r="AG482" s="118"/>
      <c r="AH482" s="21">
        <v>920000</v>
      </c>
      <c r="AI482" s="26" t="s">
        <v>112</v>
      </c>
      <c r="AJ482" s="26">
        <v>95510</v>
      </c>
      <c r="AK482" s="121" t="str">
        <f t="shared" si="129"/>
        <v/>
      </c>
      <c r="AL482" s="123" t="str">
        <f t="shared" si="148"/>
        <v/>
      </c>
      <c r="AM482" s="21"/>
      <c r="AN482" s="124"/>
      <c r="AO482" s="124"/>
      <c r="AP482" s="124"/>
      <c r="AQ482" s="124" t="s">
        <v>1829</v>
      </c>
      <c r="AR482" s="124"/>
      <c r="AS482" s="124"/>
      <c r="AT482" s="124" t="s">
        <v>1945</v>
      </c>
      <c r="AU482" s="124" t="str">
        <f t="shared" si="133"/>
        <v/>
      </c>
      <c r="AV482" s="124" t="s">
        <v>2761</v>
      </c>
      <c r="AW482" s="117"/>
      <c r="AX482" s="138" t="str">
        <f t="shared" si="146"/>
        <v/>
      </c>
      <c r="AY482" s="31" t="str">
        <f>IF(C482&lt;&gt;"",CREATE_QUERY($D$1,C$2:AW$2,C482:AW482),"")</f>
        <v/>
      </c>
    </row>
    <row r="483" spans="1:51">
      <c r="A483" s="1">
        <v>168</v>
      </c>
      <c r="B483" s="121" t="str">
        <f t="shared" si="147"/>
        <v/>
      </c>
      <c r="C483" s="27" t="str">
        <f t="shared" si="149"/>
        <v/>
      </c>
      <c r="D483" s="121"/>
      <c r="E483" s="21">
        <v>920016</v>
      </c>
      <c r="F483" s="118"/>
      <c r="G483" s="118"/>
      <c r="H483" s="118"/>
      <c r="I483" s="118"/>
      <c r="J483" s="118"/>
      <c r="K483" s="21" t="str">
        <f t="shared" si="130"/>
        <v/>
      </c>
      <c r="L483" s="21">
        <v>1</v>
      </c>
      <c r="M483" s="21" t="str">
        <f t="shared" si="131"/>
        <v>0</v>
      </c>
      <c r="N483" s="118"/>
      <c r="O483" s="118"/>
      <c r="P483" s="21" t="str">
        <f t="shared" si="135"/>
        <v>0</v>
      </c>
      <c r="Q483" s="21" t="str">
        <f t="shared" si="136"/>
        <v>0</v>
      </c>
      <c r="R483" s="21" t="str">
        <f t="shared" si="137"/>
        <v>0</v>
      </c>
      <c r="S483" s="21" t="str">
        <f t="shared" si="138"/>
        <v>0</v>
      </c>
      <c r="T483" s="21" t="str">
        <f t="shared" si="139"/>
        <v>0</v>
      </c>
      <c r="U483" s="21" t="str">
        <f t="shared" si="140"/>
        <v>0</v>
      </c>
      <c r="V483" s="21" t="str">
        <f t="shared" si="141"/>
        <v>1</v>
      </c>
      <c r="W483" s="21"/>
      <c r="X483" s="21" t="str">
        <f t="shared" si="142"/>
        <v/>
      </c>
      <c r="Y483" s="21" t="str">
        <f t="shared" si="143"/>
        <v/>
      </c>
      <c r="Z483" s="21" t="str">
        <f t="shared" si="144"/>
        <v/>
      </c>
      <c r="AA483" s="118"/>
      <c r="AB483" s="118"/>
      <c r="AC483" s="118"/>
      <c r="AD483" s="118"/>
      <c r="AE483" s="118" t="s">
        <v>51</v>
      </c>
      <c r="AF483" s="118"/>
      <c r="AG483" s="118"/>
      <c r="AH483" s="21">
        <v>920000</v>
      </c>
      <c r="AI483" s="26" t="s">
        <v>112</v>
      </c>
      <c r="AJ483" s="26">
        <v>95512</v>
      </c>
      <c r="AK483" s="121" t="str">
        <f t="shared" si="129"/>
        <v/>
      </c>
      <c r="AL483" s="123" t="str">
        <f t="shared" si="148"/>
        <v/>
      </c>
      <c r="AM483" s="21"/>
      <c r="AN483" s="124"/>
      <c r="AO483" s="124"/>
      <c r="AP483" s="124"/>
      <c r="AQ483" s="124" t="s">
        <v>1829</v>
      </c>
      <c r="AR483" s="124"/>
      <c r="AS483" s="124"/>
      <c r="AT483" s="124" t="s">
        <v>1945</v>
      </c>
      <c r="AU483" s="124" t="str">
        <f t="shared" si="133"/>
        <v/>
      </c>
      <c r="AV483" s="124" t="s">
        <v>2762</v>
      </c>
      <c r="AW483" s="117"/>
      <c r="AX483" s="138" t="str">
        <f t="shared" si="146"/>
        <v/>
      </c>
      <c r="AY483" s="31" t="str">
        <f>IF(C483&lt;&gt;"",CREATE_QUERY($D$1,C$2:AW$2,C483:AW483),"")</f>
        <v/>
      </c>
    </row>
    <row r="484" spans="1:51">
      <c r="A484" s="1">
        <v>168</v>
      </c>
      <c r="B484" s="121" t="str">
        <f t="shared" si="147"/>
        <v/>
      </c>
      <c r="C484" s="27" t="str">
        <f t="shared" si="149"/>
        <v/>
      </c>
      <c r="D484" s="121"/>
      <c r="E484" s="21">
        <v>920017</v>
      </c>
      <c r="F484" s="118"/>
      <c r="G484" s="118"/>
      <c r="H484" s="118"/>
      <c r="I484" s="118"/>
      <c r="J484" s="118"/>
      <c r="K484" s="21" t="str">
        <f t="shared" si="130"/>
        <v/>
      </c>
      <c r="L484" s="21">
        <v>1</v>
      </c>
      <c r="M484" s="21" t="str">
        <f t="shared" si="131"/>
        <v>0</v>
      </c>
      <c r="N484" s="118"/>
      <c r="O484" s="118"/>
      <c r="P484" s="21" t="str">
        <f t="shared" si="135"/>
        <v>0</v>
      </c>
      <c r="Q484" s="21" t="str">
        <f t="shared" si="136"/>
        <v>0</v>
      </c>
      <c r="R484" s="21" t="str">
        <f t="shared" si="137"/>
        <v>0</v>
      </c>
      <c r="S484" s="21" t="str">
        <f t="shared" si="138"/>
        <v>0</v>
      </c>
      <c r="T484" s="21" t="str">
        <f t="shared" si="139"/>
        <v>0</v>
      </c>
      <c r="U484" s="21" t="str">
        <f t="shared" si="140"/>
        <v>0</v>
      </c>
      <c r="V484" s="21" t="str">
        <f t="shared" si="141"/>
        <v>1</v>
      </c>
      <c r="W484" s="21"/>
      <c r="X484" s="21" t="str">
        <f t="shared" si="142"/>
        <v/>
      </c>
      <c r="Y484" s="21" t="str">
        <f t="shared" si="143"/>
        <v/>
      </c>
      <c r="Z484" s="21" t="str">
        <f t="shared" si="144"/>
        <v/>
      </c>
      <c r="AA484" s="118"/>
      <c r="AB484" s="118"/>
      <c r="AC484" s="118"/>
      <c r="AD484" s="118"/>
      <c r="AE484" s="118" t="s">
        <v>51</v>
      </c>
      <c r="AF484" s="118"/>
      <c r="AG484" s="118"/>
      <c r="AH484" s="21">
        <v>920000</v>
      </c>
      <c r="AI484" s="26" t="s">
        <v>112</v>
      </c>
      <c r="AJ484" s="26">
        <v>95514</v>
      </c>
      <c r="AK484" s="121" t="str">
        <f t="shared" ref="AK484:AK548" si="150">IF(B485="","","0")</f>
        <v/>
      </c>
      <c r="AL484" s="123" t="str">
        <f t="shared" si="148"/>
        <v/>
      </c>
      <c r="AM484" s="21"/>
      <c r="AN484" s="124"/>
      <c r="AO484" s="124"/>
      <c r="AP484" s="124"/>
      <c r="AQ484" s="124" t="s">
        <v>1829</v>
      </c>
      <c r="AR484" s="124"/>
      <c r="AS484" s="124"/>
      <c r="AT484" s="124" t="s">
        <v>1945</v>
      </c>
      <c r="AU484" s="124" t="str">
        <f t="shared" ref="AU484:AU547" si="151">IF(O484="","",AT484&amp;E484)</f>
        <v/>
      </c>
      <c r="AV484" s="124" t="s">
        <v>2763</v>
      </c>
      <c r="AW484" s="117"/>
      <c r="AX484" s="138" t="str">
        <f t="shared" si="146"/>
        <v/>
      </c>
      <c r="AY484" s="31" t="str">
        <f>IF(C484&lt;&gt;"",CREATE_QUERY($D$1,C$2:AW$2,C484:AW484),"")</f>
        <v/>
      </c>
    </row>
    <row r="485" spans="1:51">
      <c r="A485" s="1">
        <v>168</v>
      </c>
      <c r="B485" s="121" t="str">
        <f t="shared" si="147"/>
        <v/>
      </c>
      <c r="C485" s="27" t="str">
        <f t="shared" si="149"/>
        <v/>
      </c>
      <c r="D485" s="121"/>
      <c r="E485" s="21">
        <v>920018</v>
      </c>
      <c r="F485" s="118"/>
      <c r="G485" s="118"/>
      <c r="H485" s="118"/>
      <c r="I485" s="118"/>
      <c r="J485" s="118"/>
      <c r="K485" s="21" t="str">
        <f t="shared" ref="K485:K534" si="152">IF(O485="","","1")</f>
        <v/>
      </c>
      <c r="L485" s="21">
        <v>1</v>
      </c>
      <c r="M485" s="21" t="str">
        <f t="shared" ref="M485:M534" si="153">IF(O485="","0","1")</f>
        <v>0</v>
      </c>
      <c r="N485" s="118"/>
      <c r="O485" s="118"/>
      <c r="P485" s="21" t="str">
        <f t="shared" si="135"/>
        <v>0</v>
      </c>
      <c r="Q485" s="21" t="str">
        <f t="shared" si="136"/>
        <v>0</v>
      </c>
      <c r="R485" s="21" t="str">
        <f t="shared" si="137"/>
        <v>0</v>
      </c>
      <c r="S485" s="21" t="str">
        <f t="shared" si="138"/>
        <v>0</v>
      </c>
      <c r="T485" s="21" t="str">
        <f t="shared" si="139"/>
        <v>0</v>
      </c>
      <c r="U485" s="21" t="str">
        <f t="shared" si="140"/>
        <v>0</v>
      </c>
      <c r="V485" s="21" t="str">
        <f t="shared" si="141"/>
        <v>1</v>
      </c>
      <c r="W485" s="21"/>
      <c r="X485" s="21" t="str">
        <f t="shared" si="142"/>
        <v/>
      </c>
      <c r="Y485" s="21" t="str">
        <f t="shared" si="143"/>
        <v/>
      </c>
      <c r="Z485" s="21" t="str">
        <f t="shared" si="144"/>
        <v/>
      </c>
      <c r="AA485" s="118"/>
      <c r="AB485" s="118"/>
      <c r="AC485" s="118"/>
      <c r="AD485" s="118"/>
      <c r="AE485" s="118" t="s">
        <v>51</v>
      </c>
      <c r="AF485" s="118"/>
      <c r="AG485" s="118"/>
      <c r="AH485" s="21">
        <v>920000</v>
      </c>
      <c r="AI485" s="26" t="s">
        <v>112</v>
      </c>
      <c r="AJ485" s="26">
        <v>95516</v>
      </c>
      <c r="AK485" s="121" t="str">
        <f t="shared" si="150"/>
        <v/>
      </c>
      <c r="AL485" s="123" t="str">
        <f t="shared" si="148"/>
        <v/>
      </c>
      <c r="AM485" s="21"/>
      <c r="AN485" s="124"/>
      <c r="AO485" s="124"/>
      <c r="AP485" s="124"/>
      <c r="AQ485" s="124" t="s">
        <v>1829</v>
      </c>
      <c r="AR485" s="124"/>
      <c r="AS485" s="124"/>
      <c r="AT485" s="124" t="s">
        <v>1945</v>
      </c>
      <c r="AU485" s="124" t="str">
        <f t="shared" si="151"/>
        <v/>
      </c>
      <c r="AV485" s="124" t="s">
        <v>2764</v>
      </c>
      <c r="AW485" s="117"/>
      <c r="AX485" s="138" t="str">
        <f t="shared" si="146"/>
        <v/>
      </c>
      <c r="AY485" s="31" t="str">
        <f>IF(C485&lt;&gt;"",CREATE_QUERY($D$1,C$2:AW$2,C485:AW485),"")</f>
        <v/>
      </c>
    </row>
    <row r="486" spans="1:51">
      <c r="A486" s="1">
        <v>168</v>
      </c>
      <c r="B486" s="121" t="str">
        <f t="shared" si="147"/>
        <v/>
      </c>
      <c r="C486" s="27" t="str">
        <f t="shared" si="149"/>
        <v/>
      </c>
      <c r="D486" s="121"/>
      <c r="E486" s="21">
        <v>920019</v>
      </c>
      <c r="F486" s="118"/>
      <c r="G486" s="118"/>
      <c r="H486" s="118"/>
      <c r="I486" s="118"/>
      <c r="J486" s="118"/>
      <c r="K486" s="21" t="str">
        <f t="shared" si="152"/>
        <v/>
      </c>
      <c r="L486" s="21">
        <v>1</v>
      </c>
      <c r="M486" s="21" t="str">
        <f t="shared" si="153"/>
        <v>0</v>
      </c>
      <c r="N486" s="118"/>
      <c r="O486" s="118"/>
      <c r="P486" s="21" t="str">
        <f t="shared" si="135"/>
        <v>0</v>
      </c>
      <c r="Q486" s="21" t="str">
        <f t="shared" si="136"/>
        <v>0</v>
      </c>
      <c r="R486" s="21" t="str">
        <f t="shared" si="137"/>
        <v>0</v>
      </c>
      <c r="S486" s="21" t="str">
        <f t="shared" si="138"/>
        <v>0</v>
      </c>
      <c r="T486" s="21" t="str">
        <f t="shared" si="139"/>
        <v>0</v>
      </c>
      <c r="U486" s="21" t="str">
        <f t="shared" si="140"/>
        <v>0</v>
      </c>
      <c r="V486" s="21" t="str">
        <f t="shared" si="141"/>
        <v>1</v>
      </c>
      <c r="W486" s="21"/>
      <c r="X486" s="21" t="str">
        <f t="shared" si="142"/>
        <v/>
      </c>
      <c r="Y486" s="21" t="str">
        <f t="shared" si="143"/>
        <v/>
      </c>
      <c r="Z486" s="21" t="str">
        <f t="shared" si="144"/>
        <v/>
      </c>
      <c r="AA486" s="118"/>
      <c r="AB486" s="118"/>
      <c r="AC486" s="118"/>
      <c r="AD486" s="118"/>
      <c r="AE486" s="118" t="s">
        <v>51</v>
      </c>
      <c r="AF486" s="118"/>
      <c r="AG486" s="118"/>
      <c r="AH486" s="21">
        <v>920000</v>
      </c>
      <c r="AI486" s="26" t="s">
        <v>112</v>
      </c>
      <c r="AJ486" s="26">
        <v>95518</v>
      </c>
      <c r="AK486" s="121" t="str">
        <f t="shared" si="150"/>
        <v/>
      </c>
      <c r="AL486" s="123" t="str">
        <f t="shared" si="148"/>
        <v/>
      </c>
      <c r="AM486" s="21"/>
      <c r="AN486" s="124"/>
      <c r="AO486" s="124"/>
      <c r="AP486" s="124"/>
      <c r="AQ486" s="124" t="s">
        <v>1829</v>
      </c>
      <c r="AR486" s="124"/>
      <c r="AS486" s="124"/>
      <c r="AT486" s="124" t="s">
        <v>1945</v>
      </c>
      <c r="AU486" s="124" t="str">
        <f t="shared" si="151"/>
        <v/>
      </c>
      <c r="AV486" s="124" t="s">
        <v>2765</v>
      </c>
      <c r="AW486" s="117"/>
      <c r="AX486" s="138" t="str">
        <f t="shared" si="146"/>
        <v/>
      </c>
      <c r="AY486" s="31" t="str">
        <f>IF(C486&lt;&gt;"",CREATE_QUERY($D$1,C$2:AW$2,C486:AW486),"")</f>
        <v/>
      </c>
    </row>
    <row r="487" spans="1:51">
      <c r="A487" s="1">
        <v>168</v>
      </c>
      <c r="B487" s="121" t="str">
        <f t="shared" si="147"/>
        <v/>
      </c>
      <c r="C487" s="27" t="str">
        <f t="shared" si="149"/>
        <v/>
      </c>
      <c r="D487" s="121"/>
      <c r="E487" s="21">
        <v>920020</v>
      </c>
      <c r="F487" s="118"/>
      <c r="G487" s="118"/>
      <c r="H487" s="118"/>
      <c r="I487" s="118"/>
      <c r="J487" s="118"/>
      <c r="K487" s="21" t="str">
        <f t="shared" si="152"/>
        <v/>
      </c>
      <c r="L487" s="21">
        <v>1</v>
      </c>
      <c r="M487" s="21" t="str">
        <f t="shared" si="153"/>
        <v>0</v>
      </c>
      <c r="N487" s="118"/>
      <c r="O487" s="118"/>
      <c r="P487" s="21" t="str">
        <f t="shared" si="135"/>
        <v>0</v>
      </c>
      <c r="Q487" s="21" t="str">
        <f t="shared" si="136"/>
        <v>0</v>
      </c>
      <c r="R487" s="21" t="str">
        <f t="shared" si="137"/>
        <v>0</v>
      </c>
      <c r="S487" s="21" t="str">
        <f t="shared" si="138"/>
        <v>0</v>
      </c>
      <c r="T487" s="21" t="str">
        <f t="shared" si="139"/>
        <v>0</v>
      </c>
      <c r="U487" s="21" t="str">
        <f t="shared" si="140"/>
        <v>0</v>
      </c>
      <c r="V487" s="21" t="str">
        <f t="shared" si="141"/>
        <v>1</v>
      </c>
      <c r="W487" s="21"/>
      <c r="X487" s="21" t="str">
        <f t="shared" si="142"/>
        <v/>
      </c>
      <c r="Y487" s="21" t="str">
        <f t="shared" si="143"/>
        <v/>
      </c>
      <c r="Z487" s="21" t="str">
        <f t="shared" si="144"/>
        <v/>
      </c>
      <c r="AA487" s="118"/>
      <c r="AB487" s="118"/>
      <c r="AC487" s="118"/>
      <c r="AD487" s="118"/>
      <c r="AE487" s="118" t="s">
        <v>51</v>
      </c>
      <c r="AF487" s="118"/>
      <c r="AG487" s="118"/>
      <c r="AH487" s="21">
        <v>920000</v>
      </c>
      <c r="AI487" s="26" t="s">
        <v>112</v>
      </c>
      <c r="AJ487" s="26">
        <v>95520</v>
      </c>
      <c r="AK487" s="121" t="str">
        <f t="shared" si="150"/>
        <v/>
      </c>
      <c r="AL487" s="123" t="str">
        <f t="shared" si="148"/>
        <v/>
      </c>
      <c r="AM487" s="21"/>
      <c r="AN487" s="124"/>
      <c r="AO487" s="124"/>
      <c r="AP487" s="124"/>
      <c r="AQ487" s="124" t="s">
        <v>1829</v>
      </c>
      <c r="AR487" s="124"/>
      <c r="AS487" s="124"/>
      <c r="AT487" s="124" t="s">
        <v>1945</v>
      </c>
      <c r="AU487" s="124" t="str">
        <f t="shared" si="151"/>
        <v/>
      </c>
      <c r="AV487" s="124" t="s">
        <v>2766</v>
      </c>
      <c r="AW487" s="117"/>
      <c r="AX487" s="138" t="str">
        <f t="shared" si="146"/>
        <v/>
      </c>
      <c r="AY487" s="31" t="str">
        <f>IF(C487&lt;&gt;"",CREATE_QUERY($D$1,C$2:AW$2,C487:AW487),"")</f>
        <v/>
      </c>
    </row>
    <row r="488" spans="1:51">
      <c r="A488" s="1">
        <v>168</v>
      </c>
      <c r="B488" s="121" t="str">
        <f t="shared" si="147"/>
        <v/>
      </c>
      <c r="C488" s="27" t="str">
        <f t="shared" si="149"/>
        <v/>
      </c>
      <c r="D488" s="121"/>
      <c r="E488" s="21">
        <v>920021</v>
      </c>
      <c r="F488" s="118"/>
      <c r="G488" s="118"/>
      <c r="H488" s="118"/>
      <c r="I488" s="118"/>
      <c r="J488" s="118"/>
      <c r="K488" s="21" t="str">
        <f t="shared" si="152"/>
        <v/>
      </c>
      <c r="L488" s="21">
        <v>1</v>
      </c>
      <c r="M488" s="21" t="str">
        <f t="shared" si="153"/>
        <v>0</v>
      </c>
      <c r="N488" s="118"/>
      <c r="O488" s="118"/>
      <c r="P488" s="21" t="str">
        <f t="shared" si="135"/>
        <v>0</v>
      </c>
      <c r="Q488" s="21" t="str">
        <f t="shared" si="136"/>
        <v>0</v>
      </c>
      <c r="R488" s="21" t="str">
        <f t="shared" si="137"/>
        <v>0</v>
      </c>
      <c r="S488" s="21" t="str">
        <f t="shared" si="138"/>
        <v>0</v>
      </c>
      <c r="T488" s="21" t="str">
        <f t="shared" si="139"/>
        <v>0</v>
      </c>
      <c r="U488" s="21" t="str">
        <f t="shared" si="140"/>
        <v>0</v>
      </c>
      <c r="V488" s="21" t="str">
        <f t="shared" si="141"/>
        <v>1</v>
      </c>
      <c r="W488" s="21"/>
      <c r="X488" s="21" t="str">
        <f t="shared" si="142"/>
        <v/>
      </c>
      <c r="Y488" s="21" t="str">
        <f t="shared" si="143"/>
        <v/>
      </c>
      <c r="Z488" s="21" t="str">
        <f t="shared" si="144"/>
        <v/>
      </c>
      <c r="AA488" s="118"/>
      <c r="AB488" s="118"/>
      <c r="AC488" s="118"/>
      <c r="AD488" s="118"/>
      <c r="AE488" s="118" t="s">
        <v>51</v>
      </c>
      <c r="AF488" s="118"/>
      <c r="AG488" s="118"/>
      <c r="AH488" s="21">
        <v>920000</v>
      </c>
      <c r="AI488" s="26" t="s">
        <v>112</v>
      </c>
      <c r="AJ488" s="26">
        <v>95522</v>
      </c>
      <c r="AK488" s="121" t="str">
        <f t="shared" si="150"/>
        <v/>
      </c>
      <c r="AL488" s="123" t="str">
        <f t="shared" si="148"/>
        <v/>
      </c>
      <c r="AM488" s="21"/>
      <c r="AN488" s="124"/>
      <c r="AO488" s="124"/>
      <c r="AP488" s="124"/>
      <c r="AQ488" s="124" t="s">
        <v>1829</v>
      </c>
      <c r="AR488" s="124"/>
      <c r="AS488" s="124"/>
      <c r="AT488" s="124" t="s">
        <v>1945</v>
      </c>
      <c r="AU488" s="124" t="str">
        <f t="shared" si="151"/>
        <v/>
      </c>
      <c r="AV488" s="124" t="s">
        <v>2767</v>
      </c>
      <c r="AW488" s="117"/>
      <c r="AX488" s="138" t="str">
        <f t="shared" si="146"/>
        <v/>
      </c>
      <c r="AY488" s="31" t="str">
        <f>IF(C488&lt;&gt;"",CREATE_QUERY($D$1,C$2:AW$2,C488:AW488),"")</f>
        <v/>
      </c>
    </row>
    <row r="489" spans="1:51">
      <c r="A489" s="1">
        <v>168</v>
      </c>
      <c r="B489" s="121" t="str">
        <f t="shared" si="147"/>
        <v/>
      </c>
      <c r="C489" s="27" t="str">
        <f t="shared" si="149"/>
        <v/>
      </c>
      <c r="D489" s="121"/>
      <c r="E489" s="21">
        <v>920022</v>
      </c>
      <c r="F489" s="118"/>
      <c r="G489" s="118"/>
      <c r="H489" s="118"/>
      <c r="I489" s="118"/>
      <c r="J489" s="118"/>
      <c r="K489" s="21" t="str">
        <f t="shared" si="152"/>
        <v/>
      </c>
      <c r="L489" s="21">
        <v>1</v>
      </c>
      <c r="M489" s="21" t="str">
        <f t="shared" si="153"/>
        <v>0</v>
      </c>
      <c r="N489" s="118"/>
      <c r="O489" s="118"/>
      <c r="P489" s="21" t="str">
        <f t="shared" si="135"/>
        <v>0</v>
      </c>
      <c r="Q489" s="21" t="str">
        <f t="shared" si="136"/>
        <v>0</v>
      </c>
      <c r="R489" s="21" t="str">
        <f t="shared" si="137"/>
        <v>0</v>
      </c>
      <c r="S489" s="21" t="str">
        <f t="shared" si="138"/>
        <v>0</v>
      </c>
      <c r="T489" s="21" t="str">
        <f t="shared" si="139"/>
        <v>0</v>
      </c>
      <c r="U489" s="21" t="str">
        <f t="shared" si="140"/>
        <v>0</v>
      </c>
      <c r="V489" s="21" t="str">
        <f t="shared" si="141"/>
        <v>1</v>
      </c>
      <c r="W489" s="21"/>
      <c r="X489" s="21" t="str">
        <f t="shared" si="142"/>
        <v/>
      </c>
      <c r="Y489" s="21" t="str">
        <f t="shared" si="143"/>
        <v/>
      </c>
      <c r="Z489" s="21" t="str">
        <f t="shared" si="144"/>
        <v/>
      </c>
      <c r="AA489" s="118"/>
      <c r="AB489" s="118"/>
      <c r="AC489" s="118"/>
      <c r="AD489" s="118"/>
      <c r="AE489" s="118" t="s">
        <v>51</v>
      </c>
      <c r="AF489" s="118"/>
      <c r="AG489" s="118"/>
      <c r="AH489" s="21">
        <v>920000</v>
      </c>
      <c r="AI489" s="26" t="s">
        <v>112</v>
      </c>
      <c r="AJ489" s="26">
        <v>95524</v>
      </c>
      <c r="AK489" s="121" t="str">
        <f t="shared" si="150"/>
        <v/>
      </c>
      <c r="AL489" s="123" t="str">
        <f t="shared" si="148"/>
        <v/>
      </c>
      <c r="AM489" s="21"/>
      <c r="AN489" s="124"/>
      <c r="AO489" s="124"/>
      <c r="AP489" s="124"/>
      <c r="AQ489" s="124" t="s">
        <v>1829</v>
      </c>
      <c r="AR489" s="124"/>
      <c r="AS489" s="124"/>
      <c r="AT489" s="124" t="s">
        <v>1945</v>
      </c>
      <c r="AU489" s="124" t="str">
        <f t="shared" si="151"/>
        <v/>
      </c>
      <c r="AV489" s="124" t="s">
        <v>2768</v>
      </c>
      <c r="AW489" s="117"/>
      <c r="AX489" s="138" t="str">
        <f t="shared" si="146"/>
        <v/>
      </c>
      <c r="AY489" s="31" t="str">
        <f>IF(C489&lt;&gt;"",CREATE_QUERY($D$1,C$2:AW$2,C489:AW489),"")</f>
        <v/>
      </c>
    </row>
    <row r="490" spans="1:51">
      <c r="A490" s="1">
        <v>168</v>
      </c>
      <c r="B490" s="121" t="str">
        <f t="shared" si="147"/>
        <v/>
      </c>
      <c r="C490" s="27" t="str">
        <f t="shared" si="149"/>
        <v/>
      </c>
      <c r="D490" s="121"/>
      <c r="E490" s="21">
        <v>920023</v>
      </c>
      <c r="F490" s="118"/>
      <c r="G490" s="118"/>
      <c r="H490" s="118"/>
      <c r="I490" s="118"/>
      <c r="J490" s="118"/>
      <c r="K490" s="21" t="str">
        <f t="shared" si="152"/>
        <v/>
      </c>
      <c r="L490" s="21">
        <v>1</v>
      </c>
      <c r="M490" s="21" t="str">
        <f t="shared" si="153"/>
        <v>0</v>
      </c>
      <c r="N490" s="118"/>
      <c r="O490" s="118"/>
      <c r="P490" s="21" t="str">
        <f t="shared" si="135"/>
        <v>0</v>
      </c>
      <c r="Q490" s="21" t="str">
        <f t="shared" si="136"/>
        <v>0</v>
      </c>
      <c r="R490" s="21" t="str">
        <f t="shared" si="137"/>
        <v>0</v>
      </c>
      <c r="S490" s="21" t="str">
        <f t="shared" si="138"/>
        <v>0</v>
      </c>
      <c r="T490" s="21" t="str">
        <f t="shared" si="139"/>
        <v>0</v>
      </c>
      <c r="U490" s="21" t="str">
        <f t="shared" si="140"/>
        <v>0</v>
      </c>
      <c r="V490" s="21" t="str">
        <f t="shared" si="141"/>
        <v>1</v>
      </c>
      <c r="W490" s="21"/>
      <c r="X490" s="21" t="str">
        <f t="shared" si="142"/>
        <v/>
      </c>
      <c r="Y490" s="21" t="str">
        <f t="shared" si="143"/>
        <v/>
      </c>
      <c r="Z490" s="21" t="str">
        <f t="shared" si="144"/>
        <v/>
      </c>
      <c r="AA490" s="118"/>
      <c r="AB490" s="118"/>
      <c r="AC490" s="118"/>
      <c r="AD490" s="118"/>
      <c r="AE490" s="118" t="s">
        <v>51</v>
      </c>
      <c r="AF490" s="118"/>
      <c r="AG490" s="118"/>
      <c r="AH490" s="21">
        <v>920000</v>
      </c>
      <c r="AI490" s="26" t="s">
        <v>112</v>
      </c>
      <c r="AJ490" s="26">
        <v>95526</v>
      </c>
      <c r="AK490" s="121" t="str">
        <f t="shared" si="150"/>
        <v/>
      </c>
      <c r="AL490" s="123" t="str">
        <f t="shared" si="148"/>
        <v/>
      </c>
      <c r="AM490" s="21"/>
      <c r="AN490" s="124"/>
      <c r="AO490" s="124"/>
      <c r="AP490" s="124"/>
      <c r="AQ490" s="124" t="s">
        <v>1829</v>
      </c>
      <c r="AR490" s="124"/>
      <c r="AS490" s="124"/>
      <c r="AT490" s="124" t="s">
        <v>1945</v>
      </c>
      <c r="AU490" s="124" t="str">
        <f t="shared" si="151"/>
        <v/>
      </c>
      <c r="AV490" s="124" t="s">
        <v>2769</v>
      </c>
      <c r="AW490" s="117"/>
      <c r="AX490" s="138" t="str">
        <f t="shared" si="146"/>
        <v/>
      </c>
      <c r="AY490" s="31" t="str">
        <f>IF(C490&lt;&gt;"",CREATE_QUERY($D$1,C$2:AW$2,C490:AW490),"")</f>
        <v/>
      </c>
    </row>
    <row r="491" spans="1:51">
      <c r="A491" s="1">
        <v>168</v>
      </c>
      <c r="B491" s="121" t="str">
        <f t="shared" si="147"/>
        <v/>
      </c>
      <c r="C491" s="27" t="str">
        <f t="shared" si="149"/>
        <v/>
      </c>
      <c r="D491" s="121"/>
      <c r="E491" s="21">
        <v>920024</v>
      </c>
      <c r="F491" s="118"/>
      <c r="G491" s="118"/>
      <c r="H491" s="118"/>
      <c r="I491" s="118"/>
      <c r="J491" s="118"/>
      <c r="K491" s="21" t="str">
        <f t="shared" si="152"/>
        <v/>
      </c>
      <c r="L491" s="21">
        <v>1</v>
      </c>
      <c r="M491" s="21" t="str">
        <f t="shared" si="153"/>
        <v>0</v>
      </c>
      <c r="N491" s="118"/>
      <c r="O491" s="118"/>
      <c r="P491" s="21" t="str">
        <f t="shared" si="135"/>
        <v>0</v>
      </c>
      <c r="Q491" s="21" t="str">
        <f t="shared" si="136"/>
        <v>0</v>
      </c>
      <c r="R491" s="21" t="str">
        <f t="shared" si="137"/>
        <v>0</v>
      </c>
      <c r="S491" s="21" t="str">
        <f t="shared" si="138"/>
        <v>0</v>
      </c>
      <c r="T491" s="21" t="str">
        <f t="shared" si="139"/>
        <v>0</v>
      </c>
      <c r="U491" s="21" t="str">
        <f t="shared" si="140"/>
        <v>0</v>
      </c>
      <c r="V491" s="21" t="str">
        <f t="shared" si="141"/>
        <v>1</v>
      </c>
      <c r="W491" s="21"/>
      <c r="X491" s="21" t="str">
        <f t="shared" si="142"/>
        <v/>
      </c>
      <c r="Y491" s="21" t="str">
        <f t="shared" si="143"/>
        <v/>
      </c>
      <c r="Z491" s="21" t="str">
        <f t="shared" si="144"/>
        <v/>
      </c>
      <c r="AA491" s="118"/>
      <c r="AB491" s="118"/>
      <c r="AC491" s="118"/>
      <c r="AD491" s="118"/>
      <c r="AE491" s="118" t="s">
        <v>51</v>
      </c>
      <c r="AF491" s="118"/>
      <c r="AG491" s="118"/>
      <c r="AH491" s="21">
        <v>920000</v>
      </c>
      <c r="AI491" s="26" t="s">
        <v>112</v>
      </c>
      <c r="AJ491" s="26">
        <v>95528</v>
      </c>
      <c r="AK491" s="121" t="str">
        <f>IF(B504="","","0")</f>
        <v/>
      </c>
      <c r="AL491" s="123" t="str">
        <f t="shared" si="148"/>
        <v/>
      </c>
      <c r="AM491" s="21"/>
      <c r="AN491" s="124"/>
      <c r="AO491" s="124"/>
      <c r="AP491" s="124"/>
      <c r="AQ491" s="124" t="s">
        <v>1829</v>
      </c>
      <c r="AR491" s="124"/>
      <c r="AS491" s="124"/>
      <c r="AT491" s="124" t="s">
        <v>1945</v>
      </c>
      <c r="AU491" s="124" t="str">
        <f t="shared" si="151"/>
        <v/>
      </c>
      <c r="AV491" s="124" t="s">
        <v>2770</v>
      </c>
      <c r="AW491" s="117"/>
      <c r="AX491" s="138" t="str">
        <f t="shared" si="146"/>
        <v/>
      </c>
      <c r="AY491" s="31" t="str">
        <f>IF(C491&lt;&gt;"",CREATE_QUERY($D$1,C$2:AW$2,C491:AW491),"")</f>
        <v/>
      </c>
    </row>
    <row r="492" spans="1:51">
      <c r="A492" s="1">
        <v>168</v>
      </c>
      <c r="B492" s="121" t="str">
        <f t="shared" si="147"/>
        <v/>
      </c>
      <c r="C492" s="27" t="str">
        <f t="shared" si="149"/>
        <v/>
      </c>
      <c r="D492" s="121"/>
      <c r="E492" s="21">
        <v>920025</v>
      </c>
      <c r="F492" s="118"/>
      <c r="G492" s="118"/>
      <c r="H492" s="118"/>
      <c r="I492" s="118"/>
      <c r="J492" s="118"/>
      <c r="K492" s="21" t="str">
        <f t="shared" si="152"/>
        <v/>
      </c>
      <c r="L492" s="21">
        <v>1</v>
      </c>
      <c r="M492" s="21" t="str">
        <f t="shared" si="153"/>
        <v>0</v>
      </c>
      <c r="N492" s="118"/>
      <c r="O492" s="118"/>
      <c r="P492" s="21" t="str">
        <f t="shared" si="135"/>
        <v>0</v>
      </c>
      <c r="Q492" s="21" t="str">
        <f t="shared" si="136"/>
        <v>0</v>
      </c>
      <c r="R492" s="21" t="str">
        <f t="shared" si="137"/>
        <v>0</v>
      </c>
      <c r="S492" s="21" t="str">
        <f t="shared" si="138"/>
        <v>0</v>
      </c>
      <c r="T492" s="21" t="str">
        <f t="shared" si="139"/>
        <v>0</v>
      </c>
      <c r="U492" s="21" t="str">
        <f t="shared" si="140"/>
        <v>0</v>
      </c>
      <c r="V492" s="21" t="str">
        <f t="shared" si="141"/>
        <v>1</v>
      </c>
      <c r="W492" s="21"/>
      <c r="X492" s="21" t="str">
        <f t="shared" si="142"/>
        <v/>
      </c>
      <c r="Y492" s="21" t="str">
        <f t="shared" si="143"/>
        <v/>
      </c>
      <c r="Z492" s="21" t="str">
        <f t="shared" si="144"/>
        <v/>
      </c>
      <c r="AA492" s="118"/>
      <c r="AB492" s="118"/>
      <c r="AC492" s="118"/>
      <c r="AD492" s="118"/>
      <c r="AE492" s="118" t="s">
        <v>51</v>
      </c>
      <c r="AF492" s="118"/>
      <c r="AG492" s="118"/>
      <c r="AH492" s="21">
        <v>920000</v>
      </c>
      <c r="AI492" s="26" t="s">
        <v>112</v>
      </c>
      <c r="AJ492" s="26">
        <v>95530</v>
      </c>
      <c r="AK492" s="121" t="str">
        <f t="shared" ref="AK492:AK502" si="154">IF(B493="","","0")</f>
        <v/>
      </c>
      <c r="AL492" s="123" t="str">
        <f t="shared" si="148"/>
        <v/>
      </c>
      <c r="AM492" s="21"/>
      <c r="AN492" s="124"/>
      <c r="AO492" s="124"/>
      <c r="AP492" s="124"/>
      <c r="AQ492" s="124" t="s">
        <v>1829</v>
      </c>
      <c r="AR492" s="124"/>
      <c r="AS492" s="124"/>
      <c r="AT492" s="124" t="s">
        <v>1945</v>
      </c>
      <c r="AU492" s="124" t="str">
        <f t="shared" si="151"/>
        <v/>
      </c>
      <c r="AV492" s="124" t="s">
        <v>2771</v>
      </c>
      <c r="AW492" s="117"/>
      <c r="AX492" s="138" t="str">
        <f t="shared" si="146"/>
        <v/>
      </c>
      <c r="AY492" s="31" t="str">
        <f>IF(C492&lt;&gt;"",CREATE_QUERY($D$1,C$2:AW$2,C492:AW492),"")</f>
        <v/>
      </c>
    </row>
    <row r="493" spans="1:51">
      <c r="A493" s="1">
        <v>168</v>
      </c>
      <c r="B493" s="121" t="str">
        <f t="shared" si="147"/>
        <v/>
      </c>
      <c r="C493" s="27" t="str">
        <f t="shared" si="149"/>
        <v/>
      </c>
      <c r="D493" s="121"/>
      <c r="E493" s="21">
        <v>920026</v>
      </c>
      <c r="F493" s="118"/>
      <c r="G493" s="118"/>
      <c r="H493" s="118"/>
      <c r="I493" s="118"/>
      <c r="J493" s="118"/>
      <c r="K493" s="21" t="str">
        <f t="shared" si="152"/>
        <v/>
      </c>
      <c r="L493" s="21">
        <v>1</v>
      </c>
      <c r="M493" s="21" t="str">
        <f t="shared" si="153"/>
        <v>0</v>
      </c>
      <c r="N493" s="118"/>
      <c r="O493" s="118"/>
      <c r="P493" s="21" t="str">
        <f t="shared" si="135"/>
        <v>0</v>
      </c>
      <c r="Q493" s="21" t="str">
        <f t="shared" si="136"/>
        <v>0</v>
      </c>
      <c r="R493" s="21" t="str">
        <f t="shared" si="137"/>
        <v>0</v>
      </c>
      <c r="S493" s="21" t="str">
        <f t="shared" si="138"/>
        <v>0</v>
      </c>
      <c r="T493" s="21" t="str">
        <f t="shared" si="139"/>
        <v>0</v>
      </c>
      <c r="U493" s="21" t="str">
        <f t="shared" si="140"/>
        <v>0</v>
      </c>
      <c r="V493" s="21" t="str">
        <f t="shared" si="141"/>
        <v>1</v>
      </c>
      <c r="W493" s="21"/>
      <c r="X493" s="21" t="str">
        <f t="shared" si="142"/>
        <v/>
      </c>
      <c r="Y493" s="21" t="str">
        <f t="shared" si="143"/>
        <v/>
      </c>
      <c r="Z493" s="21" t="str">
        <f t="shared" si="144"/>
        <v/>
      </c>
      <c r="AA493" s="118"/>
      <c r="AB493" s="118"/>
      <c r="AC493" s="118"/>
      <c r="AD493" s="118"/>
      <c r="AE493" s="118" t="s">
        <v>51</v>
      </c>
      <c r="AF493" s="118"/>
      <c r="AG493" s="118"/>
      <c r="AH493" s="21">
        <v>920000</v>
      </c>
      <c r="AI493" s="26" t="s">
        <v>112</v>
      </c>
      <c r="AJ493" s="26">
        <v>95532</v>
      </c>
      <c r="AK493" s="121" t="str">
        <f t="shared" si="154"/>
        <v/>
      </c>
      <c r="AL493" s="123" t="str">
        <f t="shared" si="148"/>
        <v/>
      </c>
      <c r="AM493" s="21"/>
      <c r="AN493" s="124"/>
      <c r="AO493" s="124"/>
      <c r="AP493" s="124"/>
      <c r="AQ493" s="124" t="s">
        <v>1829</v>
      </c>
      <c r="AR493" s="124"/>
      <c r="AS493" s="124"/>
      <c r="AT493" s="124" t="s">
        <v>1945</v>
      </c>
      <c r="AU493" s="124" t="str">
        <f t="shared" si="151"/>
        <v/>
      </c>
      <c r="AV493" s="124" t="s">
        <v>2772</v>
      </c>
      <c r="AW493" s="117"/>
      <c r="AX493" s="138" t="str">
        <f t="shared" si="146"/>
        <v/>
      </c>
      <c r="AY493" s="31" t="str">
        <f>IF(C493&lt;&gt;"",CREATE_QUERY($D$1,C$2:AW$2,C493:AW493),"")</f>
        <v/>
      </c>
    </row>
    <row r="494" spans="1:51">
      <c r="A494" s="1">
        <v>168</v>
      </c>
      <c r="B494" s="121" t="str">
        <f t="shared" si="147"/>
        <v/>
      </c>
      <c r="C494" s="27" t="str">
        <f t="shared" si="149"/>
        <v/>
      </c>
      <c r="D494" s="121"/>
      <c r="E494" s="21">
        <v>920027</v>
      </c>
      <c r="F494" s="118"/>
      <c r="G494" s="118"/>
      <c r="H494" s="118"/>
      <c r="I494" s="118"/>
      <c r="J494" s="118"/>
      <c r="K494" s="21" t="str">
        <f t="shared" si="152"/>
        <v/>
      </c>
      <c r="L494" s="21">
        <v>1</v>
      </c>
      <c r="M494" s="21" t="str">
        <f t="shared" si="153"/>
        <v>0</v>
      </c>
      <c r="N494" s="118"/>
      <c r="O494" s="118"/>
      <c r="P494" s="21" t="str">
        <f t="shared" si="135"/>
        <v>0</v>
      </c>
      <c r="Q494" s="21" t="str">
        <f t="shared" si="136"/>
        <v>0</v>
      </c>
      <c r="R494" s="21" t="str">
        <f t="shared" si="137"/>
        <v>0</v>
      </c>
      <c r="S494" s="21" t="str">
        <f t="shared" si="138"/>
        <v>0</v>
      </c>
      <c r="T494" s="21" t="str">
        <f t="shared" si="139"/>
        <v>0</v>
      </c>
      <c r="U494" s="21" t="str">
        <f t="shared" si="140"/>
        <v>0</v>
      </c>
      <c r="V494" s="21" t="str">
        <f t="shared" si="141"/>
        <v>1</v>
      </c>
      <c r="W494" s="21"/>
      <c r="X494" s="21" t="str">
        <f t="shared" si="142"/>
        <v/>
      </c>
      <c r="Y494" s="21" t="str">
        <f t="shared" si="143"/>
        <v/>
      </c>
      <c r="Z494" s="21" t="str">
        <f t="shared" si="144"/>
        <v/>
      </c>
      <c r="AA494" s="118"/>
      <c r="AB494" s="118"/>
      <c r="AC494" s="118"/>
      <c r="AD494" s="118"/>
      <c r="AE494" s="118" t="s">
        <v>51</v>
      </c>
      <c r="AF494" s="118"/>
      <c r="AG494" s="118"/>
      <c r="AH494" s="21">
        <v>920000</v>
      </c>
      <c r="AI494" s="26" t="s">
        <v>112</v>
      </c>
      <c r="AJ494" s="26">
        <v>95534</v>
      </c>
      <c r="AK494" s="121" t="str">
        <f t="shared" si="154"/>
        <v/>
      </c>
      <c r="AL494" s="123" t="str">
        <f t="shared" si="148"/>
        <v/>
      </c>
      <c r="AM494" s="21"/>
      <c r="AN494" s="124"/>
      <c r="AO494" s="124"/>
      <c r="AP494" s="124"/>
      <c r="AQ494" s="124" t="s">
        <v>1829</v>
      </c>
      <c r="AR494" s="124"/>
      <c r="AS494" s="124"/>
      <c r="AT494" s="124" t="s">
        <v>1945</v>
      </c>
      <c r="AU494" s="124" t="str">
        <f t="shared" si="151"/>
        <v/>
      </c>
      <c r="AV494" s="124" t="s">
        <v>2773</v>
      </c>
      <c r="AW494" s="117"/>
      <c r="AX494" s="138" t="str">
        <f t="shared" si="146"/>
        <v/>
      </c>
      <c r="AY494" s="31" t="str">
        <f>IF(C494&lt;&gt;"",CREATE_QUERY($D$1,C$2:AW$2,C494:AW494),"")</f>
        <v/>
      </c>
    </row>
    <row r="495" spans="1:51">
      <c r="A495" s="1">
        <v>168</v>
      </c>
      <c r="B495" s="121" t="str">
        <f t="shared" si="147"/>
        <v/>
      </c>
      <c r="C495" s="27" t="str">
        <f t="shared" si="149"/>
        <v/>
      </c>
      <c r="D495" s="121"/>
      <c r="E495" s="21">
        <v>920028</v>
      </c>
      <c r="F495" s="118"/>
      <c r="G495" s="118"/>
      <c r="H495" s="118"/>
      <c r="I495" s="118"/>
      <c r="J495" s="118"/>
      <c r="K495" s="21" t="str">
        <f t="shared" si="152"/>
        <v/>
      </c>
      <c r="L495" s="21">
        <v>1</v>
      </c>
      <c r="M495" s="21" t="str">
        <f t="shared" si="153"/>
        <v>0</v>
      </c>
      <c r="N495" s="118"/>
      <c r="O495" s="118"/>
      <c r="P495" s="21" t="str">
        <f t="shared" si="135"/>
        <v>0</v>
      </c>
      <c r="Q495" s="21" t="str">
        <f t="shared" si="136"/>
        <v>0</v>
      </c>
      <c r="R495" s="21" t="str">
        <f t="shared" si="137"/>
        <v>0</v>
      </c>
      <c r="S495" s="21" t="str">
        <f t="shared" si="138"/>
        <v>0</v>
      </c>
      <c r="T495" s="21" t="str">
        <f t="shared" si="139"/>
        <v>0</v>
      </c>
      <c r="U495" s="21" t="str">
        <f t="shared" si="140"/>
        <v>0</v>
      </c>
      <c r="V495" s="21" t="str">
        <f t="shared" si="141"/>
        <v>1</v>
      </c>
      <c r="W495" s="21"/>
      <c r="X495" s="21" t="str">
        <f t="shared" si="142"/>
        <v/>
      </c>
      <c r="Y495" s="21" t="str">
        <f t="shared" si="143"/>
        <v/>
      </c>
      <c r="Z495" s="21" t="str">
        <f t="shared" si="144"/>
        <v/>
      </c>
      <c r="AA495" s="118"/>
      <c r="AB495" s="118"/>
      <c r="AC495" s="118"/>
      <c r="AD495" s="118"/>
      <c r="AE495" s="118" t="s">
        <v>51</v>
      </c>
      <c r="AF495" s="118"/>
      <c r="AG495" s="118"/>
      <c r="AH495" s="21">
        <v>920000</v>
      </c>
      <c r="AI495" s="26" t="s">
        <v>112</v>
      </c>
      <c r="AJ495" s="26">
        <v>95536</v>
      </c>
      <c r="AK495" s="121" t="str">
        <f t="shared" si="154"/>
        <v/>
      </c>
      <c r="AL495" s="123" t="str">
        <f t="shared" si="148"/>
        <v/>
      </c>
      <c r="AM495" s="21"/>
      <c r="AN495" s="124"/>
      <c r="AO495" s="124"/>
      <c r="AP495" s="124"/>
      <c r="AQ495" s="124" t="s">
        <v>1829</v>
      </c>
      <c r="AR495" s="124"/>
      <c r="AS495" s="124"/>
      <c r="AT495" s="124" t="s">
        <v>1945</v>
      </c>
      <c r="AU495" s="124" t="str">
        <f t="shared" si="151"/>
        <v/>
      </c>
      <c r="AV495" s="124" t="s">
        <v>2774</v>
      </c>
      <c r="AW495" s="117"/>
      <c r="AX495" s="138" t="str">
        <f t="shared" si="146"/>
        <v/>
      </c>
      <c r="AY495" s="31" t="str">
        <f>IF(C495&lt;&gt;"",CREATE_QUERY($D$1,C$2:AW$2,C495:AW495),"")</f>
        <v/>
      </c>
    </row>
    <row r="496" spans="1:51">
      <c r="A496" s="1">
        <v>168</v>
      </c>
      <c r="B496" s="121" t="str">
        <f t="shared" si="147"/>
        <v/>
      </c>
      <c r="C496" s="27" t="str">
        <f t="shared" si="149"/>
        <v/>
      </c>
      <c r="D496" s="121"/>
      <c r="E496" s="21">
        <v>920029</v>
      </c>
      <c r="F496" s="118"/>
      <c r="G496" s="118"/>
      <c r="H496" s="118"/>
      <c r="I496" s="118"/>
      <c r="J496" s="118"/>
      <c r="K496" s="21" t="str">
        <f t="shared" si="152"/>
        <v/>
      </c>
      <c r="L496" s="21">
        <v>1</v>
      </c>
      <c r="M496" s="21" t="str">
        <f t="shared" si="153"/>
        <v>0</v>
      </c>
      <c r="N496" s="118"/>
      <c r="O496" s="118"/>
      <c r="P496" s="21" t="str">
        <f t="shared" si="135"/>
        <v>0</v>
      </c>
      <c r="Q496" s="21" t="str">
        <f t="shared" si="136"/>
        <v>0</v>
      </c>
      <c r="R496" s="21" t="str">
        <f t="shared" si="137"/>
        <v>0</v>
      </c>
      <c r="S496" s="21" t="str">
        <f t="shared" si="138"/>
        <v>0</v>
      </c>
      <c r="T496" s="21" t="str">
        <f t="shared" si="139"/>
        <v>0</v>
      </c>
      <c r="U496" s="21" t="str">
        <f t="shared" si="140"/>
        <v>0</v>
      </c>
      <c r="V496" s="21" t="str">
        <f t="shared" si="141"/>
        <v>1</v>
      </c>
      <c r="W496" s="21"/>
      <c r="X496" s="21" t="str">
        <f t="shared" si="142"/>
        <v/>
      </c>
      <c r="Y496" s="21" t="str">
        <f t="shared" si="143"/>
        <v/>
      </c>
      <c r="Z496" s="21" t="str">
        <f t="shared" si="144"/>
        <v/>
      </c>
      <c r="AA496" s="118"/>
      <c r="AB496" s="118"/>
      <c r="AC496" s="118"/>
      <c r="AD496" s="118"/>
      <c r="AE496" s="118" t="s">
        <v>51</v>
      </c>
      <c r="AF496" s="118"/>
      <c r="AG496" s="118"/>
      <c r="AH496" s="21">
        <v>920000</v>
      </c>
      <c r="AI496" s="26" t="s">
        <v>112</v>
      </c>
      <c r="AJ496" s="26">
        <v>95538</v>
      </c>
      <c r="AK496" s="121" t="str">
        <f t="shared" si="154"/>
        <v/>
      </c>
      <c r="AL496" s="123" t="str">
        <f t="shared" si="148"/>
        <v/>
      </c>
      <c r="AM496" s="21"/>
      <c r="AN496" s="124"/>
      <c r="AO496" s="124"/>
      <c r="AP496" s="124"/>
      <c r="AQ496" s="124" t="s">
        <v>1829</v>
      </c>
      <c r="AR496" s="124"/>
      <c r="AS496" s="124"/>
      <c r="AT496" s="124" t="s">
        <v>1945</v>
      </c>
      <c r="AU496" s="124" t="str">
        <f t="shared" si="151"/>
        <v/>
      </c>
      <c r="AV496" s="124" t="s">
        <v>2775</v>
      </c>
      <c r="AW496" s="117"/>
      <c r="AX496" s="138" t="str">
        <f t="shared" si="146"/>
        <v/>
      </c>
      <c r="AY496" s="31" t="str">
        <f>IF(C496&lt;&gt;"",CREATE_QUERY($D$1,C$2:AW$2,C496:AW496),"")</f>
        <v/>
      </c>
    </row>
    <row r="497" spans="1:51">
      <c r="A497" s="1">
        <v>168</v>
      </c>
      <c r="B497" s="121" t="str">
        <f t="shared" si="147"/>
        <v/>
      </c>
      <c r="C497" s="27" t="str">
        <f t="shared" si="149"/>
        <v/>
      </c>
      <c r="D497" s="121"/>
      <c r="E497" s="21">
        <v>920030</v>
      </c>
      <c r="F497" s="118"/>
      <c r="G497" s="118"/>
      <c r="H497" s="118"/>
      <c r="I497" s="118"/>
      <c r="J497" s="118"/>
      <c r="K497" s="21" t="str">
        <f t="shared" si="152"/>
        <v/>
      </c>
      <c r="L497" s="21">
        <v>1</v>
      </c>
      <c r="M497" s="21" t="str">
        <f t="shared" si="153"/>
        <v>0</v>
      </c>
      <c r="N497" s="118"/>
      <c r="O497" s="118"/>
      <c r="P497" s="21" t="str">
        <f t="shared" si="135"/>
        <v>0</v>
      </c>
      <c r="Q497" s="21" t="str">
        <f t="shared" si="136"/>
        <v>0</v>
      </c>
      <c r="R497" s="21" t="str">
        <f t="shared" si="137"/>
        <v>0</v>
      </c>
      <c r="S497" s="21" t="str">
        <f t="shared" si="138"/>
        <v>0</v>
      </c>
      <c r="T497" s="21" t="str">
        <f t="shared" si="139"/>
        <v>0</v>
      </c>
      <c r="U497" s="21" t="str">
        <f t="shared" si="140"/>
        <v>0</v>
      </c>
      <c r="V497" s="21" t="str">
        <f t="shared" si="141"/>
        <v>1</v>
      </c>
      <c r="W497" s="21"/>
      <c r="X497" s="21" t="str">
        <f t="shared" si="142"/>
        <v/>
      </c>
      <c r="Y497" s="21" t="str">
        <f t="shared" si="143"/>
        <v/>
      </c>
      <c r="Z497" s="21" t="str">
        <f t="shared" si="144"/>
        <v/>
      </c>
      <c r="AA497" s="118"/>
      <c r="AB497" s="118"/>
      <c r="AC497" s="118"/>
      <c r="AD497" s="118"/>
      <c r="AE497" s="118" t="s">
        <v>51</v>
      </c>
      <c r="AF497" s="118"/>
      <c r="AG497" s="118"/>
      <c r="AH497" s="21">
        <v>920000</v>
      </c>
      <c r="AI497" s="26" t="s">
        <v>112</v>
      </c>
      <c r="AJ497" s="26">
        <v>95540</v>
      </c>
      <c r="AK497" s="121" t="str">
        <f t="shared" si="154"/>
        <v/>
      </c>
      <c r="AL497" s="123" t="str">
        <f t="shared" si="148"/>
        <v/>
      </c>
      <c r="AM497" s="21"/>
      <c r="AN497" s="124"/>
      <c r="AO497" s="124"/>
      <c r="AP497" s="124"/>
      <c r="AQ497" s="124" t="s">
        <v>1829</v>
      </c>
      <c r="AR497" s="124"/>
      <c r="AS497" s="124"/>
      <c r="AT497" s="124" t="s">
        <v>1945</v>
      </c>
      <c r="AU497" s="124" t="str">
        <f t="shared" si="151"/>
        <v/>
      </c>
      <c r="AV497" s="124" t="s">
        <v>2776</v>
      </c>
      <c r="AW497" s="117"/>
      <c r="AX497" s="138" t="str">
        <f t="shared" si="146"/>
        <v/>
      </c>
      <c r="AY497" s="31" t="str">
        <f>IF(C497&lt;&gt;"",CREATE_QUERY($D$1,C$2:AW$2,C497:AW497),"")</f>
        <v/>
      </c>
    </row>
    <row r="498" spans="1:51">
      <c r="A498" s="1">
        <v>168</v>
      </c>
      <c r="B498" s="121" t="str">
        <f t="shared" si="147"/>
        <v/>
      </c>
      <c r="C498" s="27" t="str">
        <f t="shared" si="149"/>
        <v/>
      </c>
      <c r="D498" s="121"/>
      <c r="E498" s="21">
        <v>920031</v>
      </c>
      <c r="F498" s="118"/>
      <c r="G498" s="118"/>
      <c r="H498" s="118"/>
      <c r="I498" s="118"/>
      <c r="J498" s="118"/>
      <c r="K498" s="21" t="str">
        <f t="shared" si="152"/>
        <v/>
      </c>
      <c r="L498" s="21">
        <v>1</v>
      </c>
      <c r="M498" s="21" t="str">
        <f t="shared" si="153"/>
        <v>0</v>
      </c>
      <c r="N498" s="118"/>
      <c r="O498" s="118"/>
      <c r="P498" s="21" t="str">
        <f t="shared" si="135"/>
        <v>0</v>
      </c>
      <c r="Q498" s="21" t="str">
        <f t="shared" si="136"/>
        <v>0</v>
      </c>
      <c r="R498" s="21" t="str">
        <f t="shared" si="137"/>
        <v>0</v>
      </c>
      <c r="S498" s="21" t="str">
        <f t="shared" si="138"/>
        <v>0</v>
      </c>
      <c r="T498" s="21" t="str">
        <f t="shared" si="139"/>
        <v>0</v>
      </c>
      <c r="U498" s="21" t="str">
        <f t="shared" si="140"/>
        <v>0</v>
      </c>
      <c r="V498" s="21" t="str">
        <f t="shared" si="141"/>
        <v>1</v>
      </c>
      <c r="W498" s="21"/>
      <c r="X498" s="21" t="str">
        <f t="shared" si="142"/>
        <v/>
      </c>
      <c r="Y498" s="21" t="str">
        <f t="shared" si="143"/>
        <v/>
      </c>
      <c r="Z498" s="21" t="str">
        <f t="shared" si="144"/>
        <v/>
      </c>
      <c r="AA498" s="118"/>
      <c r="AB498" s="118"/>
      <c r="AC498" s="118"/>
      <c r="AD498" s="118"/>
      <c r="AE498" s="118" t="s">
        <v>51</v>
      </c>
      <c r="AF498" s="118"/>
      <c r="AG498" s="118"/>
      <c r="AH498" s="21">
        <v>920000</v>
      </c>
      <c r="AI498" s="26" t="s">
        <v>112</v>
      </c>
      <c r="AJ498" s="26">
        <v>95542</v>
      </c>
      <c r="AK498" s="121" t="str">
        <f t="shared" si="154"/>
        <v/>
      </c>
      <c r="AL498" s="123" t="str">
        <f t="shared" si="148"/>
        <v/>
      </c>
      <c r="AM498" s="21"/>
      <c r="AN498" s="124"/>
      <c r="AO498" s="124"/>
      <c r="AP498" s="124"/>
      <c r="AQ498" s="124" t="s">
        <v>1829</v>
      </c>
      <c r="AR498" s="124"/>
      <c r="AS498" s="124"/>
      <c r="AT498" s="124" t="s">
        <v>1945</v>
      </c>
      <c r="AU498" s="124" t="str">
        <f t="shared" si="151"/>
        <v/>
      </c>
      <c r="AV498" s="124" t="s">
        <v>2777</v>
      </c>
      <c r="AW498" s="117"/>
      <c r="AX498" s="138" t="str">
        <f t="shared" si="146"/>
        <v/>
      </c>
      <c r="AY498" s="31" t="str">
        <f>IF(C498&lt;&gt;"",CREATE_QUERY($D$1,C$2:AW$2,C498:AW498),"")</f>
        <v/>
      </c>
    </row>
    <row r="499" spans="1:51">
      <c r="A499" s="1">
        <v>168</v>
      </c>
      <c r="B499" s="121" t="str">
        <f t="shared" si="147"/>
        <v/>
      </c>
      <c r="C499" s="27" t="str">
        <f t="shared" si="149"/>
        <v/>
      </c>
      <c r="D499" s="121"/>
      <c r="E499" s="21">
        <v>920032</v>
      </c>
      <c r="F499" s="118"/>
      <c r="G499" s="118"/>
      <c r="H499" s="118"/>
      <c r="I499" s="118"/>
      <c r="J499" s="118"/>
      <c r="K499" s="21" t="str">
        <f t="shared" si="152"/>
        <v/>
      </c>
      <c r="L499" s="21">
        <v>1</v>
      </c>
      <c r="M499" s="21" t="str">
        <f t="shared" si="153"/>
        <v>0</v>
      </c>
      <c r="N499" s="118"/>
      <c r="O499" s="118"/>
      <c r="P499" s="21" t="str">
        <f t="shared" si="135"/>
        <v>0</v>
      </c>
      <c r="Q499" s="21" t="str">
        <f t="shared" si="136"/>
        <v>0</v>
      </c>
      <c r="R499" s="21" t="str">
        <f t="shared" si="137"/>
        <v>0</v>
      </c>
      <c r="S499" s="21" t="str">
        <f t="shared" si="138"/>
        <v>0</v>
      </c>
      <c r="T499" s="21" t="str">
        <f t="shared" si="139"/>
        <v>0</v>
      </c>
      <c r="U499" s="21" t="str">
        <f t="shared" si="140"/>
        <v>0</v>
      </c>
      <c r="V499" s="21" t="str">
        <f t="shared" si="141"/>
        <v>1</v>
      </c>
      <c r="W499" s="21"/>
      <c r="X499" s="21" t="str">
        <f t="shared" si="142"/>
        <v/>
      </c>
      <c r="Y499" s="21" t="str">
        <f t="shared" si="143"/>
        <v/>
      </c>
      <c r="Z499" s="21" t="str">
        <f t="shared" si="144"/>
        <v/>
      </c>
      <c r="AA499" s="118"/>
      <c r="AB499" s="118"/>
      <c r="AC499" s="118"/>
      <c r="AD499" s="118"/>
      <c r="AE499" s="118" t="s">
        <v>51</v>
      </c>
      <c r="AF499" s="118"/>
      <c r="AG499" s="118"/>
      <c r="AH499" s="21">
        <v>920000</v>
      </c>
      <c r="AI499" s="26" t="s">
        <v>112</v>
      </c>
      <c r="AJ499" s="26">
        <v>95544</v>
      </c>
      <c r="AK499" s="121" t="str">
        <f t="shared" si="154"/>
        <v/>
      </c>
      <c r="AL499" s="123" t="str">
        <f t="shared" si="148"/>
        <v/>
      </c>
      <c r="AM499" s="21"/>
      <c r="AN499" s="124"/>
      <c r="AO499" s="124"/>
      <c r="AP499" s="124"/>
      <c r="AQ499" s="124" t="s">
        <v>1829</v>
      </c>
      <c r="AR499" s="124"/>
      <c r="AS499" s="124"/>
      <c r="AT499" s="124" t="s">
        <v>1945</v>
      </c>
      <c r="AU499" s="124" t="str">
        <f t="shared" si="151"/>
        <v/>
      </c>
      <c r="AV499" s="124" t="s">
        <v>2778</v>
      </c>
      <c r="AW499" s="117"/>
      <c r="AX499" s="138" t="str">
        <f t="shared" si="146"/>
        <v/>
      </c>
      <c r="AY499" s="31" t="str">
        <f>IF(C499&lt;&gt;"",CREATE_QUERY($D$1,C$2:AW$2,C499:AW499),"")</f>
        <v/>
      </c>
    </row>
    <row r="500" spans="1:51">
      <c r="A500" s="1">
        <v>168</v>
      </c>
      <c r="B500" s="121" t="str">
        <f t="shared" si="147"/>
        <v/>
      </c>
      <c r="C500" s="27" t="str">
        <f t="shared" si="149"/>
        <v/>
      </c>
      <c r="D500" s="121"/>
      <c r="E500" s="21">
        <v>920033</v>
      </c>
      <c r="F500" s="118"/>
      <c r="G500" s="118"/>
      <c r="H500" s="118"/>
      <c r="I500" s="118"/>
      <c r="J500" s="118"/>
      <c r="K500" s="21" t="str">
        <f t="shared" si="152"/>
        <v/>
      </c>
      <c r="L500" s="21">
        <v>1</v>
      </c>
      <c r="M500" s="21" t="str">
        <f t="shared" si="153"/>
        <v>0</v>
      </c>
      <c r="N500" s="118"/>
      <c r="O500" s="118"/>
      <c r="P500" s="21" t="str">
        <f t="shared" si="135"/>
        <v>0</v>
      </c>
      <c r="Q500" s="21" t="str">
        <f t="shared" si="136"/>
        <v>0</v>
      </c>
      <c r="R500" s="21" t="str">
        <f t="shared" si="137"/>
        <v>0</v>
      </c>
      <c r="S500" s="21" t="str">
        <f t="shared" si="138"/>
        <v>0</v>
      </c>
      <c r="T500" s="21" t="str">
        <f t="shared" si="139"/>
        <v>0</v>
      </c>
      <c r="U500" s="21" t="str">
        <f t="shared" si="140"/>
        <v>0</v>
      </c>
      <c r="V500" s="21" t="str">
        <f t="shared" si="141"/>
        <v>1</v>
      </c>
      <c r="W500" s="21"/>
      <c r="X500" s="21" t="str">
        <f t="shared" si="142"/>
        <v/>
      </c>
      <c r="Y500" s="21" t="str">
        <f t="shared" si="143"/>
        <v/>
      </c>
      <c r="Z500" s="21" t="str">
        <f t="shared" si="144"/>
        <v/>
      </c>
      <c r="AA500" s="118"/>
      <c r="AB500" s="118"/>
      <c r="AC500" s="118"/>
      <c r="AD500" s="118"/>
      <c r="AE500" s="118" t="s">
        <v>51</v>
      </c>
      <c r="AF500" s="118"/>
      <c r="AG500" s="118"/>
      <c r="AH500" s="21">
        <v>920000</v>
      </c>
      <c r="AI500" s="26" t="s">
        <v>112</v>
      </c>
      <c r="AJ500" s="26">
        <v>95546</v>
      </c>
      <c r="AK500" s="121" t="str">
        <f t="shared" si="154"/>
        <v/>
      </c>
      <c r="AL500" s="123" t="str">
        <f t="shared" si="148"/>
        <v/>
      </c>
      <c r="AM500" s="21"/>
      <c r="AN500" s="124"/>
      <c r="AO500" s="124"/>
      <c r="AP500" s="124"/>
      <c r="AQ500" s="124" t="s">
        <v>1829</v>
      </c>
      <c r="AR500" s="124"/>
      <c r="AS500" s="124"/>
      <c r="AT500" s="124" t="s">
        <v>1945</v>
      </c>
      <c r="AU500" s="124" t="str">
        <f t="shared" si="151"/>
        <v/>
      </c>
      <c r="AV500" s="124" t="s">
        <v>2779</v>
      </c>
      <c r="AW500" s="117"/>
      <c r="AX500" s="138" t="str">
        <f t="shared" si="146"/>
        <v/>
      </c>
      <c r="AY500" s="31" t="str">
        <f>IF(C500&lt;&gt;"",CREATE_QUERY($D$1,C$2:AW$2,C500:AW500),"")</f>
        <v/>
      </c>
    </row>
    <row r="501" spans="1:51">
      <c r="A501" s="1">
        <v>168</v>
      </c>
      <c r="B501" s="121" t="str">
        <f t="shared" si="147"/>
        <v/>
      </c>
      <c r="C501" s="27" t="str">
        <f t="shared" si="149"/>
        <v/>
      </c>
      <c r="D501" s="121"/>
      <c r="E501" s="21">
        <v>920034</v>
      </c>
      <c r="F501" s="118"/>
      <c r="G501" s="118"/>
      <c r="H501" s="118"/>
      <c r="I501" s="118"/>
      <c r="J501" s="118"/>
      <c r="K501" s="21" t="str">
        <f t="shared" si="152"/>
        <v/>
      </c>
      <c r="L501" s="21">
        <v>1</v>
      </c>
      <c r="M501" s="21" t="str">
        <f t="shared" si="153"/>
        <v>0</v>
      </c>
      <c r="N501" s="118"/>
      <c r="O501" s="118"/>
      <c r="P501" s="21" t="str">
        <f t="shared" si="135"/>
        <v>0</v>
      </c>
      <c r="Q501" s="21" t="str">
        <f t="shared" si="136"/>
        <v>0</v>
      </c>
      <c r="R501" s="21" t="str">
        <f t="shared" si="137"/>
        <v>0</v>
      </c>
      <c r="S501" s="21" t="str">
        <f t="shared" si="138"/>
        <v>0</v>
      </c>
      <c r="T501" s="21" t="str">
        <f t="shared" si="139"/>
        <v>0</v>
      </c>
      <c r="U501" s="21" t="str">
        <f t="shared" si="140"/>
        <v>0</v>
      </c>
      <c r="V501" s="21" t="str">
        <f t="shared" si="141"/>
        <v>1</v>
      </c>
      <c r="W501" s="21"/>
      <c r="X501" s="21" t="str">
        <f t="shared" si="142"/>
        <v/>
      </c>
      <c r="Y501" s="21" t="str">
        <f t="shared" si="143"/>
        <v/>
      </c>
      <c r="Z501" s="21" t="str">
        <f t="shared" si="144"/>
        <v/>
      </c>
      <c r="AA501" s="118"/>
      <c r="AB501" s="118"/>
      <c r="AC501" s="118"/>
      <c r="AD501" s="118"/>
      <c r="AE501" s="118" t="s">
        <v>51</v>
      </c>
      <c r="AF501" s="118"/>
      <c r="AG501" s="118"/>
      <c r="AH501" s="21">
        <v>920000</v>
      </c>
      <c r="AI501" s="26" t="s">
        <v>112</v>
      </c>
      <c r="AJ501" s="26">
        <v>95548</v>
      </c>
      <c r="AK501" s="121" t="str">
        <f t="shared" si="154"/>
        <v/>
      </c>
      <c r="AL501" s="123" t="str">
        <f t="shared" si="148"/>
        <v/>
      </c>
      <c r="AM501" s="21"/>
      <c r="AN501" s="124"/>
      <c r="AO501" s="124"/>
      <c r="AP501" s="124"/>
      <c r="AQ501" s="124" t="s">
        <v>1829</v>
      </c>
      <c r="AR501" s="124"/>
      <c r="AS501" s="124"/>
      <c r="AT501" s="124" t="s">
        <v>1945</v>
      </c>
      <c r="AU501" s="124" t="str">
        <f t="shared" si="151"/>
        <v/>
      </c>
      <c r="AV501" s="124" t="s">
        <v>2780</v>
      </c>
      <c r="AW501" s="117"/>
      <c r="AX501" s="138" t="str">
        <f t="shared" si="146"/>
        <v/>
      </c>
      <c r="AY501" s="31" t="str">
        <f>IF(C501&lt;&gt;"",CREATE_QUERY($D$1,C$2:AW$2,C501:AW501),"")</f>
        <v/>
      </c>
    </row>
    <row r="502" spans="1:51">
      <c r="A502" s="1">
        <v>168</v>
      </c>
      <c r="B502" s="121" t="str">
        <f t="shared" si="147"/>
        <v/>
      </c>
      <c r="C502" s="27" t="str">
        <f t="shared" si="149"/>
        <v/>
      </c>
      <c r="D502" s="121"/>
      <c r="E502" s="21">
        <v>920035</v>
      </c>
      <c r="F502" s="118"/>
      <c r="G502" s="118"/>
      <c r="H502" s="118"/>
      <c r="I502" s="118"/>
      <c r="J502" s="118"/>
      <c r="K502" s="21" t="str">
        <f t="shared" si="152"/>
        <v/>
      </c>
      <c r="L502" s="21">
        <v>1</v>
      </c>
      <c r="M502" s="21" t="str">
        <f t="shared" si="153"/>
        <v>0</v>
      </c>
      <c r="N502" s="118"/>
      <c r="O502" s="118"/>
      <c r="P502" s="21" t="str">
        <f t="shared" si="135"/>
        <v>0</v>
      </c>
      <c r="Q502" s="21" t="str">
        <f t="shared" si="136"/>
        <v>0</v>
      </c>
      <c r="R502" s="21" t="str">
        <f t="shared" si="137"/>
        <v>0</v>
      </c>
      <c r="S502" s="21" t="str">
        <f t="shared" si="138"/>
        <v>0</v>
      </c>
      <c r="T502" s="21" t="str">
        <f t="shared" si="139"/>
        <v>0</v>
      </c>
      <c r="U502" s="21" t="str">
        <f t="shared" si="140"/>
        <v>0</v>
      </c>
      <c r="V502" s="21" t="str">
        <f t="shared" si="141"/>
        <v>1</v>
      </c>
      <c r="W502" s="21"/>
      <c r="X502" s="21" t="str">
        <f t="shared" si="142"/>
        <v/>
      </c>
      <c r="Y502" s="21" t="str">
        <f t="shared" si="143"/>
        <v/>
      </c>
      <c r="Z502" s="21" t="str">
        <f t="shared" si="144"/>
        <v/>
      </c>
      <c r="AA502" s="118"/>
      <c r="AB502" s="118"/>
      <c r="AC502" s="118"/>
      <c r="AD502" s="118"/>
      <c r="AE502" s="118" t="s">
        <v>51</v>
      </c>
      <c r="AF502" s="118"/>
      <c r="AG502" s="118"/>
      <c r="AH502" s="21">
        <v>920000</v>
      </c>
      <c r="AI502" s="26" t="s">
        <v>112</v>
      </c>
      <c r="AJ502" s="26">
        <v>95550</v>
      </c>
      <c r="AK502" s="121" t="str">
        <f t="shared" si="154"/>
        <v/>
      </c>
      <c r="AL502" s="123" t="str">
        <f t="shared" si="148"/>
        <v/>
      </c>
      <c r="AM502" s="21"/>
      <c r="AN502" s="124"/>
      <c r="AO502" s="124"/>
      <c r="AP502" s="124"/>
      <c r="AQ502" s="124" t="s">
        <v>1829</v>
      </c>
      <c r="AR502" s="124"/>
      <c r="AS502" s="124"/>
      <c r="AT502" s="124" t="s">
        <v>1945</v>
      </c>
      <c r="AU502" s="124" t="str">
        <f t="shared" si="151"/>
        <v/>
      </c>
      <c r="AV502" s="124" t="s">
        <v>2781</v>
      </c>
      <c r="AW502" s="117"/>
      <c r="AX502" s="138" t="str">
        <f t="shared" si="146"/>
        <v/>
      </c>
      <c r="AY502" s="31" t="str">
        <f>IF(C502&lt;&gt;"",CREATE_QUERY($D$1,C$2:AW$2,C502:AW502),"")</f>
        <v/>
      </c>
    </row>
    <row r="503" spans="1:51">
      <c r="A503" s="1">
        <v>168</v>
      </c>
      <c r="B503" s="121" t="str">
        <f t="shared" si="147"/>
        <v/>
      </c>
      <c r="C503" s="27" t="str">
        <f t="shared" si="149"/>
        <v/>
      </c>
      <c r="D503" s="121"/>
      <c r="E503" s="21">
        <v>920036</v>
      </c>
      <c r="F503" s="118"/>
      <c r="G503" s="118"/>
      <c r="H503" s="118"/>
      <c r="I503" s="118"/>
      <c r="J503" s="118"/>
      <c r="K503" s="21" t="str">
        <f t="shared" si="152"/>
        <v/>
      </c>
      <c r="L503" s="21">
        <v>1</v>
      </c>
      <c r="M503" s="21" t="str">
        <f t="shared" si="153"/>
        <v>0</v>
      </c>
      <c r="N503" s="118"/>
      <c r="O503" s="118"/>
      <c r="P503" s="21" t="str">
        <f t="shared" si="135"/>
        <v>0</v>
      </c>
      <c r="Q503" s="21" t="str">
        <f t="shared" si="136"/>
        <v>0</v>
      </c>
      <c r="R503" s="21" t="str">
        <f t="shared" si="137"/>
        <v>0</v>
      </c>
      <c r="S503" s="21" t="str">
        <f t="shared" si="138"/>
        <v>0</v>
      </c>
      <c r="T503" s="21" t="str">
        <f t="shared" si="139"/>
        <v>0</v>
      </c>
      <c r="U503" s="21" t="str">
        <f t="shared" si="140"/>
        <v>0</v>
      </c>
      <c r="V503" s="21" t="str">
        <f t="shared" si="141"/>
        <v>1</v>
      </c>
      <c r="W503" s="21"/>
      <c r="X503" s="21" t="str">
        <f t="shared" si="142"/>
        <v/>
      </c>
      <c r="Y503" s="21" t="str">
        <f t="shared" si="143"/>
        <v/>
      </c>
      <c r="Z503" s="21" t="str">
        <f t="shared" si="144"/>
        <v/>
      </c>
      <c r="AA503" s="118"/>
      <c r="AB503" s="118"/>
      <c r="AC503" s="118"/>
      <c r="AD503" s="118"/>
      <c r="AE503" s="118" t="s">
        <v>51</v>
      </c>
      <c r="AF503" s="118"/>
      <c r="AG503" s="118"/>
      <c r="AH503" s="21">
        <v>920000</v>
      </c>
      <c r="AI503" s="26" t="s">
        <v>112</v>
      </c>
      <c r="AJ503" s="26">
        <v>95552</v>
      </c>
      <c r="AK503" s="121" t="str">
        <f>IF(B516="","","0")</f>
        <v/>
      </c>
      <c r="AL503" s="123" t="str">
        <f t="shared" si="148"/>
        <v/>
      </c>
      <c r="AM503" s="21"/>
      <c r="AN503" s="124"/>
      <c r="AO503" s="124"/>
      <c r="AP503" s="124"/>
      <c r="AQ503" s="124" t="s">
        <v>1829</v>
      </c>
      <c r="AR503" s="124"/>
      <c r="AS503" s="124"/>
      <c r="AT503" s="124" t="s">
        <v>1945</v>
      </c>
      <c r="AU503" s="124" t="str">
        <f t="shared" si="151"/>
        <v/>
      </c>
      <c r="AV503" s="124" t="s">
        <v>2782</v>
      </c>
      <c r="AW503" s="117"/>
      <c r="AX503" s="138" t="str">
        <f t="shared" si="146"/>
        <v/>
      </c>
      <c r="AY503" s="31" t="str">
        <f>IF(C503&lt;&gt;"",CREATE_QUERY($D$1,C$2:AW$2,C503:AW503),"")</f>
        <v/>
      </c>
    </row>
    <row r="504" spans="1:51">
      <c r="A504" s="1">
        <v>173</v>
      </c>
      <c r="B504" s="121" t="str">
        <f t="shared" si="147"/>
        <v/>
      </c>
      <c r="C504" s="27" t="str">
        <f t="shared" si="149"/>
        <v/>
      </c>
      <c r="D504" s="121"/>
      <c r="E504" s="27"/>
      <c r="F504" s="121"/>
      <c r="G504" s="121"/>
      <c r="H504" s="121"/>
      <c r="I504" s="121"/>
      <c r="J504" s="121"/>
      <c r="K504" s="27" t="str">
        <f t="shared" si="152"/>
        <v/>
      </c>
      <c r="L504" s="27">
        <v>1</v>
      </c>
      <c r="M504" s="27" t="str">
        <f t="shared" si="153"/>
        <v>0</v>
      </c>
      <c r="N504" s="121"/>
      <c r="O504" s="121"/>
      <c r="P504" s="27" t="str">
        <f t="shared" si="135"/>
        <v>0</v>
      </c>
      <c r="Q504" s="27" t="str">
        <f t="shared" si="136"/>
        <v>0</v>
      </c>
      <c r="R504" s="27" t="str">
        <f t="shared" si="137"/>
        <v>0</v>
      </c>
      <c r="S504" s="27" t="str">
        <f t="shared" si="138"/>
        <v>0</v>
      </c>
      <c r="T504" s="27" t="str">
        <f t="shared" si="139"/>
        <v>0</v>
      </c>
      <c r="U504" s="27" t="str">
        <f t="shared" si="140"/>
        <v>0</v>
      </c>
      <c r="V504" s="27" t="str">
        <f t="shared" si="141"/>
        <v>1</v>
      </c>
      <c r="W504" s="27"/>
      <c r="X504" s="27" t="str">
        <f t="shared" si="142"/>
        <v/>
      </c>
      <c r="Y504" s="27" t="str">
        <f t="shared" si="143"/>
        <v/>
      </c>
      <c r="Z504" s="27" t="str">
        <f t="shared" si="144"/>
        <v/>
      </c>
      <c r="AA504" s="121"/>
      <c r="AB504" s="121"/>
      <c r="AC504" s="121"/>
      <c r="AD504" s="121"/>
      <c r="AE504" s="121"/>
      <c r="AF504" s="121"/>
      <c r="AG504" s="121"/>
      <c r="AH504" s="27"/>
      <c r="AI504" s="27"/>
      <c r="AJ504" s="27" t="s">
        <v>900</v>
      </c>
      <c r="AK504" s="121" t="str">
        <f t="shared" si="150"/>
        <v/>
      </c>
      <c r="AL504" s="123" t="str">
        <f t="shared" si="148"/>
        <v/>
      </c>
      <c r="AM504" s="27"/>
      <c r="AN504" s="124"/>
      <c r="AO504" s="124"/>
      <c r="AP504" s="124"/>
      <c r="AQ504" s="124"/>
      <c r="AR504" s="124"/>
      <c r="AS504" s="124"/>
      <c r="AT504" s="124"/>
      <c r="AU504" s="124" t="str">
        <f t="shared" si="151"/>
        <v/>
      </c>
      <c r="AV504" s="124"/>
      <c r="AW504" s="117"/>
      <c r="AX504" s="138" t="str">
        <f t="shared" si="146"/>
        <v/>
      </c>
      <c r="AY504" s="31" t="str">
        <f>IF(C504&lt;&gt;"",CREATE_QUERY($D$1,C$2:AW$2,C504:AW504),"")</f>
        <v/>
      </c>
    </row>
    <row r="505" spans="1:51">
      <c r="A505" s="1">
        <v>174</v>
      </c>
      <c r="B505" s="121" t="str">
        <f t="shared" si="147"/>
        <v/>
      </c>
      <c r="C505" s="27" t="str">
        <f t="shared" si="149"/>
        <v/>
      </c>
      <c r="D505" s="121"/>
      <c r="E505" s="27"/>
      <c r="F505" s="121"/>
      <c r="G505" s="121"/>
      <c r="H505" s="121"/>
      <c r="I505" s="121"/>
      <c r="J505" s="121"/>
      <c r="K505" s="27" t="str">
        <f t="shared" si="152"/>
        <v/>
      </c>
      <c r="L505" s="27">
        <v>1</v>
      </c>
      <c r="M505" s="27" t="str">
        <f t="shared" si="153"/>
        <v>0</v>
      </c>
      <c r="N505" s="121"/>
      <c r="O505" s="121"/>
      <c r="P505" s="27" t="str">
        <f t="shared" si="135"/>
        <v>0</v>
      </c>
      <c r="Q505" s="27" t="str">
        <f t="shared" si="136"/>
        <v>0</v>
      </c>
      <c r="R505" s="27" t="str">
        <f t="shared" si="137"/>
        <v>0</v>
      </c>
      <c r="S505" s="27" t="str">
        <f t="shared" si="138"/>
        <v>0</v>
      </c>
      <c r="T505" s="27" t="str">
        <f t="shared" si="139"/>
        <v>0</v>
      </c>
      <c r="U505" s="27" t="str">
        <f t="shared" si="140"/>
        <v>0</v>
      </c>
      <c r="V505" s="27" t="str">
        <f t="shared" si="141"/>
        <v>1</v>
      </c>
      <c r="W505" s="27"/>
      <c r="X505" s="27" t="str">
        <f t="shared" si="142"/>
        <v/>
      </c>
      <c r="Y505" s="27" t="str">
        <f t="shared" si="143"/>
        <v/>
      </c>
      <c r="Z505" s="27" t="str">
        <f t="shared" si="144"/>
        <v/>
      </c>
      <c r="AA505" s="121"/>
      <c r="AB505" s="121"/>
      <c r="AC505" s="121"/>
      <c r="AD505" s="121"/>
      <c r="AE505" s="121"/>
      <c r="AF505" s="121"/>
      <c r="AG505" s="121"/>
      <c r="AH505" s="27"/>
      <c r="AI505" s="27"/>
      <c r="AJ505" s="27" t="s">
        <v>900</v>
      </c>
      <c r="AK505" s="121" t="str">
        <f t="shared" si="150"/>
        <v>0</v>
      </c>
      <c r="AL505" s="123" t="str">
        <f t="shared" si="148"/>
        <v/>
      </c>
      <c r="AM505" s="27"/>
      <c r="AN505" s="124"/>
      <c r="AO505" s="124"/>
      <c r="AP505" s="124"/>
      <c r="AQ505" s="124"/>
      <c r="AR505" s="124"/>
      <c r="AS505" s="124"/>
      <c r="AT505" s="124"/>
      <c r="AU505" s="124" t="str">
        <f t="shared" si="151"/>
        <v/>
      </c>
      <c r="AV505" s="124"/>
      <c r="AW505" s="117"/>
      <c r="AX505" s="138" t="str">
        <f t="shared" si="146"/>
        <v/>
      </c>
      <c r="AY505" s="31" t="str">
        <f>IF(C505&lt;&gt;"",CREATE_QUERY($D$1,C$2:AW$2,C505:AW505),"")</f>
        <v/>
      </c>
    </row>
    <row r="506" spans="1:51">
      <c r="A506" s="1">
        <v>149</v>
      </c>
      <c r="B506" s="121" t="str">
        <f t="shared" si="147"/>
        <v xml:space="preserve">  └ 표준원가 관리</v>
      </c>
      <c r="C506" s="27" t="str">
        <f t="shared" si="149"/>
        <v>14821</v>
      </c>
      <c r="D506" s="121"/>
      <c r="E506" s="24" t="s">
        <v>2037</v>
      </c>
      <c r="F506" s="127" t="s">
        <v>2038</v>
      </c>
      <c r="G506" s="127"/>
      <c r="H506" s="127"/>
      <c r="I506" s="127"/>
      <c r="J506" s="127"/>
      <c r="K506" s="25" t="str">
        <f t="shared" si="152"/>
        <v/>
      </c>
      <c r="L506" s="25">
        <v>1</v>
      </c>
      <c r="M506" s="25" t="str">
        <f t="shared" si="153"/>
        <v>0</v>
      </c>
      <c r="N506" s="127"/>
      <c r="O506" s="127"/>
      <c r="P506" s="25" t="str">
        <f t="shared" si="135"/>
        <v>0</v>
      </c>
      <c r="Q506" s="25" t="str">
        <f t="shared" si="136"/>
        <v>0</v>
      </c>
      <c r="R506" s="25" t="str">
        <f t="shared" si="137"/>
        <v>0</v>
      </c>
      <c r="S506" s="25" t="str">
        <f t="shared" si="138"/>
        <v>0</v>
      </c>
      <c r="T506" s="25" t="str">
        <f t="shared" si="139"/>
        <v>0</v>
      </c>
      <c r="U506" s="25" t="str">
        <f t="shared" si="140"/>
        <v>0</v>
      </c>
      <c r="V506" s="25" t="str">
        <f t="shared" si="141"/>
        <v>1</v>
      </c>
      <c r="W506" s="25"/>
      <c r="X506" s="25" t="str">
        <f t="shared" si="142"/>
        <v/>
      </c>
      <c r="Y506" s="25" t="str">
        <f t="shared" si="143"/>
        <v/>
      </c>
      <c r="Z506" s="25" t="str">
        <f t="shared" si="144"/>
        <v/>
      </c>
      <c r="AA506" s="127"/>
      <c r="AB506" s="127"/>
      <c r="AC506" s="127"/>
      <c r="AD506" s="127"/>
      <c r="AE506" s="127" t="s">
        <v>51</v>
      </c>
      <c r="AF506" s="127"/>
      <c r="AG506" s="127"/>
      <c r="AH506" s="24" t="s">
        <v>120</v>
      </c>
      <c r="AI506" s="24" t="s">
        <v>111</v>
      </c>
      <c r="AJ506" s="24">
        <v>96000</v>
      </c>
      <c r="AK506" s="121" t="str">
        <f t="shared" si="150"/>
        <v>0</v>
      </c>
      <c r="AL506" s="123" t="str">
        <f t="shared" si="148"/>
        <v>14821/표준원가 관리//</v>
      </c>
      <c r="AM506" s="24"/>
      <c r="AN506" s="124"/>
      <c r="AO506" s="124"/>
      <c r="AP506" s="124"/>
      <c r="AQ506" s="124" t="s">
        <v>1829</v>
      </c>
      <c r="AR506" s="124"/>
      <c r="AS506" s="124"/>
      <c r="AT506" s="124" t="s">
        <v>2394</v>
      </c>
      <c r="AU506" s="124" t="str">
        <f t="shared" si="151"/>
        <v/>
      </c>
      <c r="AV506" s="124"/>
      <c r="AW506" s="117"/>
      <c r="AX506" s="138" t="str">
        <f t="shared" si="146"/>
        <v>delete from module_mst where pjt_id = '14821' and menu_id = '400000';</v>
      </c>
      <c r="AY506" s="31" t="str">
        <f>IF(C506&lt;&gt;"",CREATE_QUERY($D$1,C$2:AW$2,C506:AW506),"")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'400000', '표준원가 관리', '', '', '', '', '', '1', '0', '', '', '0', '0', '0', '0', '0', '0', '1', '', '', '', '', '', '', '', '', 'N', '', '', '200000', '3', '96000', '0', '14821/표준원가 관리//', '', '', '', '', 'Y', '', '', 'C', '', '');</v>
      </c>
    </row>
    <row r="507" spans="1:51">
      <c r="A507" s="1">
        <v>150</v>
      </c>
      <c r="B507" s="121" t="str">
        <f t="shared" si="147"/>
        <v xml:space="preserve">    └ (두인)표준원가 등록</v>
      </c>
      <c r="C507" s="27" t="str">
        <f t="shared" si="149"/>
        <v>14821</v>
      </c>
      <c r="D507" s="121"/>
      <c r="E507" s="21">
        <v>400001</v>
      </c>
      <c r="F507" s="118" t="s">
        <v>2393</v>
      </c>
      <c r="G507" s="118"/>
      <c r="H507" s="118"/>
      <c r="I507" s="118"/>
      <c r="J507" s="118"/>
      <c r="K507" s="21" t="str">
        <f t="shared" si="152"/>
        <v>1</v>
      </c>
      <c r="L507" s="21">
        <v>1</v>
      </c>
      <c r="M507" s="21" t="str">
        <f t="shared" si="153"/>
        <v>1</v>
      </c>
      <c r="N507" s="118" t="s">
        <v>2040</v>
      </c>
      <c r="O507" s="118" t="s">
        <v>2041</v>
      </c>
      <c r="P507" s="21" t="str">
        <f t="shared" si="135"/>
        <v>1</v>
      </c>
      <c r="Q507" s="21" t="str">
        <f t="shared" si="136"/>
        <v>1</v>
      </c>
      <c r="R507" s="21" t="str">
        <f t="shared" si="137"/>
        <v>1</v>
      </c>
      <c r="S507" s="21" t="str">
        <f t="shared" si="138"/>
        <v>1</v>
      </c>
      <c r="T507" s="21" t="str">
        <f t="shared" si="139"/>
        <v>1</v>
      </c>
      <c r="U507" s="21" t="str">
        <f t="shared" si="140"/>
        <v>1</v>
      </c>
      <c r="V507" s="21" t="str">
        <f t="shared" si="141"/>
        <v>1</v>
      </c>
      <c r="W507" s="21"/>
      <c r="X507" s="21" t="str">
        <f t="shared" si="142"/>
        <v>0</v>
      </c>
      <c r="Y507" s="21" t="str">
        <f t="shared" si="143"/>
        <v>0</v>
      </c>
      <c r="Z507" s="21" t="str">
        <f t="shared" si="144"/>
        <v>0</v>
      </c>
      <c r="AA507" s="118"/>
      <c r="AB507" s="118"/>
      <c r="AC507" s="118"/>
      <c r="AD507" s="118"/>
      <c r="AE507" s="118" t="s">
        <v>51</v>
      </c>
      <c r="AF507" s="118"/>
      <c r="AG507" s="118"/>
      <c r="AH507" s="26" t="s">
        <v>2037</v>
      </c>
      <c r="AI507" s="26" t="s">
        <v>112</v>
      </c>
      <c r="AJ507" s="26">
        <v>96050</v>
      </c>
      <c r="AK507" s="121" t="str">
        <f t="shared" si="150"/>
        <v>0</v>
      </c>
      <c r="AL507" s="123" t="str">
        <f t="shared" si="148"/>
        <v>14821/표준원가 등록/cost/StndCost</v>
      </c>
      <c r="AM507" s="21" t="s">
        <v>1886</v>
      </c>
      <c r="AN507" s="124"/>
      <c r="AO507" s="124"/>
      <c r="AP507" s="124"/>
      <c r="AQ507" s="124" t="s">
        <v>1829</v>
      </c>
      <c r="AR507" s="124"/>
      <c r="AS507" s="124"/>
      <c r="AT507" s="124" t="s">
        <v>2394</v>
      </c>
      <c r="AU507" s="124" t="str">
        <f t="shared" si="151"/>
        <v>C400001</v>
      </c>
      <c r="AV507" s="124" t="s">
        <v>2783</v>
      </c>
      <c r="AW507" s="117" t="s">
        <v>2044</v>
      </c>
      <c r="AX507" s="138" t="str">
        <f t="shared" si="146"/>
        <v>delete from module_mst where pjt_id = '14821' and menu_id = '400001';</v>
      </c>
      <c r="AY507" s="31" t="str">
        <f>IF(C507&lt;&gt;"",CREATE_QUERY($D$1,C$2:AW$2,C507:AW507),"")</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'400001', '표준원가 등록', '', '', '', '', '1', '1', '1', 'cost', 'StndCost', '1', '1', '1', '1', '1', '1', '1', '', '0', '0', '0', '', '', '', '', 'N', '', '', '400000', '4', '96050', '0', '14821/표준원가 등록/cost/StndCost', '(두인)', '', '', '', 'Y', '', '', 'C', 'MES-TD3-901', '(두인) 품목별 표준원가를 등록');</v>
      </c>
    </row>
    <row r="508" spans="1:51">
      <c r="A508" s="1">
        <v>167</v>
      </c>
      <c r="B508" s="121" t="str">
        <f t="shared" si="147"/>
        <v xml:space="preserve">    └ (두인)품목별 원가 조회</v>
      </c>
      <c r="C508" s="27" t="str">
        <f t="shared" si="149"/>
        <v>14821</v>
      </c>
      <c r="D508" s="121"/>
      <c r="E508" s="21">
        <v>400002</v>
      </c>
      <c r="F508" s="118" t="s">
        <v>2039</v>
      </c>
      <c r="G508" s="118"/>
      <c r="H508" s="118"/>
      <c r="I508" s="118"/>
      <c r="J508" s="118"/>
      <c r="K508" s="21" t="str">
        <f t="shared" si="152"/>
        <v>1</v>
      </c>
      <c r="L508" s="21">
        <v>1</v>
      </c>
      <c r="M508" s="21" t="str">
        <f t="shared" si="153"/>
        <v>1</v>
      </c>
      <c r="N508" s="118" t="s">
        <v>2040</v>
      </c>
      <c r="O508" s="118" t="s">
        <v>2042</v>
      </c>
      <c r="P508" s="21" t="str">
        <f t="shared" ref="P508:P572" si="155">IF(O508="","0","1")</f>
        <v>1</v>
      </c>
      <c r="Q508" s="21" t="str">
        <f t="shared" ref="Q508:Q572" si="156">IF(O508="","0","1")</f>
        <v>1</v>
      </c>
      <c r="R508" s="21" t="str">
        <f t="shared" ref="R508:R572" si="157">IF(O508="","0","1")</f>
        <v>1</v>
      </c>
      <c r="S508" s="21" t="str">
        <f t="shared" ref="S508:S572" si="158">IF(O508="","0","1")</f>
        <v>1</v>
      </c>
      <c r="T508" s="21" t="str">
        <f t="shared" ref="T508:T572" si="159">IF(O508="","0","1")</f>
        <v>1</v>
      </c>
      <c r="U508" s="21" t="str">
        <f t="shared" ref="U508:U572" si="160">IF(O508="","0","1")</f>
        <v>1</v>
      </c>
      <c r="V508" s="21" t="str">
        <f t="shared" ref="V508:V572" si="161">IF(O508="","1","1")</f>
        <v>1</v>
      </c>
      <c r="W508" s="21"/>
      <c r="X508" s="21" t="str">
        <f t="shared" ref="X508:X572" si="162">IF(O508="","","0")</f>
        <v>0</v>
      </c>
      <c r="Y508" s="21" t="str">
        <f t="shared" ref="Y508:Y572" si="163">IF(O508="","","0")</f>
        <v>0</v>
      </c>
      <c r="Z508" s="21" t="str">
        <f t="shared" ref="Z508:Z572" si="164">IF(O508="","","0")</f>
        <v>0</v>
      </c>
      <c r="AA508" s="118"/>
      <c r="AB508" s="118"/>
      <c r="AC508" s="118"/>
      <c r="AD508" s="118"/>
      <c r="AE508" s="118"/>
      <c r="AF508" s="118"/>
      <c r="AG508" s="118"/>
      <c r="AH508" s="26" t="s">
        <v>2037</v>
      </c>
      <c r="AI508" s="26" t="s">
        <v>112</v>
      </c>
      <c r="AJ508" s="26">
        <v>96100</v>
      </c>
      <c r="AK508" s="121" t="str">
        <f t="shared" si="150"/>
        <v/>
      </c>
      <c r="AL508" s="123" t="str">
        <f t="shared" si="148"/>
        <v>14821/품목별 원가 조회/cost/CostList</v>
      </c>
      <c r="AM508" s="21" t="s">
        <v>1886</v>
      </c>
      <c r="AN508" s="124"/>
      <c r="AO508" s="124"/>
      <c r="AP508" s="124"/>
      <c r="AQ508" s="124" t="s">
        <v>1829</v>
      </c>
      <c r="AR508" s="124"/>
      <c r="AS508" s="124"/>
      <c r="AT508" s="124" t="s">
        <v>2394</v>
      </c>
      <c r="AU508" s="124" t="str">
        <f t="shared" si="151"/>
        <v>C400002</v>
      </c>
      <c r="AV508" s="124" t="s">
        <v>2784</v>
      </c>
      <c r="AW508" s="117" t="s">
        <v>2043</v>
      </c>
      <c r="AX508" s="138" t="str">
        <f t="shared" si="146"/>
        <v>delete from module_mst where pjt_id = '14821' and menu_id = '400002';</v>
      </c>
      <c r="AY508" s="31" t="str">
        <f>IF(C508&lt;&gt;"",CREATE_QUERY($D$1,C$2:AW$2,C508:AW508),"")</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'400002', '품목별 원가 조회', '', '', '', '', '1', '1', '1', 'cost', 'CostList', '1', '1', '1', '1', '1', '1', '1', '', '0', '0', '0', '', '', '', '', '', '', '', '400000', '4', '96100', '', '14821/품목별 원가 조회/cost/CostList', '(두인)', '', '', '', 'Y', '', '', 'C', 'MES-TD3-902', '(두인) 생산일지와 품목별 표준원가를 적용하여 이익율 조회');</v>
      </c>
    </row>
    <row r="509" spans="1:51">
      <c r="A509" s="1">
        <v>150</v>
      </c>
      <c r="B509" s="121" t="str">
        <f t="shared" si="147"/>
        <v/>
      </c>
      <c r="C509" s="27" t="str">
        <f t="shared" si="149"/>
        <v/>
      </c>
      <c r="D509" s="121"/>
      <c r="E509" s="21">
        <v>400003</v>
      </c>
      <c r="F509" s="118"/>
      <c r="G509" s="118"/>
      <c r="H509" s="118"/>
      <c r="I509" s="118"/>
      <c r="J509" s="118"/>
      <c r="K509" s="21" t="str">
        <f t="shared" si="152"/>
        <v/>
      </c>
      <c r="L509" s="21">
        <v>1</v>
      </c>
      <c r="M509" s="21" t="str">
        <f t="shared" si="153"/>
        <v>0</v>
      </c>
      <c r="N509" s="118"/>
      <c r="O509" s="118"/>
      <c r="P509" s="21" t="str">
        <f t="shared" si="155"/>
        <v>0</v>
      </c>
      <c r="Q509" s="21" t="str">
        <f t="shared" si="156"/>
        <v>0</v>
      </c>
      <c r="R509" s="21" t="str">
        <f t="shared" si="157"/>
        <v>0</v>
      </c>
      <c r="S509" s="21" t="str">
        <f t="shared" si="158"/>
        <v>0</v>
      </c>
      <c r="T509" s="21" t="str">
        <f t="shared" si="159"/>
        <v>0</v>
      </c>
      <c r="U509" s="21" t="str">
        <f t="shared" si="160"/>
        <v>0</v>
      </c>
      <c r="V509" s="21" t="str">
        <f t="shared" si="161"/>
        <v>1</v>
      </c>
      <c r="W509" s="21"/>
      <c r="X509" s="21" t="str">
        <f t="shared" si="162"/>
        <v/>
      </c>
      <c r="Y509" s="21" t="str">
        <f t="shared" si="163"/>
        <v/>
      </c>
      <c r="Z509" s="21" t="str">
        <f t="shared" si="164"/>
        <v/>
      </c>
      <c r="AA509" s="118"/>
      <c r="AB509" s="118"/>
      <c r="AC509" s="118"/>
      <c r="AD509" s="118"/>
      <c r="AE509" s="118" t="s">
        <v>51</v>
      </c>
      <c r="AF509" s="118"/>
      <c r="AG509" s="118"/>
      <c r="AH509" s="26" t="s">
        <v>2037</v>
      </c>
      <c r="AI509" s="26" t="s">
        <v>112</v>
      </c>
      <c r="AJ509" s="26">
        <v>96150</v>
      </c>
      <c r="AK509" s="121" t="str">
        <f t="shared" si="150"/>
        <v/>
      </c>
      <c r="AL509" s="123" t="str">
        <f t="shared" si="148"/>
        <v/>
      </c>
      <c r="AM509" s="21"/>
      <c r="AN509" s="124"/>
      <c r="AO509" s="124"/>
      <c r="AP509" s="124"/>
      <c r="AQ509" s="124" t="s">
        <v>1829</v>
      </c>
      <c r="AR509" s="124"/>
      <c r="AS509" s="124"/>
      <c r="AT509" s="124" t="s">
        <v>2394</v>
      </c>
      <c r="AU509" s="124" t="str">
        <f t="shared" si="151"/>
        <v/>
      </c>
      <c r="AV509" s="124" t="s">
        <v>2785</v>
      </c>
      <c r="AW509" s="117" t="s">
        <v>2044</v>
      </c>
      <c r="AX509" s="138" t="str">
        <f t="shared" si="146"/>
        <v/>
      </c>
      <c r="AY509" s="31" t="str">
        <f>IF(C509&lt;&gt;"",CREATE_QUERY($D$1,C$2:AW$2,C509:AW509),"")</f>
        <v/>
      </c>
    </row>
    <row r="510" spans="1:51">
      <c r="A510" s="1">
        <v>167</v>
      </c>
      <c r="B510" s="121" t="str">
        <f t="shared" si="147"/>
        <v/>
      </c>
      <c r="C510" s="27" t="str">
        <f t="shared" si="149"/>
        <v/>
      </c>
      <c r="D510" s="121"/>
      <c r="E510" s="21">
        <v>400004</v>
      </c>
      <c r="F510" s="118"/>
      <c r="G510" s="118"/>
      <c r="H510" s="118"/>
      <c r="I510" s="118"/>
      <c r="J510" s="118"/>
      <c r="K510" s="21" t="str">
        <f t="shared" si="152"/>
        <v/>
      </c>
      <c r="L510" s="21">
        <v>1</v>
      </c>
      <c r="M510" s="21" t="str">
        <f t="shared" si="153"/>
        <v>0</v>
      </c>
      <c r="N510" s="118"/>
      <c r="O510" s="118"/>
      <c r="P510" s="21" t="str">
        <f t="shared" si="155"/>
        <v>0</v>
      </c>
      <c r="Q510" s="21" t="str">
        <f t="shared" si="156"/>
        <v>0</v>
      </c>
      <c r="R510" s="21" t="str">
        <f t="shared" si="157"/>
        <v>0</v>
      </c>
      <c r="S510" s="21" t="str">
        <f t="shared" si="158"/>
        <v>0</v>
      </c>
      <c r="T510" s="21" t="str">
        <f t="shared" si="159"/>
        <v>0</v>
      </c>
      <c r="U510" s="21" t="str">
        <f t="shared" si="160"/>
        <v>0</v>
      </c>
      <c r="V510" s="21" t="str">
        <f t="shared" si="161"/>
        <v>1</v>
      </c>
      <c r="W510" s="21"/>
      <c r="X510" s="21" t="str">
        <f t="shared" si="162"/>
        <v/>
      </c>
      <c r="Y510" s="21" t="str">
        <f t="shared" si="163"/>
        <v/>
      </c>
      <c r="Z510" s="21" t="str">
        <f t="shared" si="164"/>
        <v/>
      </c>
      <c r="AA510" s="118"/>
      <c r="AB510" s="118"/>
      <c r="AC510" s="118"/>
      <c r="AD510" s="118"/>
      <c r="AE510" s="118"/>
      <c r="AF510" s="118"/>
      <c r="AG510" s="118"/>
      <c r="AH510" s="26" t="s">
        <v>2037</v>
      </c>
      <c r="AI510" s="26" t="s">
        <v>112</v>
      </c>
      <c r="AJ510" s="26">
        <v>96200</v>
      </c>
      <c r="AK510" s="121" t="str">
        <f t="shared" si="150"/>
        <v/>
      </c>
      <c r="AL510" s="123" t="str">
        <f t="shared" si="148"/>
        <v/>
      </c>
      <c r="AM510" s="21"/>
      <c r="AN510" s="124"/>
      <c r="AO510" s="124"/>
      <c r="AP510" s="124"/>
      <c r="AQ510" s="124" t="s">
        <v>1829</v>
      </c>
      <c r="AR510" s="124"/>
      <c r="AS510" s="124"/>
      <c r="AT510" s="124" t="s">
        <v>2394</v>
      </c>
      <c r="AU510" s="124" t="str">
        <f t="shared" si="151"/>
        <v/>
      </c>
      <c r="AV510" s="124" t="s">
        <v>2786</v>
      </c>
      <c r="AW510" s="117" t="s">
        <v>2043</v>
      </c>
      <c r="AX510" s="138" t="str">
        <f t="shared" si="146"/>
        <v/>
      </c>
      <c r="AY510" s="31" t="str">
        <f>IF(C510&lt;&gt;"",CREATE_QUERY($D$1,C$2:AW$2,C510:AW510),"")</f>
        <v/>
      </c>
    </row>
    <row r="511" spans="1:51">
      <c r="A511" s="1">
        <v>150</v>
      </c>
      <c r="B511" s="121" t="str">
        <f t="shared" si="147"/>
        <v/>
      </c>
      <c r="C511" s="27" t="str">
        <f t="shared" si="149"/>
        <v/>
      </c>
      <c r="D511" s="121"/>
      <c r="E511" s="21">
        <v>400005</v>
      </c>
      <c r="F511" s="118"/>
      <c r="G511" s="118"/>
      <c r="H511" s="118"/>
      <c r="I511" s="118"/>
      <c r="J511" s="118"/>
      <c r="K511" s="21" t="str">
        <f t="shared" si="152"/>
        <v/>
      </c>
      <c r="L511" s="21">
        <v>1</v>
      </c>
      <c r="M511" s="21" t="str">
        <f t="shared" si="153"/>
        <v>0</v>
      </c>
      <c r="N511" s="118"/>
      <c r="O511" s="118"/>
      <c r="P511" s="21" t="str">
        <f t="shared" si="155"/>
        <v>0</v>
      </c>
      <c r="Q511" s="21" t="str">
        <f t="shared" si="156"/>
        <v>0</v>
      </c>
      <c r="R511" s="21" t="str">
        <f t="shared" si="157"/>
        <v>0</v>
      </c>
      <c r="S511" s="21" t="str">
        <f t="shared" si="158"/>
        <v>0</v>
      </c>
      <c r="T511" s="21" t="str">
        <f t="shared" si="159"/>
        <v>0</v>
      </c>
      <c r="U511" s="21" t="str">
        <f t="shared" si="160"/>
        <v>0</v>
      </c>
      <c r="V511" s="21" t="str">
        <f t="shared" si="161"/>
        <v>1</v>
      </c>
      <c r="W511" s="21"/>
      <c r="X511" s="21" t="str">
        <f t="shared" si="162"/>
        <v/>
      </c>
      <c r="Y511" s="21" t="str">
        <f t="shared" si="163"/>
        <v/>
      </c>
      <c r="Z511" s="21" t="str">
        <f t="shared" si="164"/>
        <v/>
      </c>
      <c r="AA511" s="118"/>
      <c r="AB511" s="118"/>
      <c r="AC511" s="118"/>
      <c r="AD511" s="118"/>
      <c r="AE511" s="118" t="s">
        <v>51</v>
      </c>
      <c r="AF511" s="118"/>
      <c r="AG511" s="118"/>
      <c r="AH511" s="26" t="s">
        <v>2037</v>
      </c>
      <c r="AI511" s="26" t="s">
        <v>112</v>
      </c>
      <c r="AJ511" s="26">
        <v>96250</v>
      </c>
      <c r="AK511" s="121" t="str">
        <f t="shared" si="150"/>
        <v>0</v>
      </c>
      <c r="AL511" s="123" t="str">
        <f t="shared" si="148"/>
        <v/>
      </c>
      <c r="AM511" s="21"/>
      <c r="AN511" s="124"/>
      <c r="AO511" s="124"/>
      <c r="AP511" s="124"/>
      <c r="AQ511" s="124" t="s">
        <v>1829</v>
      </c>
      <c r="AR511" s="124"/>
      <c r="AS511" s="124"/>
      <c r="AT511" s="124" t="s">
        <v>2394</v>
      </c>
      <c r="AU511" s="124" t="str">
        <f t="shared" si="151"/>
        <v/>
      </c>
      <c r="AV511" s="124" t="s">
        <v>2787</v>
      </c>
      <c r="AW511" s="117" t="s">
        <v>2044</v>
      </c>
      <c r="AX511" s="138" t="str">
        <f t="shared" si="146"/>
        <v/>
      </c>
      <c r="AY511" s="31" t="str">
        <f>IF(C511&lt;&gt;"",CREATE_QUERY($D$1,C$2:AW$2,C511:AW511),"")</f>
        <v/>
      </c>
    </row>
    <row r="512" spans="1:51" ht="26">
      <c r="A512" s="1">
        <v>167</v>
      </c>
      <c r="B512" s="121" t="str">
        <f t="shared" si="147"/>
        <v xml:space="preserve">    └ (인코팩)표준 단가표 관리</v>
      </c>
      <c r="C512" s="27" t="str">
        <f t="shared" si="149"/>
        <v>14821</v>
      </c>
      <c r="D512" s="121"/>
      <c r="E512" s="21">
        <v>400006</v>
      </c>
      <c r="F512" s="118" t="s">
        <v>2395</v>
      </c>
      <c r="G512" s="118"/>
      <c r="H512" s="118"/>
      <c r="I512" s="118"/>
      <c r="J512" s="118"/>
      <c r="K512" s="21" t="str">
        <f t="shared" si="152"/>
        <v>1</v>
      </c>
      <c r="L512" s="21">
        <v>1</v>
      </c>
      <c r="M512" s="21" t="str">
        <f t="shared" si="153"/>
        <v>1</v>
      </c>
      <c r="N512" s="118" t="s">
        <v>2399</v>
      </c>
      <c r="O512" s="118" t="s">
        <v>2396</v>
      </c>
      <c r="P512" s="21" t="str">
        <f t="shared" si="155"/>
        <v>1</v>
      </c>
      <c r="Q512" s="21" t="str">
        <f t="shared" si="156"/>
        <v>1</v>
      </c>
      <c r="R512" s="21" t="str">
        <f t="shared" si="157"/>
        <v>1</v>
      </c>
      <c r="S512" s="21" t="str">
        <f t="shared" si="158"/>
        <v>1</v>
      </c>
      <c r="T512" s="21" t="str">
        <f t="shared" si="159"/>
        <v>1</v>
      </c>
      <c r="U512" s="21" t="str">
        <f t="shared" si="160"/>
        <v>1</v>
      </c>
      <c r="V512" s="21" t="str">
        <f t="shared" si="161"/>
        <v>1</v>
      </c>
      <c r="W512" s="21"/>
      <c r="X512" s="21" t="str">
        <f t="shared" si="162"/>
        <v>0</v>
      </c>
      <c r="Y512" s="21" t="str">
        <f t="shared" si="163"/>
        <v>0</v>
      </c>
      <c r="Z512" s="21" t="str">
        <f t="shared" si="164"/>
        <v>0</v>
      </c>
      <c r="AA512" s="118"/>
      <c r="AB512" s="118"/>
      <c r="AC512" s="118"/>
      <c r="AD512" s="118"/>
      <c r="AE512" s="118"/>
      <c r="AF512" s="118"/>
      <c r="AG512" s="118"/>
      <c r="AH512" s="26" t="s">
        <v>2037</v>
      </c>
      <c r="AI512" s="26" t="s">
        <v>112</v>
      </c>
      <c r="AJ512" s="26">
        <v>96300</v>
      </c>
      <c r="AK512" s="121" t="str">
        <f t="shared" si="150"/>
        <v>0</v>
      </c>
      <c r="AL512" s="123" t="str">
        <f t="shared" si="148"/>
        <v>14821/표준 단가표 관리/custom.inkopack.cost/CostPriceWork</v>
      </c>
      <c r="AM512" s="21" t="s">
        <v>2386</v>
      </c>
      <c r="AN512" s="124"/>
      <c r="AO512" s="124"/>
      <c r="AP512" s="124"/>
      <c r="AQ512" s="124" t="s">
        <v>1829</v>
      </c>
      <c r="AR512" s="124"/>
      <c r="AS512" s="124"/>
      <c r="AT512" s="124" t="s">
        <v>2394</v>
      </c>
      <c r="AU512" s="124" t="str">
        <f t="shared" si="151"/>
        <v>C400006</v>
      </c>
      <c r="AV512" s="124" t="s">
        <v>2788</v>
      </c>
      <c r="AW512" s="117" t="s">
        <v>2397</v>
      </c>
      <c r="AX512" s="138" t="str">
        <f t="shared" si="146"/>
        <v>delete from module_mst where pjt_id = '14821' and menu_id = '400006';</v>
      </c>
      <c r="AY512" s="31" t="str">
        <f>IF(C512&lt;&gt;"",CREATE_QUERY($D$1,C$2:AW$2,C512:AW512),"")</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'400006', '표준 단가표 관리', '', '', '', '', '1', '1', '1', 'custom.inkopack.cost', 'CostPriceWork', '1', '1', '1', '1', '1', '1', '1', '', '0', '0', '0', '', '', '', '', '', '', '', '400000', '4', '96300', '0', '14821/표준 단가표 관리/custom.inkopack.cost/CostPriceWork', '(인코팩)', '', '', '', 'Y', '', '', 'C', 'MES-TD3-906', 'For 인코팩  원가 구성 요소별 품목별 최종 단가를 등록 관리
※ 1개 업체 이상에서 구매할 경우라도 대표 단가를 등록한다.');</v>
      </c>
    </row>
    <row r="513" spans="1:51">
      <c r="A513" s="1">
        <v>150</v>
      </c>
      <c r="B513" s="121" t="str">
        <f t="shared" si="147"/>
        <v xml:space="preserve">    └ (인코팩)표준원가관리</v>
      </c>
      <c r="C513" s="27" t="str">
        <f t="shared" si="149"/>
        <v>14821</v>
      </c>
      <c r="D513" s="121"/>
      <c r="E513" s="21">
        <v>400007</v>
      </c>
      <c r="F513" s="118" t="s">
        <v>2424</v>
      </c>
      <c r="G513" s="118"/>
      <c r="H513" s="118"/>
      <c r="I513" s="118"/>
      <c r="J513" s="118"/>
      <c r="K513" s="21" t="str">
        <f t="shared" si="152"/>
        <v>1</v>
      </c>
      <c r="L513" s="21">
        <v>1</v>
      </c>
      <c r="M513" s="21" t="str">
        <f t="shared" si="153"/>
        <v>1</v>
      </c>
      <c r="N513" s="118" t="s">
        <v>2399</v>
      </c>
      <c r="O513" s="118" t="s">
        <v>2423</v>
      </c>
      <c r="P513" s="21" t="str">
        <f t="shared" si="155"/>
        <v>1</v>
      </c>
      <c r="Q513" s="21" t="str">
        <f t="shared" si="156"/>
        <v>1</v>
      </c>
      <c r="R513" s="21" t="str">
        <f t="shared" si="157"/>
        <v>1</v>
      </c>
      <c r="S513" s="21" t="str">
        <f t="shared" si="158"/>
        <v>1</v>
      </c>
      <c r="T513" s="21" t="str">
        <f t="shared" si="159"/>
        <v>1</v>
      </c>
      <c r="U513" s="21" t="str">
        <f t="shared" si="160"/>
        <v>1</v>
      </c>
      <c r="V513" s="21" t="str">
        <f t="shared" si="161"/>
        <v>1</v>
      </c>
      <c r="W513" s="21"/>
      <c r="X513" s="21" t="str">
        <f t="shared" si="162"/>
        <v>0</v>
      </c>
      <c r="Y513" s="21" t="str">
        <f t="shared" si="163"/>
        <v>0</v>
      </c>
      <c r="Z513" s="21" t="str">
        <f t="shared" si="164"/>
        <v>0</v>
      </c>
      <c r="AA513" s="118"/>
      <c r="AB513" s="118"/>
      <c r="AC513" s="118"/>
      <c r="AD513" s="118"/>
      <c r="AE513" s="118" t="s">
        <v>51</v>
      </c>
      <c r="AF513" s="118"/>
      <c r="AG513" s="118"/>
      <c r="AH513" s="26" t="s">
        <v>2037</v>
      </c>
      <c r="AI513" s="26" t="s">
        <v>112</v>
      </c>
      <c r="AJ513" s="26">
        <v>96350</v>
      </c>
      <c r="AK513" s="121" t="str">
        <f t="shared" si="150"/>
        <v/>
      </c>
      <c r="AL513" s="123" t="str">
        <f t="shared" si="148"/>
        <v>14821/표준원가관리/custom.inkopack.cost/StndCostWork</v>
      </c>
      <c r="AM513" s="21" t="s">
        <v>2386</v>
      </c>
      <c r="AN513" s="124"/>
      <c r="AO513" s="124"/>
      <c r="AP513" s="124"/>
      <c r="AQ513" s="124" t="s">
        <v>1829</v>
      </c>
      <c r="AR513" s="124"/>
      <c r="AS513" s="124"/>
      <c r="AT513" s="124" t="s">
        <v>2394</v>
      </c>
      <c r="AU513" s="124" t="str">
        <f t="shared" si="151"/>
        <v>C400007</v>
      </c>
      <c r="AV513" s="124" t="s">
        <v>2789</v>
      </c>
      <c r="AW513" s="117" t="s">
        <v>2398</v>
      </c>
      <c r="AX513" s="138" t="str">
        <f t="shared" si="146"/>
        <v>delete from module_mst where pjt_id = '14821' and menu_id = '400007';</v>
      </c>
      <c r="AY513" s="31" t="str">
        <f>IF(C513&lt;&gt;"",CREATE_QUERY($D$1,C$2:AW$2,C513:AW513),"")</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'400007', '표준원가관리', '', '', '', '', '1', '1', '1', 'custom.inkopack.cost', 'StndCostWork', '1', '1', '1', '1', '1', '1', '1', '', '0', '0', '0', '', '', '', '', 'N', '', '', '400000', '4', '96350', '', '14821/표준원가관리/custom.inkopack.cost/StndCostWork', '(인코팩)', '', '', '', 'Y', '', '', 'C', 'MES-TD3-907', 'For 인코팩 품목별로 표준원가 Type을 Mapping 한다.');</v>
      </c>
    </row>
    <row r="514" spans="1:51">
      <c r="A514" s="1">
        <v>167</v>
      </c>
      <c r="B514" s="121" t="str">
        <f t="shared" si="147"/>
        <v/>
      </c>
      <c r="C514" s="27" t="str">
        <f t="shared" si="149"/>
        <v/>
      </c>
      <c r="D514" s="121"/>
      <c r="E514" s="21">
        <v>400008</v>
      </c>
      <c r="F514" s="118"/>
      <c r="G514" s="118"/>
      <c r="H514" s="118"/>
      <c r="I514" s="118"/>
      <c r="J514" s="118"/>
      <c r="K514" s="21" t="str">
        <f t="shared" si="152"/>
        <v/>
      </c>
      <c r="L514" s="21">
        <v>1</v>
      </c>
      <c r="M514" s="21" t="str">
        <f t="shared" si="153"/>
        <v>0</v>
      </c>
      <c r="N514" s="118"/>
      <c r="O514" s="118"/>
      <c r="P514" s="21" t="str">
        <f t="shared" si="155"/>
        <v>0</v>
      </c>
      <c r="Q514" s="21" t="str">
        <f t="shared" si="156"/>
        <v>0</v>
      </c>
      <c r="R514" s="21" t="str">
        <f t="shared" si="157"/>
        <v>0</v>
      </c>
      <c r="S514" s="21" t="str">
        <f t="shared" si="158"/>
        <v>0</v>
      </c>
      <c r="T514" s="21" t="str">
        <f t="shared" si="159"/>
        <v>0</v>
      </c>
      <c r="U514" s="21" t="str">
        <f t="shared" si="160"/>
        <v>0</v>
      </c>
      <c r="V514" s="21" t="str">
        <f t="shared" si="161"/>
        <v>1</v>
      </c>
      <c r="W514" s="21"/>
      <c r="X514" s="21" t="str">
        <f t="shared" si="162"/>
        <v/>
      </c>
      <c r="Y514" s="21" t="str">
        <f t="shared" si="163"/>
        <v/>
      </c>
      <c r="Z514" s="21" t="str">
        <f t="shared" si="164"/>
        <v/>
      </c>
      <c r="AA514" s="118"/>
      <c r="AB514" s="118"/>
      <c r="AC514" s="118"/>
      <c r="AD514" s="118"/>
      <c r="AE514" s="118"/>
      <c r="AF514" s="118"/>
      <c r="AG514" s="118"/>
      <c r="AH514" s="26" t="s">
        <v>2037</v>
      </c>
      <c r="AI514" s="26" t="s">
        <v>112</v>
      </c>
      <c r="AJ514" s="26">
        <v>96400</v>
      </c>
      <c r="AK514" s="121" t="str">
        <f t="shared" si="150"/>
        <v/>
      </c>
      <c r="AL514" s="123" t="str">
        <f t="shared" si="148"/>
        <v/>
      </c>
      <c r="AM514" s="21"/>
      <c r="AN514" s="124"/>
      <c r="AO514" s="124"/>
      <c r="AP514" s="124"/>
      <c r="AQ514" s="124" t="s">
        <v>1829</v>
      </c>
      <c r="AR514" s="124"/>
      <c r="AS514" s="124"/>
      <c r="AT514" s="124" t="s">
        <v>2394</v>
      </c>
      <c r="AU514" s="124" t="str">
        <f t="shared" si="151"/>
        <v/>
      </c>
      <c r="AV514" s="124" t="s">
        <v>2790</v>
      </c>
      <c r="AW514" s="117"/>
      <c r="AX514" s="138" t="str">
        <f t="shared" si="146"/>
        <v/>
      </c>
      <c r="AY514" s="31" t="str">
        <f>IF(C514&lt;&gt;"",CREATE_QUERY($D$1,C$2:AW$2,C514:AW514),"")</f>
        <v/>
      </c>
    </row>
    <row r="515" spans="1:51">
      <c r="A515" s="1">
        <v>150</v>
      </c>
      <c r="B515" s="121" t="str">
        <f t="shared" si="147"/>
        <v/>
      </c>
      <c r="C515" s="27" t="str">
        <f t="shared" si="149"/>
        <v/>
      </c>
      <c r="D515" s="121"/>
      <c r="E515" s="21">
        <v>400009</v>
      </c>
      <c r="F515" s="118"/>
      <c r="G515" s="118"/>
      <c r="H515" s="118"/>
      <c r="I515" s="118"/>
      <c r="J515" s="118"/>
      <c r="K515" s="21"/>
      <c r="L515" s="21"/>
      <c r="M515" s="21"/>
      <c r="N515" s="118"/>
      <c r="O515" s="118"/>
      <c r="P515" s="21" t="str">
        <f t="shared" si="155"/>
        <v>0</v>
      </c>
      <c r="Q515" s="21" t="str">
        <f t="shared" si="156"/>
        <v>0</v>
      </c>
      <c r="R515" s="21" t="str">
        <f t="shared" si="157"/>
        <v>0</v>
      </c>
      <c r="S515" s="21" t="str">
        <f t="shared" si="158"/>
        <v>0</v>
      </c>
      <c r="T515" s="21" t="str">
        <f t="shared" si="159"/>
        <v>0</v>
      </c>
      <c r="U515" s="21" t="str">
        <f t="shared" si="160"/>
        <v>0</v>
      </c>
      <c r="V515" s="21" t="str">
        <f t="shared" si="161"/>
        <v>1</v>
      </c>
      <c r="W515" s="21"/>
      <c r="X515" s="21" t="str">
        <f t="shared" si="162"/>
        <v/>
      </c>
      <c r="Y515" s="21" t="str">
        <f t="shared" si="163"/>
        <v/>
      </c>
      <c r="Z515" s="21" t="str">
        <f t="shared" si="164"/>
        <v/>
      </c>
      <c r="AA515" s="118"/>
      <c r="AB515" s="118"/>
      <c r="AC515" s="118"/>
      <c r="AD515" s="118"/>
      <c r="AE515" s="118" t="s">
        <v>51</v>
      </c>
      <c r="AF515" s="118"/>
      <c r="AG515" s="118"/>
      <c r="AH515" s="26" t="s">
        <v>2037</v>
      </c>
      <c r="AI515" s="26" t="s">
        <v>112</v>
      </c>
      <c r="AJ515" s="26">
        <v>96450</v>
      </c>
      <c r="AK515" s="121" t="str">
        <f t="shared" si="150"/>
        <v/>
      </c>
      <c r="AL515" s="123" t="str">
        <f t="shared" si="148"/>
        <v/>
      </c>
      <c r="AM515" s="21"/>
      <c r="AN515" s="124"/>
      <c r="AO515" s="124"/>
      <c r="AP515" s="124"/>
      <c r="AQ515" s="124" t="s">
        <v>1829</v>
      </c>
      <c r="AR515" s="124"/>
      <c r="AS515" s="124"/>
      <c r="AT515" s="124" t="s">
        <v>2394</v>
      </c>
      <c r="AU515" s="124" t="str">
        <f t="shared" si="151"/>
        <v/>
      </c>
      <c r="AV515" s="124" t="s">
        <v>2791</v>
      </c>
      <c r="AW515" s="117"/>
      <c r="AX515" s="138" t="str">
        <f t="shared" si="146"/>
        <v/>
      </c>
      <c r="AY515" s="31" t="str">
        <f>IF(C515&lt;&gt;"",CREATE_QUERY($D$1,C$2:AW$2,C515:AW515),"")</f>
        <v/>
      </c>
    </row>
    <row r="516" spans="1:51">
      <c r="A516" s="1">
        <v>167</v>
      </c>
      <c r="B516" s="121" t="str">
        <f t="shared" si="147"/>
        <v/>
      </c>
      <c r="C516" s="27" t="str">
        <f t="shared" si="149"/>
        <v/>
      </c>
      <c r="D516" s="121"/>
      <c r="E516" s="21">
        <v>400010</v>
      </c>
      <c r="F516" s="118"/>
      <c r="G516" s="118"/>
      <c r="H516" s="118"/>
      <c r="I516" s="118"/>
      <c r="J516" s="118"/>
      <c r="K516" s="21"/>
      <c r="L516" s="21"/>
      <c r="M516" s="21"/>
      <c r="N516" s="118"/>
      <c r="O516" s="118"/>
      <c r="P516" s="21" t="str">
        <f t="shared" si="155"/>
        <v>0</v>
      </c>
      <c r="Q516" s="21" t="str">
        <f t="shared" si="156"/>
        <v>0</v>
      </c>
      <c r="R516" s="21" t="str">
        <f t="shared" si="157"/>
        <v>0</v>
      </c>
      <c r="S516" s="21" t="str">
        <f t="shared" si="158"/>
        <v>0</v>
      </c>
      <c r="T516" s="21" t="str">
        <f t="shared" si="159"/>
        <v>0</v>
      </c>
      <c r="U516" s="21" t="str">
        <f t="shared" si="160"/>
        <v>0</v>
      </c>
      <c r="V516" s="21" t="str">
        <f t="shared" si="161"/>
        <v>1</v>
      </c>
      <c r="W516" s="21"/>
      <c r="X516" s="21" t="str">
        <f t="shared" si="162"/>
        <v/>
      </c>
      <c r="Y516" s="21" t="str">
        <f t="shared" si="163"/>
        <v/>
      </c>
      <c r="Z516" s="21" t="str">
        <f t="shared" si="164"/>
        <v/>
      </c>
      <c r="AA516" s="118"/>
      <c r="AB516" s="118"/>
      <c r="AC516" s="118"/>
      <c r="AD516" s="118"/>
      <c r="AE516" s="118"/>
      <c r="AF516" s="118"/>
      <c r="AG516" s="118"/>
      <c r="AH516" s="26" t="s">
        <v>2037</v>
      </c>
      <c r="AI516" s="26" t="s">
        <v>112</v>
      </c>
      <c r="AJ516" s="26">
        <v>96500</v>
      </c>
      <c r="AK516" s="121" t="str">
        <f t="shared" si="150"/>
        <v/>
      </c>
      <c r="AL516" s="123" t="str">
        <f t="shared" si="148"/>
        <v/>
      </c>
      <c r="AM516" s="21"/>
      <c r="AN516" s="124"/>
      <c r="AO516" s="124"/>
      <c r="AP516" s="124"/>
      <c r="AQ516" s="124" t="s">
        <v>1829</v>
      </c>
      <c r="AR516" s="124"/>
      <c r="AS516" s="124"/>
      <c r="AT516" s="124" t="s">
        <v>2394</v>
      </c>
      <c r="AU516" s="124" t="str">
        <f t="shared" si="151"/>
        <v/>
      </c>
      <c r="AV516" s="124" t="s">
        <v>2792</v>
      </c>
      <c r="AW516" s="117"/>
      <c r="AX516" s="138" t="str">
        <f t="shared" si="146"/>
        <v/>
      </c>
      <c r="AY516" s="31" t="str">
        <f>IF(C516&lt;&gt;"",CREATE_QUERY($D$1,C$2:AW$2,C516:AW516),"")</f>
        <v/>
      </c>
    </row>
    <row r="517" spans="1:51">
      <c r="A517" s="1">
        <v>150</v>
      </c>
      <c r="B517" s="121" t="str">
        <f t="shared" si="147"/>
        <v/>
      </c>
      <c r="C517" s="27" t="str">
        <f t="shared" si="149"/>
        <v/>
      </c>
      <c r="D517" s="121"/>
      <c r="E517" s="21">
        <v>400011</v>
      </c>
      <c r="F517" s="118"/>
      <c r="G517" s="118"/>
      <c r="H517" s="118"/>
      <c r="I517" s="118"/>
      <c r="J517" s="118"/>
      <c r="K517" s="21"/>
      <c r="L517" s="21"/>
      <c r="M517" s="21"/>
      <c r="N517" s="118"/>
      <c r="O517" s="118"/>
      <c r="P517" s="21" t="str">
        <f t="shared" si="155"/>
        <v>0</v>
      </c>
      <c r="Q517" s="21" t="str">
        <f t="shared" si="156"/>
        <v>0</v>
      </c>
      <c r="R517" s="21" t="str">
        <f t="shared" si="157"/>
        <v>0</v>
      </c>
      <c r="S517" s="21" t="str">
        <f t="shared" si="158"/>
        <v>0</v>
      </c>
      <c r="T517" s="21" t="str">
        <f t="shared" si="159"/>
        <v>0</v>
      </c>
      <c r="U517" s="21" t="str">
        <f t="shared" si="160"/>
        <v>0</v>
      </c>
      <c r="V517" s="21" t="str">
        <f t="shared" si="161"/>
        <v>1</v>
      </c>
      <c r="W517" s="21"/>
      <c r="X517" s="21" t="str">
        <f t="shared" si="162"/>
        <v/>
      </c>
      <c r="Y517" s="21" t="str">
        <f t="shared" si="163"/>
        <v/>
      </c>
      <c r="Z517" s="21" t="str">
        <f t="shared" si="164"/>
        <v/>
      </c>
      <c r="AA517" s="118"/>
      <c r="AB517" s="118"/>
      <c r="AC517" s="118"/>
      <c r="AD517" s="118"/>
      <c r="AE517" s="118" t="s">
        <v>51</v>
      </c>
      <c r="AF517" s="118"/>
      <c r="AG517" s="118"/>
      <c r="AH517" s="26" t="s">
        <v>2037</v>
      </c>
      <c r="AI517" s="26" t="s">
        <v>112</v>
      </c>
      <c r="AJ517" s="26">
        <v>96550</v>
      </c>
      <c r="AK517" s="121" t="str">
        <f t="shared" si="150"/>
        <v/>
      </c>
      <c r="AL517" s="123" t="str">
        <f t="shared" si="148"/>
        <v/>
      </c>
      <c r="AM517" s="21"/>
      <c r="AN517" s="124"/>
      <c r="AO517" s="124"/>
      <c r="AP517" s="124"/>
      <c r="AQ517" s="124" t="s">
        <v>1829</v>
      </c>
      <c r="AR517" s="124"/>
      <c r="AS517" s="124"/>
      <c r="AT517" s="124" t="s">
        <v>2394</v>
      </c>
      <c r="AU517" s="124" t="str">
        <f t="shared" si="151"/>
        <v/>
      </c>
      <c r="AV517" s="124" t="s">
        <v>2793</v>
      </c>
      <c r="AW517" s="117"/>
      <c r="AX517" s="138" t="str">
        <f t="shared" ref="AX517:AX580" si="165">IF(C517="","","delete from module_mst where pjt_id = '"&amp;C517&amp;"' and menu_id = '"&amp;E517&amp;"';")</f>
        <v/>
      </c>
      <c r="AY517" s="31" t="str">
        <f>IF(C517&lt;&gt;"",CREATE_QUERY($D$1,C$2:AW$2,C517:AW517),"")</f>
        <v/>
      </c>
    </row>
    <row r="518" spans="1:51">
      <c r="A518" s="1">
        <v>167</v>
      </c>
      <c r="B518" s="121" t="str">
        <f t="shared" ref="B518:B528" si="166">IF(F518="","",IF(AI518="1","",IF(AI518="2","└ ",IF(AI518="3","  └ ",IF(AI518="4","    └ ",IF(AI518="5","        └ ",IF(AI518="6","         └ ",IF(AI518="7"="            └ ",""))))))))&amp;AM518&amp;F518</f>
        <v/>
      </c>
      <c r="C518" s="27" t="str">
        <f t="shared" si="149"/>
        <v/>
      </c>
      <c r="D518" s="121"/>
      <c r="E518" s="21">
        <v>400012</v>
      </c>
      <c r="F518" s="118"/>
      <c r="G518" s="118"/>
      <c r="H518" s="118"/>
      <c r="I518" s="118"/>
      <c r="J518" s="118"/>
      <c r="K518" s="21"/>
      <c r="L518" s="21"/>
      <c r="M518" s="21"/>
      <c r="N518" s="118"/>
      <c r="O518" s="118"/>
      <c r="P518" s="21" t="str">
        <f t="shared" si="155"/>
        <v>0</v>
      </c>
      <c r="Q518" s="21" t="str">
        <f t="shared" si="156"/>
        <v>0</v>
      </c>
      <c r="R518" s="21" t="str">
        <f t="shared" si="157"/>
        <v>0</v>
      </c>
      <c r="S518" s="21" t="str">
        <f t="shared" si="158"/>
        <v>0</v>
      </c>
      <c r="T518" s="21" t="str">
        <f t="shared" si="159"/>
        <v>0</v>
      </c>
      <c r="U518" s="21" t="str">
        <f t="shared" si="160"/>
        <v>0</v>
      </c>
      <c r="V518" s="21" t="str">
        <f t="shared" si="161"/>
        <v>1</v>
      </c>
      <c r="W518" s="21"/>
      <c r="X518" s="21" t="str">
        <f t="shared" si="162"/>
        <v/>
      </c>
      <c r="Y518" s="21" t="str">
        <f t="shared" si="163"/>
        <v/>
      </c>
      <c r="Z518" s="21" t="str">
        <f t="shared" si="164"/>
        <v/>
      </c>
      <c r="AA518" s="118"/>
      <c r="AB518" s="118"/>
      <c r="AC518" s="118"/>
      <c r="AD518" s="118"/>
      <c r="AE518" s="118"/>
      <c r="AF518" s="118"/>
      <c r="AG518" s="118"/>
      <c r="AH518" s="26" t="s">
        <v>2037</v>
      </c>
      <c r="AI518" s="26" t="s">
        <v>112</v>
      </c>
      <c r="AJ518" s="26">
        <v>96600</v>
      </c>
      <c r="AK518" s="121" t="str">
        <f t="shared" si="150"/>
        <v/>
      </c>
      <c r="AL518" s="123" t="str">
        <f t="shared" si="148"/>
        <v/>
      </c>
      <c r="AM518" s="21"/>
      <c r="AN518" s="124"/>
      <c r="AO518" s="124"/>
      <c r="AP518" s="124"/>
      <c r="AQ518" s="124" t="s">
        <v>1829</v>
      </c>
      <c r="AR518" s="124"/>
      <c r="AS518" s="124"/>
      <c r="AT518" s="124" t="s">
        <v>2394</v>
      </c>
      <c r="AU518" s="124" t="str">
        <f t="shared" si="151"/>
        <v/>
      </c>
      <c r="AV518" s="124" t="s">
        <v>2794</v>
      </c>
      <c r="AW518" s="117"/>
      <c r="AX518" s="138" t="str">
        <f t="shared" si="165"/>
        <v/>
      </c>
      <c r="AY518" s="31" t="str">
        <f>IF(C518&lt;&gt;"",CREATE_QUERY($D$1,C$2:AW$2,C518:AW518),"")</f>
        <v/>
      </c>
    </row>
    <row r="519" spans="1:51">
      <c r="A519" s="1">
        <v>150</v>
      </c>
      <c r="B519" s="121" t="str">
        <f t="shared" si="166"/>
        <v/>
      </c>
      <c r="C519" s="27" t="str">
        <f t="shared" si="149"/>
        <v/>
      </c>
      <c r="D519" s="121"/>
      <c r="E519" s="21">
        <v>400013</v>
      </c>
      <c r="F519" s="118"/>
      <c r="G519" s="118"/>
      <c r="H519" s="118"/>
      <c r="I519" s="118"/>
      <c r="J519" s="118"/>
      <c r="K519" s="21"/>
      <c r="L519" s="21"/>
      <c r="M519" s="21"/>
      <c r="N519" s="118"/>
      <c r="O519" s="118"/>
      <c r="P519" s="21" t="str">
        <f t="shared" si="155"/>
        <v>0</v>
      </c>
      <c r="Q519" s="21" t="str">
        <f t="shared" si="156"/>
        <v>0</v>
      </c>
      <c r="R519" s="21" t="str">
        <f t="shared" si="157"/>
        <v>0</v>
      </c>
      <c r="S519" s="21" t="str">
        <f t="shared" si="158"/>
        <v>0</v>
      </c>
      <c r="T519" s="21" t="str">
        <f t="shared" si="159"/>
        <v>0</v>
      </c>
      <c r="U519" s="21" t="str">
        <f t="shared" si="160"/>
        <v>0</v>
      </c>
      <c r="V519" s="21" t="str">
        <f t="shared" si="161"/>
        <v>1</v>
      </c>
      <c r="W519" s="21"/>
      <c r="X519" s="21" t="str">
        <f t="shared" si="162"/>
        <v/>
      </c>
      <c r="Y519" s="21" t="str">
        <f t="shared" si="163"/>
        <v/>
      </c>
      <c r="Z519" s="21" t="str">
        <f t="shared" si="164"/>
        <v/>
      </c>
      <c r="AA519" s="118"/>
      <c r="AB519" s="118"/>
      <c r="AC519" s="118"/>
      <c r="AD519" s="118"/>
      <c r="AE519" s="118" t="s">
        <v>51</v>
      </c>
      <c r="AF519" s="118"/>
      <c r="AG519" s="118"/>
      <c r="AH519" s="26" t="s">
        <v>2037</v>
      </c>
      <c r="AI519" s="26" t="s">
        <v>112</v>
      </c>
      <c r="AJ519" s="26">
        <v>96650</v>
      </c>
      <c r="AK519" s="121" t="str">
        <f t="shared" si="150"/>
        <v/>
      </c>
      <c r="AL519" s="123" t="str">
        <f t="shared" si="148"/>
        <v/>
      </c>
      <c r="AM519" s="21"/>
      <c r="AN519" s="124"/>
      <c r="AO519" s="124"/>
      <c r="AP519" s="124"/>
      <c r="AQ519" s="124" t="s">
        <v>1829</v>
      </c>
      <c r="AR519" s="124"/>
      <c r="AS519" s="124"/>
      <c r="AT519" s="124" t="s">
        <v>2394</v>
      </c>
      <c r="AU519" s="124" t="str">
        <f t="shared" si="151"/>
        <v/>
      </c>
      <c r="AV519" s="124" t="s">
        <v>2795</v>
      </c>
      <c r="AW519" s="117"/>
      <c r="AX519" s="138" t="str">
        <f t="shared" si="165"/>
        <v/>
      </c>
      <c r="AY519" s="31" t="str">
        <f>IF(C519&lt;&gt;"",CREATE_QUERY($D$1,C$2:AW$2,C519:AW519),"")</f>
        <v/>
      </c>
    </row>
    <row r="520" spans="1:51">
      <c r="A520" s="1">
        <v>167</v>
      </c>
      <c r="B520" s="121" t="str">
        <f t="shared" si="166"/>
        <v/>
      </c>
      <c r="C520" s="27" t="str">
        <f t="shared" si="149"/>
        <v/>
      </c>
      <c r="D520" s="121"/>
      <c r="E520" s="21">
        <v>400014</v>
      </c>
      <c r="F520" s="118"/>
      <c r="G520" s="118"/>
      <c r="H520" s="118"/>
      <c r="I520" s="118"/>
      <c r="J520" s="118"/>
      <c r="K520" s="21"/>
      <c r="L520" s="21"/>
      <c r="M520" s="21"/>
      <c r="N520" s="118"/>
      <c r="O520" s="118"/>
      <c r="P520" s="21" t="str">
        <f t="shared" si="155"/>
        <v>0</v>
      </c>
      <c r="Q520" s="21" t="str">
        <f t="shared" si="156"/>
        <v>0</v>
      </c>
      <c r="R520" s="21" t="str">
        <f t="shared" si="157"/>
        <v>0</v>
      </c>
      <c r="S520" s="21" t="str">
        <f t="shared" si="158"/>
        <v>0</v>
      </c>
      <c r="T520" s="21" t="str">
        <f t="shared" si="159"/>
        <v>0</v>
      </c>
      <c r="U520" s="21" t="str">
        <f t="shared" si="160"/>
        <v>0</v>
      </c>
      <c r="V520" s="21" t="str">
        <f t="shared" si="161"/>
        <v>1</v>
      </c>
      <c r="W520" s="21"/>
      <c r="X520" s="21" t="str">
        <f t="shared" si="162"/>
        <v/>
      </c>
      <c r="Y520" s="21" t="str">
        <f t="shared" si="163"/>
        <v/>
      </c>
      <c r="Z520" s="21" t="str">
        <f t="shared" si="164"/>
        <v/>
      </c>
      <c r="AA520" s="118"/>
      <c r="AB520" s="118"/>
      <c r="AC520" s="118"/>
      <c r="AD520" s="118"/>
      <c r="AE520" s="118"/>
      <c r="AF520" s="118"/>
      <c r="AG520" s="118"/>
      <c r="AH520" s="26" t="s">
        <v>2037</v>
      </c>
      <c r="AI520" s="26" t="s">
        <v>112</v>
      </c>
      <c r="AJ520" s="26">
        <v>96700</v>
      </c>
      <c r="AK520" s="121" t="str">
        <f t="shared" si="150"/>
        <v/>
      </c>
      <c r="AL520" s="123" t="str">
        <f t="shared" si="148"/>
        <v/>
      </c>
      <c r="AM520" s="21"/>
      <c r="AN520" s="124"/>
      <c r="AO520" s="124"/>
      <c r="AP520" s="124"/>
      <c r="AQ520" s="124" t="s">
        <v>1829</v>
      </c>
      <c r="AR520" s="124"/>
      <c r="AS520" s="124"/>
      <c r="AT520" s="124" t="s">
        <v>2394</v>
      </c>
      <c r="AU520" s="124" t="str">
        <f t="shared" si="151"/>
        <v/>
      </c>
      <c r="AV520" s="124" t="s">
        <v>2796</v>
      </c>
      <c r="AW520" s="117"/>
      <c r="AX520" s="138" t="str">
        <f t="shared" si="165"/>
        <v/>
      </c>
      <c r="AY520" s="31" t="str">
        <f>IF(C520&lt;&gt;"",CREATE_QUERY($D$1,C$2:AW$2,C520:AW520),"")</f>
        <v/>
      </c>
    </row>
    <row r="521" spans="1:51">
      <c r="A521" s="1">
        <v>175</v>
      </c>
      <c r="B521" s="121" t="str">
        <f t="shared" si="166"/>
        <v/>
      </c>
      <c r="C521" s="27" t="str">
        <f t="shared" si="149"/>
        <v/>
      </c>
      <c r="D521" s="5"/>
      <c r="E521" s="10"/>
      <c r="F521" s="5"/>
      <c r="G521" s="5"/>
      <c r="H521" s="5"/>
      <c r="I521" s="5"/>
      <c r="J521" s="5"/>
      <c r="K521" s="10" t="str">
        <f t="shared" si="152"/>
        <v/>
      </c>
      <c r="L521" s="10">
        <v>1</v>
      </c>
      <c r="M521" s="10" t="str">
        <f t="shared" si="153"/>
        <v>0</v>
      </c>
      <c r="N521" s="5"/>
      <c r="O521" s="5"/>
      <c r="P521" s="27" t="str">
        <f t="shared" si="155"/>
        <v>0</v>
      </c>
      <c r="Q521" s="27" t="str">
        <f t="shared" si="156"/>
        <v>0</v>
      </c>
      <c r="R521" s="27" t="str">
        <f t="shared" si="157"/>
        <v>0</v>
      </c>
      <c r="S521" s="27" t="str">
        <f t="shared" si="158"/>
        <v>0</v>
      </c>
      <c r="T521" s="27" t="str">
        <f t="shared" si="159"/>
        <v>0</v>
      </c>
      <c r="U521" s="27" t="str">
        <f t="shared" si="160"/>
        <v>0</v>
      </c>
      <c r="V521" s="27" t="str">
        <f t="shared" si="161"/>
        <v>1</v>
      </c>
      <c r="W521" s="27"/>
      <c r="X521" s="27" t="str">
        <f t="shared" si="162"/>
        <v/>
      </c>
      <c r="Y521" s="27" t="str">
        <f t="shared" si="163"/>
        <v/>
      </c>
      <c r="Z521" s="27" t="str">
        <f t="shared" si="164"/>
        <v/>
      </c>
      <c r="AA521" s="5"/>
      <c r="AB521" s="5"/>
      <c r="AC521" s="5"/>
      <c r="AD521" s="5"/>
      <c r="AE521" s="5"/>
      <c r="AF521" s="5"/>
      <c r="AG521" s="5"/>
      <c r="AH521" s="27"/>
      <c r="AI521" s="27"/>
      <c r="AJ521" s="27"/>
      <c r="AK521" s="121" t="str">
        <f t="shared" si="150"/>
        <v/>
      </c>
      <c r="AL521" s="6" t="str">
        <f t="shared" si="148"/>
        <v/>
      </c>
      <c r="AM521" s="10"/>
      <c r="AN521" s="63"/>
      <c r="AO521" s="63"/>
      <c r="AP521" s="63"/>
      <c r="AQ521" s="63"/>
      <c r="AR521" s="63"/>
      <c r="AS521" s="63"/>
      <c r="AT521" s="63"/>
      <c r="AU521" s="124" t="str">
        <f t="shared" si="151"/>
        <v/>
      </c>
      <c r="AV521" s="124" t="s">
        <v>2797</v>
      </c>
      <c r="AW521" s="117"/>
      <c r="AX521" s="138" t="str">
        <f t="shared" si="165"/>
        <v/>
      </c>
      <c r="AY521" s="31" t="str">
        <f>IF(C521&lt;&gt;"",CREATE_QUERY($D$1,C$2:AW$2,C521:AW521),"")</f>
        <v/>
      </c>
    </row>
    <row r="522" spans="1:51">
      <c r="A522" s="1">
        <v>176</v>
      </c>
      <c r="B522" s="121" t="str">
        <f t="shared" si="166"/>
        <v/>
      </c>
      <c r="C522" s="27" t="str">
        <f t="shared" si="149"/>
        <v/>
      </c>
      <c r="D522" s="5"/>
      <c r="E522" s="10"/>
      <c r="F522" s="5"/>
      <c r="G522" s="5"/>
      <c r="H522" s="5"/>
      <c r="I522" s="5"/>
      <c r="J522" s="5"/>
      <c r="K522" s="10" t="str">
        <f t="shared" si="152"/>
        <v/>
      </c>
      <c r="L522" s="10">
        <v>1</v>
      </c>
      <c r="M522" s="10" t="str">
        <f t="shared" si="153"/>
        <v>0</v>
      </c>
      <c r="N522" s="5"/>
      <c r="O522" s="5"/>
      <c r="P522" s="27" t="str">
        <f t="shared" si="155"/>
        <v>0</v>
      </c>
      <c r="Q522" s="27" t="str">
        <f t="shared" si="156"/>
        <v>0</v>
      </c>
      <c r="R522" s="27" t="str">
        <f t="shared" si="157"/>
        <v>0</v>
      </c>
      <c r="S522" s="27" t="str">
        <f t="shared" si="158"/>
        <v>0</v>
      </c>
      <c r="T522" s="27" t="str">
        <f t="shared" si="159"/>
        <v>0</v>
      </c>
      <c r="U522" s="27" t="str">
        <f t="shared" si="160"/>
        <v>0</v>
      </c>
      <c r="V522" s="27" t="str">
        <f t="shared" si="161"/>
        <v>1</v>
      </c>
      <c r="W522" s="27"/>
      <c r="X522" s="27" t="str">
        <f t="shared" si="162"/>
        <v/>
      </c>
      <c r="Y522" s="27" t="str">
        <f t="shared" si="163"/>
        <v/>
      </c>
      <c r="Z522" s="27" t="str">
        <f t="shared" si="164"/>
        <v/>
      </c>
      <c r="AA522" s="5"/>
      <c r="AB522" s="5"/>
      <c r="AC522" s="5"/>
      <c r="AD522" s="5"/>
      <c r="AE522" s="5"/>
      <c r="AF522" s="5"/>
      <c r="AG522" s="5"/>
      <c r="AH522" s="27"/>
      <c r="AI522" s="27"/>
      <c r="AJ522" s="27"/>
      <c r="AK522" s="121" t="str">
        <f t="shared" si="150"/>
        <v/>
      </c>
      <c r="AL522" s="6" t="str">
        <f t="shared" si="148"/>
        <v/>
      </c>
      <c r="AM522" s="10"/>
      <c r="AN522" s="63"/>
      <c r="AO522" s="63"/>
      <c r="AP522" s="63"/>
      <c r="AQ522" s="63"/>
      <c r="AR522" s="63"/>
      <c r="AS522" s="63"/>
      <c r="AT522" s="63"/>
      <c r="AU522" s="124" t="str">
        <f t="shared" si="151"/>
        <v/>
      </c>
      <c r="AV522" s="124" t="s">
        <v>2798</v>
      </c>
      <c r="AW522" s="117"/>
      <c r="AX522" s="138" t="str">
        <f t="shared" si="165"/>
        <v/>
      </c>
      <c r="AY522" s="31" t="str">
        <f>IF(C522&lt;&gt;"",CREATE_QUERY($D$1,C$2:AW$2,C522:AW522),"")</f>
        <v/>
      </c>
    </row>
    <row r="523" spans="1:51">
      <c r="A523" s="1">
        <v>177</v>
      </c>
      <c r="B523" s="121" t="str">
        <f t="shared" si="166"/>
        <v/>
      </c>
      <c r="C523" s="27" t="str">
        <f t="shared" si="149"/>
        <v/>
      </c>
      <c r="D523" s="5"/>
      <c r="E523" s="10"/>
      <c r="F523" s="5"/>
      <c r="G523" s="5"/>
      <c r="H523" s="5"/>
      <c r="I523" s="5"/>
      <c r="J523" s="5"/>
      <c r="K523" s="10" t="str">
        <f t="shared" si="152"/>
        <v/>
      </c>
      <c r="L523" s="10">
        <v>1</v>
      </c>
      <c r="M523" s="10" t="str">
        <f t="shared" si="153"/>
        <v>0</v>
      </c>
      <c r="N523" s="5"/>
      <c r="O523" s="5"/>
      <c r="P523" s="27" t="str">
        <f t="shared" si="155"/>
        <v>0</v>
      </c>
      <c r="Q523" s="27" t="str">
        <f t="shared" si="156"/>
        <v>0</v>
      </c>
      <c r="R523" s="27" t="str">
        <f t="shared" si="157"/>
        <v>0</v>
      </c>
      <c r="S523" s="27" t="str">
        <f t="shared" si="158"/>
        <v>0</v>
      </c>
      <c r="T523" s="27" t="str">
        <f t="shared" si="159"/>
        <v>0</v>
      </c>
      <c r="U523" s="27" t="str">
        <f t="shared" si="160"/>
        <v>0</v>
      </c>
      <c r="V523" s="27" t="str">
        <f t="shared" si="161"/>
        <v>1</v>
      </c>
      <c r="W523" s="27"/>
      <c r="X523" s="27" t="str">
        <f t="shared" si="162"/>
        <v/>
      </c>
      <c r="Y523" s="27" t="str">
        <f t="shared" si="163"/>
        <v/>
      </c>
      <c r="Z523" s="27" t="str">
        <f t="shared" si="164"/>
        <v/>
      </c>
      <c r="AA523" s="5"/>
      <c r="AB523" s="5"/>
      <c r="AC523" s="5"/>
      <c r="AD523" s="5"/>
      <c r="AE523" s="5"/>
      <c r="AF523" s="5"/>
      <c r="AG523" s="5"/>
      <c r="AH523" s="27"/>
      <c r="AI523" s="27"/>
      <c r="AJ523" s="27"/>
      <c r="AK523" s="121" t="str">
        <f t="shared" si="150"/>
        <v/>
      </c>
      <c r="AL523" s="6" t="str">
        <f t="shared" si="148"/>
        <v/>
      </c>
      <c r="AM523" s="10"/>
      <c r="AN523" s="63"/>
      <c r="AO523" s="63"/>
      <c r="AP523" s="63"/>
      <c r="AQ523" s="63"/>
      <c r="AR523" s="63"/>
      <c r="AS523" s="63"/>
      <c r="AT523" s="63"/>
      <c r="AU523" s="124" t="str">
        <f t="shared" si="151"/>
        <v/>
      </c>
      <c r="AV523" s="124" t="s">
        <v>2799</v>
      </c>
      <c r="AW523" s="117"/>
      <c r="AX523" s="138" t="str">
        <f t="shared" si="165"/>
        <v/>
      </c>
      <c r="AY523" s="31" t="str">
        <f>IF(C523&lt;&gt;"",CREATE_QUERY($D$1,C$2:AW$2,C523:AW523),"")</f>
        <v/>
      </c>
    </row>
    <row r="524" spans="1:51">
      <c r="A524" s="1">
        <v>178</v>
      </c>
      <c r="B524" s="121" t="str">
        <f t="shared" si="166"/>
        <v/>
      </c>
      <c r="C524" s="27" t="str">
        <f t="shared" si="149"/>
        <v/>
      </c>
      <c r="D524" s="5"/>
      <c r="E524" s="10"/>
      <c r="F524" s="5"/>
      <c r="G524" s="5"/>
      <c r="H524" s="5"/>
      <c r="I524" s="5"/>
      <c r="J524" s="5"/>
      <c r="K524" s="10" t="str">
        <f t="shared" si="152"/>
        <v/>
      </c>
      <c r="L524" s="10">
        <v>1</v>
      </c>
      <c r="M524" s="10" t="str">
        <f t="shared" si="153"/>
        <v>0</v>
      </c>
      <c r="N524" s="5"/>
      <c r="O524" s="5"/>
      <c r="P524" s="27" t="str">
        <f t="shared" si="155"/>
        <v>0</v>
      </c>
      <c r="Q524" s="27" t="str">
        <f t="shared" si="156"/>
        <v>0</v>
      </c>
      <c r="R524" s="27" t="str">
        <f t="shared" si="157"/>
        <v>0</v>
      </c>
      <c r="S524" s="27" t="str">
        <f t="shared" si="158"/>
        <v>0</v>
      </c>
      <c r="T524" s="27" t="str">
        <f t="shared" si="159"/>
        <v>0</v>
      </c>
      <c r="U524" s="27" t="str">
        <f t="shared" si="160"/>
        <v>0</v>
      </c>
      <c r="V524" s="27" t="str">
        <f t="shared" si="161"/>
        <v>1</v>
      </c>
      <c r="W524" s="27"/>
      <c r="X524" s="27" t="str">
        <f t="shared" si="162"/>
        <v/>
      </c>
      <c r="Y524" s="27" t="str">
        <f t="shared" si="163"/>
        <v/>
      </c>
      <c r="Z524" s="27" t="str">
        <f t="shared" si="164"/>
        <v/>
      </c>
      <c r="AA524" s="5"/>
      <c r="AB524" s="5"/>
      <c r="AC524" s="5"/>
      <c r="AD524" s="5"/>
      <c r="AE524" s="5"/>
      <c r="AF524" s="5"/>
      <c r="AG524" s="5"/>
      <c r="AH524" s="27"/>
      <c r="AI524" s="27"/>
      <c r="AJ524" s="27"/>
      <c r="AK524" s="121" t="str">
        <f t="shared" si="150"/>
        <v/>
      </c>
      <c r="AL524" s="6" t="str">
        <f t="shared" si="148"/>
        <v/>
      </c>
      <c r="AM524" s="10"/>
      <c r="AN524" s="63"/>
      <c r="AO524" s="63"/>
      <c r="AP524" s="63"/>
      <c r="AQ524" s="63"/>
      <c r="AR524" s="63"/>
      <c r="AS524" s="63"/>
      <c r="AT524" s="63"/>
      <c r="AU524" s="124" t="str">
        <f t="shared" si="151"/>
        <v/>
      </c>
      <c r="AV524" s="124" t="s">
        <v>2800</v>
      </c>
      <c r="AW524" s="117"/>
      <c r="AX524" s="138" t="str">
        <f t="shared" si="165"/>
        <v/>
      </c>
      <c r="AY524" s="31" t="str">
        <f>IF(C524&lt;&gt;"",CREATE_QUERY($D$1,C$2:AW$2,C524:AW524),"")</f>
        <v/>
      </c>
    </row>
    <row r="525" spans="1:51">
      <c r="A525" s="1">
        <v>179</v>
      </c>
      <c r="B525" s="121" t="str">
        <f t="shared" si="166"/>
        <v/>
      </c>
      <c r="C525" s="27" t="str">
        <f t="shared" si="149"/>
        <v/>
      </c>
      <c r="D525" s="5"/>
      <c r="E525" s="10"/>
      <c r="F525" s="5"/>
      <c r="G525" s="5"/>
      <c r="H525" s="5"/>
      <c r="I525" s="5"/>
      <c r="J525" s="5"/>
      <c r="K525" s="10" t="str">
        <f t="shared" si="152"/>
        <v/>
      </c>
      <c r="L525" s="10">
        <v>1</v>
      </c>
      <c r="M525" s="10" t="str">
        <f t="shared" si="153"/>
        <v>0</v>
      </c>
      <c r="N525" s="5"/>
      <c r="O525" s="5"/>
      <c r="P525" s="27" t="str">
        <f t="shared" si="155"/>
        <v>0</v>
      </c>
      <c r="Q525" s="27" t="str">
        <f t="shared" si="156"/>
        <v>0</v>
      </c>
      <c r="R525" s="27" t="str">
        <f t="shared" si="157"/>
        <v>0</v>
      </c>
      <c r="S525" s="27" t="str">
        <f t="shared" si="158"/>
        <v>0</v>
      </c>
      <c r="T525" s="27" t="str">
        <f t="shared" si="159"/>
        <v>0</v>
      </c>
      <c r="U525" s="27" t="str">
        <f t="shared" si="160"/>
        <v>0</v>
      </c>
      <c r="V525" s="27" t="str">
        <f t="shared" si="161"/>
        <v>1</v>
      </c>
      <c r="W525" s="27"/>
      <c r="X525" s="27" t="str">
        <f t="shared" si="162"/>
        <v/>
      </c>
      <c r="Y525" s="27" t="str">
        <f t="shared" si="163"/>
        <v/>
      </c>
      <c r="Z525" s="27" t="str">
        <f t="shared" si="164"/>
        <v/>
      </c>
      <c r="AA525" s="5"/>
      <c r="AB525" s="5"/>
      <c r="AC525" s="5"/>
      <c r="AD525" s="5"/>
      <c r="AE525" s="5"/>
      <c r="AF525" s="5"/>
      <c r="AG525" s="5"/>
      <c r="AH525" s="27"/>
      <c r="AI525" s="27"/>
      <c r="AJ525" s="27"/>
      <c r="AK525" s="121" t="str">
        <f t="shared" si="150"/>
        <v/>
      </c>
      <c r="AL525" s="6" t="str">
        <f t="shared" si="148"/>
        <v/>
      </c>
      <c r="AM525" s="10"/>
      <c r="AN525" s="63"/>
      <c r="AO525" s="63"/>
      <c r="AP525" s="63"/>
      <c r="AQ525" s="63"/>
      <c r="AR525" s="63"/>
      <c r="AS525" s="63"/>
      <c r="AT525" s="63"/>
      <c r="AU525" s="124" t="str">
        <f t="shared" si="151"/>
        <v/>
      </c>
      <c r="AV525" s="124" t="s">
        <v>2801</v>
      </c>
      <c r="AW525" s="117"/>
      <c r="AX525" s="138" t="str">
        <f t="shared" si="165"/>
        <v/>
      </c>
      <c r="AY525" s="31" t="str">
        <f>IF(C525&lt;&gt;"",CREATE_QUERY($D$1,C$2:AW$2,C525:AW525),"")</f>
        <v/>
      </c>
    </row>
    <row r="526" spans="1:51">
      <c r="A526" s="1">
        <v>180</v>
      </c>
      <c r="B526" s="121" t="str">
        <f t="shared" si="166"/>
        <v/>
      </c>
      <c r="C526" s="27" t="str">
        <f t="shared" si="149"/>
        <v/>
      </c>
      <c r="D526" s="5"/>
      <c r="E526" s="10"/>
      <c r="F526" s="5"/>
      <c r="G526" s="5"/>
      <c r="H526" s="5"/>
      <c r="I526" s="5"/>
      <c r="J526" s="5"/>
      <c r="K526" s="10" t="str">
        <f t="shared" si="152"/>
        <v/>
      </c>
      <c r="L526" s="10">
        <v>1</v>
      </c>
      <c r="M526" s="10" t="str">
        <f t="shared" si="153"/>
        <v>0</v>
      </c>
      <c r="N526" s="5"/>
      <c r="O526" s="5"/>
      <c r="P526" s="27" t="str">
        <f t="shared" si="155"/>
        <v>0</v>
      </c>
      <c r="Q526" s="27" t="str">
        <f t="shared" si="156"/>
        <v>0</v>
      </c>
      <c r="R526" s="27" t="str">
        <f t="shared" si="157"/>
        <v>0</v>
      </c>
      <c r="S526" s="27" t="str">
        <f t="shared" si="158"/>
        <v>0</v>
      </c>
      <c r="T526" s="27" t="str">
        <f t="shared" si="159"/>
        <v>0</v>
      </c>
      <c r="U526" s="27" t="str">
        <f t="shared" si="160"/>
        <v>0</v>
      </c>
      <c r="V526" s="27" t="str">
        <f t="shared" si="161"/>
        <v>1</v>
      </c>
      <c r="W526" s="27"/>
      <c r="X526" s="27" t="str">
        <f t="shared" si="162"/>
        <v/>
      </c>
      <c r="Y526" s="27" t="str">
        <f t="shared" si="163"/>
        <v/>
      </c>
      <c r="Z526" s="27" t="str">
        <f t="shared" si="164"/>
        <v/>
      </c>
      <c r="AA526" s="5"/>
      <c r="AB526" s="5"/>
      <c r="AC526" s="5"/>
      <c r="AD526" s="5"/>
      <c r="AE526" s="5"/>
      <c r="AF526" s="5"/>
      <c r="AG526" s="5"/>
      <c r="AH526" s="27"/>
      <c r="AI526" s="27"/>
      <c r="AJ526" s="27"/>
      <c r="AK526" s="121" t="str">
        <f t="shared" si="150"/>
        <v/>
      </c>
      <c r="AL526" s="6" t="str">
        <f t="shared" si="148"/>
        <v/>
      </c>
      <c r="AM526" s="10"/>
      <c r="AN526" s="63"/>
      <c r="AO526" s="63"/>
      <c r="AP526" s="63"/>
      <c r="AQ526" s="63"/>
      <c r="AR526" s="63"/>
      <c r="AS526" s="63"/>
      <c r="AT526" s="63"/>
      <c r="AU526" s="124" t="str">
        <f t="shared" si="151"/>
        <v/>
      </c>
      <c r="AV526" s="124" t="s">
        <v>2802</v>
      </c>
      <c r="AW526" s="117"/>
      <c r="AX526" s="138" t="str">
        <f t="shared" si="165"/>
        <v/>
      </c>
      <c r="AY526" s="31" t="str">
        <f>IF(C526&lt;&gt;"",CREATE_QUERY($D$1,C$2:AW$2,C526:AW526),"")</f>
        <v/>
      </c>
    </row>
    <row r="527" spans="1:51">
      <c r="A527" s="1">
        <v>181</v>
      </c>
      <c r="B527" s="121" t="str">
        <f t="shared" si="166"/>
        <v/>
      </c>
      <c r="C527" s="27" t="str">
        <f t="shared" si="149"/>
        <v/>
      </c>
      <c r="D527" s="5"/>
      <c r="E527" s="10"/>
      <c r="F527" s="5"/>
      <c r="G527" s="5"/>
      <c r="H527" s="5"/>
      <c r="I527" s="5"/>
      <c r="J527" s="5"/>
      <c r="K527" s="10" t="str">
        <f t="shared" si="152"/>
        <v/>
      </c>
      <c r="L527" s="10">
        <v>1</v>
      </c>
      <c r="M527" s="10" t="str">
        <f t="shared" si="153"/>
        <v>0</v>
      </c>
      <c r="N527" s="5"/>
      <c r="O527" s="5"/>
      <c r="P527" s="27" t="str">
        <f t="shared" si="155"/>
        <v>0</v>
      </c>
      <c r="Q527" s="27" t="str">
        <f t="shared" si="156"/>
        <v>0</v>
      </c>
      <c r="R527" s="27" t="str">
        <f t="shared" si="157"/>
        <v>0</v>
      </c>
      <c r="S527" s="27" t="str">
        <f t="shared" si="158"/>
        <v>0</v>
      </c>
      <c r="T527" s="27" t="str">
        <f t="shared" si="159"/>
        <v>0</v>
      </c>
      <c r="U527" s="27" t="str">
        <f t="shared" si="160"/>
        <v>0</v>
      </c>
      <c r="V527" s="27" t="str">
        <f t="shared" si="161"/>
        <v>1</v>
      </c>
      <c r="W527" s="27"/>
      <c r="X527" s="27" t="str">
        <f t="shared" si="162"/>
        <v/>
      </c>
      <c r="Y527" s="27" t="str">
        <f t="shared" si="163"/>
        <v/>
      </c>
      <c r="Z527" s="27" t="str">
        <f t="shared" si="164"/>
        <v/>
      </c>
      <c r="AA527" s="5"/>
      <c r="AB527" s="5"/>
      <c r="AC527" s="5"/>
      <c r="AD527" s="5"/>
      <c r="AE527" s="5"/>
      <c r="AF527" s="5"/>
      <c r="AG527" s="5"/>
      <c r="AH527" s="27"/>
      <c r="AI527" s="27"/>
      <c r="AJ527" s="27"/>
      <c r="AK527" s="121" t="str">
        <f t="shared" si="150"/>
        <v/>
      </c>
      <c r="AL527" s="6" t="str">
        <f t="shared" si="148"/>
        <v/>
      </c>
      <c r="AM527" s="10"/>
      <c r="AN527" s="63"/>
      <c r="AO527" s="63"/>
      <c r="AP527" s="63"/>
      <c r="AQ527" s="63"/>
      <c r="AR527" s="63"/>
      <c r="AS527" s="63"/>
      <c r="AT527" s="63"/>
      <c r="AU527" s="124" t="str">
        <f t="shared" si="151"/>
        <v/>
      </c>
      <c r="AV527" s="124" t="s">
        <v>2803</v>
      </c>
      <c r="AW527" s="117"/>
      <c r="AX527" s="138" t="str">
        <f t="shared" si="165"/>
        <v/>
      </c>
      <c r="AY527" s="31" t="str">
        <f>IF(C527&lt;&gt;"",CREATE_QUERY($D$1,C$2:AW$2,C527:AW527),"")</f>
        <v/>
      </c>
    </row>
    <row r="528" spans="1:51">
      <c r="A528" s="1">
        <v>182</v>
      </c>
      <c r="B528" s="121" t="str">
        <f t="shared" si="166"/>
        <v/>
      </c>
      <c r="C528" s="27" t="str">
        <f t="shared" si="149"/>
        <v/>
      </c>
      <c r="D528" s="5"/>
      <c r="E528" s="10"/>
      <c r="F528" s="5"/>
      <c r="G528" s="5"/>
      <c r="H528" s="5"/>
      <c r="I528" s="5"/>
      <c r="J528" s="5"/>
      <c r="K528" s="10" t="str">
        <f t="shared" si="152"/>
        <v/>
      </c>
      <c r="L528" s="10">
        <v>1</v>
      </c>
      <c r="M528" s="10" t="str">
        <f t="shared" si="153"/>
        <v>0</v>
      </c>
      <c r="N528" s="5"/>
      <c r="O528" s="5"/>
      <c r="P528" s="27" t="str">
        <f t="shared" si="155"/>
        <v>0</v>
      </c>
      <c r="Q528" s="27" t="str">
        <f t="shared" si="156"/>
        <v>0</v>
      </c>
      <c r="R528" s="27" t="str">
        <f t="shared" si="157"/>
        <v>0</v>
      </c>
      <c r="S528" s="27" t="str">
        <f t="shared" si="158"/>
        <v>0</v>
      </c>
      <c r="T528" s="27" t="str">
        <f t="shared" si="159"/>
        <v>0</v>
      </c>
      <c r="U528" s="27" t="str">
        <f t="shared" si="160"/>
        <v>0</v>
      </c>
      <c r="V528" s="27" t="str">
        <f t="shared" si="161"/>
        <v>1</v>
      </c>
      <c r="W528" s="27"/>
      <c r="X528" s="27" t="str">
        <f t="shared" si="162"/>
        <v/>
      </c>
      <c r="Y528" s="27" t="str">
        <f t="shared" si="163"/>
        <v/>
      </c>
      <c r="Z528" s="27" t="str">
        <f t="shared" si="164"/>
        <v/>
      </c>
      <c r="AA528" s="5"/>
      <c r="AB528" s="5"/>
      <c r="AC528" s="5"/>
      <c r="AD528" s="5"/>
      <c r="AE528" s="5"/>
      <c r="AF528" s="5"/>
      <c r="AG528" s="5"/>
      <c r="AH528" s="27"/>
      <c r="AI528" s="27"/>
      <c r="AJ528" s="27"/>
      <c r="AK528" s="121" t="str">
        <f t="shared" si="150"/>
        <v/>
      </c>
      <c r="AL528" s="6" t="str">
        <f t="shared" si="148"/>
        <v/>
      </c>
      <c r="AM528" s="10"/>
      <c r="AN528" s="63"/>
      <c r="AO528" s="63"/>
      <c r="AP528" s="63"/>
      <c r="AQ528" s="63"/>
      <c r="AR528" s="63"/>
      <c r="AS528" s="63"/>
      <c r="AT528" s="63"/>
      <c r="AU528" s="124" t="str">
        <f t="shared" si="151"/>
        <v/>
      </c>
      <c r="AV528" s="124" t="s">
        <v>2804</v>
      </c>
      <c r="AW528" s="117"/>
      <c r="AX528" s="138" t="str">
        <f t="shared" si="165"/>
        <v/>
      </c>
      <c r="AY528" s="31" t="str">
        <f>IF(C528&lt;&gt;"",CREATE_QUERY($D$1,C$2:AW$2,C528:AW528),"")</f>
        <v/>
      </c>
    </row>
    <row r="529" spans="1:51">
      <c r="A529" s="1">
        <v>183</v>
      </c>
      <c r="B529" s="5" t="str">
        <f t="shared" ref="B529:B544" si="167">IF(AI529="","",IF(AI529="1","",IF(AI529="2","└ ",IF(AI529="3","  └ ",IF(AI529="4","    └ ",IF(AI529="5","        └ ",IF(AI529="6","         └ ",IF(AI529="7"="            └ ",""))))))))&amp;AM529&amp;F529</f>
        <v/>
      </c>
      <c r="C529" s="27" t="str">
        <f t="shared" si="149"/>
        <v/>
      </c>
      <c r="D529" s="5"/>
      <c r="E529" s="10"/>
      <c r="F529" s="5"/>
      <c r="G529" s="5"/>
      <c r="H529" s="5"/>
      <c r="I529" s="5"/>
      <c r="J529" s="5"/>
      <c r="K529" s="10" t="str">
        <f t="shared" si="152"/>
        <v/>
      </c>
      <c r="L529" s="10">
        <v>1</v>
      </c>
      <c r="M529" s="10" t="str">
        <f t="shared" si="153"/>
        <v>0</v>
      </c>
      <c r="N529" s="5"/>
      <c r="O529" s="5"/>
      <c r="P529" s="27" t="str">
        <f t="shared" si="155"/>
        <v>0</v>
      </c>
      <c r="Q529" s="27" t="str">
        <f t="shared" si="156"/>
        <v>0</v>
      </c>
      <c r="R529" s="27" t="str">
        <f t="shared" si="157"/>
        <v>0</v>
      </c>
      <c r="S529" s="27" t="str">
        <f t="shared" si="158"/>
        <v>0</v>
      </c>
      <c r="T529" s="27" t="str">
        <f t="shared" si="159"/>
        <v>0</v>
      </c>
      <c r="U529" s="27" t="str">
        <f t="shared" si="160"/>
        <v>0</v>
      </c>
      <c r="V529" s="27" t="str">
        <f t="shared" si="161"/>
        <v>1</v>
      </c>
      <c r="W529" s="27"/>
      <c r="X529" s="27" t="str">
        <f t="shared" si="162"/>
        <v/>
      </c>
      <c r="Y529" s="27" t="str">
        <f t="shared" si="163"/>
        <v/>
      </c>
      <c r="Z529" s="27" t="str">
        <f t="shared" si="164"/>
        <v/>
      </c>
      <c r="AA529" s="5"/>
      <c r="AB529" s="5"/>
      <c r="AC529" s="5"/>
      <c r="AD529" s="5"/>
      <c r="AE529" s="5"/>
      <c r="AF529" s="5"/>
      <c r="AG529" s="5"/>
      <c r="AH529" s="27"/>
      <c r="AI529" s="27"/>
      <c r="AJ529" s="27"/>
      <c r="AK529" s="121" t="str">
        <f t="shared" si="150"/>
        <v/>
      </c>
      <c r="AL529" s="6" t="str">
        <f t="shared" si="148"/>
        <v/>
      </c>
      <c r="AM529" s="10"/>
      <c r="AN529" s="63"/>
      <c r="AO529" s="63"/>
      <c r="AP529" s="63"/>
      <c r="AQ529" s="63"/>
      <c r="AR529" s="63"/>
      <c r="AS529" s="63"/>
      <c r="AT529" s="63"/>
      <c r="AU529" s="124" t="str">
        <f t="shared" si="151"/>
        <v/>
      </c>
      <c r="AV529" s="124" t="s">
        <v>2805</v>
      </c>
      <c r="AW529" s="117"/>
      <c r="AX529" s="138" t="str">
        <f t="shared" si="165"/>
        <v/>
      </c>
      <c r="AY529" s="31" t="str">
        <f>IF(C529&lt;&gt;"",CREATE_QUERY($D$1,C$2:AW$2,C529:AW529),"")</f>
        <v/>
      </c>
    </row>
    <row r="530" spans="1:51">
      <c r="A530" s="1">
        <v>184</v>
      </c>
      <c r="B530" s="5" t="str">
        <f t="shared" si="167"/>
        <v/>
      </c>
      <c r="C530" s="27" t="str">
        <f t="shared" si="149"/>
        <v/>
      </c>
      <c r="D530" s="5"/>
      <c r="E530" s="10"/>
      <c r="F530" s="5"/>
      <c r="G530" s="5"/>
      <c r="H530" s="5"/>
      <c r="I530" s="5"/>
      <c r="J530" s="5"/>
      <c r="K530" s="10" t="str">
        <f t="shared" si="152"/>
        <v/>
      </c>
      <c r="L530" s="10">
        <v>1</v>
      </c>
      <c r="M530" s="10" t="str">
        <f t="shared" si="153"/>
        <v>0</v>
      </c>
      <c r="N530" s="5"/>
      <c r="O530" s="5"/>
      <c r="P530" s="27" t="str">
        <f t="shared" si="155"/>
        <v>0</v>
      </c>
      <c r="Q530" s="27" t="str">
        <f t="shared" si="156"/>
        <v>0</v>
      </c>
      <c r="R530" s="27" t="str">
        <f t="shared" si="157"/>
        <v>0</v>
      </c>
      <c r="S530" s="27" t="str">
        <f t="shared" si="158"/>
        <v>0</v>
      </c>
      <c r="T530" s="27" t="str">
        <f t="shared" si="159"/>
        <v>0</v>
      </c>
      <c r="U530" s="27" t="str">
        <f t="shared" si="160"/>
        <v>0</v>
      </c>
      <c r="V530" s="27" t="str">
        <f t="shared" si="161"/>
        <v>1</v>
      </c>
      <c r="W530" s="27"/>
      <c r="X530" s="27" t="str">
        <f t="shared" si="162"/>
        <v/>
      </c>
      <c r="Y530" s="27" t="str">
        <f t="shared" si="163"/>
        <v/>
      </c>
      <c r="Z530" s="27" t="str">
        <f t="shared" si="164"/>
        <v/>
      </c>
      <c r="AA530" s="5"/>
      <c r="AB530" s="5"/>
      <c r="AC530" s="5"/>
      <c r="AD530" s="5"/>
      <c r="AE530" s="5"/>
      <c r="AF530" s="5"/>
      <c r="AG530" s="5"/>
      <c r="AH530" s="27"/>
      <c r="AI530" s="27"/>
      <c r="AJ530" s="27"/>
      <c r="AK530" s="121" t="str">
        <f t="shared" si="150"/>
        <v/>
      </c>
      <c r="AL530" s="6" t="str">
        <f t="shared" si="148"/>
        <v/>
      </c>
      <c r="AM530" s="10"/>
      <c r="AN530" s="63"/>
      <c r="AO530" s="63"/>
      <c r="AP530" s="63"/>
      <c r="AQ530" s="63"/>
      <c r="AR530" s="63"/>
      <c r="AS530" s="63"/>
      <c r="AT530" s="63"/>
      <c r="AU530" s="124" t="str">
        <f t="shared" si="151"/>
        <v/>
      </c>
      <c r="AV530" s="124" t="s">
        <v>2806</v>
      </c>
      <c r="AW530" s="117"/>
      <c r="AX530" s="138" t="str">
        <f t="shared" si="165"/>
        <v/>
      </c>
      <c r="AY530" s="31" t="str">
        <f>IF(C530&lt;&gt;"",CREATE_QUERY($D$1,C$2:AW$2,C530:AW530),"")</f>
        <v/>
      </c>
    </row>
    <row r="531" spans="1:51">
      <c r="A531" s="1">
        <v>185</v>
      </c>
      <c r="B531" s="5" t="str">
        <f t="shared" si="167"/>
        <v/>
      </c>
      <c r="C531" s="27" t="str">
        <f t="shared" si="149"/>
        <v/>
      </c>
      <c r="D531" s="5"/>
      <c r="E531" s="10"/>
      <c r="F531" s="5"/>
      <c r="G531" s="5"/>
      <c r="H531" s="5"/>
      <c r="I531" s="5"/>
      <c r="J531" s="5"/>
      <c r="K531" s="10" t="str">
        <f t="shared" si="152"/>
        <v/>
      </c>
      <c r="L531" s="10">
        <v>1</v>
      </c>
      <c r="M531" s="10" t="str">
        <f t="shared" si="153"/>
        <v>0</v>
      </c>
      <c r="N531" s="5"/>
      <c r="O531" s="5"/>
      <c r="P531" s="27" t="str">
        <f t="shared" si="155"/>
        <v>0</v>
      </c>
      <c r="Q531" s="27" t="str">
        <f t="shared" si="156"/>
        <v>0</v>
      </c>
      <c r="R531" s="27" t="str">
        <f t="shared" si="157"/>
        <v>0</v>
      </c>
      <c r="S531" s="27" t="str">
        <f t="shared" si="158"/>
        <v>0</v>
      </c>
      <c r="T531" s="27" t="str">
        <f t="shared" si="159"/>
        <v>0</v>
      </c>
      <c r="U531" s="27" t="str">
        <f t="shared" si="160"/>
        <v>0</v>
      </c>
      <c r="V531" s="27" t="str">
        <f t="shared" si="161"/>
        <v>1</v>
      </c>
      <c r="W531" s="27"/>
      <c r="X531" s="27" t="str">
        <f t="shared" si="162"/>
        <v/>
      </c>
      <c r="Y531" s="27" t="str">
        <f t="shared" si="163"/>
        <v/>
      </c>
      <c r="Z531" s="27" t="str">
        <f t="shared" si="164"/>
        <v/>
      </c>
      <c r="AA531" s="5"/>
      <c r="AB531" s="5"/>
      <c r="AC531" s="5"/>
      <c r="AD531" s="5"/>
      <c r="AE531" s="5"/>
      <c r="AF531" s="5"/>
      <c r="AG531" s="5"/>
      <c r="AH531" s="27"/>
      <c r="AI531" s="27"/>
      <c r="AJ531" s="27"/>
      <c r="AK531" s="121" t="str">
        <f t="shared" si="150"/>
        <v/>
      </c>
      <c r="AL531" s="6" t="str">
        <f t="shared" si="148"/>
        <v/>
      </c>
      <c r="AM531" s="10"/>
      <c r="AN531" s="63"/>
      <c r="AO531" s="63"/>
      <c r="AP531" s="63"/>
      <c r="AQ531" s="63"/>
      <c r="AR531" s="63"/>
      <c r="AS531" s="63"/>
      <c r="AT531" s="63"/>
      <c r="AU531" s="124" t="str">
        <f t="shared" si="151"/>
        <v/>
      </c>
      <c r="AV531" s="124" t="s">
        <v>2807</v>
      </c>
      <c r="AW531" s="117"/>
      <c r="AX531" s="138" t="str">
        <f t="shared" si="165"/>
        <v/>
      </c>
      <c r="AY531" s="31" t="str">
        <f>IF(C531&lt;&gt;"",CREATE_QUERY($D$1,C$2:AW$2,C531:AW531),"")</f>
        <v/>
      </c>
    </row>
    <row r="532" spans="1:51">
      <c r="A532" s="1">
        <v>186</v>
      </c>
      <c r="B532" s="5" t="str">
        <f t="shared" si="167"/>
        <v/>
      </c>
      <c r="C532" s="27" t="str">
        <f t="shared" si="149"/>
        <v/>
      </c>
      <c r="D532" s="5"/>
      <c r="E532" s="10"/>
      <c r="F532" s="5"/>
      <c r="G532" s="5"/>
      <c r="H532" s="5"/>
      <c r="I532" s="5"/>
      <c r="J532" s="5"/>
      <c r="K532" s="10" t="str">
        <f t="shared" si="152"/>
        <v/>
      </c>
      <c r="L532" s="10">
        <v>1</v>
      </c>
      <c r="M532" s="10" t="str">
        <f t="shared" si="153"/>
        <v>0</v>
      </c>
      <c r="N532" s="5"/>
      <c r="O532" s="5"/>
      <c r="P532" s="27" t="str">
        <f t="shared" si="155"/>
        <v>0</v>
      </c>
      <c r="Q532" s="27" t="str">
        <f t="shared" si="156"/>
        <v>0</v>
      </c>
      <c r="R532" s="27" t="str">
        <f t="shared" si="157"/>
        <v>0</v>
      </c>
      <c r="S532" s="27" t="str">
        <f t="shared" si="158"/>
        <v>0</v>
      </c>
      <c r="T532" s="27" t="str">
        <f t="shared" si="159"/>
        <v>0</v>
      </c>
      <c r="U532" s="27" t="str">
        <f t="shared" si="160"/>
        <v>0</v>
      </c>
      <c r="V532" s="27" t="str">
        <f t="shared" si="161"/>
        <v>1</v>
      </c>
      <c r="W532" s="27"/>
      <c r="X532" s="27" t="str">
        <f t="shared" si="162"/>
        <v/>
      </c>
      <c r="Y532" s="27" t="str">
        <f t="shared" si="163"/>
        <v/>
      </c>
      <c r="Z532" s="27" t="str">
        <f t="shared" si="164"/>
        <v/>
      </c>
      <c r="AA532" s="5"/>
      <c r="AB532" s="5"/>
      <c r="AC532" s="5"/>
      <c r="AD532" s="5"/>
      <c r="AE532" s="5"/>
      <c r="AF532" s="5"/>
      <c r="AG532" s="5"/>
      <c r="AH532" s="27"/>
      <c r="AI532" s="27"/>
      <c r="AJ532" s="27"/>
      <c r="AK532" s="121" t="str">
        <f t="shared" si="150"/>
        <v/>
      </c>
      <c r="AL532" s="6" t="str">
        <f t="shared" si="148"/>
        <v/>
      </c>
      <c r="AM532" s="10"/>
      <c r="AN532" s="63"/>
      <c r="AO532" s="63"/>
      <c r="AP532" s="63"/>
      <c r="AQ532" s="63"/>
      <c r="AR532" s="63"/>
      <c r="AS532" s="63"/>
      <c r="AT532" s="63"/>
      <c r="AU532" s="124" t="str">
        <f t="shared" si="151"/>
        <v/>
      </c>
      <c r="AV532" s="124" t="s">
        <v>2808</v>
      </c>
      <c r="AW532" s="117"/>
      <c r="AX532" s="138" t="str">
        <f t="shared" si="165"/>
        <v/>
      </c>
      <c r="AY532" s="31" t="str">
        <f>IF(C532&lt;&gt;"",CREATE_QUERY($D$1,C$2:AW$2,C532:AW532),"")</f>
        <v/>
      </c>
    </row>
    <row r="533" spans="1:51">
      <c r="A533" s="1">
        <v>187</v>
      </c>
      <c r="B533" s="5" t="str">
        <f t="shared" si="167"/>
        <v/>
      </c>
      <c r="C533" s="27" t="str">
        <f t="shared" si="149"/>
        <v/>
      </c>
      <c r="D533" s="5"/>
      <c r="E533" s="10"/>
      <c r="F533" s="5"/>
      <c r="G533" s="5"/>
      <c r="H533" s="5"/>
      <c r="I533" s="5"/>
      <c r="J533" s="5"/>
      <c r="K533" s="10" t="str">
        <f t="shared" si="152"/>
        <v/>
      </c>
      <c r="L533" s="10">
        <v>1</v>
      </c>
      <c r="M533" s="10" t="str">
        <f t="shared" si="153"/>
        <v>0</v>
      </c>
      <c r="N533" s="5"/>
      <c r="O533" s="5"/>
      <c r="P533" s="27" t="str">
        <f t="shared" si="155"/>
        <v>0</v>
      </c>
      <c r="Q533" s="27" t="str">
        <f t="shared" si="156"/>
        <v>0</v>
      </c>
      <c r="R533" s="27" t="str">
        <f t="shared" si="157"/>
        <v>0</v>
      </c>
      <c r="S533" s="27" t="str">
        <f t="shared" si="158"/>
        <v>0</v>
      </c>
      <c r="T533" s="27" t="str">
        <f t="shared" si="159"/>
        <v>0</v>
      </c>
      <c r="U533" s="27" t="str">
        <f t="shared" si="160"/>
        <v>0</v>
      </c>
      <c r="V533" s="27" t="str">
        <f t="shared" si="161"/>
        <v>1</v>
      </c>
      <c r="W533" s="27"/>
      <c r="X533" s="27" t="str">
        <f t="shared" si="162"/>
        <v/>
      </c>
      <c r="Y533" s="27" t="str">
        <f t="shared" si="163"/>
        <v/>
      </c>
      <c r="Z533" s="27" t="str">
        <f t="shared" si="164"/>
        <v/>
      </c>
      <c r="AA533" s="5"/>
      <c r="AB533" s="5"/>
      <c r="AC533" s="5"/>
      <c r="AD533" s="5"/>
      <c r="AE533" s="5"/>
      <c r="AF533" s="5"/>
      <c r="AG533" s="5"/>
      <c r="AH533" s="27"/>
      <c r="AI533" s="27"/>
      <c r="AJ533" s="27"/>
      <c r="AK533" s="121" t="str">
        <f t="shared" si="150"/>
        <v/>
      </c>
      <c r="AL533" s="6" t="str">
        <f t="shared" si="148"/>
        <v/>
      </c>
      <c r="AM533" s="10"/>
      <c r="AN533" s="63"/>
      <c r="AO533" s="63"/>
      <c r="AP533" s="63"/>
      <c r="AQ533" s="63"/>
      <c r="AR533" s="63"/>
      <c r="AS533" s="63"/>
      <c r="AT533" s="63"/>
      <c r="AU533" s="124" t="str">
        <f t="shared" si="151"/>
        <v/>
      </c>
      <c r="AV533" s="124" t="s">
        <v>2809</v>
      </c>
      <c r="AW533" s="117"/>
      <c r="AX533" s="138" t="str">
        <f t="shared" si="165"/>
        <v/>
      </c>
      <c r="AY533" s="31" t="str">
        <f>IF(C533&lt;&gt;"",CREATE_QUERY($D$1,C$2:AW$2,C533:AW533),"")</f>
        <v/>
      </c>
    </row>
    <row r="534" spans="1:51">
      <c r="A534" s="1">
        <v>188</v>
      </c>
      <c r="B534" s="5" t="str">
        <f t="shared" si="167"/>
        <v/>
      </c>
      <c r="C534" s="27" t="str">
        <f t="shared" si="149"/>
        <v/>
      </c>
      <c r="D534" s="5"/>
      <c r="E534" s="10"/>
      <c r="F534" s="5"/>
      <c r="G534" s="5"/>
      <c r="H534" s="5"/>
      <c r="I534" s="5"/>
      <c r="J534" s="5"/>
      <c r="K534" s="10" t="str">
        <f t="shared" si="152"/>
        <v/>
      </c>
      <c r="L534" s="10">
        <v>1</v>
      </c>
      <c r="M534" s="10" t="str">
        <f t="shared" si="153"/>
        <v>0</v>
      </c>
      <c r="N534" s="5"/>
      <c r="O534" s="5"/>
      <c r="P534" s="27" t="str">
        <f t="shared" si="155"/>
        <v>0</v>
      </c>
      <c r="Q534" s="27" t="str">
        <f t="shared" si="156"/>
        <v>0</v>
      </c>
      <c r="R534" s="27" t="str">
        <f t="shared" si="157"/>
        <v>0</v>
      </c>
      <c r="S534" s="27" t="str">
        <f t="shared" si="158"/>
        <v>0</v>
      </c>
      <c r="T534" s="27" t="str">
        <f t="shared" si="159"/>
        <v>0</v>
      </c>
      <c r="U534" s="27" t="str">
        <f t="shared" si="160"/>
        <v>0</v>
      </c>
      <c r="V534" s="27" t="str">
        <f t="shared" si="161"/>
        <v>1</v>
      </c>
      <c r="W534" s="27"/>
      <c r="X534" s="27" t="str">
        <f t="shared" si="162"/>
        <v/>
      </c>
      <c r="Y534" s="27" t="str">
        <f t="shared" si="163"/>
        <v/>
      </c>
      <c r="Z534" s="27" t="str">
        <f t="shared" si="164"/>
        <v/>
      </c>
      <c r="AA534" s="5"/>
      <c r="AB534" s="5"/>
      <c r="AC534" s="5"/>
      <c r="AD534" s="5"/>
      <c r="AE534" s="5"/>
      <c r="AF534" s="5"/>
      <c r="AG534" s="5"/>
      <c r="AH534" s="27"/>
      <c r="AI534" s="27"/>
      <c r="AJ534" s="27"/>
      <c r="AK534" s="121" t="str">
        <f t="shared" si="150"/>
        <v/>
      </c>
      <c r="AL534" s="6" t="str">
        <f t="shared" si="148"/>
        <v/>
      </c>
      <c r="AM534" s="10"/>
      <c r="AN534" s="63"/>
      <c r="AO534" s="63"/>
      <c r="AP534" s="63"/>
      <c r="AQ534" s="63"/>
      <c r="AR534" s="63"/>
      <c r="AS534" s="63"/>
      <c r="AT534" s="63"/>
      <c r="AU534" s="124" t="str">
        <f t="shared" si="151"/>
        <v/>
      </c>
      <c r="AV534" s="124" t="s">
        <v>2810</v>
      </c>
      <c r="AW534" s="117"/>
      <c r="AX534" s="138" t="str">
        <f t="shared" si="165"/>
        <v/>
      </c>
      <c r="AY534" s="31" t="str">
        <f>IF(C534&lt;&gt;"",CREATE_QUERY($D$1,C$2:AW$2,C534:AW534),"")</f>
        <v/>
      </c>
    </row>
    <row r="535" spans="1:51">
      <c r="A535" s="1">
        <v>189</v>
      </c>
      <c r="B535" s="5" t="str">
        <f t="shared" si="167"/>
        <v/>
      </c>
      <c r="C535" s="27" t="str">
        <f t="shared" si="149"/>
        <v/>
      </c>
      <c r="D535" s="5"/>
      <c r="E535" s="10"/>
      <c r="F535" s="5"/>
      <c r="G535" s="5"/>
      <c r="H535" s="5"/>
      <c r="I535" s="5"/>
      <c r="J535" s="5"/>
      <c r="K535" s="10"/>
      <c r="L535" s="10"/>
      <c r="M535" s="10"/>
      <c r="N535" s="5"/>
      <c r="O535" s="5"/>
      <c r="P535" s="27" t="str">
        <f t="shared" si="155"/>
        <v>0</v>
      </c>
      <c r="Q535" s="27" t="str">
        <f t="shared" si="156"/>
        <v>0</v>
      </c>
      <c r="R535" s="27" t="str">
        <f t="shared" si="157"/>
        <v>0</v>
      </c>
      <c r="S535" s="27" t="str">
        <f t="shared" si="158"/>
        <v>0</v>
      </c>
      <c r="T535" s="27" t="str">
        <f t="shared" si="159"/>
        <v>0</v>
      </c>
      <c r="U535" s="27" t="str">
        <f t="shared" si="160"/>
        <v>0</v>
      </c>
      <c r="V535" s="27" t="str">
        <f t="shared" si="161"/>
        <v>1</v>
      </c>
      <c r="W535" s="27"/>
      <c r="X535" s="27" t="str">
        <f t="shared" si="162"/>
        <v/>
      </c>
      <c r="Y535" s="27" t="str">
        <f t="shared" si="163"/>
        <v/>
      </c>
      <c r="Z535" s="27" t="str">
        <f t="shared" si="164"/>
        <v/>
      </c>
      <c r="AA535" s="5"/>
      <c r="AB535" s="5"/>
      <c r="AC535" s="5"/>
      <c r="AD535" s="5"/>
      <c r="AE535" s="5"/>
      <c r="AF535" s="5"/>
      <c r="AG535" s="5"/>
      <c r="AH535" s="27"/>
      <c r="AI535" s="27"/>
      <c r="AJ535" s="27"/>
      <c r="AK535" s="121" t="str">
        <f t="shared" si="150"/>
        <v/>
      </c>
      <c r="AL535" s="6" t="str">
        <f t="shared" si="148"/>
        <v/>
      </c>
      <c r="AM535" s="10"/>
      <c r="AN535" s="63"/>
      <c r="AO535" s="63"/>
      <c r="AP535" s="63"/>
      <c r="AQ535" s="63"/>
      <c r="AR535" s="63"/>
      <c r="AS535" s="63"/>
      <c r="AT535" s="63"/>
      <c r="AU535" s="124" t="str">
        <f t="shared" si="151"/>
        <v/>
      </c>
      <c r="AV535" s="124" t="s">
        <v>2811</v>
      </c>
      <c r="AW535" s="117"/>
      <c r="AX535" s="138" t="str">
        <f t="shared" si="165"/>
        <v/>
      </c>
      <c r="AY535" s="31" t="str">
        <f>IF(C535&lt;&gt;"",CREATE_QUERY($D$1,C$2:AW$2,C535:AW535),"")</f>
        <v/>
      </c>
    </row>
    <row r="536" spans="1:51">
      <c r="A536" s="1">
        <v>190</v>
      </c>
      <c r="B536" s="5" t="str">
        <f t="shared" si="167"/>
        <v/>
      </c>
      <c r="C536" s="27" t="str">
        <f t="shared" si="149"/>
        <v/>
      </c>
      <c r="D536" s="5"/>
      <c r="E536" s="10"/>
      <c r="F536" s="5"/>
      <c r="G536" s="5"/>
      <c r="H536" s="5"/>
      <c r="I536" s="5"/>
      <c r="J536" s="5"/>
      <c r="K536" s="10"/>
      <c r="L536" s="10"/>
      <c r="M536" s="10"/>
      <c r="N536" s="5"/>
      <c r="O536" s="5"/>
      <c r="P536" s="27" t="str">
        <f t="shared" si="155"/>
        <v>0</v>
      </c>
      <c r="Q536" s="27" t="str">
        <f t="shared" si="156"/>
        <v>0</v>
      </c>
      <c r="R536" s="27" t="str">
        <f t="shared" si="157"/>
        <v>0</v>
      </c>
      <c r="S536" s="27" t="str">
        <f t="shared" si="158"/>
        <v>0</v>
      </c>
      <c r="T536" s="27" t="str">
        <f t="shared" si="159"/>
        <v>0</v>
      </c>
      <c r="U536" s="27" t="str">
        <f t="shared" si="160"/>
        <v>0</v>
      </c>
      <c r="V536" s="27" t="str">
        <f t="shared" si="161"/>
        <v>1</v>
      </c>
      <c r="W536" s="27"/>
      <c r="X536" s="27" t="str">
        <f t="shared" si="162"/>
        <v/>
      </c>
      <c r="Y536" s="27" t="str">
        <f t="shared" si="163"/>
        <v/>
      </c>
      <c r="Z536" s="27" t="str">
        <f t="shared" si="164"/>
        <v/>
      </c>
      <c r="AA536" s="5"/>
      <c r="AB536" s="5"/>
      <c r="AC536" s="5"/>
      <c r="AD536" s="5"/>
      <c r="AE536" s="5"/>
      <c r="AF536" s="5"/>
      <c r="AG536" s="5"/>
      <c r="AH536" s="27"/>
      <c r="AI536" s="27"/>
      <c r="AJ536" s="27"/>
      <c r="AK536" s="121" t="str">
        <f t="shared" si="150"/>
        <v/>
      </c>
      <c r="AL536" s="6" t="str">
        <f t="shared" si="148"/>
        <v/>
      </c>
      <c r="AM536" s="10"/>
      <c r="AN536" s="63"/>
      <c r="AO536" s="63"/>
      <c r="AP536" s="63"/>
      <c r="AQ536" s="63"/>
      <c r="AR536" s="63"/>
      <c r="AS536" s="63"/>
      <c r="AT536" s="63"/>
      <c r="AU536" s="124" t="str">
        <f t="shared" si="151"/>
        <v/>
      </c>
      <c r="AV536" s="124" t="s">
        <v>2812</v>
      </c>
      <c r="AW536" s="117"/>
      <c r="AX536" s="138" t="str">
        <f t="shared" si="165"/>
        <v/>
      </c>
      <c r="AY536" s="31" t="str">
        <f>IF(C536&lt;&gt;"",CREATE_QUERY($D$1,C$2:AW$2,C536:AW536),"")</f>
        <v/>
      </c>
    </row>
    <row r="537" spans="1:51">
      <c r="A537" s="1">
        <v>191</v>
      </c>
      <c r="B537" s="5" t="str">
        <f t="shared" si="167"/>
        <v/>
      </c>
      <c r="C537" s="27" t="str">
        <f t="shared" si="149"/>
        <v/>
      </c>
      <c r="D537" s="5"/>
      <c r="E537" s="10"/>
      <c r="F537" s="5"/>
      <c r="G537" s="5"/>
      <c r="H537" s="5"/>
      <c r="I537" s="5"/>
      <c r="J537" s="5"/>
      <c r="K537" s="10"/>
      <c r="L537" s="10"/>
      <c r="M537" s="10"/>
      <c r="N537" s="5"/>
      <c r="O537" s="5"/>
      <c r="P537" s="27" t="str">
        <f t="shared" si="155"/>
        <v>0</v>
      </c>
      <c r="Q537" s="27" t="str">
        <f t="shared" si="156"/>
        <v>0</v>
      </c>
      <c r="R537" s="27" t="str">
        <f t="shared" si="157"/>
        <v>0</v>
      </c>
      <c r="S537" s="27" t="str">
        <f t="shared" si="158"/>
        <v>0</v>
      </c>
      <c r="T537" s="27" t="str">
        <f t="shared" si="159"/>
        <v>0</v>
      </c>
      <c r="U537" s="27" t="str">
        <f t="shared" si="160"/>
        <v>0</v>
      </c>
      <c r="V537" s="27" t="str">
        <f t="shared" si="161"/>
        <v>1</v>
      </c>
      <c r="W537" s="27"/>
      <c r="X537" s="27" t="str">
        <f t="shared" si="162"/>
        <v/>
      </c>
      <c r="Y537" s="27" t="str">
        <f t="shared" si="163"/>
        <v/>
      </c>
      <c r="Z537" s="27" t="str">
        <f t="shared" si="164"/>
        <v/>
      </c>
      <c r="AA537" s="5"/>
      <c r="AB537" s="5"/>
      <c r="AC537" s="5"/>
      <c r="AD537" s="5"/>
      <c r="AE537" s="5"/>
      <c r="AF537" s="5"/>
      <c r="AG537" s="5"/>
      <c r="AH537" s="27"/>
      <c r="AI537" s="27"/>
      <c r="AJ537" s="27"/>
      <c r="AK537" s="121" t="str">
        <f t="shared" si="150"/>
        <v/>
      </c>
      <c r="AL537" s="6" t="str">
        <f t="shared" si="148"/>
        <v/>
      </c>
      <c r="AM537" s="10"/>
      <c r="AN537" s="63"/>
      <c r="AO537" s="63"/>
      <c r="AP537" s="63"/>
      <c r="AQ537" s="63"/>
      <c r="AR537" s="63"/>
      <c r="AS537" s="63"/>
      <c r="AT537" s="63"/>
      <c r="AU537" s="124" t="str">
        <f t="shared" si="151"/>
        <v/>
      </c>
      <c r="AV537" s="124" t="s">
        <v>2813</v>
      </c>
      <c r="AW537" s="117"/>
      <c r="AX537" s="138" t="str">
        <f t="shared" si="165"/>
        <v/>
      </c>
      <c r="AY537" s="31" t="str">
        <f>IF(C537&lt;&gt;"",CREATE_QUERY($D$1,C$2:AW$2,C537:AW537),"")</f>
        <v/>
      </c>
    </row>
    <row r="538" spans="1:51">
      <c r="A538" s="1">
        <v>192</v>
      </c>
      <c r="B538" s="5" t="str">
        <f t="shared" si="167"/>
        <v/>
      </c>
      <c r="C538" s="27" t="str">
        <f t="shared" si="149"/>
        <v/>
      </c>
      <c r="D538" s="5"/>
      <c r="E538" s="10"/>
      <c r="F538" s="5"/>
      <c r="G538" s="5"/>
      <c r="H538" s="5"/>
      <c r="I538" s="5"/>
      <c r="J538" s="5"/>
      <c r="K538" s="10"/>
      <c r="L538" s="10"/>
      <c r="M538" s="10"/>
      <c r="N538" s="5"/>
      <c r="O538" s="5"/>
      <c r="P538" s="27" t="str">
        <f t="shared" si="155"/>
        <v>0</v>
      </c>
      <c r="Q538" s="27" t="str">
        <f t="shared" si="156"/>
        <v>0</v>
      </c>
      <c r="R538" s="27" t="str">
        <f t="shared" si="157"/>
        <v>0</v>
      </c>
      <c r="S538" s="27" t="str">
        <f t="shared" si="158"/>
        <v>0</v>
      </c>
      <c r="T538" s="27" t="str">
        <f t="shared" si="159"/>
        <v>0</v>
      </c>
      <c r="U538" s="27" t="str">
        <f t="shared" si="160"/>
        <v>0</v>
      </c>
      <c r="V538" s="27" t="str">
        <f t="shared" si="161"/>
        <v>1</v>
      </c>
      <c r="W538" s="27"/>
      <c r="X538" s="27" t="str">
        <f t="shared" si="162"/>
        <v/>
      </c>
      <c r="Y538" s="27" t="str">
        <f t="shared" si="163"/>
        <v/>
      </c>
      <c r="Z538" s="27" t="str">
        <f t="shared" si="164"/>
        <v/>
      </c>
      <c r="AA538" s="5"/>
      <c r="AB538" s="5"/>
      <c r="AC538" s="5"/>
      <c r="AD538" s="5"/>
      <c r="AE538" s="5"/>
      <c r="AF538" s="5"/>
      <c r="AG538" s="5"/>
      <c r="AH538" s="27"/>
      <c r="AI538" s="27"/>
      <c r="AJ538" s="27"/>
      <c r="AK538" s="121" t="str">
        <f t="shared" si="150"/>
        <v/>
      </c>
      <c r="AL538" s="6" t="str">
        <f t="shared" si="148"/>
        <v/>
      </c>
      <c r="AM538" s="10"/>
      <c r="AN538" s="63"/>
      <c r="AO538" s="63"/>
      <c r="AP538" s="63"/>
      <c r="AQ538" s="63"/>
      <c r="AR538" s="63"/>
      <c r="AS538" s="63"/>
      <c r="AT538" s="63"/>
      <c r="AU538" s="124" t="str">
        <f t="shared" si="151"/>
        <v/>
      </c>
      <c r="AV538" s="124" t="s">
        <v>2814</v>
      </c>
      <c r="AW538" s="117"/>
      <c r="AX538" s="138" t="str">
        <f t="shared" si="165"/>
        <v/>
      </c>
      <c r="AY538" s="31" t="str">
        <f>IF(C538&lt;&gt;"",CREATE_QUERY($D$1,C$2:AW$2,C538:AW538),"")</f>
        <v/>
      </c>
    </row>
    <row r="539" spans="1:51">
      <c r="A539" s="1">
        <v>193</v>
      </c>
      <c r="B539" s="5" t="str">
        <f t="shared" si="167"/>
        <v/>
      </c>
      <c r="C539" s="10" t="str">
        <f t="shared" ref="C539:C602" si="168">IF(E539="","","14821")</f>
        <v/>
      </c>
      <c r="D539" s="5"/>
      <c r="E539" s="10"/>
      <c r="F539" s="5"/>
      <c r="G539" s="5"/>
      <c r="H539" s="5"/>
      <c r="I539" s="5"/>
      <c r="J539" s="5"/>
      <c r="K539" s="10"/>
      <c r="L539" s="10"/>
      <c r="M539" s="10"/>
      <c r="N539" s="5"/>
      <c r="O539" s="5"/>
      <c r="P539" s="27" t="str">
        <f t="shared" si="155"/>
        <v>0</v>
      </c>
      <c r="Q539" s="27" t="str">
        <f t="shared" si="156"/>
        <v>0</v>
      </c>
      <c r="R539" s="27" t="str">
        <f t="shared" si="157"/>
        <v>0</v>
      </c>
      <c r="S539" s="27" t="str">
        <f t="shared" si="158"/>
        <v>0</v>
      </c>
      <c r="T539" s="27" t="str">
        <f t="shared" si="159"/>
        <v>0</v>
      </c>
      <c r="U539" s="27" t="str">
        <f t="shared" si="160"/>
        <v>0</v>
      </c>
      <c r="V539" s="27" t="str">
        <f t="shared" si="161"/>
        <v>1</v>
      </c>
      <c r="W539" s="27"/>
      <c r="X539" s="27" t="str">
        <f t="shared" si="162"/>
        <v/>
      </c>
      <c r="Y539" s="27" t="str">
        <f t="shared" si="163"/>
        <v/>
      </c>
      <c r="Z539" s="27" t="str">
        <f t="shared" si="164"/>
        <v/>
      </c>
      <c r="AA539" s="5"/>
      <c r="AB539" s="5"/>
      <c r="AC539" s="5"/>
      <c r="AD539" s="5"/>
      <c r="AE539" s="5"/>
      <c r="AF539" s="5"/>
      <c r="AG539" s="5"/>
      <c r="AH539" s="27"/>
      <c r="AI539" s="27"/>
      <c r="AJ539" s="27"/>
      <c r="AK539" s="121" t="str">
        <f t="shared" si="150"/>
        <v/>
      </c>
      <c r="AL539" s="6" t="str">
        <f t="shared" si="148"/>
        <v/>
      </c>
      <c r="AM539" s="10"/>
      <c r="AN539" s="63"/>
      <c r="AO539" s="63"/>
      <c r="AP539" s="63"/>
      <c r="AQ539" s="63"/>
      <c r="AR539" s="63"/>
      <c r="AS539" s="63"/>
      <c r="AT539" s="63"/>
      <c r="AU539" s="124" t="str">
        <f t="shared" si="151"/>
        <v/>
      </c>
      <c r="AV539" s="124" t="s">
        <v>2815</v>
      </c>
      <c r="AW539" s="117"/>
      <c r="AX539" s="138" t="str">
        <f t="shared" si="165"/>
        <v/>
      </c>
      <c r="AY539" s="31" t="str">
        <f>IF(C539&lt;&gt;"",CREATE_QUERY($D$1,C$2:AW$2,C539:AW539),"")</f>
        <v/>
      </c>
    </row>
    <row r="540" spans="1:51">
      <c r="A540" s="1">
        <v>194</v>
      </c>
      <c r="B540" s="5" t="str">
        <f t="shared" si="167"/>
        <v/>
      </c>
      <c r="C540" s="10" t="str">
        <f t="shared" si="168"/>
        <v/>
      </c>
      <c r="D540" s="5"/>
      <c r="E540" s="10"/>
      <c r="F540" s="5"/>
      <c r="G540" s="5"/>
      <c r="H540" s="5"/>
      <c r="I540" s="5"/>
      <c r="J540" s="5"/>
      <c r="K540" s="10"/>
      <c r="L540" s="10"/>
      <c r="M540" s="10"/>
      <c r="N540" s="5"/>
      <c r="O540" s="5"/>
      <c r="P540" s="27" t="str">
        <f t="shared" si="155"/>
        <v>0</v>
      </c>
      <c r="Q540" s="27" t="str">
        <f t="shared" si="156"/>
        <v>0</v>
      </c>
      <c r="R540" s="27" t="str">
        <f t="shared" si="157"/>
        <v>0</v>
      </c>
      <c r="S540" s="27" t="str">
        <f t="shared" si="158"/>
        <v>0</v>
      </c>
      <c r="T540" s="27" t="str">
        <f t="shared" si="159"/>
        <v>0</v>
      </c>
      <c r="U540" s="27" t="str">
        <f t="shared" si="160"/>
        <v>0</v>
      </c>
      <c r="V540" s="27" t="str">
        <f t="shared" si="161"/>
        <v>1</v>
      </c>
      <c r="W540" s="27"/>
      <c r="X540" s="27" t="str">
        <f t="shared" si="162"/>
        <v/>
      </c>
      <c r="Y540" s="27" t="str">
        <f t="shared" si="163"/>
        <v/>
      </c>
      <c r="Z540" s="27" t="str">
        <f t="shared" si="164"/>
        <v/>
      </c>
      <c r="AA540" s="5"/>
      <c r="AB540" s="5"/>
      <c r="AC540" s="5"/>
      <c r="AD540" s="5"/>
      <c r="AE540" s="5"/>
      <c r="AF540" s="5"/>
      <c r="AG540" s="5"/>
      <c r="AH540" s="27"/>
      <c r="AI540" s="27"/>
      <c r="AJ540" s="27"/>
      <c r="AK540" s="121" t="str">
        <f t="shared" si="150"/>
        <v/>
      </c>
      <c r="AL540" s="6" t="str">
        <f t="shared" si="148"/>
        <v/>
      </c>
      <c r="AM540" s="10"/>
      <c r="AN540" s="63"/>
      <c r="AO540" s="63"/>
      <c r="AP540" s="63"/>
      <c r="AQ540" s="63"/>
      <c r="AR540" s="63"/>
      <c r="AS540" s="63"/>
      <c r="AT540" s="63"/>
      <c r="AU540" s="124" t="str">
        <f t="shared" si="151"/>
        <v/>
      </c>
      <c r="AV540" s="124" t="s">
        <v>2816</v>
      </c>
      <c r="AW540" s="117"/>
      <c r="AX540" s="138" t="str">
        <f t="shared" si="165"/>
        <v/>
      </c>
      <c r="AY540" s="31" t="str">
        <f>IF(C540&lt;&gt;"",CREATE_QUERY($D$1,C$2:AW$2,C540:AW540),"")</f>
        <v/>
      </c>
    </row>
    <row r="541" spans="1:51">
      <c r="A541" s="1">
        <v>195</v>
      </c>
      <c r="B541" s="5" t="str">
        <f t="shared" si="167"/>
        <v/>
      </c>
      <c r="C541" s="10" t="str">
        <f t="shared" si="168"/>
        <v/>
      </c>
      <c r="D541" s="5"/>
      <c r="E541" s="10"/>
      <c r="F541" s="5"/>
      <c r="G541" s="5"/>
      <c r="H541" s="5"/>
      <c r="I541" s="5"/>
      <c r="J541" s="5"/>
      <c r="K541" s="10"/>
      <c r="L541" s="10"/>
      <c r="M541" s="10"/>
      <c r="N541" s="5"/>
      <c r="O541" s="5"/>
      <c r="P541" s="27" t="str">
        <f t="shared" si="155"/>
        <v>0</v>
      </c>
      <c r="Q541" s="27" t="str">
        <f t="shared" si="156"/>
        <v>0</v>
      </c>
      <c r="R541" s="27" t="str">
        <f t="shared" si="157"/>
        <v>0</v>
      </c>
      <c r="S541" s="27" t="str">
        <f t="shared" si="158"/>
        <v>0</v>
      </c>
      <c r="T541" s="27" t="str">
        <f t="shared" si="159"/>
        <v>0</v>
      </c>
      <c r="U541" s="27" t="str">
        <f t="shared" si="160"/>
        <v>0</v>
      </c>
      <c r="V541" s="27" t="str">
        <f t="shared" si="161"/>
        <v>1</v>
      </c>
      <c r="W541" s="27"/>
      <c r="X541" s="27" t="str">
        <f t="shared" si="162"/>
        <v/>
      </c>
      <c r="Y541" s="27" t="str">
        <f t="shared" si="163"/>
        <v/>
      </c>
      <c r="Z541" s="27" t="str">
        <f t="shared" si="164"/>
        <v/>
      </c>
      <c r="AA541" s="5"/>
      <c r="AB541" s="5"/>
      <c r="AC541" s="5"/>
      <c r="AD541" s="5"/>
      <c r="AE541" s="5"/>
      <c r="AF541" s="5"/>
      <c r="AG541" s="5"/>
      <c r="AH541" s="27"/>
      <c r="AI541" s="27"/>
      <c r="AJ541" s="27"/>
      <c r="AK541" s="121" t="str">
        <f t="shared" si="150"/>
        <v/>
      </c>
      <c r="AL541" s="6" t="str">
        <f t="shared" si="148"/>
        <v/>
      </c>
      <c r="AM541" s="10"/>
      <c r="AN541" s="63"/>
      <c r="AO541" s="63"/>
      <c r="AP541" s="63"/>
      <c r="AQ541" s="63"/>
      <c r="AR541" s="63"/>
      <c r="AS541" s="63"/>
      <c r="AT541" s="63"/>
      <c r="AU541" s="124" t="str">
        <f t="shared" si="151"/>
        <v/>
      </c>
      <c r="AV541" s="124" t="s">
        <v>2817</v>
      </c>
      <c r="AW541" s="117"/>
      <c r="AX541" s="138" t="str">
        <f t="shared" si="165"/>
        <v/>
      </c>
      <c r="AY541" s="31" t="str">
        <f>IF(C541&lt;&gt;"",CREATE_QUERY($D$1,C$2:AW$2,C541:AW541),"")</f>
        <v/>
      </c>
    </row>
    <row r="542" spans="1:51">
      <c r="A542" s="1">
        <v>196</v>
      </c>
      <c r="B542" s="5" t="str">
        <f t="shared" si="167"/>
        <v/>
      </c>
      <c r="C542" s="10" t="str">
        <f t="shared" si="168"/>
        <v/>
      </c>
      <c r="D542" s="5"/>
      <c r="E542" s="10"/>
      <c r="F542" s="5"/>
      <c r="G542" s="5"/>
      <c r="H542" s="5"/>
      <c r="I542" s="5"/>
      <c r="J542" s="5"/>
      <c r="K542" s="10"/>
      <c r="L542" s="10"/>
      <c r="M542" s="10"/>
      <c r="N542" s="5"/>
      <c r="O542" s="5"/>
      <c r="P542" s="27" t="str">
        <f t="shared" si="155"/>
        <v>0</v>
      </c>
      <c r="Q542" s="27" t="str">
        <f t="shared" si="156"/>
        <v>0</v>
      </c>
      <c r="R542" s="27" t="str">
        <f t="shared" si="157"/>
        <v>0</v>
      </c>
      <c r="S542" s="27" t="str">
        <f t="shared" si="158"/>
        <v>0</v>
      </c>
      <c r="T542" s="27" t="str">
        <f t="shared" si="159"/>
        <v>0</v>
      </c>
      <c r="U542" s="27" t="str">
        <f t="shared" si="160"/>
        <v>0</v>
      </c>
      <c r="V542" s="27" t="str">
        <f t="shared" si="161"/>
        <v>1</v>
      </c>
      <c r="W542" s="27"/>
      <c r="X542" s="27" t="str">
        <f t="shared" si="162"/>
        <v/>
      </c>
      <c r="Y542" s="27" t="str">
        <f t="shared" si="163"/>
        <v/>
      </c>
      <c r="Z542" s="27" t="str">
        <f t="shared" si="164"/>
        <v/>
      </c>
      <c r="AA542" s="5"/>
      <c r="AB542" s="5"/>
      <c r="AC542" s="5"/>
      <c r="AD542" s="5"/>
      <c r="AE542" s="5"/>
      <c r="AF542" s="5"/>
      <c r="AG542" s="5"/>
      <c r="AH542" s="27"/>
      <c r="AI542" s="27"/>
      <c r="AJ542" s="27"/>
      <c r="AK542" s="121" t="str">
        <f t="shared" si="150"/>
        <v/>
      </c>
      <c r="AL542" s="6" t="str">
        <f t="shared" si="148"/>
        <v/>
      </c>
      <c r="AM542" s="10"/>
      <c r="AN542" s="63"/>
      <c r="AO542" s="63"/>
      <c r="AP542" s="63"/>
      <c r="AQ542" s="63"/>
      <c r="AR542" s="63"/>
      <c r="AS542" s="63"/>
      <c r="AT542" s="63"/>
      <c r="AU542" s="124" t="str">
        <f t="shared" si="151"/>
        <v/>
      </c>
      <c r="AV542" s="124" t="s">
        <v>2818</v>
      </c>
      <c r="AW542" s="117"/>
      <c r="AX542" s="138" t="str">
        <f t="shared" si="165"/>
        <v/>
      </c>
      <c r="AY542" s="31" t="str">
        <f>IF(C542&lt;&gt;"",CREATE_QUERY($D$1,C$2:AW$2,C542:AW542),"")</f>
        <v/>
      </c>
    </row>
    <row r="543" spans="1:51">
      <c r="A543" s="1">
        <v>197</v>
      </c>
      <c r="B543" s="5" t="str">
        <f t="shared" si="167"/>
        <v/>
      </c>
      <c r="C543" s="10" t="str">
        <f t="shared" si="168"/>
        <v/>
      </c>
      <c r="D543" s="5"/>
      <c r="E543" s="10"/>
      <c r="F543" s="5"/>
      <c r="G543" s="5"/>
      <c r="H543" s="5"/>
      <c r="I543" s="5"/>
      <c r="J543" s="5"/>
      <c r="K543" s="10"/>
      <c r="L543" s="10"/>
      <c r="M543" s="10"/>
      <c r="N543" s="5"/>
      <c r="O543" s="5"/>
      <c r="P543" s="27" t="str">
        <f t="shared" si="155"/>
        <v>0</v>
      </c>
      <c r="Q543" s="27" t="str">
        <f t="shared" si="156"/>
        <v>0</v>
      </c>
      <c r="R543" s="27" t="str">
        <f t="shared" si="157"/>
        <v>0</v>
      </c>
      <c r="S543" s="27" t="str">
        <f t="shared" si="158"/>
        <v>0</v>
      </c>
      <c r="T543" s="27" t="str">
        <f t="shared" si="159"/>
        <v>0</v>
      </c>
      <c r="U543" s="27" t="str">
        <f t="shared" si="160"/>
        <v>0</v>
      </c>
      <c r="V543" s="27" t="str">
        <f t="shared" si="161"/>
        <v>1</v>
      </c>
      <c r="W543" s="27"/>
      <c r="X543" s="27" t="str">
        <f t="shared" si="162"/>
        <v/>
      </c>
      <c r="Y543" s="27" t="str">
        <f t="shared" si="163"/>
        <v/>
      </c>
      <c r="Z543" s="27" t="str">
        <f t="shared" si="164"/>
        <v/>
      </c>
      <c r="AA543" s="5"/>
      <c r="AB543" s="5"/>
      <c r="AC543" s="5"/>
      <c r="AD543" s="5"/>
      <c r="AE543" s="5"/>
      <c r="AF543" s="5"/>
      <c r="AG543" s="5"/>
      <c r="AH543" s="27"/>
      <c r="AI543" s="27"/>
      <c r="AJ543" s="27"/>
      <c r="AK543" s="121" t="str">
        <f t="shared" si="150"/>
        <v/>
      </c>
      <c r="AL543" s="6"/>
      <c r="AM543" s="10"/>
      <c r="AN543" s="63"/>
      <c r="AO543" s="63"/>
      <c r="AP543" s="63"/>
      <c r="AQ543" s="63"/>
      <c r="AR543" s="63"/>
      <c r="AS543" s="63"/>
      <c r="AT543" s="63"/>
      <c r="AU543" s="124" t="str">
        <f t="shared" si="151"/>
        <v/>
      </c>
      <c r="AV543" s="124" t="s">
        <v>2819</v>
      </c>
      <c r="AW543" s="117"/>
      <c r="AX543" s="138" t="str">
        <f t="shared" si="165"/>
        <v/>
      </c>
      <c r="AY543" s="31" t="str">
        <f>IF(C543&lt;&gt;"",CREATE_QUERY($D$1,C$2:AW$2,C543:AW543),"")</f>
        <v/>
      </c>
    </row>
    <row r="544" spans="1:51">
      <c r="A544" s="1">
        <v>198</v>
      </c>
      <c r="B544" s="5" t="str">
        <f t="shared" si="167"/>
        <v/>
      </c>
      <c r="C544" s="10" t="str">
        <f t="shared" si="168"/>
        <v/>
      </c>
      <c r="D544" s="5"/>
      <c r="E544" s="10"/>
      <c r="F544" s="5"/>
      <c r="G544" s="5"/>
      <c r="H544" s="5"/>
      <c r="I544" s="5"/>
      <c r="J544" s="5"/>
      <c r="K544" s="10"/>
      <c r="L544" s="10"/>
      <c r="M544" s="10"/>
      <c r="N544" s="5"/>
      <c r="O544" s="5"/>
      <c r="P544" s="27" t="str">
        <f t="shared" si="155"/>
        <v>0</v>
      </c>
      <c r="Q544" s="27" t="str">
        <f t="shared" si="156"/>
        <v>0</v>
      </c>
      <c r="R544" s="27" t="str">
        <f t="shared" si="157"/>
        <v>0</v>
      </c>
      <c r="S544" s="27" t="str">
        <f t="shared" si="158"/>
        <v>0</v>
      </c>
      <c r="T544" s="27" t="str">
        <f t="shared" si="159"/>
        <v>0</v>
      </c>
      <c r="U544" s="27" t="str">
        <f t="shared" si="160"/>
        <v>0</v>
      </c>
      <c r="V544" s="27" t="str">
        <f t="shared" si="161"/>
        <v>1</v>
      </c>
      <c r="W544" s="27"/>
      <c r="X544" s="27" t="str">
        <f t="shared" si="162"/>
        <v/>
      </c>
      <c r="Y544" s="27" t="str">
        <f t="shared" si="163"/>
        <v/>
      </c>
      <c r="Z544" s="27" t="str">
        <f t="shared" si="164"/>
        <v/>
      </c>
      <c r="AA544" s="5"/>
      <c r="AB544" s="5"/>
      <c r="AC544" s="5"/>
      <c r="AD544" s="5"/>
      <c r="AE544" s="5"/>
      <c r="AF544" s="5"/>
      <c r="AG544" s="5"/>
      <c r="AH544" s="27"/>
      <c r="AI544" s="27"/>
      <c r="AJ544" s="27"/>
      <c r="AK544" s="121" t="e">
        <f>IF(#REF!="","","0")</f>
        <v>#REF!</v>
      </c>
      <c r="AL544" s="6"/>
      <c r="AM544" s="10"/>
      <c r="AN544" s="63"/>
      <c r="AO544" s="63"/>
      <c r="AP544" s="63"/>
      <c r="AQ544" s="63"/>
      <c r="AR544" s="63"/>
      <c r="AS544" s="63"/>
      <c r="AT544" s="63"/>
      <c r="AU544" s="124" t="str">
        <f t="shared" si="151"/>
        <v/>
      </c>
      <c r="AV544" s="124"/>
      <c r="AW544" s="117"/>
      <c r="AX544" s="138" t="str">
        <f t="shared" si="165"/>
        <v/>
      </c>
      <c r="AY544" s="31" t="str">
        <f>IF(C544&lt;&gt;"",CREATE_QUERY($D$1,C$2:AW$2,C544:AW544),"")</f>
        <v/>
      </c>
    </row>
    <row r="545" spans="1:51">
      <c r="A545" s="1">
        <v>210</v>
      </c>
      <c r="B545" s="121" t="str">
        <f>IF(F545="","",IF(AI545="1","",IF(AI545="2","└ ",IF(AI545="3","  └ ",IF(AI545="4","    └ ",IF(AI545="5","        └ ",IF(AI545="6","         └ ",IF(AI545="7"="            └ ",""))))))))&amp;AM545&amp;F545</f>
        <v xml:space="preserve">  └ 성능개선프로젝트</v>
      </c>
      <c r="C545" s="27" t="str">
        <f t="shared" ref="C545:C546" si="169">IF(F545="","","14821")</f>
        <v>14821</v>
      </c>
      <c r="D545" s="121"/>
      <c r="E545" s="24" t="s">
        <v>2414</v>
      </c>
      <c r="F545" s="127" t="s">
        <v>2415</v>
      </c>
      <c r="G545" s="127"/>
      <c r="H545" s="127"/>
      <c r="I545" s="127"/>
      <c r="J545" s="127"/>
      <c r="K545" s="25" t="s">
        <v>49</v>
      </c>
      <c r="L545" s="25" t="s">
        <v>49</v>
      </c>
      <c r="M545" s="25" t="s">
        <v>50</v>
      </c>
      <c r="N545" s="127"/>
      <c r="O545" s="127"/>
      <c r="P545" s="25" t="str">
        <f t="shared" si="155"/>
        <v>0</v>
      </c>
      <c r="Q545" s="25" t="str">
        <f t="shared" si="156"/>
        <v>0</v>
      </c>
      <c r="R545" s="25" t="str">
        <f t="shared" si="157"/>
        <v>0</v>
      </c>
      <c r="S545" s="25" t="str">
        <f t="shared" si="158"/>
        <v>0</v>
      </c>
      <c r="T545" s="25" t="str">
        <f t="shared" si="159"/>
        <v>0</v>
      </c>
      <c r="U545" s="25" t="str">
        <f t="shared" si="160"/>
        <v>0</v>
      </c>
      <c r="V545" s="25" t="str">
        <f t="shared" si="161"/>
        <v>1</v>
      </c>
      <c r="W545" s="25"/>
      <c r="X545" s="25" t="str">
        <f t="shared" si="162"/>
        <v/>
      </c>
      <c r="Y545" s="25" t="str">
        <f t="shared" si="163"/>
        <v/>
      </c>
      <c r="Z545" s="25" t="str">
        <f t="shared" si="164"/>
        <v/>
      </c>
      <c r="AA545" s="127"/>
      <c r="AB545" s="127"/>
      <c r="AC545" s="127"/>
      <c r="AD545" s="127"/>
      <c r="AE545" s="127" t="s">
        <v>51</v>
      </c>
      <c r="AF545" s="127"/>
      <c r="AG545" s="127"/>
      <c r="AH545" s="24" t="s">
        <v>120</v>
      </c>
      <c r="AI545" s="24" t="s">
        <v>111</v>
      </c>
      <c r="AJ545" s="24">
        <v>95000</v>
      </c>
      <c r="AK545" s="121" t="str">
        <f t="shared" si="150"/>
        <v>0</v>
      </c>
      <c r="AL545" s="123" t="str">
        <f t="shared" ref="AL545:AL546" si="170">IF(C545="","",C545&amp;"/"&amp;F545&amp;"/"&amp;N545&amp;"/"&amp;O545)</f>
        <v>14821/성능개선프로젝트//</v>
      </c>
      <c r="AM545" s="24"/>
      <c r="AN545" s="124"/>
      <c r="AO545" s="124"/>
      <c r="AP545" s="124"/>
      <c r="AQ545" s="124" t="s">
        <v>1829</v>
      </c>
      <c r="AR545" s="124"/>
      <c r="AS545" s="124"/>
      <c r="AT545" s="124" t="s">
        <v>1945</v>
      </c>
      <c r="AU545" s="124" t="str">
        <f t="shared" si="151"/>
        <v/>
      </c>
      <c r="AV545" s="124"/>
      <c r="AW545" s="117"/>
      <c r="AX545" s="138" t="str">
        <f t="shared" si="165"/>
        <v>delete from module_mst where pjt_id = '14821' and menu_id = '950000';</v>
      </c>
      <c r="AY545" s="31" t="str">
        <f>IF(C545&lt;&gt;"",CREATE_QUERY($D$1,C$2:AW$2,C545:AW545),"")</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'950000', '성능개선프로젝트', '', '', '', '', '1', '1', '0', '', '', '0', '0', '0', '0', '0', '0', '1', '', '', '', '', '', '', '', '', 'N', '', '', '200000', '3', '95000', '0', '14821/성능개선프로젝트//', '', '', '', '', 'Y', '', '', 'E', '', '');</v>
      </c>
    </row>
    <row r="546" spans="1:51">
      <c r="A546" s="1">
        <v>211</v>
      </c>
      <c r="B546" s="121" t="str">
        <f>IF(F546="","",IF(AI546="1","",IF(AI546="2","└ ",IF(AI546="3","  └ ",IF(AI546="4","    └ ",IF(AI546="5","        └ ",IF(AI546="6","         └ ",IF(AI546="7"="            └ ",""))))))))&amp;AM546&amp;F546</f>
        <v xml:space="preserve">    └ 사용자정보관리</v>
      </c>
      <c r="C546" s="27" t="str">
        <f t="shared" si="169"/>
        <v>14821</v>
      </c>
      <c r="D546" s="121"/>
      <c r="E546" s="21">
        <v>950001</v>
      </c>
      <c r="F546" s="118" t="s">
        <v>2416</v>
      </c>
      <c r="G546" s="118"/>
      <c r="H546" s="118"/>
      <c r="I546" s="118"/>
      <c r="J546" s="118"/>
      <c r="K546" s="21" t="s">
        <v>49</v>
      </c>
      <c r="L546" s="21" t="s">
        <v>49</v>
      </c>
      <c r="M546" s="21">
        <v>1</v>
      </c>
      <c r="N546" s="118" t="s">
        <v>2417</v>
      </c>
      <c r="O546" s="118" t="s">
        <v>2418</v>
      </c>
      <c r="P546" s="21" t="str">
        <f t="shared" si="155"/>
        <v>1</v>
      </c>
      <c r="Q546" s="21" t="str">
        <f t="shared" si="156"/>
        <v>1</v>
      </c>
      <c r="R546" s="21" t="str">
        <f t="shared" si="157"/>
        <v>1</v>
      </c>
      <c r="S546" s="21" t="str">
        <f t="shared" si="158"/>
        <v>1</v>
      </c>
      <c r="T546" s="21" t="str">
        <f t="shared" si="159"/>
        <v>1</v>
      </c>
      <c r="U546" s="21" t="str">
        <f t="shared" si="160"/>
        <v>1</v>
      </c>
      <c r="V546" s="21" t="str">
        <f t="shared" si="161"/>
        <v>1</v>
      </c>
      <c r="W546" s="21"/>
      <c r="X546" s="21" t="str">
        <f t="shared" si="162"/>
        <v>0</v>
      </c>
      <c r="Y546" s="21" t="str">
        <f t="shared" si="163"/>
        <v>0</v>
      </c>
      <c r="Z546" s="21" t="str">
        <f t="shared" si="164"/>
        <v>0</v>
      </c>
      <c r="AA546" s="118"/>
      <c r="AB546" s="118"/>
      <c r="AC546" s="118"/>
      <c r="AD546" s="118"/>
      <c r="AE546" s="118" t="s">
        <v>51</v>
      </c>
      <c r="AF546" s="118"/>
      <c r="AG546" s="118"/>
      <c r="AH546" s="21">
        <v>950000</v>
      </c>
      <c r="AI546" s="26" t="s">
        <v>112</v>
      </c>
      <c r="AJ546" s="26">
        <v>95050</v>
      </c>
      <c r="AK546" s="121" t="str">
        <f t="shared" si="150"/>
        <v/>
      </c>
      <c r="AL546" s="123" t="str">
        <f t="shared" si="170"/>
        <v>14821/사용자정보관리/test/TestUserMast</v>
      </c>
      <c r="AM546" s="21"/>
      <c r="AN546" s="124"/>
      <c r="AO546" s="124"/>
      <c r="AP546" s="124"/>
      <c r="AQ546" s="124" t="s">
        <v>1829</v>
      </c>
      <c r="AR546" s="124"/>
      <c r="AS546" s="124"/>
      <c r="AT546" s="124" t="s">
        <v>1945</v>
      </c>
      <c r="AU546" s="124" t="str">
        <f t="shared" si="151"/>
        <v>E950001</v>
      </c>
      <c r="AV546" s="124" t="s">
        <v>2820</v>
      </c>
      <c r="AW546" s="117" t="s">
        <v>2419</v>
      </c>
      <c r="AX546" s="138" t="str">
        <f t="shared" si="165"/>
        <v>delete from module_mst where pjt_id = '14821' and menu_id = '950001';</v>
      </c>
      <c r="AY546" s="31" t="str">
        <f>IF(C546&lt;&gt;"",CREATE_QUERY($D$1,C$2:AW$2,C546:AW546),"")</f>
        <v>INSERT INTO module_mst(PJT_ID, SITE_ID, MENU_ID, MENU_NM, MENU_NM_ENGLH, MENU_NM_CHI, MENU_NM_JPNS, MENU_NM_ETC, MENU_GB, TREE_EXPN_YN, LAST_MODL_YN, MODL_ID, MODL_NM, INQ_USE_YN, INPT_USE_YN, UPT_USE_YN, DEL_USE_YN, PRT_USE_YN, EXPT_USE_YN, AUTH_GB, BASE_MENU_USE_YN, HQ_USE_YN, DM_USE_YN, BRANCH_USE_YN, DEV_USR_PER, PERF_RT, OLD_VER_MENU, OLD_VER_MENU_NM, admin_use, USR_MEMO, SYS_MEMO, PRNT_ID, ROW_LVL, ROW_ORD, ROW_CLOS, FIND_NM, ADPT_CMPY_NAME, CNTR, BASE, EJAC, PRJT, GNRL, SMLI, CLSS, CHAR_NUMB, PCMT) VALUES ('14821', '', '950001', '사용자정보관리', '', '', '', '', '1', '1', '1', 'test', 'TestUserMast', '1', '1', '1', '1', '1', '1', '1', '', '0', '0', '0', '', '', '', '', 'N', '', '', '950000', '4', '95050', '', '14821/사용자정보관리/test/TestUserMast', '', '', '', '', 'Y', '', '', 'E', 'MES-TD3-951', '개발자 양성을 위한 프로젝트(사용자 정보관리)');</v>
      </c>
    </row>
    <row r="547" spans="1:51">
      <c r="A547" s="1">
        <v>212</v>
      </c>
      <c r="B547" s="5" t="str">
        <f t="shared" ref="B547:B610" si="171">IF(AI547="","",IF(AI547="1","",IF(AI547="2","└ ",IF(AI547="3","  └ ",IF(AI547="4","    └ ",IF(AI547="5","        └ ",IF(AI547="6","         └ ",IF(AI547="7"="            └ ",""))))))))&amp;AM547&amp;F547</f>
        <v/>
      </c>
      <c r="C547" s="10" t="str">
        <f t="shared" si="168"/>
        <v/>
      </c>
      <c r="D547" s="5"/>
      <c r="E547" s="10"/>
      <c r="F547" s="5"/>
      <c r="G547" s="5"/>
      <c r="H547" s="5"/>
      <c r="I547" s="5"/>
      <c r="J547" s="5"/>
      <c r="K547" s="10"/>
      <c r="L547" s="10"/>
      <c r="M547" s="10"/>
      <c r="N547" s="5"/>
      <c r="O547" s="5"/>
      <c r="P547" s="27" t="str">
        <f t="shared" si="155"/>
        <v>0</v>
      </c>
      <c r="Q547" s="27" t="str">
        <f t="shared" si="156"/>
        <v>0</v>
      </c>
      <c r="R547" s="27" t="str">
        <f t="shared" si="157"/>
        <v>0</v>
      </c>
      <c r="S547" s="27" t="str">
        <f t="shared" si="158"/>
        <v>0</v>
      </c>
      <c r="T547" s="27" t="str">
        <f t="shared" si="159"/>
        <v>0</v>
      </c>
      <c r="U547" s="27" t="str">
        <f t="shared" si="160"/>
        <v>0</v>
      </c>
      <c r="V547" s="27" t="str">
        <f t="shared" si="161"/>
        <v>1</v>
      </c>
      <c r="W547" s="27"/>
      <c r="X547" s="27" t="str">
        <f t="shared" si="162"/>
        <v/>
      </c>
      <c r="Y547" s="27" t="str">
        <f t="shared" si="163"/>
        <v/>
      </c>
      <c r="Z547" s="27" t="str">
        <f t="shared" si="164"/>
        <v/>
      </c>
      <c r="AA547" s="5"/>
      <c r="AB547" s="5"/>
      <c r="AC547" s="5"/>
      <c r="AD547" s="5"/>
      <c r="AE547" s="5"/>
      <c r="AF547" s="5"/>
      <c r="AG547" s="5"/>
      <c r="AH547" s="27"/>
      <c r="AI547" s="27"/>
      <c r="AJ547" s="27"/>
      <c r="AK547" s="121" t="str">
        <f t="shared" si="150"/>
        <v/>
      </c>
      <c r="AL547" s="6"/>
      <c r="AM547" s="10"/>
      <c r="AN547" s="63"/>
      <c r="AO547" s="63"/>
      <c r="AP547" s="63"/>
      <c r="AQ547" s="63"/>
      <c r="AR547" s="63"/>
      <c r="AS547" s="63"/>
      <c r="AT547" s="63"/>
      <c r="AU547" s="124" t="str">
        <f t="shared" si="151"/>
        <v/>
      </c>
      <c r="AV547" s="124" t="s">
        <v>2821</v>
      </c>
      <c r="AW547" s="117"/>
      <c r="AX547" s="138" t="str">
        <f t="shared" si="165"/>
        <v/>
      </c>
      <c r="AY547" s="31" t="str">
        <f>IF(C547&lt;&gt;"",CREATE_QUERY($D$1,C$2:AW$2,C547:AW547),"")</f>
        <v/>
      </c>
    </row>
    <row r="548" spans="1:51">
      <c r="A548" s="1">
        <v>213</v>
      </c>
      <c r="B548" s="5" t="str">
        <f t="shared" si="171"/>
        <v/>
      </c>
      <c r="C548" s="10" t="str">
        <f t="shared" si="168"/>
        <v/>
      </c>
      <c r="D548" s="5"/>
      <c r="E548" s="10"/>
      <c r="F548" s="5"/>
      <c r="G548" s="5"/>
      <c r="H548" s="5"/>
      <c r="I548" s="5"/>
      <c r="J548" s="5"/>
      <c r="K548" s="10"/>
      <c r="L548" s="10"/>
      <c r="M548" s="10"/>
      <c r="N548" s="5"/>
      <c r="O548" s="5"/>
      <c r="P548" s="27" t="str">
        <f t="shared" si="155"/>
        <v>0</v>
      </c>
      <c r="Q548" s="27" t="str">
        <f t="shared" si="156"/>
        <v>0</v>
      </c>
      <c r="R548" s="27" t="str">
        <f t="shared" si="157"/>
        <v>0</v>
      </c>
      <c r="S548" s="27" t="str">
        <f t="shared" si="158"/>
        <v>0</v>
      </c>
      <c r="T548" s="27" t="str">
        <f t="shared" si="159"/>
        <v>0</v>
      </c>
      <c r="U548" s="27" t="str">
        <f t="shared" si="160"/>
        <v>0</v>
      </c>
      <c r="V548" s="27" t="str">
        <f t="shared" si="161"/>
        <v>1</v>
      </c>
      <c r="W548" s="27"/>
      <c r="X548" s="27" t="str">
        <f t="shared" si="162"/>
        <v/>
      </c>
      <c r="Y548" s="27" t="str">
        <f t="shared" si="163"/>
        <v/>
      </c>
      <c r="Z548" s="27" t="str">
        <f t="shared" si="164"/>
        <v/>
      </c>
      <c r="AA548" s="5"/>
      <c r="AB548" s="5"/>
      <c r="AC548" s="5"/>
      <c r="AD548" s="5"/>
      <c r="AE548" s="5"/>
      <c r="AF548" s="5"/>
      <c r="AG548" s="5"/>
      <c r="AH548" s="27"/>
      <c r="AI548" s="27"/>
      <c r="AJ548" s="27"/>
      <c r="AK548" s="121" t="str">
        <f t="shared" si="150"/>
        <v/>
      </c>
      <c r="AL548" s="6"/>
      <c r="AM548" s="10"/>
      <c r="AN548" s="63"/>
      <c r="AO548" s="63"/>
      <c r="AP548" s="63"/>
      <c r="AQ548" s="63"/>
      <c r="AR548" s="63"/>
      <c r="AS548" s="63"/>
      <c r="AT548" s="63"/>
      <c r="AU548" s="124" t="str">
        <f t="shared" ref="AU548:AV611" si="172">IF(O548="","",AT548&amp;E548)</f>
        <v/>
      </c>
      <c r="AV548" s="124" t="s">
        <v>2822</v>
      </c>
      <c r="AW548" s="117"/>
      <c r="AX548" s="138" t="str">
        <f t="shared" si="165"/>
        <v/>
      </c>
      <c r="AY548" s="31" t="str">
        <f>IF(C548&lt;&gt;"",CREATE_QUERY($D$1,C$2:AW$2,C548:AW548),"")</f>
        <v/>
      </c>
    </row>
    <row r="549" spans="1:51">
      <c r="A549" s="1">
        <v>214</v>
      </c>
      <c r="B549" s="5" t="str">
        <f t="shared" si="171"/>
        <v/>
      </c>
      <c r="C549" s="10" t="str">
        <f t="shared" si="168"/>
        <v/>
      </c>
      <c r="D549" s="5"/>
      <c r="E549" s="10"/>
      <c r="F549" s="5"/>
      <c r="G549" s="5"/>
      <c r="H549" s="5"/>
      <c r="I549" s="5"/>
      <c r="J549" s="5"/>
      <c r="K549" s="10"/>
      <c r="L549" s="10"/>
      <c r="M549" s="10"/>
      <c r="N549" s="5"/>
      <c r="O549" s="5"/>
      <c r="P549" s="27" t="str">
        <f t="shared" si="155"/>
        <v>0</v>
      </c>
      <c r="Q549" s="27" t="str">
        <f t="shared" si="156"/>
        <v>0</v>
      </c>
      <c r="R549" s="27" t="str">
        <f t="shared" si="157"/>
        <v>0</v>
      </c>
      <c r="S549" s="27" t="str">
        <f t="shared" si="158"/>
        <v>0</v>
      </c>
      <c r="T549" s="27" t="str">
        <f t="shared" si="159"/>
        <v>0</v>
      </c>
      <c r="U549" s="27" t="str">
        <f t="shared" si="160"/>
        <v>0</v>
      </c>
      <c r="V549" s="27" t="str">
        <f t="shared" si="161"/>
        <v>1</v>
      </c>
      <c r="W549" s="27"/>
      <c r="X549" s="27" t="str">
        <f t="shared" si="162"/>
        <v/>
      </c>
      <c r="Y549" s="27" t="str">
        <f t="shared" si="163"/>
        <v/>
      </c>
      <c r="Z549" s="27" t="str">
        <f t="shared" si="164"/>
        <v/>
      </c>
      <c r="AA549" s="5"/>
      <c r="AB549" s="5"/>
      <c r="AC549" s="5"/>
      <c r="AD549" s="5"/>
      <c r="AE549" s="5"/>
      <c r="AF549" s="5"/>
      <c r="AG549" s="5"/>
      <c r="AH549" s="27"/>
      <c r="AI549" s="27"/>
      <c r="AJ549" s="27"/>
      <c r="AK549" s="121" t="str">
        <f t="shared" ref="AK549:AK612" si="173">IF(B550="","","0")</f>
        <v/>
      </c>
      <c r="AL549" s="6"/>
      <c r="AM549" s="10"/>
      <c r="AN549" s="63"/>
      <c r="AO549" s="63"/>
      <c r="AP549" s="63"/>
      <c r="AQ549" s="63"/>
      <c r="AR549" s="63"/>
      <c r="AS549" s="63"/>
      <c r="AT549" s="63"/>
      <c r="AU549" s="124" t="str">
        <f t="shared" si="172"/>
        <v/>
      </c>
      <c r="AV549" s="124" t="s">
        <v>2823</v>
      </c>
      <c r="AW549" s="117"/>
      <c r="AX549" s="138" t="str">
        <f t="shared" si="165"/>
        <v/>
      </c>
      <c r="AY549" s="31" t="str">
        <f>IF(C549&lt;&gt;"",CREATE_QUERY($D$1,C$2:AW$2,C549:AW549),"")</f>
        <v/>
      </c>
    </row>
    <row r="550" spans="1:51">
      <c r="A550" s="1">
        <v>215</v>
      </c>
      <c r="B550" s="5" t="str">
        <f t="shared" si="171"/>
        <v/>
      </c>
      <c r="C550" s="10" t="str">
        <f t="shared" si="168"/>
        <v/>
      </c>
      <c r="D550" s="5"/>
      <c r="E550" s="10"/>
      <c r="F550" s="5"/>
      <c r="G550" s="5"/>
      <c r="H550" s="5"/>
      <c r="I550" s="5"/>
      <c r="J550" s="5"/>
      <c r="K550" s="10"/>
      <c r="L550" s="10"/>
      <c r="M550" s="10"/>
      <c r="N550" s="5"/>
      <c r="O550" s="5"/>
      <c r="P550" s="27" t="str">
        <f t="shared" si="155"/>
        <v>0</v>
      </c>
      <c r="Q550" s="27" t="str">
        <f t="shared" si="156"/>
        <v>0</v>
      </c>
      <c r="R550" s="27" t="str">
        <f t="shared" si="157"/>
        <v>0</v>
      </c>
      <c r="S550" s="27" t="str">
        <f t="shared" si="158"/>
        <v>0</v>
      </c>
      <c r="T550" s="27" t="str">
        <f t="shared" si="159"/>
        <v>0</v>
      </c>
      <c r="U550" s="27" t="str">
        <f t="shared" si="160"/>
        <v>0</v>
      </c>
      <c r="V550" s="27" t="str">
        <f t="shared" si="161"/>
        <v>1</v>
      </c>
      <c r="W550" s="27"/>
      <c r="X550" s="27" t="str">
        <f t="shared" si="162"/>
        <v/>
      </c>
      <c r="Y550" s="27" t="str">
        <f t="shared" si="163"/>
        <v/>
      </c>
      <c r="Z550" s="27" t="str">
        <f t="shared" si="164"/>
        <v/>
      </c>
      <c r="AA550" s="5"/>
      <c r="AB550" s="5"/>
      <c r="AC550" s="5"/>
      <c r="AD550" s="5"/>
      <c r="AE550" s="5"/>
      <c r="AF550" s="5"/>
      <c r="AG550" s="5"/>
      <c r="AH550" s="27"/>
      <c r="AI550" s="27"/>
      <c r="AJ550" s="27"/>
      <c r="AK550" s="121" t="str">
        <f t="shared" si="173"/>
        <v/>
      </c>
      <c r="AL550" s="6"/>
      <c r="AM550" s="10"/>
      <c r="AN550" s="63"/>
      <c r="AO550" s="63"/>
      <c r="AP550" s="63"/>
      <c r="AQ550" s="63"/>
      <c r="AR550" s="63"/>
      <c r="AS550" s="63"/>
      <c r="AT550" s="63"/>
      <c r="AU550" s="124" t="str">
        <f t="shared" si="172"/>
        <v/>
      </c>
      <c r="AV550" s="124" t="s">
        <v>2824</v>
      </c>
      <c r="AW550" s="117"/>
      <c r="AX550" s="138" t="str">
        <f t="shared" si="165"/>
        <v/>
      </c>
      <c r="AY550" s="31" t="str">
        <f>IF(C550&lt;&gt;"",CREATE_QUERY($D$1,C$2:AW$2,C550:AW550),"")</f>
        <v/>
      </c>
    </row>
    <row r="551" spans="1:51">
      <c r="A551" s="1">
        <v>216</v>
      </c>
      <c r="B551" s="5" t="str">
        <f t="shared" si="171"/>
        <v/>
      </c>
      <c r="C551" s="10" t="str">
        <f t="shared" si="168"/>
        <v/>
      </c>
      <c r="D551" s="5"/>
      <c r="E551" s="10"/>
      <c r="F551" s="5"/>
      <c r="G551" s="5"/>
      <c r="H551" s="5"/>
      <c r="I551" s="5"/>
      <c r="J551" s="5"/>
      <c r="K551" s="10"/>
      <c r="L551" s="10"/>
      <c r="M551" s="10"/>
      <c r="N551" s="5"/>
      <c r="O551" s="5"/>
      <c r="P551" s="27" t="str">
        <f t="shared" si="155"/>
        <v>0</v>
      </c>
      <c r="Q551" s="27" t="str">
        <f t="shared" si="156"/>
        <v>0</v>
      </c>
      <c r="R551" s="27" t="str">
        <f t="shared" si="157"/>
        <v>0</v>
      </c>
      <c r="S551" s="27" t="str">
        <f t="shared" si="158"/>
        <v>0</v>
      </c>
      <c r="T551" s="27" t="str">
        <f t="shared" si="159"/>
        <v>0</v>
      </c>
      <c r="U551" s="27" t="str">
        <f t="shared" si="160"/>
        <v>0</v>
      </c>
      <c r="V551" s="27" t="str">
        <f t="shared" si="161"/>
        <v>1</v>
      </c>
      <c r="W551" s="27"/>
      <c r="X551" s="27" t="str">
        <f t="shared" si="162"/>
        <v/>
      </c>
      <c r="Y551" s="27" t="str">
        <f t="shared" si="163"/>
        <v/>
      </c>
      <c r="Z551" s="27" t="str">
        <f t="shared" si="164"/>
        <v/>
      </c>
      <c r="AA551" s="5"/>
      <c r="AB551" s="5"/>
      <c r="AC551" s="5"/>
      <c r="AD551" s="5"/>
      <c r="AE551" s="5"/>
      <c r="AF551" s="5"/>
      <c r="AG551" s="5"/>
      <c r="AH551" s="27"/>
      <c r="AI551" s="27"/>
      <c r="AJ551" s="27"/>
      <c r="AK551" s="121" t="str">
        <f t="shared" si="173"/>
        <v/>
      </c>
      <c r="AL551" s="6"/>
      <c r="AM551" s="10"/>
      <c r="AN551" s="63"/>
      <c r="AO551" s="63"/>
      <c r="AP551" s="63"/>
      <c r="AQ551" s="63"/>
      <c r="AR551" s="63"/>
      <c r="AS551" s="63"/>
      <c r="AT551" s="63"/>
      <c r="AU551" s="124" t="str">
        <f t="shared" si="172"/>
        <v/>
      </c>
      <c r="AV551" s="124" t="s">
        <v>2825</v>
      </c>
      <c r="AW551" s="117"/>
      <c r="AX551" s="138" t="str">
        <f t="shared" si="165"/>
        <v/>
      </c>
      <c r="AY551" s="31" t="str">
        <f>IF(C551&lt;&gt;"",CREATE_QUERY($D$1,C$2:AW$2,C551:AW551),"")</f>
        <v/>
      </c>
    </row>
    <row r="552" spans="1:51">
      <c r="A552" s="1">
        <v>217</v>
      </c>
      <c r="B552" s="5" t="str">
        <f t="shared" si="171"/>
        <v/>
      </c>
      <c r="C552" s="10" t="str">
        <f t="shared" si="168"/>
        <v/>
      </c>
      <c r="D552" s="5"/>
      <c r="E552" s="10"/>
      <c r="F552" s="5"/>
      <c r="G552" s="5"/>
      <c r="H552" s="5"/>
      <c r="I552" s="5"/>
      <c r="J552" s="5"/>
      <c r="K552" s="10"/>
      <c r="L552" s="10"/>
      <c r="M552" s="10"/>
      <c r="N552" s="5"/>
      <c r="O552" s="5"/>
      <c r="P552" s="27" t="str">
        <f t="shared" si="155"/>
        <v>0</v>
      </c>
      <c r="Q552" s="27" t="str">
        <f t="shared" si="156"/>
        <v>0</v>
      </c>
      <c r="R552" s="27" t="str">
        <f t="shared" si="157"/>
        <v>0</v>
      </c>
      <c r="S552" s="27" t="str">
        <f t="shared" si="158"/>
        <v>0</v>
      </c>
      <c r="T552" s="27" t="str">
        <f t="shared" si="159"/>
        <v>0</v>
      </c>
      <c r="U552" s="27" t="str">
        <f t="shared" si="160"/>
        <v>0</v>
      </c>
      <c r="V552" s="27" t="str">
        <f t="shared" si="161"/>
        <v>1</v>
      </c>
      <c r="W552" s="27"/>
      <c r="X552" s="27" t="str">
        <f t="shared" si="162"/>
        <v/>
      </c>
      <c r="Y552" s="27" t="str">
        <f t="shared" si="163"/>
        <v/>
      </c>
      <c r="Z552" s="27" t="str">
        <f t="shared" si="164"/>
        <v/>
      </c>
      <c r="AA552" s="5"/>
      <c r="AB552" s="5"/>
      <c r="AC552" s="5"/>
      <c r="AD552" s="5"/>
      <c r="AE552" s="5"/>
      <c r="AF552" s="5"/>
      <c r="AG552" s="5"/>
      <c r="AH552" s="27"/>
      <c r="AI552" s="27"/>
      <c r="AJ552" s="27"/>
      <c r="AK552" s="121" t="str">
        <f t="shared" si="173"/>
        <v/>
      </c>
      <c r="AL552" s="6"/>
      <c r="AM552" s="10"/>
      <c r="AN552" s="63"/>
      <c r="AO552" s="63"/>
      <c r="AP552" s="63"/>
      <c r="AQ552" s="63"/>
      <c r="AR552" s="63"/>
      <c r="AS552" s="63"/>
      <c r="AT552" s="63"/>
      <c r="AU552" s="124" t="str">
        <f t="shared" si="172"/>
        <v/>
      </c>
      <c r="AV552" s="124" t="s">
        <v>2826</v>
      </c>
      <c r="AW552" s="117"/>
      <c r="AX552" s="138" t="str">
        <f t="shared" si="165"/>
        <v/>
      </c>
      <c r="AY552" s="31" t="str">
        <f>IF(C552&lt;&gt;"",CREATE_QUERY($D$1,C$2:AW$2,C552:AW552),"")</f>
        <v/>
      </c>
    </row>
    <row r="553" spans="1:51">
      <c r="A553" s="1">
        <v>218</v>
      </c>
      <c r="B553" s="5" t="str">
        <f t="shared" si="171"/>
        <v/>
      </c>
      <c r="C553" s="10" t="str">
        <f t="shared" si="168"/>
        <v/>
      </c>
      <c r="D553" s="5"/>
      <c r="E553" s="10"/>
      <c r="F553" s="5"/>
      <c r="G553" s="5"/>
      <c r="H553" s="5"/>
      <c r="I553" s="5"/>
      <c r="J553" s="5"/>
      <c r="K553" s="10"/>
      <c r="L553" s="10"/>
      <c r="M553" s="10"/>
      <c r="N553" s="5"/>
      <c r="O553" s="5"/>
      <c r="P553" s="27" t="str">
        <f t="shared" si="155"/>
        <v>0</v>
      </c>
      <c r="Q553" s="27" t="str">
        <f t="shared" si="156"/>
        <v>0</v>
      </c>
      <c r="R553" s="27" t="str">
        <f t="shared" si="157"/>
        <v>0</v>
      </c>
      <c r="S553" s="27" t="str">
        <f t="shared" si="158"/>
        <v>0</v>
      </c>
      <c r="T553" s="27" t="str">
        <f t="shared" si="159"/>
        <v>0</v>
      </c>
      <c r="U553" s="27" t="str">
        <f t="shared" si="160"/>
        <v>0</v>
      </c>
      <c r="V553" s="27" t="str">
        <f t="shared" si="161"/>
        <v>1</v>
      </c>
      <c r="W553" s="27"/>
      <c r="X553" s="27" t="str">
        <f t="shared" si="162"/>
        <v/>
      </c>
      <c r="Y553" s="27" t="str">
        <f t="shared" si="163"/>
        <v/>
      </c>
      <c r="Z553" s="27" t="str">
        <f t="shared" si="164"/>
        <v/>
      </c>
      <c r="AA553" s="5"/>
      <c r="AB553" s="5"/>
      <c r="AC553" s="5"/>
      <c r="AD553" s="5"/>
      <c r="AE553" s="5"/>
      <c r="AF553" s="5"/>
      <c r="AG553" s="5"/>
      <c r="AH553" s="27"/>
      <c r="AI553" s="27"/>
      <c r="AJ553" s="27"/>
      <c r="AK553" s="121" t="str">
        <f t="shared" si="173"/>
        <v/>
      </c>
      <c r="AL553" s="6"/>
      <c r="AM553" s="10"/>
      <c r="AN553" s="63"/>
      <c r="AO553" s="63"/>
      <c r="AP553" s="63"/>
      <c r="AQ553" s="63"/>
      <c r="AR553" s="63"/>
      <c r="AS553" s="63"/>
      <c r="AT553" s="63"/>
      <c r="AU553" s="124" t="str">
        <f t="shared" si="172"/>
        <v/>
      </c>
      <c r="AV553" s="124" t="s">
        <v>2827</v>
      </c>
      <c r="AW553" s="117"/>
      <c r="AX553" s="138" t="str">
        <f t="shared" si="165"/>
        <v/>
      </c>
      <c r="AY553" s="31" t="str">
        <f>IF(C553&lt;&gt;"",CREATE_QUERY($D$1,C$2:AW$2,C553:AW553),"")</f>
        <v/>
      </c>
    </row>
    <row r="554" spans="1:51">
      <c r="A554" s="1">
        <v>219</v>
      </c>
      <c r="B554" s="5" t="str">
        <f t="shared" si="171"/>
        <v/>
      </c>
      <c r="C554" s="10" t="str">
        <f t="shared" si="168"/>
        <v/>
      </c>
      <c r="D554" s="5"/>
      <c r="E554" s="10"/>
      <c r="F554" s="5"/>
      <c r="G554" s="5"/>
      <c r="H554" s="5"/>
      <c r="I554" s="5"/>
      <c r="J554" s="5"/>
      <c r="K554" s="10"/>
      <c r="L554" s="10"/>
      <c r="M554" s="10"/>
      <c r="N554" s="5"/>
      <c r="O554" s="5"/>
      <c r="P554" s="27" t="str">
        <f t="shared" si="155"/>
        <v>0</v>
      </c>
      <c r="Q554" s="27" t="str">
        <f t="shared" si="156"/>
        <v>0</v>
      </c>
      <c r="R554" s="27" t="str">
        <f t="shared" si="157"/>
        <v>0</v>
      </c>
      <c r="S554" s="27" t="str">
        <f t="shared" si="158"/>
        <v>0</v>
      </c>
      <c r="T554" s="27" t="str">
        <f t="shared" si="159"/>
        <v>0</v>
      </c>
      <c r="U554" s="27" t="str">
        <f t="shared" si="160"/>
        <v>0</v>
      </c>
      <c r="V554" s="27" t="str">
        <f t="shared" si="161"/>
        <v>1</v>
      </c>
      <c r="W554" s="27"/>
      <c r="X554" s="27" t="str">
        <f t="shared" si="162"/>
        <v/>
      </c>
      <c r="Y554" s="27" t="str">
        <f t="shared" si="163"/>
        <v/>
      </c>
      <c r="Z554" s="27" t="str">
        <f t="shared" si="164"/>
        <v/>
      </c>
      <c r="AA554" s="5"/>
      <c r="AB554" s="5"/>
      <c r="AC554" s="5"/>
      <c r="AD554" s="5"/>
      <c r="AE554" s="5"/>
      <c r="AF554" s="5"/>
      <c r="AG554" s="5"/>
      <c r="AH554" s="27"/>
      <c r="AI554" s="27"/>
      <c r="AJ554" s="27"/>
      <c r="AK554" s="121" t="str">
        <f t="shared" si="173"/>
        <v/>
      </c>
      <c r="AL554" s="6"/>
      <c r="AM554" s="10"/>
      <c r="AN554" s="63"/>
      <c r="AO554" s="63"/>
      <c r="AP554" s="63"/>
      <c r="AQ554" s="63"/>
      <c r="AR554" s="63"/>
      <c r="AS554" s="63"/>
      <c r="AT554" s="63"/>
      <c r="AU554" s="124" t="str">
        <f t="shared" si="172"/>
        <v/>
      </c>
      <c r="AV554" s="124" t="s">
        <v>2828</v>
      </c>
      <c r="AW554" s="117"/>
      <c r="AX554" s="138" t="str">
        <f t="shared" si="165"/>
        <v/>
      </c>
      <c r="AY554" s="31" t="str">
        <f>IF(C554&lt;&gt;"",CREATE_QUERY($D$1,C$2:AW$2,C554:AW554),"")</f>
        <v/>
      </c>
    </row>
    <row r="555" spans="1:51">
      <c r="A555" s="1">
        <v>220</v>
      </c>
      <c r="B555" s="5" t="str">
        <f t="shared" si="171"/>
        <v/>
      </c>
      <c r="C555" s="10" t="str">
        <f t="shared" si="168"/>
        <v/>
      </c>
      <c r="D555" s="5"/>
      <c r="E555" s="10"/>
      <c r="F555" s="5"/>
      <c r="G555" s="5"/>
      <c r="H555" s="5"/>
      <c r="I555" s="5"/>
      <c r="J555" s="5"/>
      <c r="K555" s="10"/>
      <c r="L555" s="10"/>
      <c r="M555" s="10"/>
      <c r="N555" s="5"/>
      <c r="O555" s="5"/>
      <c r="P555" s="27" t="str">
        <f t="shared" si="155"/>
        <v>0</v>
      </c>
      <c r="Q555" s="27" t="str">
        <f t="shared" si="156"/>
        <v>0</v>
      </c>
      <c r="R555" s="27" t="str">
        <f t="shared" si="157"/>
        <v>0</v>
      </c>
      <c r="S555" s="27" t="str">
        <f t="shared" si="158"/>
        <v>0</v>
      </c>
      <c r="T555" s="27" t="str">
        <f t="shared" si="159"/>
        <v>0</v>
      </c>
      <c r="U555" s="27" t="str">
        <f t="shared" si="160"/>
        <v>0</v>
      </c>
      <c r="V555" s="27" t="str">
        <f t="shared" si="161"/>
        <v>1</v>
      </c>
      <c r="W555" s="27"/>
      <c r="X555" s="27" t="str">
        <f t="shared" si="162"/>
        <v/>
      </c>
      <c r="Y555" s="27" t="str">
        <f t="shared" si="163"/>
        <v/>
      </c>
      <c r="Z555" s="27" t="str">
        <f t="shared" si="164"/>
        <v/>
      </c>
      <c r="AA555" s="5"/>
      <c r="AB555" s="5"/>
      <c r="AC555" s="5"/>
      <c r="AD555" s="5"/>
      <c r="AE555" s="5"/>
      <c r="AF555" s="5"/>
      <c r="AG555" s="5"/>
      <c r="AH555" s="27"/>
      <c r="AI555" s="27"/>
      <c r="AJ555" s="27"/>
      <c r="AK555" s="121" t="str">
        <f t="shared" si="173"/>
        <v/>
      </c>
      <c r="AL555" s="6"/>
      <c r="AM555" s="10"/>
      <c r="AN555" s="63"/>
      <c r="AO555" s="63"/>
      <c r="AP555" s="63"/>
      <c r="AQ555" s="63"/>
      <c r="AR555" s="63"/>
      <c r="AS555" s="63"/>
      <c r="AT555" s="63"/>
      <c r="AU555" s="124" t="str">
        <f t="shared" si="172"/>
        <v/>
      </c>
      <c r="AV555" s="124" t="s">
        <v>2829</v>
      </c>
      <c r="AW555" s="117"/>
      <c r="AX555" s="138" t="str">
        <f t="shared" si="165"/>
        <v/>
      </c>
      <c r="AY555" s="31" t="str">
        <f>IF(C555&lt;&gt;"",CREATE_QUERY($D$1,C$2:AW$2,C555:AW555),"")</f>
        <v/>
      </c>
    </row>
    <row r="556" spans="1:51">
      <c r="A556" s="1">
        <v>221</v>
      </c>
      <c r="B556" s="5" t="str">
        <f t="shared" si="171"/>
        <v/>
      </c>
      <c r="C556" s="10" t="str">
        <f t="shared" si="168"/>
        <v/>
      </c>
      <c r="D556" s="5"/>
      <c r="E556" s="10"/>
      <c r="F556" s="5"/>
      <c r="G556" s="5"/>
      <c r="H556" s="5"/>
      <c r="I556" s="5"/>
      <c r="J556" s="5"/>
      <c r="K556" s="10"/>
      <c r="L556" s="10"/>
      <c r="M556" s="10"/>
      <c r="N556" s="5"/>
      <c r="O556" s="5"/>
      <c r="P556" s="27" t="str">
        <f t="shared" si="155"/>
        <v>0</v>
      </c>
      <c r="Q556" s="27" t="str">
        <f t="shared" si="156"/>
        <v>0</v>
      </c>
      <c r="R556" s="27" t="str">
        <f t="shared" si="157"/>
        <v>0</v>
      </c>
      <c r="S556" s="27" t="str">
        <f t="shared" si="158"/>
        <v>0</v>
      </c>
      <c r="T556" s="27" t="str">
        <f t="shared" si="159"/>
        <v>0</v>
      </c>
      <c r="U556" s="27" t="str">
        <f t="shared" si="160"/>
        <v>0</v>
      </c>
      <c r="V556" s="27" t="str">
        <f t="shared" si="161"/>
        <v>1</v>
      </c>
      <c r="W556" s="27"/>
      <c r="X556" s="27" t="str">
        <f t="shared" si="162"/>
        <v/>
      </c>
      <c r="Y556" s="27" t="str">
        <f t="shared" si="163"/>
        <v/>
      </c>
      <c r="Z556" s="27" t="str">
        <f t="shared" si="164"/>
        <v/>
      </c>
      <c r="AA556" s="5"/>
      <c r="AB556" s="5"/>
      <c r="AC556" s="5"/>
      <c r="AD556" s="5"/>
      <c r="AE556" s="5"/>
      <c r="AF556" s="5"/>
      <c r="AG556" s="5"/>
      <c r="AH556" s="27"/>
      <c r="AI556" s="27"/>
      <c r="AJ556" s="27"/>
      <c r="AK556" s="121" t="str">
        <f t="shared" si="173"/>
        <v/>
      </c>
      <c r="AL556" s="6"/>
      <c r="AM556" s="10"/>
      <c r="AN556" s="63"/>
      <c r="AO556" s="63"/>
      <c r="AP556" s="63"/>
      <c r="AQ556" s="63"/>
      <c r="AR556" s="63"/>
      <c r="AS556" s="63"/>
      <c r="AT556" s="63"/>
      <c r="AU556" s="124" t="str">
        <f t="shared" si="172"/>
        <v/>
      </c>
      <c r="AV556" s="124" t="s">
        <v>2830</v>
      </c>
      <c r="AW556" s="117"/>
      <c r="AX556" s="138" t="str">
        <f t="shared" si="165"/>
        <v/>
      </c>
      <c r="AY556" s="31" t="str">
        <f>IF(C556&lt;&gt;"",CREATE_QUERY($D$1,C$2:AW$2,C556:AW556),"")</f>
        <v/>
      </c>
    </row>
    <row r="557" spans="1:51">
      <c r="A557" s="1">
        <v>222</v>
      </c>
      <c r="B557" s="5" t="str">
        <f t="shared" si="171"/>
        <v/>
      </c>
      <c r="C557" s="10" t="str">
        <f t="shared" si="168"/>
        <v/>
      </c>
      <c r="D557" s="5"/>
      <c r="E557" s="10"/>
      <c r="F557" s="5"/>
      <c r="G557" s="5"/>
      <c r="H557" s="5"/>
      <c r="I557" s="5"/>
      <c r="J557" s="5"/>
      <c r="K557" s="10"/>
      <c r="L557" s="10"/>
      <c r="M557" s="10"/>
      <c r="N557" s="5"/>
      <c r="O557" s="5"/>
      <c r="P557" s="27" t="str">
        <f t="shared" si="155"/>
        <v>0</v>
      </c>
      <c r="Q557" s="27" t="str">
        <f t="shared" si="156"/>
        <v>0</v>
      </c>
      <c r="R557" s="27" t="str">
        <f t="shared" si="157"/>
        <v>0</v>
      </c>
      <c r="S557" s="27" t="str">
        <f t="shared" si="158"/>
        <v>0</v>
      </c>
      <c r="T557" s="27" t="str">
        <f t="shared" si="159"/>
        <v>0</v>
      </c>
      <c r="U557" s="27" t="str">
        <f t="shared" si="160"/>
        <v>0</v>
      </c>
      <c r="V557" s="27" t="str">
        <f t="shared" si="161"/>
        <v>1</v>
      </c>
      <c r="W557" s="27"/>
      <c r="X557" s="27" t="str">
        <f t="shared" si="162"/>
        <v/>
      </c>
      <c r="Y557" s="27" t="str">
        <f t="shared" si="163"/>
        <v/>
      </c>
      <c r="Z557" s="27" t="str">
        <f t="shared" si="164"/>
        <v/>
      </c>
      <c r="AA557" s="5"/>
      <c r="AB557" s="5"/>
      <c r="AC557" s="5"/>
      <c r="AD557" s="5"/>
      <c r="AE557" s="5"/>
      <c r="AF557" s="5"/>
      <c r="AG557" s="5"/>
      <c r="AH557" s="27"/>
      <c r="AI557" s="27"/>
      <c r="AJ557" s="27"/>
      <c r="AK557" s="121" t="str">
        <f t="shared" si="173"/>
        <v/>
      </c>
      <c r="AL557" s="6"/>
      <c r="AM557" s="10"/>
      <c r="AN557" s="63"/>
      <c r="AO557" s="63"/>
      <c r="AP557" s="63"/>
      <c r="AQ557" s="63"/>
      <c r="AR557" s="63"/>
      <c r="AS557" s="63"/>
      <c r="AT557" s="63"/>
      <c r="AU557" s="124" t="str">
        <f t="shared" si="172"/>
        <v/>
      </c>
      <c r="AV557" s="124" t="s">
        <v>2831</v>
      </c>
      <c r="AW557" s="117"/>
      <c r="AX557" s="138" t="str">
        <f t="shared" si="165"/>
        <v/>
      </c>
      <c r="AY557" s="31" t="str">
        <f>IF(C557&lt;&gt;"",CREATE_QUERY($D$1,C$2:AW$2,C557:AW557),"")</f>
        <v/>
      </c>
    </row>
    <row r="558" spans="1:51">
      <c r="A558" s="1">
        <v>223</v>
      </c>
      <c r="B558" s="5" t="str">
        <f t="shared" si="171"/>
        <v/>
      </c>
      <c r="C558" s="10" t="str">
        <f t="shared" si="168"/>
        <v/>
      </c>
      <c r="D558" s="5"/>
      <c r="E558" s="10"/>
      <c r="F558" s="5"/>
      <c r="G558" s="5"/>
      <c r="H558" s="5"/>
      <c r="I558" s="5"/>
      <c r="J558" s="5"/>
      <c r="K558" s="10"/>
      <c r="L558" s="10"/>
      <c r="M558" s="10"/>
      <c r="N558" s="5"/>
      <c r="O558" s="5"/>
      <c r="P558" s="27" t="str">
        <f t="shared" si="155"/>
        <v>0</v>
      </c>
      <c r="Q558" s="27" t="str">
        <f t="shared" si="156"/>
        <v>0</v>
      </c>
      <c r="R558" s="27" t="str">
        <f t="shared" si="157"/>
        <v>0</v>
      </c>
      <c r="S558" s="27" t="str">
        <f t="shared" si="158"/>
        <v>0</v>
      </c>
      <c r="T558" s="27" t="str">
        <f t="shared" si="159"/>
        <v>0</v>
      </c>
      <c r="U558" s="27" t="str">
        <f t="shared" si="160"/>
        <v>0</v>
      </c>
      <c r="V558" s="27" t="str">
        <f t="shared" si="161"/>
        <v>1</v>
      </c>
      <c r="W558" s="27"/>
      <c r="X558" s="27" t="str">
        <f t="shared" si="162"/>
        <v/>
      </c>
      <c r="Y558" s="27" t="str">
        <f t="shared" si="163"/>
        <v/>
      </c>
      <c r="Z558" s="27" t="str">
        <f t="shared" si="164"/>
        <v/>
      </c>
      <c r="AA558" s="5"/>
      <c r="AB558" s="5"/>
      <c r="AC558" s="5"/>
      <c r="AD558" s="5"/>
      <c r="AE558" s="5"/>
      <c r="AF558" s="5"/>
      <c r="AG558" s="5"/>
      <c r="AH558" s="27"/>
      <c r="AI558" s="27"/>
      <c r="AJ558" s="27"/>
      <c r="AK558" s="121" t="str">
        <f t="shared" si="173"/>
        <v/>
      </c>
      <c r="AL558" s="6"/>
      <c r="AM558" s="10"/>
      <c r="AN558" s="63"/>
      <c r="AO558" s="63"/>
      <c r="AP558" s="63"/>
      <c r="AQ558" s="63"/>
      <c r="AR558" s="63"/>
      <c r="AS558" s="63"/>
      <c r="AT558" s="63"/>
      <c r="AU558" s="124" t="str">
        <f t="shared" si="172"/>
        <v/>
      </c>
      <c r="AV558" s="124" t="s">
        <v>2832</v>
      </c>
      <c r="AW558" s="117"/>
      <c r="AX558" s="138" t="str">
        <f t="shared" si="165"/>
        <v/>
      </c>
      <c r="AY558" s="31" t="str">
        <f>IF(C558&lt;&gt;"",CREATE_QUERY($D$1,C$2:AW$2,C558:AW558),"")</f>
        <v/>
      </c>
    </row>
    <row r="559" spans="1:51">
      <c r="A559" s="1">
        <v>224</v>
      </c>
      <c r="B559" s="5" t="str">
        <f t="shared" si="171"/>
        <v/>
      </c>
      <c r="C559" s="10" t="str">
        <f t="shared" si="168"/>
        <v/>
      </c>
      <c r="D559" s="5"/>
      <c r="E559" s="10"/>
      <c r="F559" s="5"/>
      <c r="G559" s="5"/>
      <c r="H559" s="5"/>
      <c r="I559" s="5"/>
      <c r="J559" s="5"/>
      <c r="K559" s="10"/>
      <c r="L559" s="10"/>
      <c r="M559" s="10"/>
      <c r="N559" s="5"/>
      <c r="O559" s="5"/>
      <c r="P559" s="27" t="str">
        <f t="shared" si="155"/>
        <v>0</v>
      </c>
      <c r="Q559" s="27" t="str">
        <f t="shared" si="156"/>
        <v>0</v>
      </c>
      <c r="R559" s="27" t="str">
        <f t="shared" si="157"/>
        <v>0</v>
      </c>
      <c r="S559" s="27" t="str">
        <f t="shared" si="158"/>
        <v>0</v>
      </c>
      <c r="T559" s="27" t="str">
        <f t="shared" si="159"/>
        <v>0</v>
      </c>
      <c r="U559" s="27" t="str">
        <f t="shared" si="160"/>
        <v>0</v>
      </c>
      <c r="V559" s="27" t="str">
        <f t="shared" si="161"/>
        <v>1</v>
      </c>
      <c r="W559" s="27"/>
      <c r="X559" s="27" t="str">
        <f t="shared" si="162"/>
        <v/>
      </c>
      <c r="Y559" s="27" t="str">
        <f t="shared" si="163"/>
        <v/>
      </c>
      <c r="Z559" s="27" t="str">
        <f t="shared" si="164"/>
        <v/>
      </c>
      <c r="AA559" s="5"/>
      <c r="AB559" s="5"/>
      <c r="AC559" s="5"/>
      <c r="AD559" s="5"/>
      <c r="AE559" s="5"/>
      <c r="AF559" s="5"/>
      <c r="AG559" s="5"/>
      <c r="AH559" s="27"/>
      <c r="AI559" s="27"/>
      <c r="AJ559" s="27"/>
      <c r="AK559" s="121" t="str">
        <f t="shared" si="173"/>
        <v/>
      </c>
      <c r="AL559" s="6"/>
      <c r="AM559" s="10"/>
      <c r="AN559" s="63"/>
      <c r="AO559" s="63"/>
      <c r="AP559" s="63"/>
      <c r="AQ559" s="63"/>
      <c r="AR559" s="63"/>
      <c r="AS559" s="63"/>
      <c r="AT559" s="63"/>
      <c r="AU559" s="124" t="str">
        <f t="shared" si="172"/>
        <v/>
      </c>
      <c r="AV559" s="124" t="s">
        <v>2833</v>
      </c>
      <c r="AW559" s="117"/>
      <c r="AX559" s="138" t="str">
        <f t="shared" si="165"/>
        <v/>
      </c>
      <c r="AY559" s="31" t="str">
        <f>IF(C559&lt;&gt;"",CREATE_QUERY($D$1,C$2:AW$2,C559:AW559),"")</f>
        <v/>
      </c>
    </row>
    <row r="560" spans="1:51">
      <c r="A560" s="1">
        <v>225</v>
      </c>
      <c r="B560" s="5" t="str">
        <f t="shared" si="171"/>
        <v/>
      </c>
      <c r="C560" s="10" t="str">
        <f t="shared" si="168"/>
        <v/>
      </c>
      <c r="D560" s="5"/>
      <c r="E560" s="10"/>
      <c r="F560" s="5"/>
      <c r="G560" s="5"/>
      <c r="H560" s="5"/>
      <c r="I560" s="5"/>
      <c r="J560" s="5"/>
      <c r="K560" s="10"/>
      <c r="L560" s="10"/>
      <c r="M560" s="10"/>
      <c r="N560" s="5"/>
      <c r="O560" s="5"/>
      <c r="P560" s="27" t="str">
        <f t="shared" si="155"/>
        <v>0</v>
      </c>
      <c r="Q560" s="27" t="str">
        <f t="shared" si="156"/>
        <v>0</v>
      </c>
      <c r="R560" s="27" t="str">
        <f t="shared" si="157"/>
        <v>0</v>
      </c>
      <c r="S560" s="27" t="str">
        <f t="shared" si="158"/>
        <v>0</v>
      </c>
      <c r="T560" s="27" t="str">
        <f t="shared" si="159"/>
        <v>0</v>
      </c>
      <c r="U560" s="27" t="str">
        <f t="shared" si="160"/>
        <v>0</v>
      </c>
      <c r="V560" s="27" t="str">
        <f t="shared" si="161"/>
        <v>1</v>
      </c>
      <c r="W560" s="27"/>
      <c r="X560" s="27" t="str">
        <f t="shared" si="162"/>
        <v/>
      </c>
      <c r="Y560" s="27" t="str">
        <f t="shared" si="163"/>
        <v/>
      </c>
      <c r="Z560" s="27" t="str">
        <f t="shared" si="164"/>
        <v/>
      </c>
      <c r="AA560" s="5"/>
      <c r="AB560" s="5"/>
      <c r="AC560" s="5"/>
      <c r="AD560" s="5"/>
      <c r="AE560" s="5"/>
      <c r="AF560" s="5"/>
      <c r="AG560" s="5"/>
      <c r="AH560" s="27"/>
      <c r="AI560" s="27"/>
      <c r="AJ560" s="27"/>
      <c r="AK560" s="121" t="str">
        <f t="shared" si="173"/>
        <v/>
      </c>
      <c r="AL560" s="6"/>
      <c r="AM560" s="10"/>
      <c r="AN560" s="63"/>
      <c r="AO560" s="63"/>
      <c r="AP560" s="63"/>
      <c r="AQ560" s="63"/>
      <c r="AR560" s="63"/>
      <c r="AS560" s="63"/>
      <c r="AT560" s="63"/>
      <c r="AU560" s="124" t="str">
        <f t="shared" si="172"/>
        <v/>
      </c>
      <c r="AV560" s="124" t="s">
        <v>2834</v>
      </c>
      <c r="AW560" s="117"/>
      <c r="AX560" s="138" t="str">
        <f t="shared" si="165"/>
        <v/>
      </c>
      <c r="AY560" s="31" t="str">
        <f>IF(C560&lt;&gt;"",CREATE_QUERY($D$1,C$2:AW$2,C560:AW560),"")</f>
        <v/>
      </c>
    </row>
    <row r="561" spans="1:51">
      <c r="A561" s="1">
        <v>226</v>
      </c>
      <c r="B561" s="5" t="str">
        <f t="shared" si="171"/>
        <v/>
      </c>
      <c r="C561" s="10" t="str">
        <f t="shared" si="168"/>
        <v/>
      </c>
      <c r="D561" s="5"/>
      <c r="E561" s="10"/>
      <c r="F561" s="5"/>
      <c r="G561" s="5"/>
      <c r="H561" s="5"/>
      <c r="I561" s="5"/>
      <c r="J561" s="5"/>
      <c r="K561" s="10"/>
      <c r="L561" s="10"/>
      <c r="M561" s="10"/>
      <c r="N561" s="5"/>
      <c r="O561" s="5"/>
      <c r="P561" s="27" t="str">
        <f t="shared" si="155"/>
        <v>0</v>
      </c>
      <c r="Q561" s="27" t="str">
        <f t="shared" si="156"/>
        <v>0</v>
      </c>
      <c r="R561" s="27" t="str">
        <f t="shared" si="157"/>
        <v>0</v>
      </c>
      <c r="S561" s="27" t="str">
        <f t="shared" si="158"/>
        <v>0</v>
      </c>
      <c r="T561" s="27" t="str">
        <f t="shared" si="159"/>
        <v>0</v>
      </c>
      <c r="U561" s="27" t="str">
        <f t="shared" si="160"/>
        <v>0</v>
      </c>
      <c r="V561" s="27" t="str">
        <f t="shared" si="161"/>
        <v>1</v>
      </c>
      <c r="W561" s="27"/>
      <c r="X561" s="27" t="str">
        <f t="shared" si="162"/>
        <v/>
      </c>
      <c r="Y561" s="27" t="str">
        <f t="shared" si="163"/>
        <v/>
      </c>
      <c r="Z561" s="27" t="str">
        <f t="shared" si="164"/>
        <v/>
      </c>
      <c r="AA561" s="5"/>
      <c r="AB561" s="5"/>
      <c r="AC561" s="5"/>
      <c r="AD561" s="5"/>
      <c r="AE561" s="5"/>
      <c r="AF561" s="5"/>
      <c r="AG561" s="5"/>
      <c r="AH561" s="27"/>
      <c r="AI561" s="27"/>
      <c r="AJ561" s="27"/>
      <c r="AK561" s="121" t="str">
        <f t="shared" si="173"/>
        <v/>
      </c>
      <c r="AL561" s="6"/>
      <c r="AM561" s="10"/>
      <c r="AN561" s="63"/>
      <c r="AO561" s="63"/>
      <c r="AP561" s="63"/>
      <c r="AQ561" s="63"/>
      <c r="AR561" s="63"/>
      <c r="AS561" s="63"/>
      <c r="AT561" s="63"/>
      <c r="AU561" s="124" t="str">
        <f t="shared" si="172"/>
        <v/>
      </c>
      <c r="AV561" s="124" t="s">
        <v>2835</v>
      </c>
      <c r="AW561" s="117"/>
      <c r="AX561" s="138" t="str">
        <f t="shared" si="165"/>
        <v/>
      </c>
      <c r="AY561" s="31" t="str">
        <f>IF(C561&lt;&gt;"",CREATE_QUERY($D$1,C$2:AW$2,C561:AW561),"")</f>
        <v/>
      </c>
    </row>
    <row r="562" spans="1:51">
      <c r="A562" s="1">
        <v>227</v>
      </c>
      <c r="B562" s="5" t="str">
        <f t="shared" si="171"/>
        <v/>
      </c>
      <c r="C562" s="10" t="str">
        <f t="shared" si="168"/>
        <v/>
      </c>
      <c r="D562" s="5"/>
      <c r="E562" s="10"/>
      <c r="F562" s="5"/>
      <c r="G562" s="5"/>
      <c r="H562" s="5"/>
      <c r="I562" s="5"/>
      <c r="J562" s="5"/>
      <c r="K562" s="10"/>
      <c r="L562" s="10"/>
      <c r="M562" s="10"/>
      <c r="N562" s="5"/>
      <c r="O562" s="5"/>
      <c r="P562" s="27" t="str">
        <f t="shared" si="155"/>
        <v>0</v>
      </c>
      <c r="Q562" s="27" t="str">
        <f t="shared" si="156"/>
        <v>0</v>
      </c>
      <c r="R562" s="27" t="str">
        <f t="shared" si="157"/>
        <v>0</v>
      </c>
      <c r="S562" s="27" t="str">
        <f t="shared" si="158"/>
        <v>0</v>
      </c>
      <c r="T562" s="27" t="str">
        <f t="shared" si="159"/>
        <v>0</v>
      </c>
      <c r="U562" s="27" t="str">
        <f t="shared" si="160"/>
        <v>0</v>
      </c>
      <c r="V562" s="27" t="str">
        <f t="shared" si="161"/>
        <v>1</v>
      </c>
      <c r="W562" s="27"/>
      <c r="X562" s="27" t="str">
        <f t="shared" si="162"/>
        <v/>
      </c>
      <c r="Y562" s="27" t="str">
        <f t="shared" si="163"/>
        <v/>
      </c>
      <c r="Z562" s="27" t="str">
        <f t="shared" si="164"/>
        <v/>
      </c>
      <c r="AA562" s="5"/>
      <c r="AB562" s="5"/>
      <c r="AC562" s="5"/>
      <c r="AD562" s="5"/>
      <c r="AE562" s="5"/>
      <c r="AF562" s="5"/>
      <c r="AG562" s="5"/>
      <c r="AH562" s="27"/>
      <c r="AI562" s="27"/>
      <c r="AJ562" s="27"/>
      <c r="AK562" s="121" t="str">
        <f t="shared" si="173"/>
        <v/>
      </c>
      <c r="AL562" s="6"/>
      <c r="AM562" s="10"/>
      <c r="AN562" s="63"/>
      <c r="AO562" s="63"/>
      <c r="AP562" s="63"/>
      <c r="AQ562" s="63"/>
      <c r="AR562" s="63"/>
      <c r="AS562" s="63"/>
      <c r="AT562" s="63"/>
      <c r="AU562" s="124" t="str">
        <f t="shared" si="172"/>
        <v/>
      </c>
      <c r="AV562" s="124" t="s">
        <v>2836</v>
      </c>
      <c r="AW562" s="117"/>
      <c r="AX562" s="138" t="str">
        <f t="shared" si="165"/>
        <v/>
      </c>
      <c r="AY562" s="31" t="str">
        <f>IF(C562&lt;&gt;"",CREATE_QUERY($D$1,C$2:AW$2,C562:AW562),"")</f>
        <v/>
      </c>
    </row>
    <row r="563" spans="1:51">
      <c r="A563" s="1">
        <v>228</v>
      </c>
      <c r="B563" s="5" t="str">
        <f t="shared" si="171"/>
        <v/>
      </c>
      <c r="C563" s="10" t="str">
        <f t="shared" si="168"/>
        <v/>
      </c>
      <c r="D563" s="5"/>
      <c r="E563" s="10"/>
      <c r="F563" s="5"/>
      <c r="G563" s="5"/>
      <c r="H563" s="5"/>
      <c r="I563" s="5"/>
      <c r="J563" s="5"/>
      <c r="K563" s="10"/>
      <c r="L563" s="10"/>
      <c r="M563" s="10"/>
      <c r="N563" s="5"/>
      <c r="O563" s="5"/>
      <c r="P563" s="27" t="str">
        <f t="shared" si="155"/>
        <v>0</v>
      </c>
      <c r="Q563" s="27" t="str">
        <f t="shared" si="156"/>
        <v>0</v>
      </c>
      <c r="R563" s="27" t="str">
        <f t="shared" si="157"/>
        <v>0</v>
      </c>
      <c r="S563" s="27" t="str">
        <f t="shared" si="158"/>
        <v>0</v>
      </c>
      <c r="T563" s="27" t="str">
        <f t="shared" si="159"/>
        <v>0</v>
      </c>
      <c r="U563" s="27" t="str">
        <f t="shared" si="160"/>
        <v>0</v>
      </c>
      <c r="V563" s="27" t="str">
        <f t="shared" si="161"/>
        <v>1</v>
      </c>
      <c r="W563" s="27"/>
      <c r="X563" s="27" t="str">
        <f t="shared" si="162"/>
        <v/>
      </c>
      <c r="Y563" s="27" t="str">
        <f t="shared" si="163"/>
        <v/>
      </c>
      <c r="Z563" s="27" t="str">
        <f t="shared" si="164"/>
        <v/>
      </c>
      <c r="AA563" s="5"/>
      <c r="AB563" s="5"/>
      <c r="AC563" s="5"/>
      <c r="AD563" s="5"/>
      <c r="AE563" s="5"/>
      <c r="AF563" s="5"/>
      <c r="AG563" s="5"/>
      <c r="AH563" s="27"/>
      <c r="AI563" s="27"/>
      <c r="AJ563" s="27"/>
      <c r="AK563" s="121" t="str">
        <f t="shared" si="173"/>
        <v/>
      </c>
      <c r="AL563" s="6"/>
      <c r="AM563" s="10"/>
      <c r="AN563" s="63"/>
      <c r="AO563" s="63"/>
      <c r="AP563" s="63"/>
      <c r="AQ563" s="63"/>
      <c r="AR563" s="63"/>
      <c r="AS563" s="63"/>
      <c r="AT563" s="63"/>
      <c r="AU563" s="124" t="str">
        <f t="shared" si="172"/>
        <v/>
      </c>
      <c r="AV563" s="124" t="str">
        <f t="shared" si="172"/>
        <v/>
      </c>
      <c r="AW563" s="117"/>
      <c r="AX563" s="138" t="str">
        <f t="shared" si="165"/>
        <v/>
      </c>
      <c r="AY563" s="31" t="str">
        <f>IF(C563&lt;&gt;"",CREATE_QUERY($D$1,C$2:AW$2,C563:AW563),"")</f>
        <v/>
      </c>
    </row>
    <row r="564" spans="1:51">
      <c r="A564" s="1">
        <v>229</v>
      </c>
      <c r="B564" s="5" t="str">
        <f t="shared" si="171"/>
        <v/>
      </c>
      <c r="C564" s="10" t="str">
        <f t="shared" si="168"/>
        <v/>
      </c>
      <c r="D564" s="5"/>
      <c r="E564" s="10"/>
      <c r="F564" s="5"/>
      <c r="G564" s="5"/>
      <c r="H564" s="5"/>
      <c r="I564" s="5"/>
      <c r="J564" s="5"/>
      <c r="K564" s="10"/>
      <c r="L564" s="10"/>
      <c r="M564" s="10"/>
      <c r="N564" s="5"/>
      <c r="O564" s="5"/>
      <c r="P564" s="27" t="str">
        <f t="shared" si="155"/>
        <v>0</v>
      </c>
      <c r="Q564" s="27" t="str">
        <f t="shared" si="156"/>
        <v>0</v>
      </c>
      <c r="R564" s="27" t="str">
        <f t="shared" si="157"/>
        <v>0</v>
      </c>
      <c r="S564" s="27" t="str">
        <f t="shared" si="158"/>
        <v>0</v>
      </c>
      <c r="T564" s="27" t="str">
        <f t="shared" si="159"/>
        <v>0</v>
      </c>
      <c r="U564" s="27" t="str">
        <f t="shared" si="160"/>
        <v>0</v>
      </c>
      <c r="V564" s="27" t="str">
        <f t="shared" si="161"/>
        <v>1</v>
      </c>
      <c r="W564" s="27"/>
      <c r="X564" s="27" t="str">
        <f t="shared" si="162"/>
        <v/>
      </c>
      <c r="Y564" s="27" t="str">
        <f t="shared" si="163"/>
        <v/>
      </c>
      <c r="Z564" s="27" t="str">
        <f t="shared" si="164"/>
        <v/>
      </c>
      <c r="AA564" s="5"/>
      <c r="AB564" s="5"/>
      <c r="AC564" s="5"/>
      <c r="AD564" s="5"/>
      <c r="AE564" s="5"/>
      <c r="AF564" s="5"/>
      <c r="AG564" s="5"/>
      <c r="AH564" s="27"/>
      <c r="AI564" s="27"/>
      <c r="AJ564" s="27"/>
      <c r="AK564" s="121" t="str">
        <f t="shared" si="173"/>
        <v/>
      </c>
      <c r="AL564" s="6"/>
      <c r="AM564" s="10"/>
      <c r="AN564" s="63"/>
      <c r="AO564" s="63"/>
      <c r="AP564" s="63"/>
      <c r="AQ564" s="63"/>
      <c r="AR564" s="63"/>
      <c r="AS564" s="63"/>
      <c r="AT564" s="63"/>
      <c r="AU564" s="124" t="str">
        <f t="shared" si="172"/>
        <v/>
      </c>
      <c r="AV564" s="124" t="str">
        <f t="shared" si="172"/>
        <v/>
      </c>
      <c r="AW564" s="117"/>
      <c r="AX564" s="138" t="str">
        <f t="shared" si="165"/>
        <v/>
      </c>
      <c r="AY564" s="31" t="str">
        <f>IF(C564&lt;&gt;"",CREATE_QUERY($D$1,C$2:AW$2,C564:AW564),"")</f>
        <v/>
      </c>
    </row>
    <row r="565" spans="1:51">
      <c r="A565" s="1">
        <v>230</v>
      </c>
      <c r="B565" s="5" t="str">
        <f t="shared" si="171"/>
        <v/>
      </c>
      <c r="C565" s="10" t="str">
        <f t="shared" si="168"/>
        <v/>
      </c>
      <c r="D565" s="5"/>
      <c r="E565" s="10"/>
      <c r="F565" s="5"/>
      <c r="G565" s="5"/>
      <c r="H565" s="5"/>
      <c r="I565" s="5"/>
      <c r="J565" s="5"/>
      <c r="K565" s="10"/>
      <c r="L565" s="10"/>
      <c r="M565" s="10"/>
      <c r="N565" s="5"/>
      <c r="O565" s="5"/>
      <c r="P565" s="27" t="str">
        <f t="shared" si="155"/>
        <v>0</v>
      </c>
      <c r="Q565" s="27" t="str">
        <f t="shared" si="156"/>
        <v>0</v>
      </c>
      <c r="R565" s="27" t="str">
        <f t="shared" si="157"/>
        <v>0</v>
      </c>
      <c r="S565" s="27" t="str">
        <f t="shared" si="158"/>
        <v>0</v>
      </c>
      <c r="T565" s="27" t="str">
        <f t="shared" si="159"/>
        <v>0</v>
      </c>
      <c r="U565" s="27" t="str">
        <f t="shared" si="160"/>
        <v>0</v>
      </c>
      <c r="V565" s="27" t="str">
        <f t="shared" si="161"/>
        <v>1</v>
      </c>
      <c r="W565" s="27"/>
      <c r="X565" s="27" t="str">
        <f t="shared" si="162"/>
        <v/>
      </c>
      <c r="Y565" s="27" t="str">
        <f t="shared" si="163"/>
        <v/>
      </c>
      <c r="Z565" s="27" t="str">
        <f t="shared" si="164"/>
        <v/>
      </c>
      <c r="AA565" s="5"/>
      <c r="AB565" s="5"/>
      <c r="AC565" s="5"/>
      <c r="AD565" s="5"/>
      <c r="AE565" s="5"/>
      <c r="AF565" s="5"/>
      <c r="AG565" s="5"/>
      <c r="AH565" s="27"/>
      <c r="AI565" s="27"/>
      <c r="AJ565" s="27"/>
      <c r="AK565" s="121" t="str">
        <f t="shared" si="173"/>
        <v/>
      </c>
      <c r="AL565" s="6"/>
      <c r="AM565" s="10"/>
      <c r="AN565" s="63"/>
      <c r="AO565" s="63"/>
      <c r="AP565" s="63"/>
      <c r="AQ565" s="63"/>
      <c r="AR565" s="63"/>
      <c r="AS565" s="63"/>
      <c r="AT565" s="63"/>
      <c r="AU565" s="124" t="str">
        <f t="shared" si="172"/>
        <v/>
      </c>
      <c r="AV565" s="124" t="str">
        <f t="shared" si="172"/>
        <v/>
      </c>
      <c r="AW565" s="117"/>
      <c r="AX565" s="138" t="str">
        <f t="shared" si="165"/>
        <v/>
      </c>
      <c r="AY565" s="31" t="str">
        <f>IF(C565&lt;&gt;"",CREATE_QUERY($D$1,C$2:AW$2,C565:AW565),"")</f>
        <v/>
      </c>
    </row>
    <row r="566" spans="1:51">
      <c r="A566" s="1">
        <v>231</v>
      </c>
      <c r="B566" s="5" t="str">
        <f t="shared" si="171"/>
        <v/>
      </c>
      <c r="C566" s="10" t="str">
        <f t="shared" si="168"/>
        <v/>
      </c>
      <c r="D566" s="5"/>
      <c r="E566" s="10"/>
      <c r="F566" s="5"/>
      <c r="G566" s="5"/>
      <c r="H566" s="5"/>
      <c r="I566" s="5"/>
      <c r="J566" s="5"/>
      <c r="K566" s="10"/>
      <c r="L566" s="10"/>
      <c r="M566" s="10"/>
      <c r="N566" s="5"/>
      <c r="O566" s="5"/>
      <c r="P566" s="27" t="str">
        <f t="shared" si="155"/>
        <v>0</v>
      </c>
      <c r="Q566" s="27" t="str">
        <f t="shared" si="156"/>
        <v>0</v>
      </c>
      <c r="R566" s="27" t="str">
        <f t="shared" si="157"/>
        <v>0</v>
      </c>
      <c r="S566" s="27" t="str">
        <f t="shared" si="158"/>
        <v>0</v>
      </c>
      <c r="T566" s="27" t="str">
        <f t="shared" si="159"/>
        <v>0</v>
      </c>
      <c r="U566" s="27" t="str">
        <f t="shared" si="160"/>
        <v>0</v>
      </c>
      <c r="V566" s="27" t="str">
        <f t="shared" si="161"/>
        <v>1</v>
      </c>
      <c r="W566" s="27"/>
      <c r="X566" s="27" t="str">
        <f t="shared" si="162"/>
        <v/>
      </c>
      <c r="Y566" s="27" t="str">
        <f t="shared" si="163"/>
        <v/>
      </c>
      <c r="Z566" s="27" t="str">
        <f t="shared" si="164"/>
        <v/>
      </c>
      <c r="AA566" s="5"/>
      <c r="AB566" s="5"/>
      <c r="AC566" s="5"/>
      <c r="AD566" s="5"/>
      <c r="AE566" s="5"/>
      <c r="AF566" s="5"/>
      <c r="AG566" s="5"/>
      <c r="AH566" s="27"/>
      <c r="AI566" s="27"/>
      <c r="AJ566" s="27"/>
      <c r="AK566" s="121" t="str">
        <f t="shared" si="173"/>
        <v/>
      </c>
      <c r="AL566" s="6"/>
      <c r="AM566" s="10"/>
      <c r="AN566" s="63"/>
      <c r="AO566" s="63"/>
      <c r="AP566" s="63"/>
      <c r="AQ566" s="63"/>
      <c r="AR566" s="63"/>
      <c r="AS566" s="63"/>
      <c r="AT566" s="63"/>
      <c r="AU566" s="124" t="str">
        <f t="shared" si="172"/>
        <v/>
      </c>
      <c r="AV566" s="124" t="str">
        <f t="shared" si="172"/>
        <v/>
      </c>
      <c r="AW566" s="117"/>
      <c r="AX566" s="138" t="str">
        <f t="shared" si="165"/>
        <v/>
      </c>
      <c r="AY566" s="31" t="str">
        <f>IF(C566&lt;&gt;"",CREATE_QUERY($D$1,C$2:AW$2,C566:AW566),"")</f>
        <v/>
      </c>
    </row>
    <row r="567" spans="1:51">
      <c r="A567" s="1">
        <v>232</v>
      </c>
      <c r="B567" s="5" t="str">
        <f t="shared" si="171"/>
        <v/>
      </c>
      <c r="C567" s="10" t="str">
        <f t="shared" si="168"/>
        <v/>
      </c>
      <c r="D567" s="5"/>
      <c r="E567" s="10"/>
      <c r="F567" s="5"/>
      <c r="G567" s="5"/>
      <c r="H567" s="5"/>
      <c r="I567" s="5"/>
      <c r="J567" s="5"/>
      <c r="K567" s="10"/>
      <c r="L567" s="10"/>
      <c r="M567" s="10"/>
      <c r="N567" s="5"/>
      <c r="O567" s="5"/>
      <c r="P567" s="27" t="str">
        <f t="shared" si="155"/>
        <v>0</v>
      </c>
      <c r="Q567" s="27" t="str">
        <f t="shared" si="156"/>
        <v>0</v>
      </c>
      <c r="R567" s="27" t="str">
        <f t="shared" si="157"/>
        <v>0</v>
      </c>
      <c r="S567" s="27" t="str">
        <f t="shared" si="158"/>
        <v>0</v>
      </c>
      <c r="T567" s="27" t="str">
        <f t="shared" si="159"/>
        <v>0</v>
      </c>
      <c r="U567" s="27" t="str">
        <f t="shared" si="160"/>
        <v>0</v>
      </c>
      <c r="V567" s="27" t="str">
        <f t="shared" si="161"/>
        <v>1</v>
      </c>
      <c r="W567" s="27"/>
      <c r="X567" s="27" t="str">
        <f t="shared" si="162"/>
        <v/>
      </c>
      <c r="Y567" s="27" t="str">
        <f t="shared" si="163"/>
        <v/>
      </c>
      <c r="Z567" s="27" t="str">
        <f t="shared" si="164"/>
        <v/>
      </c>
      <c r="AA567" s="5"/>
      <c r="AB567" s="5"/>
      <c r="AC567" s="5"/>
      <c r="AD567" s="5"/>
      <c r="AE567" s="5"/>
      <c r="AF567" s="5"/>
      <c r="AG567" s="5"/>
      <c r="AH567" s="27"/>
      <c r="AI567" s="27"/>
      <c r="AJ567" s="27"/>
      <c r="AK567" s="121" t="str">
        <f t="shared" si="173"/>
        <v/>
      </c>
      <c r="AL567" s="6"/>
      <c r="AM567" s="10"/>
      <c r="AN567" s="63"/>
      <c r="AO567" s="63"/>
      <c r="AP567" s="63"/>
      <c r="AQ567" s="63"/>
      <c r="AR567" s="63"/>
      <c r="AS567" s="63"/>
      <c r="AT567" s="63"/>
      <c r="AU567" s="124" t="str">
        <f t="shared" si="172"/>
        <v/>
      </c>
      <c r="AV567" s="124" t="str">
        <f t="shared" si="172"/>
        <v/>
      </c>
      <c r="AW567" s="117"/>
      <c r="AX567" s="138" t="str">
        <f t="shared" si="165"/>
        <v/>
      </c>
      <c r="AY567" s="31" t="str">
        <f>IF(C567&lt;&gt;"",CREATE_QUERY($D$1,C$2:AW$2,C567:AW567),"")</f>
        <v/>
      </c>
    </row>
    <row r="568" spans="1:51">
      <c r="A568" s="1">
        <v>233</v>
      </c>
      <c r="B568" s="5" t="str">
        <f t="shared" si="171"/>
        <v/>
      </c>
      <c r="C568" s="10" t="str">
        <f t="shared" si="168"/>
        <v/>
      </c>
      <c r="D568" s="5"/>
      <c r="E568" s="10"/>
      <c r="F568" s="5"/>
      <c r="G568" s="5"/>
      <c r="H568" s="5"/>
      <c r="I568" s="5"/>
      <c r="J568" s="5"/>
      <c r="K568" s="10"/>
      <c r="L568" s="10"/>
      <c r="M568" s="10"/>
      <c r="N568" s="5"/>
      <c r="O568" s="5"/>
      <c r="P568" s="27" t="str">
        <f t="shared" si="155"/>
        <v>0</v>
      </c>
      <c r="Q568" s="27" t="str">
        <f t="shared" si="156"/>
        <v>0</v>
      </c>
      <c r="R568" s="27" t="str">
        <f t="shared" si="157"/>
        <v>0</v>
      </c>
      <c r="S568" s="27" t="str">
        <f t="shared" si="158"/>
        <v>0</v>
      </c>
      <c r="T568" s="27" t="str">
        <f t="shared" si="159"/>
        <v>0</v>
      </c>
      <c r="U568" s="27" t="str">
        <f t="shared" si="160"/>
        <v>0</v>
      </c>
      <c r="V568" s="27" t="str">
        <f t="shared" si="161"/>
        <v>1</v>
      </c>
      <c r="W568" s="27"/>
      <c r="X568" s="27" t="str">
        <f t="shared" si="162"/>
        <v/>
      </c>
      <c r="Y568" s="27" t="str">
        <f t="shared" si="163"/>
        <v/>
      </c>
      <c r="Z568" s="27" t="str">
        <f t="shared" si="164"/>
        <v/>
      </c>
      <c r="AA568" s="5"/>
      <c r="AB568" s="5"/>
      <c r="AC568" s="5"/>
      <c r="AD568" s="5"/>
      <c r="AE568" s="5"/>
      <c r="AF568" s="5"/>
      <c r="AG568" s="5"/>
      <c r="AH568" s="27"/>
      <c r="AI568" s="27"/>
      <c r="AJ568" s="27"/>
      <c r="AK568" s="121" t="str">
        <f t="shared" si="173"/>
        <v/>
      </c>
      <c r="AL568" s="6"/>
      <c r="AM568" s="10"/>
      <c r="AN568" s="63"/>
      <c r="AO568" s="63"/>
      <c r="AP568" s="63"/>
      <c r="AQ568" s="63"/>
      <c r="AR568" s="63"/>
      <c r="AS568" s="63"/>
      <c r="AT568" s="63"/>
      <c r="AU568" s="124" t="str">
        <f t="shared" si="172"/>
        <v/>
      </c>
      <c r="AV568" s="124" t="str">
        <f t="shared" si="172"/>
        <v/>
      </c>
      <c r="AW568" s="117"/>
      <c r="AX568" s="138" t="str">
        <f t="shared" si="165"/>
        <v/>
      </c>
      <c r="AY568" s="31" t="str">
        <f>IF(C568&lt;&gt;"",CREATE_QUERY($D$1,C$2:AW$2,C568:AW568),"")</f>
        <v/>
      </c>
    </row>
    <row r="569" spans="1:51">
      <c r="A569" s="1">
        <v>234</v>
      </c>
      <c r="B569" s="5" t="str">
        <f t="shared" si="171"/>
        <v/>
      </c>
      <c r="C569" s="10" t="str">
        <f t="shared" si="168"/>
        <v/>
      </c>
      <c r="D569" s="5"/>
      <c r="E569" s="10"/>
      <c r="F569" s="5"/>
      <c r="G569" s="5"/>
      <c r="H569" s="5"/>
      <c r="I569" s="5"/>
      <c r="J569" s="5"/>
      <c r="K569" s="10"/>
      <c r="L569" s="10"/>
      <c r="M569" s="10"/>
      <c r="N569" s="5"/>
      <c r="O569" s="5"/>
      <c r="P569" s="27" t="str">
        <f t="shared" si="155"/>
        <v>0</v>
      </c>
      <c r="Q569" s="27" t="str">
        <f t="shared" si="156"/>
        <v>0</v>
      </c>
      <c r="R569" s="27" t="str">
        <f t="shared" si="157"/>
        <v>0</v>
      </c>
      <c r="S569" s="27" t="str">
        <f t="shared" si="158"/>
        <v>0</v>
      </c>
      <c r="T569" s="27" t="str">
        <f t="shared" si="159"/>
        <v>0</v>
      </c>
      <c r="U569" s="27" t="str">
        <f t="shared" si="160"/>
        <v>0</v>
      </c>
      <c r="V569" s="27" t="str">
        <f t="shared" si="161"/>
        <v>1</v>
      </c>
      <c r="W569" s="27"/>
      <c r="X569" s="27" t="str">
        <f t="shared" si="162"/>
        <v/>
      </c>
      <c r="Y569" s="27" t="str">
        <f t="shared" si="163"/>
        <v/>
      </c>
      <c r="Z569" s="27" t="str">
        <f t="shared" si="164"/>
        <v/>
      </c>
      <c r="AA569" s="5"/>
      <c r="AB569" s="5"/>
      <c r="AC569" s="5"/>
      <c r="AD569" s="5"/>
      <c r="AE569" s="5"/>
      <c r="AF569" s="5"/>
      <c r="AG569" s="5"/>
      <c r="AH569" s="27"/>
      <c r="AI569" s="27"/>
      <c r="AJ569" s="27"/>
      <c r="AK569" s="121" t="str">
        <f t="shared" si="173"/>
        <v/>
      </c>
      <c r="AL569" s="6"/>
      <c r="AM569" s="10"/>
      <c r="AN569" s="63"/>
      <c r="AO569" s="63"/>
      <c r="AP569" s="63"/>
      <c r="AQ569" s="63"/>
      <c r="AR569" s="63"/>
      <c r="AS569" s="63"/>
      <c r="AT569" s="63"/>
      <c r="AU569" s="124" t="str">
        <f t="shared" si="172"/>
        <v/>
      </c>
      <c r="AV569" s="124" t="str">
        <f t="shared" si="172"/>
        <v/>
      </c>
      <c r="AW569" s="117"/>
      <c r="AX569" s="138" t="str">
        <f t="shared" si="165"/>
        <v/>
      </c>
      <c r="AY569" s="31" t="str">
        <f>IF(C569&lt;&gt;"",CREATE_QUERY($D$1,C$2:AW$2,C569:AW569),"")</f>
        <v/>
      </c>
    </row>
    <row r="570" spans="1:51">
      <c r="A570" s="1">
        <v>235</v>
      </c>
      <c r="B570" s="5" t="str">
        <f t="shared" si="171"/>
        <v/>
      </c>
      <c r="C570" s="10" t="str">
        <f t="shared" si="168"/>
        <v/>
      </c>
      <c r="D570" s="5"/>
      <c r="E570" s="10"/>
      <c r="F570" s="5"/>
      <c r="G570" s="5"/>
      <c r="H570" s="5"/>
      <c r="I570" s="5"/>
      <c r="J570" s="5"/>
      <c r="K570" s="10"/>
      <c r="L570" s="10"/>
      <c r="M570" s="10"/>
      <c r="N570" s="5"/>
      <c r="O570" s="5"/>
      <c r="P570" s="27" t="str">
        <f t="shared" si="155"/>
        <v>0</v>
      </c>
      <c r="Q570" s="27" t="str">
        <f t="shared" si="156"/>
        <v>0</v>
      </c>
      <c r="R570" s="27" t="str">
        <f t="shared" si="157"/>
        <v>0</v>
      </c>
      <c r="S570" s="27" t="str">
        <f t="shared" si="158"/>
        <v>0</v>
      </c>
      <c r="T570" s="27" t="str">
        <f t="shared" si="159"/>
        <v>0</v>
      </c>
      <c r="U570" s="27" t="str">
        <f t="shared" si="160"/>
        <v>0</v>
      </c>
      <c r="V570" s="27" t="str">
        <f t="shared" si="161"/>
        <v>1</v>
      </c>
      <c r="W570" s="27"/>
      <c r="X570" s="27" t="str">
        <f t="shared" si="162"/>
        <v/>
      </c>
      <c r="Y570" s="27" t="str">
        <f t="shared" si="163"/>
        <v/>
      </c>
      <c r="Z570" s="27" t="str">
        <f t="shared" si="164"/>
        <v/>
      </c>
      <c r="AA570" s="5"/>
      <c r="AB570" s="5"/>
      <c r="AC570" s="5"/>
      <c r="AD570" s="5"/>
      <c r="AE570" s="5"/>
      <c r="AF570" s="5"/>
      <c r="AG570" s="5"/>
      <c r="AH570" s="27"/>
      <c r="AI570" s="27"/>
      <c r="AJ570" s="27"/>
      <c r="AK570" s="121" t="str">
        <f t="shared" si="173"/>
        <v/>
      </c>
      <c r="AL570" s="6"/>
      <c r="AM570" s="10"/>
      <c r="AN570" s="63"/>
      <c r="AO570" s="63"/>
      <c r="AP570" s="63"/>
      <c r="AQ570" s="63"/>
      <c r="AR570" s="63"/>
      <c r="AS570" s="63"/>
      <c r="AT570" s="63"/>
      <c r="AU570" s="124" t="str">
        <f t="shared" si="172"/>
        <v/>
      </c>
      <c r="AV570" s="124" t="str">
        <f t="shared" si="172"/>
        <v/>
      </c>
      <c r="AW570" s="117"/>
      <c r="AX570" s="138" t="str">
        <f t="shared" si="165"/>
        <v/>
      </c>
      <c r="AY570" s="31" t="str">
        <f>IF(C570&lt;&gt;"",CREATE_QUERY($D$1,C$2:AW$2,C570:AW570),"")</f>
        <v/>
      </c>
    </row>
    <row r="571" spans="1:51">
      <c r="A571" s="1">
        <v>236</v>
      </c>
      <c r="B571" s="5" t="str">
        <f t="shared" si="171"/>
        <v/>
      </c>
      <c r="C571" s="10" t="str">
        <f t="shared" si="168"/>
        <v/>
      </c>
      <c r="D571" s="5"/>
      <c r="E571" s="10"/>
      <c r="F571" s="5"/>
      <c r="G571" s="5"/>
      <c r="H571" s="5"/>
      <c r="I571" s="5"/>
      <c r="J571" s="5"/>
      <c r="K571" s="10"/>
      <c r="L571" s="10"/>
      <c r="M571" s="10"/>
      <c r="N571" s="5"/>
      <c r="O571" s="5"/>
      <c r="P571" s="27" t="str">
        <f t="shared" si="155"/>
        <v>0</v>
      </c>
      <c r="Q571" s="27" t="str">
        <f t="shared" si="156"/>
        <v>0</v>
      </c>
      <c r="R571" s="27" t="str">
        <f t="shared" si="157"/>
        <v>0</v>
      </c>
      <c r="S571" s="27" t="str">
        <f t="shared" si="158"/>
        <v>0</v>
      </c>
      <c r="T571" s="27" t="str">
        <f t="shared" si="159"/>
        <v>0</v>
      </c>
      <c r="U571" s="27" t="str">
        <f t="shared" si="160"/>
        <v>0</v>
      </c>
      <c r="V571" s="27" t="str">
        <f t="shared" si="161"/>
        <v>1</v>
      </c>
      <c r="W571" s="27"/>
      <c r="X571" s="27" t="str">
        <f t="shared" si="162"/>
        <v/>
      </c>
      <c r="Y571" s="27" t="str">
        <f t="shared" si="163"/>
        <v/>
      </c>
      <c r="Z571" s="27" t="str">
        <f t="shared" si="164"/>
        <v/>
      </c>
      <c r="AA571" s="5"/>
      <c r="AB571" s="5"/>
      <c r="AC571" s="5"/>
      <c r="AD571" s="5"/>
      <c r="AE571" s="5"/>
      <c r="AF571" s="5"/>
      <c r="AG571" s="5"/>
      <c r="AH571" s="27"/>
      <c r="AI571" s="27"/>
      <c r="AJ571" s="27"/>
      <c r="AK571" s="121" t="str">
        <f t="shared" si="173"/>
        <v/>
      </c>
      <c r="AL571" s="6"/>
      <c r="AM571" s="10"/>
      <c r="AN571" s="63"/>
      <c r="AO571" s="63"/>
      <c r="AP571" s="63"/>
      <c r="AQ571" s="63"/>
      <c r="AR571" s="63"/>
      <c r="AS571" s="63"/>
      <c r="AT571" s="63"/>
      <c r="AU571" s="124" t="str">
        <f t="shared" si="172"/>
        <v/>
      </c>
      <c r="AV571" s="124" t="str">
        <f t="shared" si="172"/>
        <v/>
      </c>
      <c r="AW571" s="117"/>
      <c r="AX571" s="138" t="str">
        <f t="shared" si="165"/>
        <v/>
      </c>
      <c r="AY571" s="31" t="str">
        <f>IF(C571&lt;&gt;"",CREATE_QUERY($D$1,C$2:AW$2,C571:AW571),"")</f>
        <v/>
      </c>
    </row>
    <row r="572" spans="1:51">
      <c r="A572" s="1">
        <v>237</v>
      </c>
      <c r="B572" s="5" t="str">
        <f t="shared" si="171"/>
        <v/>
      </c>
      <c r="C572" s="10" t="str">
        <f t="shared" si="168"/>
        <v/>
      </c>
      <c r="D572" s="5"/>
      <c r="E572" s="10"/>
      <c r="F572" s="5"/>
      <c r="G572" s="5"/>
      <c r="H572" s="5"/>
      <c r="I572" s="5"/>
      <c r="J572" s="5"/>
      <c r="K572" s="10"/>
      <c r="L572" s="10"/>
      <c r="M572" s="10"/>
      <c r="N572" s="5"/>
      <c r="O572" s="5"/>
      <c r="P572" s="27" t="str">
        <f t="shared" si="155"/>
        <v>0</v>
      </c>
      <c r="Q572" s="27" t="str">
        <f t="shared" si="156"/>
        <v>0</v>
      </c>
      <c r="R572" s="27" t="str">
        <f t="shared" si="157"/>
        <v>0</v>
      </c>
      <c r="S572" s="27" t="str">
        <f t="shared" si="158"/>
        <v>0</v>
      </c>
      <c r="T572" s="27" t="str">
        <f t="shared" si="159"/>
        <v>0</v>
      </c>
      <c r="U572" s="27" t="str">
        <f t="shared" si="160"/>
        <v>0</v>
      </c>
      <c r="V572" s="27" t="str">
        <f t="shared" si="161"/>
        <v>1</v>
      </c>
      <c r="W572" s="27"/>
      <c r="X572" s="27" t="str">
        <f t="shared" si="162"/>
        <v/>
      </c>
      <c r="Y572" s="27" t="str">
        <f t="shared" si="163"/>
        <v/>
      </c>
      <c r="Z572" s="27" t="str">
        <f t="shared" si="164"/>
        <v/>
      </c>
      <c r="AA572" s="5"/>
      <c r="AB572" s="5"/>
      <c r="AC572" s="5"/>
      <c r="AD572" s="5"/>
      <c r="AE572" s="5"/>
      <c r="AF572" s="5"/>
      <c r="AG572" s="5"/>
      <c r="AH572" s="27"/>
      <c r="AI572" s="27"/>
      <c r="AJ572" s="27"/>
      <c r="AK572" s="121" t="str">
        <f t="shared" si="173"/>
        <v/>
      </c>
      <c r="AL572" s="6"/>
      <c r="AM572" s="10"/>
      <c r="AN572" s="63"/>
      <c r="AO572" s="63"/>
      <c r="AP572" s="63"/>
      <c r="AQ572" s="63"/>
      <c r="AR572" s="63"/>
      <c r="AS572" s="63"/>
      <c r="AT572" s="63"/>
      <c r="AU572" s="124" t="str">
        <f t="shared" si="172"/>
        <v/>
      </c>
      <c r="AV572" s="124" t="str">
        <f t="shared" si="172"/>
        <v/>
      </c>
      <c r="AW572" s="117"/>
      <c r="AX572" s="138" t="str">
        <f t="shared" si="165"/>
        <v/>
      </c>
      <c r="AY572" s="31" t="str">
        <f>IF(C572&lt;&gt;"",CREATE_QUERY($D$1,C$2:AW$2,C572:AW572),"")</f>
        <v/>
      </c>
    </row>
    <row r="573" spans="1:51">
      <c r="A573" s="1">
        <v>238</v>
      </c>
      <c r="B573" s="5" t="str">
        <f t="shared" si="171"/>
        <v/>
      </c>
      <c r="C573" s="10" t="str">
        <f t="shared" si="168"/>
        <v/>
      </c>
      <c r="D573" s="5"/>
      <c r="E573" s="10"/>
      <c r="F573" s="5"/>
      <c r="G573" s="5"/>
      <c r="H573" s="5"/>
      <c r="I573" s="5"/>
      <c r="J573" s="5"/>
      <c r="K573" s="10"/>
      <c r="L573" s="10"/>
      <c r="M573" s="10"/>
      <c r="N573" s="5"/>
      <c r="O573" s="5"/>
      <c r="P573" s="27" t="str">
        <f t="shared" ref="P573:P586" si="174">IF(O573="","0","1")</f>
        <v>0</v>
      </c>
      <c r="Q573" s="27" t="str">
        <f t="shared" ref="Q573:Q586" si="175">IF(O573="","0","1")</f>
        <v>0</v>
      </c>
      <c r="R573" s="27" t="str">
        <f t="shared" ref="R573:R586" si="176">IF(O573="","0","1")</f>
        <v>0</v>
      </c>
      <c r="S573" s="27" t="str">
        <f t="shared" ref="S573:S586" si="177">IF(O573="","0","1")</f>
        <v>0</v>
      </c>
      <c r="T573" s="27" t="str">
        <f t="shared" ref="T573:T586" si="178">IF(O573="","0","1")</f>
        <v>0</v>
      </c>
      <c r="U573" s="27" t="str">
        <f t="shared" ref="U573:U586" si="179">IF(O573="","0","1")</f>
        <v>0</v>
      </c>
      <c r="V573" s="27" t="str">
        <f t="shared" ref="V573:V586" si="180">IF(O573="","1","1")</f>
        <v>1</v>
      </c>
      <c r="W573" s="27"/>
      <c r="X573" s="27" t="str">
        <f t="shared" ref="X573:X586" si="181">IF(O573="","","0")</f>
        <v/>
      </c>
      <c r="Y573" s="27" t="str">
        <f t="shared" ref="Y573:Y586" si="182">IF(O573="","","0")</f>
        <v/>
      </c>
      <c r="Z573" s="27" t="str">
        <f t="shared" ref="Z573:Z586" si="183">IF(O573="","","0")</f>
        <v/>
      </c>
      <c r="AA573" s="5"/>
      <c r="AB573" s="5"/>
      <c r="AC573" s="5"/>
      <c r="AD573" s="5"/>
      <c r="AE573" s="5"/>
      <c r="AF573" s="5"/>
      <c r="AG573" s="5"/>
      <c r="AH573" s="27"/>
      <c r="AI573" s="27"/>
      <c r="AJ573" s="27"/>
      <c r="AK573" s="121" t="str">
        <f t="shared" si="173"/>
        <v/>
      </c>
      <c r="AL573" s="6"/>
      <c r="AM573" s="10"/>
      <c r="AN573" s="63"/>
      <c r="AO573" s="63"/>
      <c r="AP573" s="63"/>
      <c r="AQ573" s="63"/>
      <c r="AR573" s="63"/>
      <c r="AS573" s="63"/>
      <c r="AT573" s="63"/>
      <c r="AU573" s="124" t="str">
        <f t="shared" si="172"/>
        <v/>
      </c>
      <c r="AV573" s="124" t="str">
        <f t="shared" si="172"/>
        <v/>
      </c>
      <c r="AW573" s="117"/>
      <c r="AX573" s="138" t="str">
        <f t="shared" si="165"/>
        <v/>
      </c>
      <c r="AY573" s="31" t="str">
        <f>IF(C573&lt;&gt;"",CREATE_QUERY($D$1,C$2:AW$2,C573:AW573),"")</f>
        <v/>
      </c>
    </row>
    <row r="574" spans="1:51">
      <c r="A574" s="1">
        <v>239</v>
      </c>
      <c r="B574" s="5" t="str">
        <f t="shared" si="171"/>
        <v/>
      </c>
      <c r="C574" s="10" t="str">
        <f t="shared" si="168"/>
        <v/>
      </c>
      <c r="D574" s="5"/>
      <c r="E574" s="10"/>
      <c r="F574" s="5"/>
      <c r="G574" s="5"/>
      <c r="H574" s="5"/>
      <c r="I574" s="5"/>
      <c r="J574" s="5"/>
      <c r="K574" s="10"/>
      <c r="L574" s="10"/>
      <c r="M574" s="10"/>
      <c r="N574" s="5"/>
      <c r="O574" s="5"/>
      <c r="P574" s="27" t="str">
        <f t="shared" si="174"/>
        <v>0</v>
      </c>
      <c r="Q574" s="27" t="str">
        <f t="shared" si="175"/>
        <v>0</v>
      </c>
      <c r="R574" s="27" t="str">
        <f t="shared" si="176"/>
        <v>0</v>
      </c>
      <c r="S574" s="27" t="str">
        <f t="shared" si="177"/>
        <v>0</v>
      </c>
      <c r="T574" s="27" t="str">
        <f t="shared" si="178"/>
        <v>0</v>
      </c>
      <c r="U574" s="27" t="str">
        <f t="shared" si="179"/>
        <v>0</v>
      </c>
      <c r="V574" s="27" t="str">
        <f t="shared" si="180"/>
        <v>1</v>
      </c>
      <c r="W574" s="27"/>
      <c r="X574" s="27" t="str">
        <f t="shared" si="181"/>
        <v/>
      </c>
      <c r="Y574" s="27" t="str">
        <f t="shared" si="182"/>
        <v/>
      </c>
      <c r="Z574" s="27" t="str">
        <f t="shared" si="183"/>
        <v/>
      </c>
      <c r="AA574" s="5"/>
      <c r="AB574" s="5"/>
      <c r="AC574" s="5"/>
      <c r="AD574" s="5"/>
      <c r="AE574" s="5"/>
      <c r="AF574" s="5"/>
      <c r="AG574" s="5"/>
      <c r="AH574" s="27"/>
      <c r="AI574" s="27"/>
      <c r="AJ574" s="27"/>
      <c r="AK574" s="121" t="str">
        <f t="shared" si="173"/>
        <v/>
      </c>
      <c r="AL574" s="6"/>
      <c r="AM574" s="10"/>
      <c r="AN574" s="63"/>
      <c r="AO574" s="63"/>
      <c r="AP574" s="63"/>
      <c r="AQ574" s="63"/>
      <c r="AR574" s="63"/>
      <c r="AS574" s="63"/>
      <c r="AT574" s="63"/>
      <c r="AU574" s="124" t="str">
        <f t="shared" si="172"/>
        <v/>
      </c>
      <c r="AV574" s="124" t="str">
        <f t="shared" si="172"/>
        <v/>
      </c>
      <c r="AW574" s="117"/>
      <c r="AX574" s="138" t="str">
        <f t="shared" si="165"/>
        <v/>
      </c>
    </row>
    <row r="575" spans="1:51">
      <c r="A575" s="1">
        <v>240</v>
      </c>
      <c r="B575" s="5" t="str">
        <f t="shared" si="171"/>
        <v/>
      </c>
      <c r="C575" s="10" t="str">
        <f t="shared" si="168"/>
        <v/>
      </c>
      <c r="D575" s="5"/>
      <c r="E575" s="10"/>
      <c r="F575" s="5"/>
      <c r="G575" s="5"/>
      <c r="H575" s="5"/>
      <c r="I575" s="5"/>
      <c r="J575" s="5"/>
      <c r="K575" s="10"/>
      <c r="L575" s="10"/>
      <c r="M575" s="10"/>
      <c r="N575" s="5"/>
      <c r="O575" s="5"/>
      <c r="P575" s="27" t="str">
        <f t="shared" si="174"/>
        <v>0</v>
      </c>
      <c r="Q575" s="27" t="str">
        <f t="shared" si="175"/>
        <v>0</v>
      </c>
      <c r="R575" s="27" t="str">
        <f t="shared" si="176"/>
        <v>0</v>
      </c>
      <c r="S575" s="27" t="str">
        <f t="shared" si="177"/>
        <v>0</v>
      </c>
      <c r="T575" s="27" t="str">
        <f t="shared" si="178"/>
        <v>0</v>
      </c>
      <c r="U575" s="27" t="str">
        <f t="shared" si="179"/>
        <v>0</v>
      </c>
      <c r="V575" s="27" t="str">
        <f t="shared" si="180"/>
        <v>1</v>
      </c>
      <c r="W575" s="27"/>
      <c r="X575" s="27" t="str">
        <f t="shared" si="181"/>
        <v/>
      </c>
      <c r="Y575" s="27" t="str">
        <f t="shared" si="182"/>
        <v/>
      </c>
      <c r="Z575" s="27" t="str">
        <f t="shared" si="183"/>
        <v/>
      </c>
      <c r="AA575" s="5"/>
      <c r="AB575" s="5"/>
      <c r="AC575" s="5"/>
      <c r="AD575" s="5"/>
      <c r="AE575" s="5"/>
      <c r="AF575" s="5"/>
      <c r="AG575" s="5"/>
      <c r="AH575" s="27"/>
      <c r="AI575" s="27"/>
      <c r="AJ575" s="27"/>
      <c r="AK575" s="121" t="str">
        <f t="shared" si="173"/>
        <v/>
      </c>
      <c r="AL575" s="6"/>
      <c r="AM575" s="10"/>
      <c r="AN575" s="63"/>
      <c r="AO575" s="63"/>
      <c r="AP575" s="63"/>
      <c r="AQ575" s="63"/>
      <c r="AR575" s="63"/>
      <c r="AS575" s="63"/>
      <c r="AT575" s="63"/>
      <c r="AU575" s="124" t="str">
        <f t="shared" si="172"/>
        <v/>
      </c>
      <c r="AV575" s="124" t="str">
        <f t="shared" si="172"/>
        <v/>
      </c>
      <c r="AW575" s="117"/>
      <c r="AX575" s="138" t="str">
        <f t="shared" si="165"/>
        <v/>
      </c>
    </row>
    <row r="576" spans="1:51">
      <c r="A576" s="1">
        <v>241</v>
      </c>
      <c r="B576" s="5" t="str">
        <f t="shared" si="171"/>
        <v/>
      </c>
      <c r="C576" s="10" t="str">
        <f t="shared" si="168"/>
        <v/>
      </c>
      <c r="D576" s="5"/>
      <c r="E576" s="10"/>
      <c r="F576" s="5"/>
      <c r="G576" s="5"/>
      <c r="H576" s="5"/>
      <c r="I576" s="5"/>
      <c r="J576" s="5"/>
      <c r="K576" s="10"/>
      <c r="L576" s="10"/>
      <c r="M576" s="10"/>
      <c r="N576" s="5"/>
      <c r="O576" s="5"/>
      <c r="P576" s="27" t="str">
        <f t="shared" si="174"/>
        <v>0</v>
      </c>
      <c r="Q576" s="27" t="str">
        <f t="shared" si="175"/>
        <v>0</v>
      </c>
      <c r="R576" s="27" t="str">
        <f t="shared" si="176"/>
        <v>0</v>
      </c>
      <c r="S576" s="27" t="str">
        <f t="shared" si="177"/>
        <v>0</v>
      </c>
      <c r="T576" s="27" t="str">
        <f t="shared" si="178"/>
        <v>0</v>
      </c>
      <c r="U576" s="27" t="str">
        <f t="shared" si="179"/>
        <v>0</v>
      </c>
      <c r="V576" s="27" t="str">
        <f t="shared" si="180"/>
        <v>1</v>
      </c>
      <c r="W576" s="27"/>
      <c r="X576" s="27" t="str">
        <f t="shared" si="181"/>
        <v/>
      </c>
      <c r="Y576" s="27" t="str">
        <f t="shared" si="182"/>
        <v/>
      </c>
      <c r="Z576" s="27" t="str">
        <f t="shared" si="183"/>
        <v/>
      </c>
      <c r="AA576" s="5"/>
      <c r="AB576" s="5"/>
      <c r="AC576" s="5"/>
      <c r="AD576" s="5"/>
      <c r="AE576" s="5"/>
      <c r="AF576" s="5"/>
      <c r="AG576" s="5"/>
      <c r="AH576" s="27"/>
      <c r="AI576" s="27"/>
      <c r="AJ576" s="27"/>
      <c r="AK576" s="121" t="str">
        <f t="shared" si="173"/>
        <v/>
      </c>
      <c r="AL576" s="6"/>
      <c r="AM576" s="10"/>
      <c r="AN576" s="63"/>
      <c r="AO576" s="63"/>
      <c r="AP576" s="63"/>
      <c r="AQ576" s="63"/>
      <c r="AR576" s="63"/>
      <c r="AS576" s="63"/>
      <c r="AT576" s="63"/>
      <c r="AU576" s="124" t="str">
        <f t="shared" si="172"/>
        <v/>
      </c>
      <c r="AV576" s="124" t="str">
        <f t="shared" si="172"/>
        <v/>
      </c>
      <c r="AW576" s="117"/>
      <c r="AX576" s="138" t="str">
        <f t="shared" si="165"/>
        <v/>
      </c>
    </row>
    <row r="577" spans="1:50">
      <c r="A577" s="1">
        <v>242</v>
      </c>
      <c r="B577" s="5" t="str">
        <f t="shared" si="171"/>
        <v/>
      </c>
      <c r="C577" s="10" t="str">
        <f t="shared" si="168"/>
        <v/>
      </c>
      <c r="D577" s="5"/>
      <c r="E577" s="10"/>
      <c r="F577" s="5"/>
      <c r="G577" s="5"/>
      <c r="H577" s="5"/>
      <c r="I577" s="5"/>
      <c r="J577" s="5"/>
      <c r="K577" s="10"/>
      <c r="L577" s="10"/>
      <c r="M577" s="10"/>
      <c r="N577" s="5"/>
      <c r="O577" s="5"/>
      <c r="P577" s="27" t="str">
        <f t="shared" si="174"/>
        <v>0</v>
      </c>
      <c r="Q577" s="27" t="str">
        <f t="shared" si="175"/>
        <v>0</v>
      </c>
      <c r="R577" s="27" t="str">
        <f t="shared" si="176"/>
        <v>0</v>
      </c>
      <c r="S577" s="27" t="str">
        <f t="shared" si="177"/>
        <v>0</v>
      </c>
      <c r="T577" s="27" t="str">
        <f t="shared" si="178"/>
        <v>0</v>
      </c>
      <c r="U577" s="27" t="str">
        <f t="shared" si="179"/>
        <v>0</v>
      </c>
      <c r="V577" s="27" t="str">
        <f t="shared" si="180"/>
        <v>1</v>
      </c>
      <c r="W577" s="27"/>
      <c r="X577" s="27" t="str">
        <f t="shared" si="181"/>
        <v/>
      </c>
      <c r="Y577" s="27" t="str">
        <f t="shared" si="182"/>
        <v/>
      </c>
      <c r="Z577" s="27" t="str">
        <f t="shared" si="183"/>
        <v/>
      </c>
      <c r="AA577" s="5"/>
      <c r="AB577" s="5"/>
      <c r="AC577" s="5"/>
      <c r="AD577" s="5"/>
      <c r="AE577" s="5"/>
      <c r="AF577" s="5"/>
      <c r="AG577" s="5"/>
      <c r="AH577" s="27"/>
      <c r="AI577" s="27"/>
      <c r="AJ577" s="27"/>
      <c r="AK577" s="121" t="str">
        <f t="shared" si="173"/>
        <v/>
      </c>
      <c r="AL577" s="6"/>
      <c r="AM577" s="10"/>
      <c r="AN577" s="63"/>
      <c r="AO577" s="63"/>
      <c r="AP577" s="63"/>
      <c r="AQ577" s="63"/>
      <c r="AR577" s="63"/>
      <c r="AS577" s="63"/>
      <c r="AT577" s="63"/>
      <c r="AU577" s="124" t="str">
        <f t="shared" si="172"/>
        <v/>
      </c>
      <c r="AV577" s="124" t="str">
        <f t="shared" si="172"/>
        <v/>
      </c>
      <c r="AW577" s="117"/>
      <c r="AX577" s="138" t="str">
        <f t="shared" si="165"/>
        <v/>
      </c>
    </row>
    <row r="578" spans="1:50">
      <c r="A578" s="1">
        <v>243</v>
      </c>
      <c r="B578" s="5" t="str">
        <f t="shared" si="171"/>
        <v/>
      </c>
      <c r="C578" s="10" t="str">
        <f t="shared" si="168"/>
        <v/>
      </c>
      <c r="D578" s="5"/>
      <c r="E578" s="10"/>
      <c r="F578" s="5"/>
      <c r="G578" s="5"/>
      <c r="H578" s="5"/>
      <c r="I578" s="5"/>
      <c r="J578" s="5"/>
      <c r="K578" s="10"/>
      <c r="L578" s="10"/>
      <c r="M578" s="10"/>
      <c r="N578" s="5"/>
      <c r="O578" s="5"/>
      <c r="P578" s="27" t="str">
        <f t="shared" si="174"/>
        <v>0</v>
      </c>
      <c r="Q578" s="27" t="str">
        <f t="shared" si="175"/>
        <v>0</v>
      </c>
      <c r="R578" s="27" t="str">
        <f t="shared" si="176"/>
        <v>0</v>
      </c>
      <c r="S578" s="27" t="str">
        <f t="shared" si="177"/>
        <v>0</v>
      </c>
      <c r="T578" s="27" t="str">
        <f t="shared" si="178"/>
        <v>0</v>
      </c>
      <c r="U578" s="27" t="str">
        <f t="shared" si="179"/>
        <v>0</v>
      </c>
      <c r="V578" s="27" t="str">
        <f t="shared" si="180"/>
        <v>1</v>
      </c>
      <c r="W578" s="27"/>
      <c r="X578" s="27" t="str">
        <f t="shared" si="181"/>
        <v/>
      </c>
      <c r="Y578" s="27" t="str">
        <f t="shared" si="182"/>
        <v/>
      </c>
      <c r="Z578" s="27" t="str">
        <f t="shared" si="183"/>
        <v/>
      </c>
      <c r="AA578" s="5"/>
      <c r="AB578" s="5"/>
      <c r="AC578" s="5"/>
      <c r="AD578" s="5"/>
      <c r="AE578" s="5"/>
      <c r="AF578" s="5"/>
      <c r="AG578" s="5"/>
      <c r="AH578" s="27"/>
      <c r="AI578" s="27"/>
      <c r="AJ578" s="27"/>
      <c r="AK578" s="121" t="str">
        <f t="shared" si="173"/>
        <v/>
      </c>
      <c r="AL578" s="6"/>
      <c r="AM578" s="10"/>
      <c r="AN578" s="63"/>
      <c r="AO578" s="63"/>
      <c r="AP578" s="63"/>
      <c r="AQ578" s="63"/>
      <c r="AR578" s="63"/>
      <c r="AS578" s="63"/>
      <c r="AT578" s="63"/>
      <c r="AU578" s="124" t="str">
        <f t="shared" si="172"/>
        <v/>
      </c>
      <c r="AV578" s="124" t="str">
        <f t="shared" si="172"/>
        <v/>
      </c>
      <c r="AW578" s="117"/>
      <c r="AX578" s="138" t="str">
        <f t="shared" si="165"/>
        <v/>
      </c>
    </row>
    <row r="579" spans="1:50">
      <c r="A579" s="1">
        <v>244</v>
      </c>
      <c r="B579" s="5" t="str">
        <f t="shared" si="171"/>
        <v/>
      </c>
      <c r="C579" s="10" t="str">
        <f t="shared" si="168"/>
        <v/>
      </c>
      <c r="D579" s="5"/>
      <c r="E579" s="10"/>
      <c r="F579" s="5"/>
      <c r="G579" s="5"/>
      <c r="H579" s="5"/>
      <c r="I579" s="5"/>
      <c r="J579" s="5"/>
      <c r="K579" s="10"/>
      <c r="L579" s="10"/>
      <c r="M579" s="10"/>
      <c r="N579" s="5"/>
      <c r="O579" s="5"/>
      <c r="P579" s="27" t="str">
        <f t="shared" si="174"/>
        <v>0</v>
      </c>
      <c r="Q579" s="27" t="str">
        <f t="shared" si="175"/>
        <v>0</v>
      </c>
      <c r="R579" s="27" t="str">
        <f t="shared" si="176"/>
        <v>0</v>
      </c>
      <c r="S579" s="27" t="str">
        <f t="shared" si="177"/>
        <v>0</v>
      </c>
      <c r="T579" s="27" t="str">
        <f t="shared" si="178"/>
        <v>0</v>
      </c>
      <c r="U579" s="27" t="str">
        <f t="shared" si="179"/>
        <v>0</v>
      </c>
      <c r="V579" s="27" t="str">
        <f t="shared" si="180"/>
        <v>1</v>
      </c>
      <c r="W579" s="27"/>
      <c r="X579" s="27" t="str">
        <f t="shared" si="181"/>
        <v/>
      </c>
      <c r="Y579" s="27" t="str">
        <f t="shared" si="182"/>
        <v/>
      </c>
      <c r="Z579" s="27" t="str">
        <f t="shared" si="183"/>
        <v/>
      </c>
      <c r="AA579" s="5"/>
      <c r="AB579" s="5"/>
      <c r="AC579" s="5"/>
      <c r="AD579" s="5"/>
      <c r="AE579" s="5"/>
      <c r="AF579" s="5"/>
      <c r="AG579" s="5"/>
      <c r="AH579" s="27"/>
      <c r="AI579" s="27"/>
      <c r="AJ579" s="27"/>
      <c r="AK579" s="121" t="str">
        <f t="shared" si="173"/>
        <v/>
      </c>
      <c r="AL579" s="6"/>
      <c r="AM579" s="10"/>
      <c r="AN579" s="63"/>
      <c r="AO579" s="63"/>
      <c r="AP579" s="63"/>
      <c r="AQ579" s="63"/>
      <c r="AR579" s="63"/>
      <c r="AS579" s="63"/>
      <c r="AT579" s="63"/>
      <c r="AU579" s="124" t="str">
        <f t="shared" si="172"/>
        <v/>
      </c>
      <c r="AV579" s="124" t="str">
        <f t="shared" si="172"/>
        <v/>
      </c>
      <c r="AW579" s="117"/>
      <c r="AX579" s="138" t="str">
        <f t="shared" si="165"/>
        <v/>
      </c>
    </row>
    <row r="580" spans="1:50">
      <c r="A580" s="1">
        <v>245</v>
      </c>
      <c r="B580" s="5" t="str">
        <f t="shared" si="171"/>
        <v/>
      </c>
      <c r="C580" s="10" t="str">
        <f t="shared" si="168"/>
        <v/>
      </c>
      <c r="D580" s="5"/>
      <c r="E580" s="10"/>
      <c r="F580" s="5"/>
      <c r="G580" s="5"/>
      <c r="H580" s="5"/>
      <c r="I580" s="5"/>
      <c r="J580" s="5"/>
      <c r="K580" s="10"/>
      <c r="L580" s="10"/>
      <c r="M580" s="10"/>
      <c r="N580" s="5"/>
      <c r="O580" s="5"/>
      <c r="P580" s="27" t="str">
        <f t="shared" si="174"/>
        <v>0</v>
      </c>
      <c r="Q580" s="27" t="str">
        <f t="shared" si="175"/>
        <v>0</v>
      </c>
      <c r="R580" s="27" t="str">
        <f t="shared" si="176"/>
        <v>0</v>
      </c>
      <c r="S580" s="27" t="str">
        <f t="shared" si="177"/>
        <v>0</v>
      </c>
      <c r="T580" s="27" t="str">
        <f t="shared" si="178"/>
        <v>0</v>
      </c>
      <c r="U580" s="27" t="str">
        <f t="shared" si="179"/>
        <v>0</v>
      </c>
      <c r="V580" s="27" t="str">
        <f t="shared" si="180"/>
        <v>1</v>
      </c>
      <c r="W580" s="27"/>
      <c r="X580" s="27" t="str">
        <f t="shared" si="181"/>
        <v/>
      </c>
      <c r="Y580" s="27" t="str">
        <f t="shared" si="182"/>
        <v/>
      </c>
      <c r="Z580" s="27" t="str">
        <f t="shared" si="183"/>
        <v/>
      </c>
      <c r="AA580" s="5"/>
      <c r="AB580" s="5"/>
      <c r="AC580" s="5"/>
      <c r="AD580" s="5"/>
      <c r="AE580" s="5"/>
      <c r="AF580" s="5"/>
      <c r="AG580" s="5"/>
      <c r="AH580" s="27"/>
      <c r="AI580" s="27"/>
      <c r="AJ580" s="27"/>
      <c r="AK580" s="121" t="str">
        <f t="shared" si="173"/>
        <v/>
      </c>
      <c r="AL580" s="6"/>
      <c r="AM580" s="10"/>
      <c r="AN580" s="63"/>
      <c r="AO580" s="63"/>
      <c r="AP580" s="63"/>
      <c r="AQ580" s="63"/>
      <c r="AR580" s="63"/>
      <c r="AS580" s="63"/>
      <c r="AT580" s="63"/>
      <c r="AU580" s="124" t="str">
        <f t="shared" si="172"/>
        <v/>
      </c>
      <c r="AV580" s="124" t="str">
        <f t="shared" si="172"/>
        <v/>
      </c>
      <c r="AW580" s="117"/>
      <c r="AX580" s="138" t="str">
        <f t="shared" si="165"/>
        <v/>
      </c>
    </row>
    <row r="581" spans="1:50">
      <c r="A581" s="1">
        <v>246</v>
      </c>
      <c r="B581" s="5" t="str">
        <f t="shared" si="171"/>
        <v/>
      </c>
      <c r="C581" s="10" t="str">
        <f t="shared" si="168"/>
        <v/>
      </c>
      <c r="D581" s="5"/>
      <c r="E581" s="10"/>
      <c r="F581" s="5"/>
      <c r="G581" s="5"/>
      <c r="H581" s="5"/>
      <c r="I581" s="5"/>
      <c r="J581" s="5"/>
      <c r="K581" s="10"/>
      <c r="L581" s="10"/>
      <c r="M581" s="10"/>
      <c r="N581" s="5"/>
      <c r="O581" s="5"/>
      <c r="P581" s="27" t="str">
        <f t="shared" si="174"/>
        <v>0</v>
      </c>
      <c r="Q581" s="27" t="str">
        <f t="shared" si="175"/>
        <v>0</v>
      </c>
      <c r="R581" s="27" t="str">
        <f t="shared" si="176"/>
        <v>0</v>
      </c>
      <c r="S581" s="27" t="str">
        <f t="shared" si="177"/>
        <v>0</v>
      </c>
      <c r="T581" s="27" t="str">
        <f t="shared" si="178"/>
        <v>0</v>
      </c>
      <c r="U581" s="27" t="str">
        <f t="shared" si="179"/>
        <v>0</v>
      </c>
      <c r="V581" s="27" t="str">
        <f t="shared" si="180"/>
        <v>1</v>
      </c>
      <c r="W581" s="27"/>
      <c r="X581" s="27" t="str">
        <f t="shared" si="181"/>
        <v/>
      </c>
      <c r="Y581" s="27" t="str">
        <f t="shared" si="182"/>
        <v/>
      </c>
      <c r="Z581" s="27" t="str">
        <f t="shared" si="183"/>
        <v/>
      </c>
      <c r="AA581" s="5"/>
      <c r="AB581" s="5"/>
      <c r="AC581" s="5"/>
      <c r="AD581" s="5"/>
      <c r="AE581" s="5"/>
      <c r="AF581" s="5"/>
      <c r="AG581" s="5"/>
      <c r="AH581" s="27"/>
      <c r="AI581" s="27"/>
      <c r="AJ581" s="27"/>
      <c r="AK581" s="121" t="str">
        <f t="shared" si="173"/>
        <v/>
      </c>
      <c r="AL581" s="6"/>
      <c r="AM581" s="10"/>
      <c r="AN581" s="63"/>
      <c r="AO581" s="63"/>
      <c r="AP581" s="63"/>
      <c r="AQ581" s="63"/>
      <c r="AR581" s="63"/>
      <c r="AS581" s="63"/>
      <c r="AT581" s="63"/>
      <c r="AU581" s="124" t="str">
        <f t="shared" si="172"/>
        <v/>
      </c>
      <c r="AV581" s="124" t="str">
        <f t="shared" si="172"/>
        <v/>
      </c>
      <c r="AW581" s="117"/>
      <c r="AX581" s="138" t="str">
        <f t="shared" ref="AX581:AX620" si="184">IF(C581="","","delete from module_mst where pjt_id = '"&amp;C581&amp;"' and menu_id = '"&amp;E581&amp;"';")</f>
        <v/>
      </c>
    </row>
    <row r="582" spans="1:50">
      <c r="A582" s="1">
        <v>247</v>
      </c>
      <c r="B582" s="5" t="str">
        <f t="shared" si="171"/>
        <v/>
      </c>
      <c r="C582" s="10" t="str">
        <f t="shared" si="168"/>
        <v/>
      </c>
      <c r="D582" s="5"/>
      <c r="E582" s="10"/>
      <c r="F582" s="5"/>
      <c r="G582" s="5"/>
      <c r="H582" s="5"/>
      <c r="I582" s="5"/>
      <c r="J582" s="5"/>
      <c r="K582" s="10"/>
      <c r="L582" s="10"/>
      <c r="M582" s="10"/>
      <c r="N582" s="5"/>
      <c r="O582" s="5"/>
      <c r="P582" s="27" t="str">
        <f t="shared" si="174"/>
        <v>0</v>
      </c>
      <c r="Q582" s="27" t="str">
        <f t="shared" si="175"/>
        <v>0</v>
      </c>
      <c r="R582" s="27" t="str">
        <f t="shared" si="176"/>
        <v>0</v>
      </c>
      <c r="S582" s="27" t="str">
        <f t="shared" si="177"/>
        <v>0</v>
      </c>
      <c r="T582" s="27" t="str">
        <f t="shared" si="178"/>
        <v>0</v>
      </c>
      <c r="U582" s="27" t="str">
        <f t="shared" si="179"/>
        <v>0</v>
      </c>
      <c r="V582" s="27" t="str">
        <f t="shared" si="180"/>
        <v>1</v>
      </c>
      <c r="W582" s="27"/>
      <c r="X582" s="27" t="str">
        <f t="shared" si="181"/>
        <v/>
      </c>
      <c r="Y582" s="27" t="str">
        <f t="shared" si="182"/>
        <v/>
      </c>
      <c r="Z582" s="27" t="str">
        <f t="shared" si="183"/>
        <v/>
      </c>
      <c r="AA582" s="5"/>
      <c r="AB582" s="5"/>
      <c r="AC582" s="5"/>
      <c r="AD582" s="5"/>
      <c r="AE582" s="5"/>
      <c r="AF582" s="5"/>
      <c r="AG582" s="5"/>
      <c r="AH582" s="27"/>
      <c r="AI582" s="27"/>
      <c r="AJ582" s="27"/>
      <c r="AK582" s="121" t="str">
        <f t="shared" si="173"/>
        <v/>
      </c>
      <c r="AL582" s="6"/>
      <c r="AM582" s="10"/>
      <c r="AN582" s="63"/>
      <c r="AO582" s="63"/>
      <c r="AP582" s="63"/>
      <c r="AQ582" s="63"/>
      <c r="AR582" s="63"/>
      <c r="AS582" s="63"/>
      <c r="AT582" s="63"/>
      <c r="AU582" s="124" t="str">
        <f t="shared" si="172"/>
        <v/>
      </c>
      <c r="AV582" s="124" t="str">
        <f t="shared" si="172"/>
        <v/>
      </c>
      <c r="AW582" s="117"/>
      <c r="AX582" s="138" t="str">
        <f t="shared" si="184"/>
        <v/>
      </c>
    </row>
    <row r="583" spans="1:50">
      <c r="A583" s="1">
        <v>248</v>
      </c>
      <c r="B583" s="5" t="str">
        <f t="shared" si="171"/>
        <v/>
      </c>
      <c r="C583" s="10" t="str">
        <f t="shared" si="168"/>
        <v/>
      </c>
      <c r="D583" s="5"/>
      <c r="E583" s="10"/>
      <c r="F583" s="5"/>
      <c r="G583" s="5"/>
      <c r="H583" s="5"/>
      <c r="I583" s="5"/>
      <c r="J583" s="5"/>
      <c r="K583" s="10"/>
      <c r="L583" s="10"/>
      <c r="M583" s="10"/>
      <c r="N583" s="5"/>
      <c r="O583" s="5"/>
      <c r="P583" s="27" t="str">
        <f t="shared" si="174"/>
        <v>0</v>
      </c>
      <c r="Q583" s="27" t="str">
        <f t="shared" si="175"/>
        <v>0</v>
      </c>
      <c r="R583" s="27" t="str">
        <f t="shared" si="176"/>
        <v>0</v>
      </c>
      <c r="S583" s="27" t="str">
        <f t="shared" si="177"/>
        <v>0</v>
      </c>
      <c r="T583" s="27" t="str">
        <f t="shared" si="178"/>
        <v>0</v>
      </c>
      <c r="U583" s="27" t="str">
        <f t="shared" si="179"/>
        <v>0</v>
      </c>
      <c r="V583" s="27" t="str">
        <f t="shared" si="180"/>
        <v>1</v>
      </c>
      <c r="W583" s="27"/>
      <c r="X583" s="27" t="str">
        <f t="shared" si="181"/>
        <v/>
      </c>
      <c r="Y583" s="27" t="str">
        <f t="shared" si="182"/>
        <v/>
      </c>
      <c r="Z583" s="27" t="str">
        <f t="shared" si="183"/>
        <v/>
      </c>
      <c r="AA583" s="5"/>
      <c r="AB583" s="5"/>
      <c r="AC583" s="5"/>
      <c r="AD583" s="5"/>
      <c r="AE583" s="5"/>
      <c r="AF583" s="5"/>
      <c r="AG583" s="5"/>
      <c r="AH583" s="27"/>
      <c r="AI583" s="27"/>
      <c r="AJ583" s="27"/>
      <c r="AK583" s="121" t="str">
        <f t="shared" si="173"/>
        <v/>
      </c>
      <c r="AL583" s="6"/>
      <c r="AM583" s="10"/>
      <c r="AN583" s="63"/>
      <c r="AO583" s="63"/>
      <c r="AP583" s="63"/>
      <c r="AQ583" s="63"/>
      <c r="AR583" s="63"/>
      <c r="AS583" s="63"/>
      <c r="AT583" s="63"/>
      <c r="AU583" s="124" t="str">
        <f t="shared" si="172"/>
        <v/>
      </c>
      <c r="AV583" s="124" t="str">
        <f t="shared" si="172"/>
        <v/>
      </c>
      <c r="AW583" s="117"/>
      <c r="AX583" s="138" t="str">
        <f t="shared" si="184"/>
        <v/>
      </c>
    </row>
    <row r="584" spans="1:50">
      <c r="A584" s="1">
        <v>249</v>
      </c>
      <c r="B584" s="5" t="str">
        <f t="shared" si="171"/>
        <v/>
      </c>
      <c r="C584" s="10" t="str">
        <f t="shared" si="168"/>
        <v/>
      </c>
      <c r="D584" s="5"/>
      <c r="E584" s="10"/>
      <c r="F584" s="5"/>
      <c r="G584" s="5"/>
      <c r="H584" s="5"/>
      <c r="I584" s="5"/>
      <c r="J584" s="5"/>
      <c r="K584" s="10"/>
      <c r="L584" s="10"/>
      <c r="M584" s="10"/>
      <c r="N584" s="5"/>
      <c r="O584" s="5"/>
      <c r="P584" s="27" t="str">
        <f t="shared" si="174"/>
        <v>0</v>
      </c>
      <c r="Q584" s="27" t="str">
        <f t="shared" si="175"/>
        <v>0</v>
      </c>
      <c r="R584" s="27" t="str">
        <f t="shared" si="176"/>
        <v>0</v>
      </c>
      <c r="S584" s="27" t="str">
        <f t="shared" si="177"/>
        <v>0</v>
      </c>
      <c r="T584" s="27" t="str">
        <f t="shared" si="178"/>
        <v>0</v>
      </c>
      <c r="U584" s="27" t="str">
        <f t="shared" si="179"/>
        <v>0</v>
      </c>
      <c r="V584" s="27" t="str">
        <f t="shared" si="180"/>
        <v>1</v>
      </c>
      <c r="W584" s="27"/>
      <c r="X584" s="27" t="str">
        <f t="shared" si="181"/>
        <v/>
      </c>
      <c r="Y584" s="27" t="str">
        <f t="shared" si="182"/>
        <v/>
      </c>
      <c r="Z584" s="27" t="str">
        <f t="shared" si="183"/>
        <v/>
      </c>
      <c r="AA584" s="5"/>
      <c r="AB584" s="5"/>
      <c r="AC584" s="5"/>
      <c r="AD584" s="5"/>
      <c r="AE584" s="5"/>
      <c r="AF584" s="5"/>
      <c r="AG584" s="5"/>
      <c r="AH584" s="27"/>
      <c r="AI584" s="27"/>
      <c r="AJ584" s="27"/>
      <c r="AK584" s="121" t="str">
        <f t="shared" si="173"/>
        <v/>
      </c>
      <c r="AL584" s="6"/>
      <c r="AM584" s="10"/>
      <c r="AN584" s="63"/>
      <c r="AO584" s="63"/>
      <c r="AP584" s="63"/>
      <c r="AQ584" s="63"/>
      <c r="AR584" s="63"/>
      <c r="AS584" s="63"/>
      <c r="AT584" s="63"/>
      <c r="AU584" s="124" t="str">
        <f t="shared" si="172"/>
        <v/>
      </c>
      <c r="AV584" s="124" t="str">
        <f t="shared" si="172"/>
        <v/>
      </c>
      <c r="AW584" s="117"/>
      <c r="AX584" s="138" t="str">
        <f t="shared" si="184"/>
        <v/>
      </c>
    </row>
    <row r="585" spans="1:50">
      <c r="A585" s="1">
        <v>250</v>
      </c>
      <c r="B585" s="5" t="str">
        <f t="shared" si="171"/>
        <v/>
      </c>
      <c r="C585" s="10" t="str">
        <f t="shared" si="168"/>
        <v/>
      </c>
      <c r="D585" s="5"/>
      <c r="E585" s="10"/>
      <c r="F585" s="5"/>
      <c r="G585" s="5"/>
      <c r="H585" s="5"/>
      <c r="I585" s="5"/>
      <c r="J585" s="5"/>
      <c r="K585" s="10"/>
      <c r="L585" s="10"/>
      <c r="M585" s="10"/>
      <c r="N585" s="5"/>
      <c r="O585" s="5"/>
      <c r="P585" s="27" t="str">
        <f t="shared" si="174"/>
        <v>0</v>
      </c>
      <c r="Q585" s="27" t="str">
        <f t="shared" si="175"/>
        <v>0</v>
      </c>
      <c r="R585" s="27" t="str">
        <f t="shared" si="176"/>
        <v>0</v>
      </c>
      <c r="S585" s="27" t="str">
        <f t="shared" si="177"/>
        <v>0</v>
      </c>
      <c r="T585" s="27" t="str">
        <f t="shared" si="178"/>
        <v>0</v>
      </c>
      <c r="U585" s="27" t="str">
        <f t="shared" si="179"/>
        <v>0</v>
      </c>
      <c r="V585" s="27" t="str">
        <f t="shared" si="180"/>
        <v>1</v>
      </c>
      <c r="W585" s="27"/>
      <c r="X585" s="27" t="str">
        <f t="shared" si="181"/>
        <v/>
      </c>
      <c r="Y585" s="27" t="str">
        <f t="shared" si="182"/>
        <v/>
      </c>
      <c r="Z585" s="27" t="str">
        <f t="shared" si="183"/>
        <v/>
      </c>
      <c r="AA585" s="5"/>
      <c r="AB585" s="5"/>
      <c r="AC585" s="5"/>
      <c r="AD585" s="5"/>
      <c r="AE585" s="5"/>
      <c r="AF585" s="5"/>
      <c r="AG585" s="5"/>
      <c r="AH585" s="27"/>
      <c r="AI585" s="27"/>
      <c r="AJ585" s="27"/>
      <c r="AK585" s="121" t="str">
        <f t="shared" si="173"/>
        <v/>
      </c>
      <c r="AL585" s="6"/>
      <c r="AM585" s="10"/>
      <c r="AN585" s="63"/>
      <c r="AO585" s="63"/>
      <c r="AP585" s="63"/>
      <c r="AQ585" s="63"/>
      <c r="AR585" s="63"/>
      <c r="AS585" s="63"/>
      <c r="AT585" s="63"/>
      <c r="AU585" s="124" t="str">
        <f t="shared" si="172"/>
        <v/>
      </c>
      <c r="AV585" s="124" t="str">
        <f t="shared" si="172"/>
        <v/>
      </c>
      <c r="AW585" s="117"/>
      <c r="AX585" s="138" t="str">
        <f t="shared" si="184"/>
        <v/>
      </c>
    </row>
    <row r="586" spans="1:50">
      <c r="A586" s="1">
        <v>251</v>
      </c>
      <c r="B586" s="5" t="str">
        <f t="shared" si="171"/>
        <v/>
      </c>
      <c r="C586" s="10" t="str">
        <f t="shared" si="168"/>
        <v/>
      </c>
      <c r="D586" s="5"/>
      <c r="E586" s="10"/>
      <c r="F586" s="5"/>
      <c r="G586" s="5"/>
      <c r="H586" s="5"/>
      <c r="I586" s="5"/>
      <c r="J586" s="5"/>
      <c r="K586" s="10"/>
      <c r="L586" s="10"/>
      <c r="M586" s="10"/>
      <c r="N586" s="5"/>
      <c r="O586" s="5"/>
      <c r="P586" s="27" t="str">
        <f t="shared" si="174"/>
        <v>0</v>
      </c>
      <c r="Q586" s="27" t="str">
        <f t="shared" si="175"/>
        <v>0</v>
      </c>
      <c r="R586" s="27" t="str">
        <f t="shared" si="176"/>
        <v>0</v>
      </c>
      <c r="S586" s="27" t="str">
        <f t="shared" si="177"/>
        <v>0</v>
      </c>
      <c r="T586" s="27" t="str">
        <f t="shared" si="178"/>
        <v>0</v>
      </c>
      <c r="U586" s="27" t="str">
        <f t="shared" si="179"/>
        <v>0</v>
      </c>
      <c r="V586" s="27" t="str">
        <f t="shared" si="180"/>
        <v>1</v>
      </c>
      <c r="W586" s="27"/>
      <c r="X586" s="27" t="str">
        <f t="shared" si="181"/>
        <v/>
      </c>
      <c r="Y586" s="27" t="str">
        <f t="shared" si="182"/>
        <v/>
      </c>
      <c r="Z586" s="27" t="str">
        <f t="shared" si="183"/>
        <v/>
      </c>
      <c r="AA586" s="5"/>
      <c r="AB586" s="5"/>
      <c r="AC586" s="5"/>
      <c r="AD586" s="5"/>
      <c r="AE586" s="5"/>
      <c r="AF586" s="5"/>
      <c r="AG586" s="5"/>
      <c r="AH586" s="27"/>
      <c r="AI586" s="27"/>
      <c r="AJ586" s="27"/>
      <c r="AK586" s="121" t="str">
        <f t="shared" si="173"/>
        <v/>
      </c>
      <c r="AL586" s="6"/>
      <c r="AM586" s="10"/>
      <c r="AN586" s="63"/>
      <c r="AO586" s="63"/>
      <c r="AP586" s="63"/>
      <c r="AQ586" s="63"/>
      <c r="AR586" s="63"/>
      <c r="AS586" s="63"/>
      <c r="AT586" s="63"/>
      <c r="AU586" s="124" t="str">
        <f t="shared" si="172"/>
        <v/>
      </c>
      <c r="AV586" s="124" t="str">
        <f t="shared" si="172"/>
        <v/>
      </c>
      <c r="AW586" s="117"/>
      <c r="AX586" s="138" t="str">
        <f t="shared" si="184"/>
        <v/>
      </c>
    </row>
    <row r="587" spans="1:50">
      <c r="A587" s="1">
        <v>252</v>
      </c>
      <c r="B587" s="5" t="str">
        <f t="shared" si="171"/>
        <v/>
      </c>
      <c r="C587" s="10" t="str">
        <f t="shared" si="168"/>
        <v/>
      </c>
      <c r="D587" s="5"/>
      <c r="E587" s="10"/>
      <c r="F587" s="5"/>
      <c r="G587" s="5"/>
      <c r="H587" s="5"/>
      <c r="I587" s="5"/>
      <c r="J587" s="5"/>
      <c r="K587" s="10"/>
      <c r="L587" s="10"/>
      <c r="M587" s="10"/>
      <c r="N587" s="5"/>
      <c r="O587" s="5"/>
      <c r="P587" s="27"/>
      <c r="Q587" s="27"/>
      <c r="R587" s="27"/>
      <c r="S587" s="27"/>
      <c r="T587" s="27"/>
      <c r="U587" s="27"/>
      <c r="V587" s="27"/>
      <c r="W587" s="27"/>
      <c r="X587" s="27"/>
      <c r="Y587" s="27"/>
      <c r="Z587" s="27"/>
      <c r="AA587" s="5"/>
      <c r="AB587" s="5"/>
      <c r="AC587" s="5"/>
      <c r="AD587" s="5"/>
      <c r="AE587" s="5"/>
      <c r="AF587" s="5"/>
      <c r="AG587" s="5"/>
      <c r="AH587" s="27"/>
      <c r="AI587" s="27"/>
      <c r="AJ587" s="27"/>
      <c r="AK587" s="121" t="str">
        <f t="shared" si="173"/>
        <v/>
      </c>
      <c r="AL587" s="6"/>
      <c r="AM587" s="10"/>
      <c r="AN587" s="63"/>
      <c r="AO587" s="63"/>
      <c r="AP587" s="63"/>
      <c r="AQ587" s="63"/>
      <c r="AR587" s="63"/>
      <c r="AS587" s="63"/>
      <c r="AT587" s="63"/>
      <c r="AU587" s="124" t="str">
        <f t="shared" si="172"/>
        <v/>
      </c>
      <c r="AV587" s="124" t="str">
        <f t="shared" si="172"/>
        <v/>
      </c>
      <c r="AW587" s="117"/>
      <c r="AX587" s="138" t="str">
        <f t="shared" si="184"/>
        <v/>
      </c>
    </row>
    <row r="588" spans="1:50">
      <c r="A588" s="1">
        <v>253</v>
      </c>
      <c r="B588" s="5" t="str">
        <f t="shared" si="171"/>
        <v/>
      </c>
      <c r="C588" s="10" t="str">
        <f t="shared" si="168"/>
        <v/>
      </c>
      <c r="D588" s="5"/>
      <c r="E588" s="10"/>
      <c r="F588" s="5"/>
      <c r="G588" s="5"/>
      <c r="H588" s="5"/>
      <c r="I588" s="5"/>
      <c r="J588" s="5"/>
      <c r="K588" s="10"/>
      <c r="L588" s="10"/>
      <c r="M588" s="10"/>
      <c r="N588" s="5"/>
      <c r="O588" s="5"/>
      <c r="P588" s="27"/>
      <c r="Q588" s="27"/>
      <c r="R588" s="27"/>
      <c r="S588" s="27"/>
      <c r="T588" s="27"/>
      <c r="U588" s="27"/>
      <c r="V588" s="27"/>
      <c r="W588" s="27"/>
      <c r="X588" s="27"/>
      <c r="Y588" s="27"/>
      <c r="Z588" s="27"/>
      <c r="AA588" s="5"/>
      <c r="AB588" s="5"/>
      <c r="AC588" s="5"/>
      <c r="AD588" s="5"/>
      <c r="AE588" s="5"/>
      <c r="AF588" s="5"/>
      <c r="AG588" s="5"/>
      <c r="AH588" s="27"/>
      <c r="AI588" s="27"/>
      <c r="AJ588" s="27"/>
      <c r="AK588" s="121" t="str">
        <f t="shared" si="173"/>
        <v/>
      </c>
      <c r="AL588" s="6"/>
      <c r="AM588" s="10"/>
      <c r="AN588" s="63"/>
      <c r="AO588" s="63"/>
      <c r="AP588" s="63"/>
      <c r="AQ588" s="63"/>
      <c r="AR588" s="63"/>
      <c r="AS588" s="63"/>
      <c r="AT588" s="63"/>
      <c r="AU588" s="124" t="str">
        <f t="shared" si="172"/>
        <v/>
      </c>
      <c r="AV588" s="124" t="str">
        <f t="shared" si="172"/>
        <v/>
      </c>
      <c r="AW588" s="117"/>
      <c r="AX588" s="138" t="str">
        <f t="shared" si="184"/>
        <v/>
      </c>
    </row>
    <row r="589" spans="1:50">
      <c r="A589" s="1">
        <v>254</v>
      </c>
      <c r="B589" s="5" t="str">
        <f t="shared" si="171"/>
        <v/>
      </c>
      <c r="C589" s="10" t="str">
        <f t="shared" si="168"/>
        <v/>
      </c>
      <c r="D589" s="5"/>
      <c r="E589" s="10"/>
      <c r="F589" s="5"/>
      <c r="G589" s="5"/>
      <c r="H589" s="5"/>
      <c r="I589" s="5"/>
      <c r="J589" s="5"/>
      <c r="K589" s="10"/>
      <c r="L589" s="10"/>
      <c r="M589" s="10"/>
      <c r="N589" s="5"/>
      <c r="O589" s="5"/>
      <c r="P589" s="27"/>
      <c r="Q589" s="27"/>
      <c r="R589" s="27"/>
      <c r="S589" s="27"/>
      <c r="T589" s="27"/>
      <c r="U589" s="27"/>
      <c r="V589" s="27"/>
      <c r="W589" s="27"/>
      <c r="X589" s="27"/>
      <c r="Y589" s="27"/>
      <c r="Z589" s="27"/>
      <c r="AA589" s="5"/>
      <c r="AB589" s="5"/>
      <c r="AC589" s="5"/>
      <c r="AD589" s="5"/>
      <c r="AE589" s="5"/>
      <c r="AF589" s="5"/>
      <c r="AG589" s="5"/>
      <c r="AH589" s="27"/>
      <c r="AI589" s="27"/>
      <c r="AJ589" s="27"/>
      <c r="AK589" s="121" t="str">
        <f t="shared" si="173"/>
        <v/>
      </c>
      <c r="AL589" s="6"/>
      <c r="AM589" s="10"/>
      <c r="AN589" s="63"/>
      <c r="AO589" s="63"/>
      <c r="AP589" s="63"/>
      <c r="AQ589" s="63"/>
      <c r="AR589" s="63"/>
      <c r="AS589" s="63"/>
      <c r="AT589" s="63"/>
      <c r="AU589" s="124" t="str">
        <f t="shared" si="172"/>
        <v/>
      </c>
      <c r="AV589" s="124" t="str">
        <f t="shared" si="172"/>
        <v/>
      </c>
      <c r="AW589" s="117"/>
      <c r="AX589" s="138" t="str">
        <f t="shared" si="184"/>
        <v/>
      </c>
    </row>
    <row r="590" spans="1:50">
      <c r="A590" s="1">
        <v>255</v>
      </c>
      <c r="B590" s="5" t="str">
        <f t="shared" si="171"/>
        <v/>
      </c>
      <c r="C590" s="10" t="str">
        <f t="shared" si="168"/>
        <v/>
      </c>
      <c r="D590" s="5"/>
      <c r="E590" s="10"/>
      <c r="F590" s="5"/>
      <c r="G590" s="5"/>
      <c r="H590" s="5"/>
      <c r="I590" s="5"/>
      <c r="J590" s="5"/>
      <c r="K590" s="10"/>
      <c r="L590" s="10"/>
      <c r="M590" s="10"/>
      <c r="N590" s="5"/>
      <c r="O590" s="5"/>
      <c r="P590" s="27"/>
      <c r="Q590" s="27"/>
      <c r="R590" s="27"/>
      <c r="S590" s="27"/>
      <c r="T590" s="27"/>
      <c r="U590" s="27"/>
      <c r="V590" s="27"/>
      <c r="W590" s="27"/>
      <c r="X590" s="27"/>
      <c r="Y590" s="27"/>
      <c r="Z590" s="27"/>
      <c r="AA590" s="5"/>
      <c r="AB590" s="5"/>
      <c r="AC590" s="5"/>
      <c r="AD590" s="5"/>
      <c r="AE590" s="5"/>
      <c r="AF590" s="5"/>
      <c r="AG590" s="5"/>
      <c r="AH590" s="27"/>
      <c r="AI590" s="27"/>
      <c r="AJ590" s="27"/>
      <c r="AK590" s="121" t="str">
        <f t="shared" si="173"/>
        <v/>
      </c>
      <c r="AL590" s="6"/>
      <c r="AM590" s="10"/>
      <c r="AN590" s="63"/>
      <c r="AO590" s="63"/>
      <c r="AP590" s="63"/>
      <c r="AQ590" s="63"/>
      <c r="AR590" s="63"/>
      <c r="AS590" s="63"/>
      <c r="AT590" s="63"/>
      <c r="AU590" s="124" t="str">
        <f t="shared" si="172"/>
        <v/>
      </c>
      <c r="AV590" s="124" t="str">
        <f t="shared" si="172"/>
        <v/>
      </c>
      <c r="AW590" s="117"/>
      <c r="AX590" s="138" t="str">
        <f t="shared" si="184"/>
        <v/>
      </c>
    </row>
    <row r="591" spans="1:50">
      <c r="A591" s="1">
        <v>256</v>
      </c>
      <c r="B591" s="5" t="str">
        <f t="shared" si="171"/>
        <v/>
      </c>
      <c r="C591" s="10" t="str">
        <f t="shared" si="168"/>
        <v/>
      </c>
      <c r="D591" s="5"/>
      <c r="E591" s="10"/>
      <c r="F591" s="5"/>
      <c r="G591" s="5"/>
      <c r="H591" s="5"/>
      <c r="I591" s="5"/>
      <c r="J591" s="5"/>
      <c r="K591" s="10"/>
      <c r="L591" s="10"/>
      <c r="M591" s="10"/>
      <c r="N591" s="5"/>
      <c r="O591" s="5"/>
      <c r="P591" s="27"/>
      <c r="Q591" s="27"/>
      <c r="R591" s="27"/>
      <c r="S591" s="27"/>
      <c r="T591" s="27"/>
      <c r="U591" s="27"/>
      <c r="V591" s="27"/>
      <c r="W591" s="27"/>
      <c r="X591" s="27"/>
      <c r="Y591" s="27"/>
      <c r="Z591" s="27"/>
      <c r="AA591" s="5"/>
      <c r="AB591" s="5"/>
      <c r="AC591" s="5"/>
      <c r="AD591" s="5"/>
      <c r="AE591" s="5"/>
      <c r="AF591" s="5"/>
      <c r="AG591" s="5"/>
      <c r="AH591" s="27"/>
      <c r="AI591" s="27"/>
      <c r="AJ591" s="27"/>
      <c r="AK591" s="121" t="str">
        <f t="shared" si="173"/>
        <v/>
      </c>
      <c r="AL591" s="6"/>
      <c r="AM591" s="10"/>
      <c r="AN591" s="63"/>
      <c r="AO591" s="63"/>
      <c r="AP591" s="63"/>
      <c r="AQ591" s="63"/>
      <c r="AR591" s="63"/>
      <c r="AS591" s="63"/>
      <c r="AT591" s="63"/>
      <c r="AU591" s="124" t="str">
        <f t="shared" si="172"/>
        <v/>
      </c>
      <c r="AV591" s="124" t="str">
        <f t="shared" si="172"/>
        <v/>
      </c>
      <c r="AW591" s="117"/>
      <c r="AX591" s="138" t="str">
        <f t="shared" si="184"/>
        <v/>
      </c>
    </row>
    <row r="592" spans="1:50">
      <c r="A592" s="1">
        <v>257</v>
      </c>
      <c r="B592" s="5" t="str">
        <f t="shared" si="171"/>
        <v/>
      </c>
      <c r="C592" s="10" t="str">
        <f t="shared" si="168"/>
        <v/>
      </c>
      <c r="D592" s="5"/>
      <c r="E592" s="10"/>
      <c r="F592" s="5"/>
      <c r="G592" s="5"/>
      <c r="H592" s="5"/>
      <c r="I592" s="5"/>
      <c r="J592" s="5"/>
      <c r="K592" s="10"/>
      <c r="L592" s="10"/>
      <c r="M592" s="10"/>
      <c r="N592" s="5"/>
      <c r="O592" s="5"/>
      <c r="P592" s="27"/>
      <c r="Q592" s="27"/>
      <c r="R592" s="27"/>
      <c r="S592" s="27"/>
      <c r="T592" s="27"/>
      <c r="U592" s="27"/>
      <c r="V592" s="27"/>
      <c r="W592" s="27"/>
      <c r="X592" s="27"/>
      <c r="Y592" s="27"/>
      <c r="Z592" s="27"/>
      <c r="AA592" s="5"/>
      <c r="AB592" s="5"/>
      <c r="AC592" s="5"/>
      <c r="AD592" s="5"/>
      <c r="AE592" s="5"/>
      <c r="AF592" s="5"/>
      <c r="AG592" s="5"/>
      <c r="AH592" s="27"/>
      <c r="AI592" s="27"/>
      <c r="AJ592" s="27"/>
      <c r="AK592" s="121" t="str">
        <f t="shared" si="173"/>
        <v/>
      </c>
      <c r="AL592" s="6"/>
      <c r="AM592" s="10"/>
      <c r="AN592" s="63"/>
      <c r="AO592" s="63"/>
      <c r="AP592" s="63"/>
      <c r="AQ592" s="63"/>
      <c r="AR592" s="63"/>
      <c r="AS592" s="63"/>
      <c r="AT592" s="63"/>
      <c r="AU592" s="124" t="str">
        <f t="shared" si="172"/>
        <v/>
      </c>
      <c r="AV592" s="124" t="str">
        <f t="shared" si="172"/>
        <v/>
      </c>
      <c r="AW592" s="117"/>
      <c r="AX592" s="138" t="str">
        <f t="shared" si="184"/>
        <v/>
      </c>
    </row>
    <row r="593" spans="1:50">
      <c r="A593" s="1">
        <v>258</v>
      </c>
      <c r="B593" s="5" t="str">
        <f t="shared" si="171"/>
        <v/>
      </c>
      <c r="C593" s="10" t="str">
        <f t="shared" si="168"/>
        <v/>
      </c>
      <c r="D593" s="5"/>
      <c r="E593" s="10"/>
      <c r="F593" s="5"/>
      <c r="G593" s="5"/>
      <c r="H593" s="5"/>
      <c r="I593" s="5"/>
      <c r="J593" s="5"/>
      <c r="K593" s="10"/>
      <c r="L593" s="10"/>
      <c r="M593" s="10"/>
      <c r="N593" s="5"/>
      <c r="O593" s="5"/>
      <c r="P593" s="27"/>
      <c r="Q593" s="27"/>
      <c r="R593" s="27"/>
      <c r="S593" s="27"/>
      <c r="T593" s="27"/>
      <c r="U593" s="27"/>
      <c r="V593" s="27"/>
      <c r="W593" s="27"/>
      <c r="X593" s="27"/>
      <c r="Y593" s="27"/>
      <c r="Z593" s="27"/>
      <c r="AA593" s="5"/>
      <c r="AB593" s="5"/>
      <c r="AC593" s="5"/>
      <c r="AD593" s="5"/>
      <c r="AE593" s="5"/>
      <c r="AF593" s="5"/>
      <c r="AG593" s="5"/>
      <c r="AH593" s="27"/>
      <c r="AI593" s="27"/>
      <c r="AJ593" s="27"/>
      <c r="AK593" s="121" t="str">
        <f t="shared" si="173"/>
        <v/>
      </c>
      <c r="AL593" s="6"/>
      <c r="AM593" s="10"/>
      <c r="AN593" s="63"/>
      <c r="AO593" s="63"/>
      <c r="AP593" s="63"/>
      <c r="AQ593" s="63"/>
      <c r="AR593" s="63"/>
      <c r="AS593" s="63"/>
      <c r="AT593" s="63"/>
      <c r="AU593" s="124" t="str">
        <f t="shared" si="172"/>
        <v/>
      </c>
      <c r="AV593" s="124" t="str">
        <f t="shared" si="172"/>
        <v/>
      </c>
      <c r="AW593" s="117"/>
      <c r="AX593" s="138" t="str">
        <f t="shared" si="184"/>
        <v/>
      </c>
    </row>
    <row r="594" spans="1:50">
      <c r="A594" s="1">
        <v>259</v>
      </c>
      <c r="B594" s="5" t="str">
        <f t="shared" si="171"/>
        <v/>
      </c>
      <c r="C594" s="10" t="str">
        <f t="shared" si="168"/>
        <v/>
      </c>
      <c r="D594" s="5"/>
      <c r="E594" s="10"/>
      <c r="F594" s="5"/>
      <c r="G594" s="5"/>
      <c r="H594" s="5"/>
      <c r="I594" s="5"/>
      <c r="J594" s="5"/>
      <c r="K594" s="10"/>
      <c r="L594" s="10"/>
      <c r="M594" s="10"/>
      <c r="N594" s="5"/>
      <c r="O594" s="5"/>
      <c r="P594" s="27"/>
      <c r="Q594" s="27"/>
      <c r="R594" s="27"/>
      <c r="S594" s="27"/>
      <c r="T594" s="27"/>
      <c r="U594" s="27"/>
      <c r="V594" s="27"/>
      <c r="W594" s="27"/>
      <c r="X594" s="27"/>
      <c r="Y594" s="27"/>
      <c r="Z594" s="27"/>
      <c r="AA594" s="5"/>
      <c r="AB594" s="5"/>
      <c r="AC594" s="5"/>
      <c r="AD594" s="5"/>
      <c r="AE594" s="5"/>
      <c r="AF594" s="5"/>
      <c r="AG594" s="5"/>
      <c r="AH594" s="27"/>
      <c r="AI594" s="27"/>
      <c r="AJ594" s="27"/>
      <c r="AK594" s="121" t="str">
        <f t="shared" si="173"/>
        <v/>
      </c>
      <c r="AL594" s="6"/>
      <c r="AM594" s="10"/>
      <c r="AN594" s="63"/>
      <c r="AO594" s="63"/>
      <c r="AP594" s="63"/>
      <c r="AQ594" s="63"/>
      <c r="AR594" s="63"/>
      <c r="AS594" s="63"/>
      <c r="AT594" s="63"/>
      <c r="AU594" s="124" t="str">
        <f t="shared" si="172"/>
        <v/>
      </c>
      <c r="AV594" s="124" t="str">
        <f t="shared" si="172"/>
        <v/>
      </c>
      <c r="AW594" s="117"/>
      <c r="AX594" s="138" t="str">
        <f t="shared" si="184"/>
        <v/>
      </c>
    </row>
    <row r="595" spans="1:50">
      <c r="A595" s="1">
        <v>260</v>
      </c>
      <c r="B595" s="5" t="str">
        <f t="shared" si="171"/>
        <v/>
      </c>
      <c r="C595" s="10" t="str">
        <f t="shared" si="168"/>
        <v/>
      </c>
      <c r="D595" s="5"/>
      <c r="E595" s="10"/>
      <c r="F595" s="5"/>
      <c r="G595" s="5"/>
      <c r="H595" s="5"/>
      <c r="I595" s="5"/>
      <c r="J595" s="5"/>
      <c r="K595" s="10"/>
      <c r="L595" s="10"/>
      <c r="M595" s="10"/>
      <c r="N595" s="5"/>
      <c r="O595" s="5"/>
      <c r="P595" s="27"/>
      <c r="Q595" s="27"/>
      <c r="R595" s="27"/>
      <c r="S595" s="27"/>
      <c r="T595" s="27"/>
      <c r="U595" s="27"/>
      <c r="V595" s="27"/>
      <c r="W595" s="27"/>
      <c r="X595" s="27"/>
      <c r="Y595" s="27"/>
      <c r="Z595" s="27"/>
      <c r="AA595" s="5"/>
      <c r="AB595" s="5"/>
      <c r="AC595" s="5"/>
      <c r="AD595" s="5"/>
      <c r="AE595" s="5"/>
      <c r="AF595" s="5"/>
      <c r="AG595" s="5"/>
      <c r="AH595" s="27"/>
      <c r="AI595" s="27"/>
      <c r="AJ595" s="27"/>
      <c r="AK595" s="121" t="str">
        <f t="shared" si="173"/>
        <v/>
      </c>
      <c r="AL595" s="6"/>
      <c r="AM595" s="10"/>
      <c r="AN595" s="63"/>
      <c r="AO595" s="63"/>
      <c r="AP595" s="63"/>
      <c r="AQ595" s="63"/>
      <c r="AR595" s="63"/>
      <c r="AS595" s="63"/>
      <c r="AT595" s="63"/>
      <c r="AU595" s="124" t="str">
        <f t="shared" si="172"/>
        <v/>
      </c>
      <c r="AV595" s="124" t="str">
        <f t="shared" si="172"/>
        <v/>
      </c>
      <c r="AW595" s="117"/>
      <c r="AX595" s="138" t="str">
        <f t="shared" si="184"/>
        <v/>
      </c>
    </row>
    <row r="596" spans="1:50">
      <c r="A596" s="1">
        <v>261</v>
      </c>
      <c r="B596" s="5" t="str">
        <f t="shared" si="171"/>
        <v/>
      </c>
      <c r="C596" s="10" t="str">
        <f t="shared" si="168"/>
        <v/>
      </c>
      <c r="D596" s="5"/>
      <c r="E596" s="10"/>
      <c r="F596" s="5"/>
      <c r="G596" s="5"/>
      <c r="H596" s="5"/>
      <c r="I596" s="5"/>
      <c r="J596" s="5"/>
      <c r="K596" s="10"/>
      <c r="L596" s="10"/>
      <c r="M596" s="10"/>
      <c r="N596" s="5"/>
      <c r="O596" s="5"/>
      <c r="P596" s="27"/>
      <c r="Q596" s="27"/>
      <c r="R596" s="27"/>
      <c r="S596" s="27"/>
      <c r="T596" s="27"/>
      <c r="U596" s="27"/>
      <c r="V596" s="27"/>
      <c r="W596" s="27"/>
      <c r="X596" s="27"/>
      <c r="Y596" s="27"/>
      <c r="Z596" s="27"/>
      <c r="AA596" s="5"/>
      <c r="AB596" s="5"/>
      <c r="AC596" s="5"/>
      <c r="AD596" s="5"/>
      <c r="AE596" s="5"/>
      <c r="AF596" s="5"/>
      <c r="AG596" s="5"/>
      <c r="AH596" s="27"/>
      <c r="AI596" s="27"/>
      <c r="AJ596" s="27"/>
      <c r="AK596" s="121" t="str">
        <f t="shared" si="173"/>
        <v/>
      </c>
      <c r="AL596" s="6"/>
      <c r="AM596" s="10"/>
      <c r="AN596" s="63"/>
      <c r="AO596" s="63"/>
      <c r="AP596" s="63"/>
      <c r="AQ596" s="63"/>
      <c r="AR596" s="63"/>
      <c r="AS596" s="63"/>
      <c r="AT596" s="63"/>
      <c r="AU596" s="124" t="str">
        <f t="shared" si="172"/>
        <v/>
      </c>
      <c r="AV596" s="124" t="str">
        <f t="shared" si="172"/>
        <v/>
      </c>
      <c r="AW596" s="117"/>
      <c r="AX596" s="138" t="str">
        <f t="shared" si="184"/>
        <v/>
      </c>
    </row>
    <row r="597" spans="1:50">
      <c r="A597" s="1">
        <v>262</v>
      </c>
      <c r="B597" s="5" t="str">
        <f t="shared" si="171"/>
        <v/>
      </c>
      <c r="C597" s="10" t="str">
        <f t="shared" si="168"/>
        <v/>
      </c>
      <c r="D597" s="5"/>
      <c r="E597" s="10"/>
      <c r="F597" s="5"/>
      <c r="G597" s="5"/>
      <c r="H597" s="5"/>
      <c r="I597" s="5"/>
      <c r="J597" s="5"/>
      <c r="K597" s="10"/>
      <c r="L597" s="10"/>
      <c r="M597" s="10"/>
      <c r="N597" s="5"/>
      <c r="O597" s="5"/>
      <c r="P597" s="27"/>
      <c r="Q597" s="27"/>
      <c r="R597" s="27"/>
      <c r="S597" s="27"/>
      <c r="T597" s="27"/>
      <c r="U597" s="27"/>
      <c r="V597" s="27"/>
      <c r="W597" s="27"/>
      <c r="X597" s="27"/>
      <c r="Y597" s="27"/>
      <c r="Z597" s="27"/>
      <c r="AA597" s="5"/>
      <c r="AB597" s="5"/>
      <c r="AC597" s="5"/>
      <c r="AD597" s="5"/>
      <c r="AE597" s="5"/>
      <c r="AF597" s="5"/>
      <c r="AG597" s="5"/>
      <c r="AH597" s="27"/>
      <c r="AI597" s="27"/>
      <c r="AJ597" s="27"/>
      <c r="AK597" s="121" t="str">
        <f t="shared" si="173"/>
        <v/>
      </c>
      <c r="AL597" s="6"/>
      <c r="AM597" s="10"/>
      <c r="AN597" s="63"/>
      <c r="AO597" s="63"/>
      <c r="AP597" s="63"/>
      <c r="AQ597" s="63"/>
      <c r="AR597" s="63"/>
      <c r="AS597" s="63"/>
      <c r="AT597" s="63"/>
      <c r="AU597" s="124" t="str">
        <f t="shared" si="172"/>
        <v/>
      </c>
      <c r="AV597" s="124" t="str">
        <f t="shared" si="172"/>
        <v/>
      </c>
      <c r="AW597" s="117"/>
      <c r="AX597" s="138" t="str">
        <f t="shared" si="184"/>
        <v/>
      </c>
    </row>
    <row r="598" spans="1:50">
      <c r="A598" s="1">
        <v>263</v>
      </c>
      <c r="B598" s="5" t="str">
        <f t="shared" si="171"/>
        <v/>
      </c>
      <c r="C598" s="10" t="str">
        <f t="shared" si="168"/>
        <v/>
      </c>
      <c r="D598" s="5"/>
      <c r="E598" s="10"/>
      <c r="F598" s="5"/>
      <c r="G598" s="5"/>
      <c r="H598" s="5"/>
      <c r="I598" s="5"/>
      <c r="J598" s="5"/>
      <c r="K598" s="10"/>
      <c r="L598" s="10"/>
      <c r="M598" s="10"/>
      <c r="N598" s="5"/>
      <c r="O598" s="5"/>
      <c r="P598" s="27"/>
      <c r="Q598" s="27"/>
      <c r="R598" s="27"/>
      <c r="S598" s="27"/>
      <c r="T598" s="27"/>
      <c r="U598" s="27"/>
      <c r="V598" s="27"/>
      <c r="W598" s="27"/>
      <c r="X598" s="27"/>
      <c r="Y598" s="27"/>
      <c r="Z598" s="27"/>
      <c r="AA598" s="5"/>
      <c r="AB598" s="5"/>
      <c r="AC598" s="5"/>
      <c r="AD598" s="5"/>
      <c r="AE598" s="5"/>
      <c r="AF598" s="5"/>
      <c r="AG598" s="5"/>
      <c r="AH598" s="27"/>
      <c r="AI598" s="27"/>
      <c r="AJ598" s="27"/>
      <c r="AK598" s="121" t="str">
        <f t="shared" si="173"/>
        <v/>
      </c>
      <c r="AL598" s="6"/>
      <c r="AM598" s="10"/>
      <c r="AN598" s="63"/>
      <c r="AO598" s="63"/>
      <c r="AP598" s="63"/>
      <c r="AQ598" s="63"/>
      <c r="AR598" s="63"/>
      <c r="AS598" s="63"/>
      <c r="AT598" s="63"/>
      <c r="AU598" s="124" t="str">
        <f t="shared" si="172"/>
        <v/>
      </c>
      <c r="AV598" s="124" t="str">
        <f t="shared" si="172"/>
        <v/>
      </c>
      <c r="AW598" s="117"/>
      <c r="AX598" s="138" t="str">
        <f t="shared" si="184"/>
        <v/>
      </c>
    </row>
    <row r="599" spans="1:50">
      <c r="A599" s="1">
        <v>264</v>
      </c>
      <c r="B599" s="5" t="str">
        <f t="shared" si="171"/>
        <v/>
      </c>
      <c r="C599" s="10" t="str">
        <f t="shared" si="168"/>
        <v/>
      </c>
      <c r="D599" s="5"/>
      <c r="E599" s="10"/>
      <c r="F599" s="5"/>
      <c r="G599" s="5"/>
      <c r="H599" s="5"/>
      <c r="I599" s="5"/>
      <c r="J599" s="5"/>
      <c r="K599" s="10"/>
      <c r="L599" s="10"/>
      <c r="M599" s="10"/>
      <c r="N599" s="5"/>
      <c r="O599" s="5"/>
      <c r="P599" s="27"/>
      <c r="Q599" s="27"/>
      <c r="R599" s="27"/>
      <c r="S599" s="27"/>
      <c r="T599" s="27"/>
      <c r="U599" s="27"/>
      <c r="V599" s="27"/>
      <c r="W599" s="27"/>
      <c r="X599" s="27"/>
      <c r="Y599" s="27"/>
      <c r="Z599" s="27"/>
      <c r="AA599" s="5"/>
      <c r="AB599" s="5"/>
      <c r="AC599" s="5"/>
      <c r="AD599" s="5"/>
      <c r="AE599" s="5"/>
      <c r="AF599" s="5"/>
      <c r="AG599" s="5"/>
      <c r="AH599" s="27"/>
      <c r="AI599" s="27"/>
      <c r="AJ599" s="27"/>
      <c r="AK599" s="121" t="str">
        <f t="shared" si="173"/>
        <v/>
      </c>
      <c r="AL599" s="6"/>
      <c r="AM599" s="10"/>
      <c r="AN599" s="63"/>
      <c r="AO599" s="63"/>
      <c r="AP599" s="63"/>
      <c r="AQ599" s="63"/>
      <c r="AR599" s="63"/>
      <c r="AS599" s="63"/>
      <c r="AT599" s="63"/>
      <c r="AU599" s="124" t="str">
        <f t="shared" si="172"/>
        <v/>
      </c>
      <c r="AV599" s="124" t="str">
        <f t="shared" si="172"/>
        <v/>
      </c>
      <c r="AW599" s="117"/>
      <c r="AX599" s="138" t="str">
        <f t="shared" si="184"/>
        <v/>
      </c>
    </row>
    <row r="600" spans="1:50">
      <c r="A600" s="1">
        <v>265</v>
      </c>
      <c r="B600" s="5" t="str">
        <f t="shared" si="171"/>
        <v/>
      </c>
      <c r="C600" s="10" t="str">
        <f t="shared" si="168"/>
        <v/>
      </c>
      <c r="D600" s="5"/>
      <c r="E600" s="10"/>
      <c r="F600" s="5"/>
      <c r="G600" s="5"/>
      <c r="H600" s="5"/>
      <c r="I600" s="5"/>
      <c r="J600" s="5"/>
      <c r="K600" s="10"/>
      <c r="L600" s="10"/>
      <c r="M600" s="10"/>
      <c r="N600" s="5"/>
      <c r="O600" s="5"/>
      <c r="P600" s="27"/>
      <c r="Q600" s="27"/>
      <c r="R600" s="27"/>
      <c r="S600" s="27"/>
      <c r="T600" s="27"/>
      <c r="U600" s="27"/>
      <c r="V600" s="27"/>
      <c r="W600" s="27"/>
      <c r="X600" s="27"/>
      <c r="Y600" s="27"/>
      <c r="Z600" s="27"/>
      <c r="AA600" s="5"/>
      <c r="AB600" s="5"/>
      <c r="AC600" s="5"/>
      <c r="AD600" s="5"/>
      <c r="AE600" s="5"/>
      <c r="AF600" s="5"/>
      <c r="AG600" s="5"/>
      <c r="AH600" s="27"/>
      <c r="AI600" s="27"/>
      <c r="AJ600" s="27"/>
      <c r="AK600" s="121" t="str">
        <f t="shared" si="173"/>
        <v/>
      </c>
      <c r="AL600" s="6"/>
      <c r="AM600" s="10"/>
      <c r="AN600" s="63"/>
      <c r="AO600" s="63"/>
      <c r="AP600" s="63"/>
      <c r="AQ600" s="63"/>
      <c r="AR600" s="63"/>
      <c r="AS600" s="63"/>
      <c r="AT600" s="63"/>
      <c r="AU600" s="124" t="str">
        <f t="shared" si="172"/>
        <v/>
      </c>
      <c r="AV600" s="124" t="str">
        <f t="shared" si="172"/>
        <v/>
      </c>
      <c r="AW600" s="117"/>
      <c r="AX600" s="138" t="str">
        <f t="shared" si="184"/>
        <v/>
      </c>
    </row>
    <row r="601" spans="1:50">
      <c r="A601" s="1">
        <v>266</v>
      </c>
      <c r="B601" s="5" t="str">
        <f t="shared" si="171"/>
        <v/>
      </c>
      <c r="C601" s="10" t="str">
        <f t="shared" si="168"/>
        <v/>
      </c>
      <c r="D601" s="5"/>
      <c r="E601" s="10"/>
      <c r="F601" s="5"/>
      <c r="G601" s="5"/>
      <c r="H601" s="5"/>
      <c r="I601" s="5"/>
      <c r="J601" s="5"/>
      <c r="K601" s="10"/>
      <c r="L601" s="10"/>
      <c r="M601" s="10"/>
      <c r="N601" s="5"/>
      <c r="O601" s="5"/>
      <c r="P601" s="27"/>
      <c r="Q601" s="27"/>
      <c r="R601" s="27"/>
      <c r="S601" s="27"/>
      <c r="T601" s="27"/>
      <c r="U601" s="27"/>
      <c r="V601" s="27"/>
      <c r="W601" s="27"/>
      <c r="X601" s="27"/>
      <c r="Y601" s="27"/>
      <c r="Z601" s="27"/>
      <c r="AA601" s="5"/>
      <c r="AB601" s="5"/>
      <c r="AC601" s="5"/>
      <c r="AD601" s="5"/>
      <c r="AE601" s="5"/>
      <c r="AF601" s="5"/>
      <c r="AG601" s="5"/>
      <c r="AH601" s="27"/>
      <c r="AI601" s="27"/>
      <c r="AJ601" s="27"/>
      <c r="AK601" s="121" t="str">
        <f t="shared" si="173"/>
        <v/>
      </c>
      <c r="AL601" s="6"/>
      <c r="AM601" s="10"/>
      <c r="AN601" s="63"/>
      <c r="AO601" s="63"/>
      <c r="AP601" s="63"/>
      <c r="AQ601" s="63"/>
      <c r="AR601" s="63"/>
      <c r="AS601" s="63"/>
      <c r="AT601" s="63"/>
      <c r="AU601" s="124" t="str">
        <f t="shared" si="172"/>
        <v/>
      </c>
      <c r="AV601" s="124" t="str">
        <f t="shared" si="172"/>
        <v/>
      </c>
      <c r="AW601" s="117"/>
      <c r="AX601" s="138" t="str">
        <f t="shared" si="184"/>
        <v/>
      </c>
    </row>
    <row r="602" spans="1:50">
      <c r="A602" s="1">
        <v>267</v>
      </c>
      <c r="B602" s="5" t="str">
        <f t="shared" si="171"/>
        <v/>
      </c>
      <c r="C602" s="10" t="str">
        <f t="shared" si="168"/>
        <v/>
      </c>
      <c r="D602" s="5"/>
      <c r="E602" s="10"/>
      <c r="F602" s="5"/>
      <c r="G602" s="5"/>
      <c r="H602" s="5"/>
      <c r="I602" s="5"/>
      <c r="J602" s="5"/>
      <c r="K602" s="10"/>
      <c r="L602" s="10"/>
      <c r="M602" s="10"/>
      <c r="N602" s="5"/>
      <c r="O602" s="5"/>
      <c r="P602" s="27"/>
      <c r="Q602" s="27"/>
      <c r="R602" s="27"/>
      <c r="S602" s="27"/>
      <c r="T602" s="27"/>
      <c r="U602" s="27"/>
      <c r="V602" s="27"/>
      <c r="W602" s="27"/>
      <c r="X602" s="27"/>
      <c r="Y602" s="27"/>
      <c r="Z602" s="27"/>
      <c r="AA602" s="5"/>
      <c r="AB602" s="5"/>
      <c r="AC602" s="5"/>
      <c r="AD602" s="5"/>
      <c r="AE602" s="5"/>
      <c r="AF602" s="5"/>
      <c r="AG602" s="5"/>
      <c r="AH602" s="27"/>
      <c r="AI602" s="27"/>
      <c r="AJ602" s="27"/>
      <c r="AK602" s="121" t="str">
        <f t="shared" si="173"/>
        <v/>
      </c>
      <c r="AL602" s="6"/>
      <c r="AM602" s="10"/>
      <c r="AN602" s="63"/>
      <c r="AO602" s="63"/>
      <c r="AP602" s="63"/>
      <c r="AQ602" s="63"/>
      <c r="AR602" s="63"/>
      <c r="AS602" s="63"/>
      <c r="AT602" s="63"/>
      <c r="AU602" s="124" t="str">
        <f t="shared" si="172"/>
        <v/>
      </c>
      <c r="AV602" s="124" t="str">
        <f t="shared" si="172"/>
        <v/>
      </c>
      <c r="AW602" s="117"/>
      <c r="AX602" s="138" t="str">
        <f t="shared" si="184"/>
        <v/>
      </c>
    </row>
    <row r="603" spans="1:50">
      <c r="A603" s="1">
        <v>268</v>
      </c>
      <c r="B603" s="5" t="str">
        <f t="shared" si="171"/>
        <v/>
      </c>
      <c r="C603" s="10" t="str">
        <f t="shared" ref="C603:C625" si="185">IF(E603="","","14821")</f>
        <v/>
      </c>
      <c r="D603" s="5"/>
      <c r="E603" s="10"/>
      <c r="F603" s="5"/>
      <c r="G603" s="5"/>
      <c r="H603" s="5"/>
      <c r="I603" s="5"/>
      <c r="J603" s="5"/>
      <c r="K603" s="10"/>
      <c r="L603" s="10"/>
      <c r="M603" s="10"/>
      <c r="N603" s="5"/>
      <c r="O603" s="5"/>
      <c r="P603" s="27"/>
      <c r="Q603" s="27"/>
      <c r="R603" s="27"/>
      <c r="S603" s="27"/>
      <c r="T603" s="27"/>
      <c r="U603" s="27"/>
      <c r="V603" s="27"/>
      <c r="W603" s="27"/>
      <c r="X603" s="27"/>
      <c r="Y603" s="27"/>
      <c r="Z603" s="27"/>
      <c r="AA603" s="5"/>
      <c r="AB603" s="5"/>
      <c r="AC603" s="5"/>
      <c r="AD603" s="5"/>
      <c r="AE603" s="5"/>
      <c r="AF603" s="5"/>
      <c r="AG603" s="5"/>
      <c r="AH603" s="27"/>
      <c r="AI603" s="27"/>
      <c r="AJ603" s="27"/>
      <c r="AK603" s="121" t="str">
        <f t="shared" si="173"/>
        <v/>
      </c>
      <c r="AL603" s="6"/>
      <c r="AM603" s="10"/>
      <c r="AN603" s="63"/>
      <c r="AO603" s="63"/>
      <c r="AP603" s="63"/>
      <c r="AQ603" s="63"/>
      <c r="AR603" s="63"/>
      <c r="AS603" s="63"/>
      <c r="AT603" s="63"/>
      <c r="AU603" s="124" t="str">
        <f t="shared" si="172"/>
        <v/>
      </c>
      <c r="AV603" s="124" t="str">
        <f t="shared" si="172"/>
        <v/>
      </c>
      <c r="AW603" s="117"/>
      <c r="AX603" s="138" t="str">
        <f t="shared" si="184"/>
        <v/>
      </c>
    </row>
    <row r="604" spans="1:50">
      <c r="A604" s="1">
        <v>269</v>
      </c>
      <c r="B604" s="5" t="str">
        <f t="shared" si="171"/>
        <v/>
      </c>
      <c r="C604" s="10" t="str">
        <f t="shared" si="185"/>
        <v/>
      </c>
      <c r="D604" s="5"/>
      <c r="E604" s="10"/>
      <c r="F604" s="5"/>
      <c r="G604" s="5"/>
      <c r="H604" s="5"/>
      <c r="I604" s="5"/>
      <c r="J604" s="5"/>
      <c r="K604" s="10"/>
      <c r="L604" s="10"/>
      <c r="M604" s="10"/>
      <c r="N604" s="5"/>
      <c r="O604" s="5"/>
      <c r="P604" s="27"/>
      <c r="Q604" s="27"/>
      <c r="R604" s="27"/>
      <c r="S604" s="27"/>
      <c r="T604" s="27"/>
      <c r="U604" s="27"/>
      <c r="V604" s="27"/>
      <c r="W604" s="27"/>
      <c r="X604" s="27"/>
      <c r="Y604" s="27"/>
      <c r="Z604" s="27"/>
      <c r="AA604" s="5"/>
      <c r="AB604" s="5"/>
      <c r="AC604" s="5"/>
      <c r="AD604" s="5"/>
      <c r="AE604" s="5"/>
      <c r="AF604" s="5"/>
      <c r="AG604" s="5"/>
      <c r="AH604" s="27"/>
      <c r="AI604" s="27"/>
      <c r="AJ604" s="27"/>
      <c r="AK604" s="121" t="str">
        <f t="shared" si="173"/>
        <v/>
      </c>
      <c r="AL604" s="6"/>
      <c r="AM604" s="10"/>
      <c r="AN604" s="63"/>
      <c r="AO604" s="63"/>
      <c r="AP604" s="63"/>
      <c r="AQ604" s="63"/>
      <c r="AR604" s="63"/>
      <c r="AS604" s="63"/>
      <c r="AT604" s="63"/>
      <c r="AU604" s="124" t="str">
        <f t="shared" si="172"/>
        <v/>
      </c>
      <c r="AV604" s="124" t="str">
        <f t="shared" si="172"/>
        <v/>
      </c>
      <c r="AW604" s="117"/>
      <c r="AX604" s="138" t="str">
        <f t="shared" si="184"/>
        <v/>
      </c>
    </row>
    <row r="605" spans="1:50">
      <c r="A605" s="1">
        <v>270</v>
      </c>
      <c r="B605" s="5" t="str">
        <f t="shared" si="171"/>
        <v/>
      </c>
      <c r="C605" s="10" t="str">
        <f t="shared" si="185"/>
        <v/>
      </c>
      <c r="D605" s="5"/>
      <c r="E605" s="10"/>
      <c r="F605" s="5"/>
      <c r="G605" s="5"/>
      <c r="H605" s="5"/>
      <c r="I605" s="5"/>
      <c r="J605" s="5"/>
      <c r="K605" s="10"/>
      <c r="L605" s="10"/>
      <c r="M605" s="10"/>
      <c r="N605" s="5"/>
      <c r="O605" s="5"/>
      <c r="P605" s="27"/>
      <c r="Q605" s="27"/>
      <c r="R605" s="27"/>
      <c r="S605" s="27"/>
      <c r="T605" s="27"/>
      <c r="U605" s="27"/>
      <c r="V605" s="27"/>
      <c r="W605" s="27"/>
      <c r="X605" s="27"/>
      <c r="Y605" s="27"/>
      <c r="Z605" s="27"/>
      <c r="AA605" s="5"/>
      <c r="AB605" s="5"/>
      <c r="AC605" s="5"/>
      <c r="AD605" s="5"/>
      <c r="AE605" s="5"/>
      <c r="AF605" s="5"/>
      <c r="AG605" s="5"/>
      <c r="AH605" s="27"/>
      <c r="AI605" s="27"/>
      <c r="AJ605" s="27"/>
      <c r="AK605" s="121" t="str">
        <f t="shared" si="173"/>
        <v/>
      </c>
      <c r="AL605" s="6"/>
      <c r="AM605" s="10"/>
      <c r="AN605" s="63"/>
      <c r="AO605" s="63"/>
      <c r="AP605" s="63"/>
      <c r="AQ605" s="63"/>
      <c r="AR605" s="63"/>
      <c r="AS605" s="63"/>
      <c r="AT605" s="63"/>
      <c r="AU605" s="124" t="str">
        <f t="shared" si="172"/>
        <v/>
      </c>
      <c r="AV605" s="124" t="str">
        <f t="shared" si="172"/>
        <v/>
      </c>
      <c r="AW605" s="117"/>
      <c r="AX605" s="138" t="str">
        <f t="shared" si="184"/>
        <v/>
      </c>
    </row>
    <row r="606" spans="1:50">
      <c r="A606" s="1">
        <v>271</v>
      </c>
      <c r="B606" s="5" t="str">
        <f t="shared" si="171"/>
        <v/>
      </c>
      <c r="C606" s="10" t="str">
        <f t="shared" si="185"/>
        <v/>
      </c>
      <c r="D606" s="5"/>
      <c r="E606" s="10"/>
      <c r="F606" s="5"/>
      <c r="G606" s="5"/>
      <c r="H606" s="5"/>
      <c r="I606" s="5"/>
      <c r="J606" s="5"/>
      <c r="K606" s="10"/>
      <c r="L606" s="10"/>
      <c r="M606" s="10"/>
      <c r="N606" s="5"/>
      <c r="O606" s="5"/>
      <c r="P606" s="27"/>
      <c r="Q606" s="27"/>
      <c r="R606" s="27"/>
      <c r="S606" s="27"/>
      <c r="T606" s="27"/>
      <c r="U606" s="27"/>
      <c r="V606" s="27"/>
      <c r="W606" s="27"/>
      <c r="X606" s="27"/>
      <c r="Y606" s="27"/>
      <c r="Z606" s="27"/>
      <c r="AA606" s="5"/>
      <c r="AB606" s="5"/>
      <c r="AC606" s="5"/>
      <c r="AD606" s="5"/>
      <c r="AE606" s="5"/>
      <c r="AF606" s="5"/>
      <c r="AG606" s="5"/>
      <c r="AH606" s="27"/>
      <c r="AI606" s="27"/>
      <c r="AJ606" s="27"/>
      <c r="AK606" s="121" t="str">
        <f t="shared" si="173"/>
        <v/>
      </c>
      <c r="AL606" s="6"/>
      <c r="AM606" s="10"/>
      <c r="AN606" s="63"/>
      <c r="AO606" s="63"/>
      <c r="AP606" s="63"/>
      <c r="AQ606" s="63"/>
      <c r="AR606" s="63"/>
      <c r="AS606" s="63"/>
      <c r="AT606" s="63"/>
      <c r="AU606" s="124" t="str">
        <f t="shared" si="172"/>
        <v/>
      </c>
      <c r="AV606" s="124" t="str">
        <f t="shared" si="172"/>
        <v/>
      </c>
      <c r="AW606" s="117"/>
      <c r="AX606" s="138" t="str">
        <f t="shared" si="184"/>
        <v/>
      </c>
    </row>
    <row r="607" spans="1:50">
      <c r="A607" s="1">
        <v>272</v>
      </c>
      <c r="B607" s="5" t="str">
        <f t="shared" si="171"/>
        <v/>
      </c>
      <c r="C607" s="10" t="str">
        <f t="shared" si="185"/>
        <v/>
      </c>
      <c r="D607" s="5"/>
      <c r="E607" s="10"/>
      <c r="F607" s="5"/>
      <c r="G607" s="5"/>
      <c r="H607" s="5"/>
      <c r="I607" s="5"/>
      <c r="J607" s="5"/>
      <c r="K607" s="10"/>
      <c r="L607" s="10"/>
      <c r="M607" s="10"/>
      <c r="N607" s="5"/>
      <c r="O607" s="5"/>
      <c r="P607" s="27"/>
      <c r="Q607" s="27"/>
      <c r="R607" s="27"/>
      <c r="S607" s="27"/>
      <c r="T607" s="27"/>
      <c r="U607" s="27"/>
      <c r="V607" s="27"/>
      <c r="W607" s="27"/>
      <c r="X607" s="27"/>
      <c r="Y607" s="27"/>
      <c r="Z607" s="27"/>
      <c r="AA607" s="5"/>
      <c r="AB607" s="5"/>
      <c r="AC607" s="5"/>
      <c r="AD607" s="5"/>
      <c r="AE607" s="5"/>
      <c r="AF607" s="5"/>
      <c r="AG607" s="5"/>
      <c r="AH607" s="27"/>
      <c r="AI607" s="27"/>
      <c r="AJ607" s="27"/>
      <c r="AK607" s="121" t="str">
        <f t="shared" si="173"/>
        <v/>
      </c>
      <c r="AL607" s="6"/>
      <c r="AM607" s="10"/>
      <c r="AN607" s="63"/>
      <c r="AO607" s="63"/>
      <c r="AP607" s="63"/>
      <c r="AQ607" s="63"/>
      <c r="AR607" s="63"/>
      <c r="AS607" s="63"/>
      <c r="AT607" s="63"/>
      <c r="AU607" s="124" t="str">
        <f t="shared" si="172"/>
        <v/>
      </c>
      <c r="AV607" s="124" t="str">
        <f t="shared" si="172"/>
        <v/>
      </c>
      <c r="AW607" s="117"/>
      <c r="AX607" s="138" t="str">
        <f t="shared" si="184"/>
        <v/>
      </c>
    </row>
    <row r="608" spans="1:50">
      <c r="A608" s="1">
        <v>273</v>
      </c>
      <c r="B608" s="5" t="str">
        <f t="shared" si="171"/>
        <v/>
      </c>
      <c r="C608" s="10" t="str">
        <f t="shared" si="185"/>
        <v/>
      </c>
      <c r="D608" s="5"/>
      <c r="E608" s="10"/>
      <c r="F608" s="5"/>
      <c r="G608" s="5"/>
      <c r="H608" s="5"/>
      <c r="I608" s="5"/>
      <c r="J608" s="5"/>
      <c r="K608" s="10"/>
      <c r="L608" s="10"/>
      <c r="M608" s="10"/>
      <c r="N608" s="5"/>
      <c r="O608" s="5"/>
      <c r="P608" s="27"/>
      <c r="Q608" s="27"/>
      <c r="R608" s="27"/>
      <c r="S608" s="27"/>
      <c r="T608" s="27"/>
      <c r="U608" s="27"/>
      <c r="V608" s="27"/>
      <c r="W608" s="27"/>
      <c r="X608" s="27"/>
      <c r="Y608" s="27"/>
      <c r="Z608" s="27"/>
      <c r="AA608" s="5"/>
      <c r="AB608" s="5"/>
      <c r="AC608" s="5"/>
      <c r="AD608" s="5"/>
      <c r="AE608" s="5"/>
      <c r="AF608" s="5"/>
      <c r="AG608" s="5"/>
      <c r="AH608" s="27"/>
      <c r="AI608" s="27"/>
      <c r="AJ608" s="27"/>
      <c r="AK608" s="121" t="str">
        <f t="shared" si="173"/>
        <v/>
      </c>
      <c r="AL608" s="6"/>
      <c r="AM608" s="10"/>
      <c r="AN608" s="63"/>
      <c r="AO608" s="63"/>
      <c r="AP608" s="63"/>
      <c r="AQ608" s="63"/>
      <c r="AR608" s="63"/>
      <c r="AS608" s="63"/>
      <c r="AT608" s="63"/>
      <c r="AU608" s="124" t="str">
        <f t="shared" si="172"/>
        <v/>
      </c>
      <c r="AV608" s="124" t="str">
        <f t="shared" si="172"/>
        <v/>
      </c>
      <c r="AW608" s="117"/>
      <c r="AX608" s="138" t="str">
        <f t="shared" si="184"/>
        <v/>
      </c>
    </row>
    <row r="609" spans="1:50">
      <c r="A609" s="1">
        <v>274</v>
      </c>
      <c r="B609" s="5" t="str">
        <f t="shared" si="171"/>
        <v/>
      </c>
      <c r="C609" s="10" t="str">
        <f t="shared" si="185"/>
        <v/>
      </c>
      <c r="D609" s="5"/>
      <c r="E609" s="10"/>
      <c r="F609" s="5"/>
      <c r="G609" s="5"/>
      <c r="H609" s="5"/>
      <c r="I609" s="5"/>
      <c r="J609" s="5"/>
      <c r="K609" s="10"/>
      <c r="L609" s="10"/>
      <c r="M609" s="10"/>
      <c r="N609" s="5"/>
      <c r="O609" s="5"/>
      <c r="P609" s="27"/>
      <c r="Q609" s="27"/>
      <c r="R609" s="27"/>
      <c r="S609" s="27"/>
      <c r="T609" s="27"/>
      <c r="U609" s="27"/>
      <c r="V609" s="27"/>
      <c r="W609" s="27"/>
      <c r="X609" s="27"/>
      <c r="Y609" s="27"/>
      <c r="Z609" s="27"/>
      <c r="AA609" s="5"/>
      <c r="AB609" s="5"/>
      <c r="AC609" s="5"/>
      <c r="AD609" s="5"/>
      <c r="AE609" s="5"/>
      <c r="AF609" s="5"/>
      <c r="AG609" s="5"/>
      <c r="AH609" s="27"/>
      <c r="AI609" s="27"/>
      <c r="AJ609" s="27"/>
      <c r="AK609" s="121" t="str">
        <f t="shared" si="173"/>
        <v/>
      </c>
      <c r="AL609" s="6"/>
      <c r="AM609" s="10"/>
      <c r="AN609" s="63"/>
      <c r="AO609" s="63"/>
      <c r="AP609" s="63"/>
      <c r="AQ609" s="63"/>
      <c r="AR609" s="63"/>
      <c r="AS609" s="63"/>
      <c r="AT609" s="63"/>
      <c r="AU609" s="124" t="str">
        <f t="shared" si="172"/>
        <v/>
      </c>
      <c r="AV609" s="124" t="str">
        <f t="shared" si="172"/>
        <v/>
      </c>
      <c r="AW609" s="117"/>
      <c r="AX609" s="138" t="str">
        <f t="shared" si="184"/>
        <v/>
      </c>
    </row>
    <row r="610" spans="1:50">
      <c r="A610" s="1">
        <v>275</v>
      </c>
      <c r="B610" s="5" t="str">
        <f t="shared" si="171"/>
        <v/>
      </c>
      <c r="C610" s="10" t="str">
        <f t="shared" si="185"/>
        <v/>
      </c>
      <c r="D610" s="5"/>
      <c r="E610" s="10"/>
      <c r="F610" s="5"/>
      <c r="G610" s="5"/>
      <c r="H610" s="5"/>
      <c r="I610" s="5"/>
      <c r="J610" s="5"/>
      <c r="K610" s="10"/>
      <c r="L610" s="10"/>
      <c r="M610" s="10"/>
      <c r="N610" s="5"/>
      <c r="O610" s="5"/>
      <c r="P610" s="27"/>
      <c r="Q610" s="27"/>
      <c r="R610" s="27"/>
      <c r="S610" s="27"/>
      <c r="T610" s="27"/>
      <c r="U610" s="27"/>
      <c r="V610" s="27"/>
      <c r="W610" s="27"/>
      <c r="X610" s="27"/>
      <c r="Y610" s="27"/>
      <c r="Z610" s="27"/>
      <c r="AA610" s="5"/>
      <c r="AB610" s="5"/>
      <c r="AC610" s="5"/>
      <c r="AD610" s="5"/>
      <c r="AE610" s="5"/>
      <c r="AF610" s="5"/>
      <c r="AG610" s="5"/>
      <c r="AH610" s="27"/>
      <c r="AI610" s="27"/>
      <c r="AJ610" s="27"/>
      <c r="AK610" s="121" t="str">
        <f t="shared" si="173"/>
        <v/>
      </c>
      <c r="AL610" s="6"/>
      <c r="AM610" s="10"/>
      <c r="AN610" s="63"/>
      <c r="AO610" s="63"/>
      <c r="AP610" s="63"/>
      <c r="AQ610" s="63"/>
      <c r="AR610" s="63"/>
      <c r="AS610" s="63"/>
      <c r="AT610" s="63"/>
      <c r="AU610" s="124" t="str">
        <f t="shared" si="172"/>
        <v/>
      </c>
      <c r="AV610" s="124" t="str">
        <f t="shared" si="172"/>
        <v/>
      </c>
      <c r="AW610" s="117"/>
      <c r="AX610" s="138" t="str">
        <f t="shared" si="184"/>
        <v/>
      </c>
    </row>
    <row r="611" spans="1:50">
      <c r="A611" s="1">
        <v>276</v>
      </c>
      <c r="B611" s="5" t="str">
        <f t="shared" ref="B611:B620" si="186">IF(AI611="","",IF(AI611="1","",IF(AI611="2","└ ",IF(AI611="3","  └ ",IF(AI611="4","    └ ",IF(AI611="5","        └ ",IF(AI611="6","         └ ",IF(AI611="7"="            └ ",""))))))))&amp;AM611&amp;F611</f>
        <v/>
      </c>
      <c r="C611" s="10" t="str">
        <f t="shared" si="185"/>
        <v/>
      </c>
      <c r="D611" s="5"/>
      <c r="E611" s="10"/>
      <c r="F611" s="5"/>
      <c r="G611" s="5"/>
      <c r="H611" s="5"/>
      <c r="I611" s="5"/>
      <c r="J611" s="5"/>
      <c r="K611" s="10"/>
      <c r="L611" s="10"/>
      <c r="M611" s="10"/>
      <c r="N611" s="5"/>
      <c r="O611" s="5"/>
      <c r="P611" s="27"/>
      <c r="Q611" s="27"/>
      <c r="R611" s="27"/>
      <c r="S611" s="27"/>
      <c r="T611" s="27"/>
      <c r="U611" s="27"/>
      <c r="V611" s="27"/>
      <c r="W611" s="27"/>
      <c r="X611" s="27"/>
      <c r="Y611" s="27"/>
      <c r="Z611" s="27"/>
      <c r="AA611" s="5"/>
      <c r="AB611" s="5"/>
      <c r="AC611" s="5"/>
      <c r="AD611" s="5"/>
      <c r="AE611" s="5"/>
      <c r="AF611" s="5"/>
      <c r="AG611" s="5"/>
      <c r="AH611" s="27"/>
      <c r="AI611" s="27"/>
      <c r="AJ611" s="27"/>
      <c r="AK611" s="121" t="str">
        <f t="shared" si="173"/>
        <v/>
      </c>
      <c r="AL611" s="6"/>
      <c r="AM611" s="10"/>
      <c r="AN611" s="63"/>
      <c r="AO611" s="63"/>
      <c r="AP611" s="63"/>
      <c r="AQ611" s="63"/>
      <c r="AR611" s="63"/>
      <c r="AS611" s="63"/>
      <c r="AT611" s="63"/>
      <c r="AU611" s="124" t="str">
        <f t="shared" si="172"/>
        <v/>
      </c>
      <c r="AV611" s="124" t="str">
        <f t="shared" si="172"/>
        <v/>
      </c>
      <c r="AW611" s="117"/>
      <c r="AX611" s="138" t="str">
        <f t="shared" si="184"/>
        <v/>
      </c>
    </row>
    <row r="612" spans="1:50">
      <c r="A612" s="1">
        <v>277</v>
      </c>
      <c r="B612" s="5" t="str">
        <f t="shared" si="186"/>
        <v/>
      </c>
      <c r="C612" s="10" t="str">
        <f t="shared" si="185"/>
        <v/>
      </c>
      <c r="D612" s="5"/>
      <c r="E612" s="10"/>
      <c r="F612" s="5"/>
      <c r="G612" s="5"/>
      <c r="H612" s="5"/>
      <c r="I612" s="5"/>
      <c r="J612" s="5"/>
      <c r="K612" s="10"/>
      <c r="L612" s="10"/>
      <c r="M612" s="10"/>
      <c r="N612" s="5"/>
      <c r="O612" s="5"/>
      <c r="P612" s="27"/>
      <c r="Q612" s="27"/>
      <c r="R612" s="27"/>
      <c r="S612" s="27"/>
      <c r="T612" s="27"/>
      <c r="U612" s="27"/>
      <c r="V612" s="27"/>
      <c r="W612" s="27"/>
      <c r="X612" s="27"/>
      <c r="Y612" s="27"/>
      <c r="Z612" s="27"/>
      <c r="AA612" s="5"/>
      <c r="AB612" s="5"/>
      <c r="AC612" s="5"/>
      <c r="AD612" s="5"/>
      <c r="AE612" s="5"/>
      <c r="AF612" s="5"/>
      <c r="AG612" s="5"/>
      <c r="AH612" s="27"/>
      <c r="AI612" s="27"/>
      <c r="AJ612" s="27"/>
      <c r="AK612" s="121" t="str">
        <f t="shared" si="173"/>
        <v/>
      </c>
      <c r="AL612" s="6"/>
      <c r="AM612" s="10"/>
      <c r="AN612" s="63"/>
      <c r="AO612" s="63"/>
      <c r="AP612" s="63"/>
      <c r="AQ612" s="63"/>
      <c r="AR612" s="63"/>
      <c r="AS612" s="63"/>
      <c r="AT612" s="63"/>
      <c r="AU612" s="124" t="str">
        <f t="shared" ref="AU612:AV634" si="187">IF(O612="","",AT612&amp;E612)</f>
        <v/>
      </c>
      <c r="AV612" s="124" t="str">
        <f t="shared" si="187"/>
        <v/>
      </c>
      <c r="AW612" s="117"/>
      <c r="AX612" s="138" t="str">
        <f t="shared" si="184"/>
        <v/>
      </c>
    </row>
    <row r="613" spans="1:50">
      <c r="A613" s="1">
        <v>278</v>
      </c>
      <c r="B613" s="5" t="str">
        <f t="shared" si="186"/>
        <v/>
      </c>
      <c r="C613" s="10" t="str">
        <f t="shared" si="185"/>
        <v/>
      </c>
      <c r="D613" s="5"/>
      <c r="E613" s="10"/>
      <c r="F613" s="5"/>
      <c r="G613" s="5"/>
      <c r="H613" s="5"/>
      <c r="I613" s="5"/>
      <c r="J613" s="5"/>
      <c r="K613" s="10"/>
      <c r="L613" s="10"/>
      <c r="M613" s="10"/>
      <c r="N613" s="5"/>
      <c r="O613" s="5"/>
      <c r="P613" s="27"/>
      <c r="Q613" s="27"/>
      <c r="R613" s="27"/>
      <c r="S613" s="27"/>
      <c r="T613" s="27"/>
      <c r="U613" s="27"/>
      <c r="V613" s="27"/>
      <c r="W613" s="27"/>
      <c r="X613" s="27"/>
      <c r="Y613" s="27"/>
      <c r="Z613" s="27"/>
      <c r="AA613" s="5"/>
      <c r="AB613" s="5"/>
      <c r="AC613" s="5"/>
      <c r="AD613" s="5"/>
      <c r="AE613" s="5"/>
      <c r="AF613" s="5"/>
      <c r="AG613" s="5"/>
      <c r="AH613" s="27"/>
      <c r="AI613" s="27"/>
      <c r="AJ613" s="27"/>
      <c r="AK613" s="121" t="str">
        <f t="shared" ref="AK613:AK676" si="188">IF(B614="","","0")</f>
        <v/>
      </c>
      <c r="AL613" s="6"/>
      <c r="AM613" s="10"/>
      <c r="AN613" s="63"/>
      <c r="AO613" s="63"/>
      <c r="AP613" s="63"/>
      <c r="AQ613" s="63"/>
      <c r="AR613" s="63"/>
      <c r="AS613" s="63"/>
      <c r="AT613" s="63"/>
      <c r="AU613" s="124" t="str">
        <f t="shared" si="187"/>
        <v/>
      </c>
      <c r="AV613" s="124" t="str">
        <f t="shared" si="187"/>
        <v/>
      </c>
      <c r="AW613" s="117"/>
      <c r="AX613" s="138" t="str">
        <f t="shared" si="184"/>
        <v/>
      </c>
    </row>
    <row r="614" spans="1:50">
      <c r="A614" s="1">
        <v>279</v>
      </c>
      <c r="B614" s="5" t="str">
        <f t="shared" si="186"/>
        <v/>
      </c>
      <c r="C614" s="10" t="str">
        <f t="shared" si="185"/>
        <v/>
      </c>
      <c r="D614" s="5"/>
      <c r="E614" s="10"/>
      <c r="F614" s="5"/>
      <c r="G614" s="5"/>
      <c r="H614" s="5"/>
      <c r="I614" s="5"/>
      <c r="J614" s="5"/>
      <c r="K614" s="10"/>
      <c r="L614" s="10"/>
      <c r="M614" s="10"/>
      <c r="N614" s="5"/>
      <c r="O614" s="5"/>
      <c r="P614" s="27"/>
      <c r="Q614" s="27"/>
      <c r="R614" s="27"/>
      <c r="S614" s="27"/>
      <c r="T614" s="27"/>
      <c r="U614" s="27"/>
      <c r="V614" s="27"/>
      <c r="W614" s="27"/>
      <c r="X614" s="27"/>
      <c r="Y614" s="27"/>
      <c r="Z614" s="27"/>
      <c r="AA614" s="5"/>
      <c r="AB614" s="5"/>
      <c r="AC614" s="5"/>
      <c r="AD614" s="5"/>
      <c r="AE614" s="5"/>
      <c r="AF614" s="5"/>
      <c r="AG614" s="5"/>
      <c r="AH614" s="27"/>
      <c r="AI614" s="27"/>
      <c r="AJ614" s="27"/>
      <c r="AK614" s="121" t="str">
        <f t="shared" si="188"/>
        <v/>
      </c>
      <c r="AL614" s="6"/>
      <c r="AM614" s="10"/>
      <c r="AN614" s="63"/>
      <c r="AO614" s="63"/>
      <c r="AP614" s="63"/>
      <c r="AQ614" s="63"/>
      <c r="AR614" s="63"/>
      <c r="AS614" s="63"/>
      <c r="AT614" s="63"/>
      <c r="AU614" s="124" t="str">
        <f t="shared" si="187"/>
        <v/>
      </c>
      <c r="AV614" s="124" t="str">
        <f t="shared" si="187"/>
        <v/>
      </c>
      <c r="AW614" s="117"/>
      <c r="AX614" s="138" t="str">
        <f t="shared" si="184"/>
        <v/>
      </c>
    </row>
    <row r="615" spans="1:50">
      <c r="A615" s="1">
        <v>280</v>
      </c>
      <c r="B615" s="5" t="str">
        <f t="shared" si="186"/>
        <v/>
      </c>
      <c r="C615" s="10" t="str">
        <f t="shared" si="185"/>
        <v/>
      </c>
      <c r="D615" s="5"/>
      <c r="E615" s="10"/>
      <c r="F615" s="5"/>
      <c r="G615" s="5"/>
      <c r="H615" s="5"/>
      <c r="I615" s="5"/>
      <c r="J615" s="5"/>
      <c r="K615" s="10"/>
      <c r="L615" s="10"/>
      <c r="M615" s="10"/>
      <c r="N615" s="5"/>
      <c r="O615" s="5"/>
      <c r="P615" s="27"/>
      <c r="Q615" s="27"/>
      <c r="R615" s="27"/>
      <c r="S615" s="27"/>
      <c r="T615" s="27"/>
      <c r="U615" s="27"/>
      <c r="V615" s="27"/>
      <c r="W615" s="27"/>
      <c r="X615" s="27"/>
      <c r="Y615" s="27"/>
      <c r="Z615" s="27"/>
      <c r="AA615" s="5"/>
      <c r="AB615" s="5"/>
      <c r="AC615" s="5"/>
      <c r="AD615" s="5"/>
      <c r="AE615" s="5"/>
      <c r="AF615" s="5"/>
      <c r="AG615" s="5"/>
      <c r="AH615" s="27"/>
      <c r="AI615" s="27"/>
      <c r="AJ615" s="27"/>
      <c r="AK615" s="121" t="str">
        <f t="shared" si="188"/>
        <v/>
      </c>
      <c r="AL615" s="6"/>
      <c r="AM615" s="10"/>
      <c r="AN615" s="63"/>
      <c r="AO615" s="63"/>
      <c r="AP615" s="63"/>
      <c r="AQ615" s="63"/>
      <c r="AR615" s="63"/>
      <c r="AS615" s="63"/>
      <c r="AT615" s="63"/>
      <c r="AU615" s="124" t="str">
        <f t="shared" si="187"/>
        <v/>
      </c>
      <c r="AV615" s="124" t="str">
        <f t="shared" si="187"/>
        <v/>
      </c>
      <c r="AW615" s="117"/>
      <c r="AX615" s="138" t="str">
        <f t="shared" si="184"/>
        <v/>
      </c>
    </row>
    <row r="616" spans="1:50">
      <c r="A616" s="1">
        <v>281</v>
      </c>
      <c r="B616" s="5" t="str">
        <f t="shared" si="186"/>
        <v/>
      </c>
      <c r="C616" s="10" t="str">
        <f t="shared" si="185"/>
        <v/>
      </c>
      <c r="D616" s="5"/>
      <c r="E616" s="10"/>
      <c r="F616" s="5"/>
      <c r="G616" s="5"/>
      <c r="H616" s="5"/>
      <c r="I616" s="5"/>
      <c r="J616" s="5"/>
      <c r="K616" s="10"/>
      <c r="L616" s="10"/>
      <c r="M616" s="10"/>
      <c r="N616" s="5"/>
      <c r="O616" s="5"/>
      <c r="P616" s="27"/>
      <c r="Q616" s="27"/>
      <c r="R616" s="27"/>
      <c r="S616" s="27"/>
      <c r="T616" s="27"/>
      <c r="U616" s="27"/>
      <c r="V616" s="27"/>
      <c r="W616" s="27"/>
      <c r="X616" s="27"/>
      <c r="Y616" s="27"/>
      <c r="Z616" s="27"/>
      <c r="AA616" s="5"/>
      <c r="AB616" s="5"/>
      <c r="AC616" s="5"/>
      <c r="AD616" s="5"/>
      <c r="AE616" s="5"/>
      <c r="AF616" s="5"/>
      <c r="AG616" s="5"/>
      <c r="AH616" s="27"/>
      <c r="AI616" s="27"/>
      <c r="AJ616" s="27"/>
      <c r="AK616" s="121" t="str">
        <f t="shared" si="188"/>
        <v/>
      </c>
      <c r="AL616" s="6"/>
      <c r="AM616" s="10"/>
      <c r="AN616" s="63"/>
      <c r="AO616" s="63"/>
      <c r="AP616" s="63"/>
      <c r="AQ616" s="63"/>
      <c r="AR616" s="63"/>
      <c r="AS616" s="63"/>
      <c r="AT616" s="63"/>
      <c r="AU616" s="124" t="str">
        <f t="shared" si="187"/>
        <v/>
      </c>
      <c r="AV616" s="124" t="str">
        <f t="shared" si="187"/>
        <v/>
      </c>
      <c r="AW616" s="117"/>
      <c r="AX616" s="138" t="str">
        <f t="shared" si="184"/>
        <v/>
      </c>
    </row>
    <row r="617" spans="1:50">
      <c r="A617" s="1">
        <v>282</v>
      </c>
      <c r="B617" s="5" t="str">
        <f t="shared" si="186"/>
        <v/>
      </c>
      <c r="C617" s="10" t="str">
        <f t="shared" si="185"/>
        <v/>
      </c>
      <c r="D617" s="5"/>
      <c r="E617" s="10"/>
      <c r="F617" s="5"/>
      <c r="G617" s="5"/>
      <c r="H617" s="5"/>
      <c r="I617" s="5"/>
      <c r="J617" s="5"/>
      <c r="K617" s="10"/>
      <c r="L617" s="10"/>
      <c r="M617" s="10"/>
      <c r="N617" s="5"/>
      <c r="O617" s="5"/>
      <c r="P617" s="27"/>
      <c r="Q617" s="27"/>
      <c r="R617" s="27"/>
      <c r="S617" s="27"/>
      <c r="T617" s="27"/>
      <c r="U617" s="27"/>
      <c r="V617" s="27"/>
      <c r="W617" s="27"/>
      <c r="X617" s="27"/>
      <c r="Y617" s="27"/>
      <c r="Z617" s="27"/>
      <c r="AA617" s="5"/>
      <c r="AB617" s="5"/>
      <c r="AC617" s="5"/>
      <c r="AD617" s="5"/>
      <c r="AE617" s="5"/>
      <c r="AF617" s="5"/>
      <c r="AG617" s="5"/>
      <c r="AH617" s="27"/>
      <c r="AI617" s="27"/>
      <c r="AJ617" s="27"/>
      <c r="AK617" s="121" t="str">
        <f t="shared" si="188"/>
        <v/>
      </c>
      <c r="AL617" s="6"/>
      <c r="AM617" s="10"/>
      <c r="AN617" s="63"/>
      <c r="AO617" s="63"/>
      <c r="AP617" s="63"/>
      <c r="AQ617" s="63"/>
      <c r="AR617" s="63"/>
      <c r="AS617" s="63"/>
      <c r="AT617" s="63"/>
      <c r="AU617" s="124" t="str">
        <f t="shared" si="187"/>
        <v/>
      </c>
      <c r="AV617" s="124" t="str">
        <f t="shared" si="187"/>
        <v/>
      </c>
      <c r="AW617" s="117"/>
      <c r="AX617" s="138" t="str">
        <f t="shared" si="184"/>
        <v/>
      </c>
    </row>
    <row r="618" spans="1:50">
      <c r="A618" s="1">
        <v>283</v>
      </c>
      <c r="B618" s="5" t="str">
        <f t="shared" si="186"/>
        <v/>
      </c>
      <c r="C618" s="10" t="str">
        <f t="shared" si="185"/>
        <v/>
      </c>
      <c r="D618" s="5"/>
      <c r="E618" s="10"/>
      <c r="F618" s="5"/>
      <c r="G618" s="5"/>
      <c r="H618" s="5"/>
      <c r="I618" s="5"/>
      <c r="J618" s="5"/>
      <c r="K618" s="10"/>
      <c r="L618" s="10"/>
      <c r="M618" s="10"/>
      <c r="N618" s="5"/>
      <c r="O618" s="5"/>
      <c r="P618" s="27"/>
      <c r="Q618" s="27"/>
      <c r="R618" s="27"/>
      <c r="S618" s="27"/>
      <c r="T618" s="27"/>
      <c r="U618" s="27"/>
      <c r="V618" s="27"/>
      <c r="W618" s="27"/>
      <c r="X618" s="27"/>
      <c r="Y618" s="27"/>
      <c r="Z618" s="27"/>
      <c r="AA618" s="5"/>
      <c r="AB618" s="5"/>
      <c r="AC618" s="5"/>
      <c r="AD618" s="5"/>
      <c r="AE618" s="5"/>
      <c r="AF618" s="5"/>
      <c r="AG618" s="5"/>
      <c r="AH618" s="27"/>
      <c r="AI618" s="27"/>
      <c r="AJ618" s="27"/>
      <c r="AK618" s="121" t="str">
        <f t="shared" si="188"/>
        <v/>
      </c>
      <c r="AL618" s="6"/>
      <c r="AM618" s="10"/>
      <c r="AN618" s="63"/>
      <c r="AO618" s="63"/>
      <c r="AP618" s="63"/>
      <c r="AQ618" s="63"/>
      <c r="AR618" s="63"/>
      <c r="AS618" s="63"/>
      <c r="AT618" s="63"/>
      <c r="AU618" s="124" t="str">
        <f t="shared" si="187"/>
        <v/>
      </c>
      <c r="AV618" s="124" t="str">
        <f t="shared" si="187"/>
        <v/>
      </c>
      <c r="AW618" s="117"/>
      <c r="AX618" s="138" t="str">
        <f t="shared" si="184"/>
        <v/>
      </c>
    </row>
    <row r="619" spans="1:50">
      <c r="A619" s="1">
        <v>284</v>
      </c>
      <c r="B619" s="5" t="str">
        <f t="shared" si="186"/>
        <v/>
      </c>
      <c r="C619" s="10" t="str">
        <f t="shared" si="185"/>
        <v/>
      </c>
      <c r="D619" s="5"/>
      <c r="E619" s="10"/>
      <c r="F619" s="5"/>
      <c r="G619" s="5"/>
      <c r="H619" s="5"/>
      <c r="I619" s="5"/>
      <c r="J619" s="5"/>
      <c r="K619" s="10"/>
      <c r="L619" s="10"/>
      <c r="M619" s="10"/>
      <c r="N619" s="5"/>
      <c r="O619" s="5"/>
      <c r="P619" s="27"/>
      <c r="Q619" s="27"/>
      <c r="R619" s="27"/>
      <c r="S619" s="27"/>
      <c r="T619" s="27"/>
      <c r="U619" s="27"/>
      <c r="V619" s="27"/>
      <c r="W619" s="27"/>
      <c r="X619" s="27"/>
      <c r="Y619" s="27"/>
      <c r="Z619" s="27"/>
      <c r="AA619" s="5"/>
      <c r="AB619" s="5"/>
      <c r="AC619" s="5"/>
      <c r="AD619" s="5"/>
      <c r="AE619" s="5"/>
      <c r="AF619" s="5"/>
      <c r="AG619" s="5"/>
      <c r="AH619" s="27"/>
      <c r="AI619" s="27"/>
      <c r="AJ619" s="27"/>
      <c r="AK619" s="121" t="str">
        <f t="shared" si="188"/>
        <v/>
      </c>
      <c r="AL619" s="6"/>
      <c r="AM619" s="10"/>
      <c r="AN619" s="63"/>
      <c r="AO619" s="63"/>
      <c r="AP619" s="63"/>
      <c r="AQ619" s="63"/>
      <c r="AR619" s="63"/>
      <c r="AS619" s="63"/>
      <c r="AT619" s="63"/>
      <c r="AU619" s="124" t="str">
        <f t="shared" si="187"/>
        <v/>
      </c>
      <c r="AV619" s="124" t="str">
        <f t="shared" si="187"/>
        <v/>
      </c>
      <c r="AW619" s="117"/>
      <c r="AX619" s="138" t="str">
        <f t="shared" si="184"/>
        <v/>
      </c>
    </row>
    <row r="620" spans="1:50">
      <c r="A620" s="1">
        <v>285</v>
      </c>
      <c r="B620" s="5" t="str">
        <f t="shared" si="186"/>
        <v/>
      </c>
      <c r="C620" s="10" t="str">
        <f t="shared" si="185"/>
        <v/>
      </c>
      <c r="D620" s="5"/>
      <c r="E620" s="10"/>
      <c r="F620" s="5"/>
      <c r="G620" s="5"/>
      <c r="H620" s="5"/>
      <c r="I620" s="5"/>
      <c r="J620" s="5"/>
      <c r="K620" s="10"/>
      <c r="L620" s="10"/>
      <c r="M620" s="10"/>
      <c r="N620" s="5"/>
      <c r="O620" s="5"/>
      <c r="P620" s="27"/>
      <c r="Q620" s="27"/>
      <c r="R620" s="27"/>
      <c r="S620" s="27"/>
      <c r="T620" s="27"/>
      <c r="U620" s="27"/>
      <c r="V620" s="27"/>
      <c r="W620" s="27"/>
      <c r="X620" s="27"/>
      <c r="Y620" s="27"/>
      <c r="Z620" s="27"/>
      <c r="AA620" s="5"/>
      <c r="AB620" s="5"/>
      <c r="AC620" s="5"/>
      <c r="AD620" s="5"/>
      <c r="AE620" s="5"/>
      <c r="AF620" s="5"/>
      <c r="AG620" s="5"/>
      <c r="AH620" s="27"/>
      <c r="AI620" s="27"/>
      <c r="AJ620" s="27"/>
      <c r="AK620" s="121" t="str">
        <f t="shared" si="188"/>
        <v/>
      </c>
      <c r="AL620" s="6"/>
      <c r="AM620" s="10"/>
      <c r="AN620" s="63"/>
      <c r="AO620" s="63"/>
      <c r="AP620" s="63"/>
      <c r="AQ620" s="63"/>
      <c r="AR620" s="63"/>
      <c r="AS620" s="63"/>
      <c r="AT620" s="63"/>
      <c r="AU620" s="124" t="str">
        <f t="shared" si="187"/>
        <v/>
      </c>
      <c r="AV620" s="124" t="str">
        <f t="shared" si="187"/>
        <v/>
      </c>
      <c r="AW620" s="117"/>
      <c r="AX620" s="138" t="str">
        <f t="shared" si="184"/>
        <v/>
      </c>
    </row>
    <row r="621" spans="1:50">
      <c r="A621" s="1">
        <v>286</v>
      </c>
      <c r="B621" s="5"/>
      <c r="C621" s="10" t="str">
        <f t="shared" si="185"/>
        <v/>
      </c>
      <c r="D621" s="5"/>
      <c r="E621" s="10"/>
      <c r="F621" s="5"/>
      <c r="G621" s="5"/>
      <c r="H621" s="5"/>
      <c r="I621" s="5"/>
      <c r="J621" s="5"/>
      <c r="K621" s="10"/>
      <c r="L621" s="10"/>
      <c r="M621" s="10"/>
      <c r="N621" s="5"/>
      <c r="O621" s="5"/>
      <c r="P621" s="27"/>
      <c r="Q621" s="27"/>
      <c r="R621" s="27"/>
      <c r="S621" s="27"/>
      <c r="T621" s="27"/>
      <c r="U621" s="27"/>
      <c r="V621" s="27"/>
      <c r="W621" s="27"/>
      <c r="X621" s="27"/>
      <c r="Y621" s="27"/>
      <c r="Z621" s="27"/>
      <c r="AA621" s="5"/>
      <c r="AB621" s="5"/>
      <c r="AC621" s="5"/>
      <c r="AD621" s="5"/>
      <c r="AE621" s="5"/>
      <c r="AF621" s="5"/>
      <c r="AG621" s="5"/>
      <c r="AH621" s="27"/>
      <c r="AI621" s="27"/>
      <c r="AJ621" s="27"/>
      <c r="AK621" s="121" t="str">
        <f t="shared" si="188"/>
        <v/>
      </c>
      <c r="AL621" s="6"/>
      <c r="AM621" s="10"/>
      <c r="AN621" s="63"/>
      <c r="AO621" s="63"/>
      <c r="AP621" s="63"/>
      <c r="AQ621" s="63"/>
      <c r="AR621" s="63"/>
      <c r="AS621" s="63"/>
      <c r="AT621" s="63"/>
      <c r="AU621" s="124" t="str">
        <f t="shared" si="187"/>
        <v/>
      </c>
      <c r="AV621" s="124" t="str">
        <f t="shared" si="187"/>
        <v/>
      </c>
      <c r="AW621" s="117"/>
    </row>
    <row r="622" spans="1:50">
      <c r="A622" s="1">
        <v>287</v>
      </c>
      <c r="B622" s="5"/>
      <c r="C622" s="10" t="str">
        <f t="shared" si="185"/>
        <v/>
      </c>
      <c r="D622" s="5"/>
      <c r="E622" s="10"/>
      <c r="F622" s="5"/>
      <c r="G622" s="5"/>
      <c r="H622" s="5"/>
      <c r="I622" s="5"/>
      <c r="J622" s="5"/>
      <c r="K622" s="10"/>
      <c r="L622" s="10"/>
      <c r="M622" s="10"/>
      <c r="N622" s="5"/>
      <c r="O622" s="5"/>
      <c r="P622" s="27"/>
      <c r="Q622" s="27"/>
      <c r="R622" s="27"/>
      <c r="S622" s="27"/>
      <c r="T622" s="27"/>
      <c r="U622" s="27"/>
      <c r="V622" s="27"/>
      <c r="W622" s="27"/>
      <c r="X622" s="27"/>
      <c r="Y622" s="27"/>
      <c r="Z622" s="27"/>
      <c r="AA622" s="5"/>
      <c r="AB622" s="5"/>
      <c r="AC622" s="5"/>
      <c r="AD622" s="5"/>
      <c r="AE622" s="5"/>
      <c r="AF622" s="5"/>
      <c r="AG622" s="5"/>
      <c r="AH622" s="27"/>
      <c r="AI622" s="27"/>
      <c r="AJ622" s="27"/>
      <c r="AK622" s="121" t="str">
        <f t="shared" si="188"/>
        <v/>
      </c>
      <c r="AL622" s="6"/>
      <c r="AM622" s="10"/>
      <c r="AN622" s="63"/>
      <c r="AO622" s="63"/>
      <c r="AP622" s="63"/>
      <c r="AQ622" s="63"/>
      <c r="AR622" s="63"/>
      <c r="AS622" s="63"/>
      <c r="AT622" s="63"/>
      <c r="AU622" s="124" t="str">
        <f t="shared" si="187"/>
        <v/>
      </c>
      <c r="AV622" s="124" t="str">
        <f t="shared" si="187"/>
        <v/>
      </c>
      <c r="AW622" s="117"/>
    </row>
    <row r="623" spans="1:50">
      <c r="A623" s="1">
        <v>288</v>
      </c>
      <c r="B623" s="5"/>
      <c r="C623" s="10" t="str">
        <f t="shared" si="185"/>
        <v/>
      </c>
      <c r="D623" s="5"/>
      <c r="E623" s="10"/>
      <c r="F623" s="5"/>
      <c r="G623" s="5"/>
      <c r="H623" s="5"/>
      <c r="I623" s="5"/>
      <c r="J623" s="5"/>
      <c r="K623" s="10"/>
      <c r="L623" s="10"/>
      <c r="M623" s="10"/>
      <c r="N623" s="5"/>
      <c r="O623" s="5"/>
      <c r="P623" s="27"/>
      <c r="Q623" s="27"/>
      <c r="R623" s="27"/>
      <c r="S623" s="27"/>
      <c r="T623" s="27"/>
      <c r="U623" s="27"/>
      <c r="V623" s="27"/>
      <c r="W623" s="27"/>
      <c r="X623" s="27"/>
      <c r="Y623" s="27"/>
      <c r="Z623" s="27"/>
      <c r="AA623" s="5"/>
      <c r="AB623" s="5"/>
      <c r="AC623" s="5"/>
      <c r="AD623" s="5"/>
      <c r="AE623" s="5"/>
      <c r="AF623" s="5"/>
      <c r="AG623" s="5"/>
      <c r="AH623" s="27"/>
      <c r="AI623" s="27"/>
      <c r="AJ623" s="27"/>
      <c r="AK623" s="121" t="str">
        <f t="shared" si="188"/>
        <v/>
      </c>
      <c r="AL623" s="6"/>
      <c r="AM623" s="10"/>
      <c r="AN623" s="63"/>
      <c r="AO623" s="63"/>
      <c r="AP623" s="63"/>
      <c r="AQ623" s="63"/>
      <c r="AR623" s="63"/>
      <c r="AS623" s="63"/>
      <c r="AT623" s="63"/>
      <c r="AU623" s="124" t="str">
        <f t="shared" si="187"/>
        <v/>
      </c>
      <c r="AV623" s="124" t="str">
        <f t="shared" si="187"/>
        <v/>
      </c>
      <c r="AW623" s="117"/>
    </row>
    <row r="624" spans="1:50">
      <c r="A624" s="1">
        <v>289</v>
      </c>
      <c r="B624" s="5"/>
      <c r="C624" s="10" t="str">
        <f t="shared" si="185"/>
        <v/>
      </c>
      <c r="D624" s="5"/>
      <c r="E624" s="10"/>
      <c r="F624" s="5"/>
      <c r="G624" s="5"/>
      <c r="H624" s="5"/>
      <c r="I624" s="5"/>
      <c r="J624" s="5"/>
      <c r="K624" s="10"/>
      <c r="L624" s="10"/>
      <c r="M624" s="10"/>
      <c r="N624" s="5"/>
      <c r="O624" s="5"/>
      <c r="P624" s="27"/>
      <c r="Q624" s="27"/>
      <c r="R624" s="27"/>
      <c r="S624" s="27"/>
      <c r="T624" s="27"/>
      <c r="U624" s="27"/>
      <c r="V624" s="27"/>
      <c r="W624" s="27"/>
      <c r="X624" s="27"/>
      <c r="Y624" s="27"/>
      <c r="Z624" s="27"/>
      <c r="AA624" s="5"/>
      <c r="AB624" s="5"/>
      <c r="AC624" s="5"/>
      <c r="AD624" s="5"/>
      <c r="AE624" s="5"/>
      <c r="AF624" s="5"/>
      <c r="AG624" s="5"/>
      <c r="AH624" s="27"/>
      <c r="AI624" s="27"/>
      <c r="AJ624" s="27"/>
      <c r="AK624" s="121" t="str">
        <f t="shared" si="188"/>
        <v/>
      </c>
      <c r="AL624" s="6"/>
      <c r="AM624" s="10"/>
      <c r="AN624" s="63"/>
      <c r="AO624" s="63"/>
      <c r="AP624" s="63"/>
      <c r="AQ624" s="63"/>
      <c r="AR624" s="63"/>
      <c r="AS624" s="63"/>
      <c r="AT624" s="63"/>
      <c r="AU624" s="124" t="str">
        <f t="shared" si="187"/>
        <v/>
      </c>
      <c r="AV624" s="124" t="str">
        <f t="shared" si="187"/>
        <v/>
      </c>
      <c r="AW624" s="117"/>
    </row>
    <row r="625" spans="1:49">
      <c r="A625" s="1">
        <v>290</v>
      </c>
      <c r="B625" s="5"/>
      <c r="C625" s="10" t="str">
        <f t="shared" si="185"/>
        <v/>
      </c>
      <c r="D625" s="5"/>
      <c r="E625" s="10"/>
      <c r="F625" s="5"/>
      <c r="G625" s="5"/>
      <c r="H625" s="5"/>
      <c r="I625" s="5"/>
      <c r="J625" s="5"/>
      <c r="K625" s="10"/>
      <c r="L625" s="10"/>
      <c r="M625" s="10"/>
      <c r="N625" s="5"/>
      <c r="O625" s="5"/>
      <c r="P625" s="27"/>
      <c r="Q625" s="27"/>
      <c r="R625" s="27"/>
      <c r="S625" s="27"/>
      <c r="T625" s="27"/>
      <c r="U625" s="27"/>
      <c r="V625" s="27"/>
      <c r="W625" s="27"/>
      <c r="X625" s="27"/>
      <c r="Y625" s="27"/>
      <c r="Z625" s="27"/>
      <c r="AA625" s="5"/>
      <c r="AB625" s="5"/>
      <c r="AC625" s="5"/>
      <c r="AD625" s="5"/>
      <c r="AE625" s="5"/>
      <c r="AF625" s="5"/>
      <c r="AG625" s="5"/>
      <c r="AH625" s="27"/>
      <c r="AI625" s="27"/>
      <c r="AJ625" s="27"/>
      <c r="AK625" s="121" t="str">
        <f t="shared" si="188"/>
        <v/>
      </c>
      <c r="AL625" s="6"/>
      <c r="AM625" s="10"/>
      <c r="AN625" s="63"/>
      <c r="AO625" s="63"/>
      <c r="AP625" s="63"/>
      <c r="AQ625" s="63"/>
      <c r="AR625" s="63"/>
      <c r="AS625" s="63"/>
      <c r="AT625" s="63"/>
      <c r="AU625" s="124" t="str">
        <f t="shared" si="187"/>
        <v/>
      </c>
      <c r="AV625" s="124" t="str">
        <f t="shared" si="187"/>
        <v/>
      </c>
      <c r="AW625" s="117"/>
    </row>
    <row r="626" spans="1:49">
      <c r="A626" s="1">
        <v>291</v>
      </c>
      <c r="B626" s="5"/>
      <c r="C626" s="10"/>
      <c r="D626" s="5"/>
      <c r="E626" s="10"/>
      <c r="F626" s="5"/>
      <c r="G626" s="5"/>
      <c r="H626" s="5"/>
      <c r="I626" s="5"/>
      <c r="J626" s="5"/>
      <c r="K626" s="10"/>
      <c r="L626" s="10"/>
      <c r="M626" s="10"/>
      <c r="N626" s="5"/>
      <c r="O626" s="5"/>
      <c r="P626" s="27"/>
      <c r="Q626" s="27"/>
      <c r="R626" s="27"/>
      <c r="S626" s="27"/>
      <c r="T626" s="27"/>
      <c r="U626" s="27"/>
      <c r="V626" s="27"/>
      <c r="W626" s="27"/>
      <c r="X626" s="27"/>
      <c r="Y626" s="27"/>
      <c r="Z626" s="27"/>
      <c r="AA626" s="5"/>
      <c r="AB626" s="5"/>
      <c r="AC626" s="5"/>
      <c r="AD626" s="5"/>
      <c r="AE626" s="5"/>
      <c r="AF626" s="5"/>
      <c r="AG626" s="5"/>
      <c r="AH626" s="27"/>
      <c r="AI626" s="27"/>
      <c r="AJ626" s="27"/>
      <c r="AK626" s="121" t="str">
        <f t="shared" si="188"/>
        <v/>
      </c>
      <c r="AL626" s="6"/>
      <c r="AM626" s="10"/>
      <c r="AN626" s="63"/>
      <c r="AO626" s="63"/>
      <c r="AP626" s="63"/>
      <c r="AQ626" s="63"/>
      <c r="AR626" s="63"/>
      <c r="AS626" s="63"/>
      <c r="AT626" s="63"/>
      <c r="AU626" s="124" t="str">
        <f t="shared" si="187"/>
        <v/>
      </c>
      <c r="AV626" s="124" t="str">
        <f t="shared" si="187"/>
        <v/>
      </c>
      <c r="AW626" s="117"/>
    </row>
    <row r="627" spans="1:49">
      <c r="A627" s="1">
        <v>292</v>
      </c>
      <c r="B627" s="5"/>
      <c r="C627" s="10"/>
      <c r="D627" s="5"/>
      <c r="E627" s="10"/>
      <c r="F627" s="5"/>
      <c r="G627" s="5"/>
      <c r="H627" s="5"/>
      <c r="I627" s="5"/>
      <c r="J627" s="5"/>
      <c r="K627" s="10"/>
      <c r="L627" s="10"/>
      <c r="M627" s="10"/>
      <c r="N627" s="5"/>
      <c r="O627" s="5"/>
      <c r="P627" s="27"/>
      <c r="Q627" s="27"/>
      <c r="R627" s="27"/>
      <c r="S627" s="27"/>
      <c r="T627" s="27"/>
      <c r="U627" s="27"/>
      <c r="V627" s="27"/>
      <c r="W627" s="27"/>
      <c r="X627" s="27"/>
      <c r="Y627" s="27"/>
      <c r="Z627" s="27"/>
      <c r="AA627" s="5"/>
      <c r="AB627" s="5"/>
      <c r="AC627" s="5"/>
      <c r="AD627" s="5"/>
      <c r="AE627" s="5"/>
      <c r="AF627" s="5"/>
      <c r="AG627" s="5"/>
      <c r="AH627" s="27"/>
      <c r="AI627" s="27"/>
      <c r="AJ627" s="27"/>
      <c r="AK627" s="121" t="str">
        <f t="shared" si="188"/>
        <v/>
      </c>
      <c r="AL627" s="6"/>
      <c r="AM627" s="10"/>
      <c r="AN627" s="63"/>
      <c r="AO627" s="63"/>
      <c r="AP627" s="63"/>
      <c r="AQ627" s="63"/>
      <c r="AR627" s="63"/>
      <c r="AS627" s="63"/>
      <c r="AT627" s="63"/>
      <c r="AU627" s="124" t="str">
        <f t="shared" si="187"/>
        <v/>
      </c>
      <c r="AV627" s="124" t="str">
        <f t="shared" si="187"/>
        <v/>
      </c>
      <c r="AW627" s="117"/>
    </row>
    <row r="628" spans="1:49">
      <c r="A628" s="1">
        <v>293</v>
      </c>
      <c r="B628" s="5"/>
      <c r="C628" s="10"/>
      <c r="D628" s="5"/>
      <c r="E628" s="10"/>
      <c r="F628" s="5"/>
      <c r="G628" s="5"/>
      <c r="H628" s="5"/>
      <c r="I628" s="5"/>
      <c r="J628" s="5"/>
      <c r="K628" s="10"/>
      <c r="L628" s="10"/>
      <c r="M628" s="10"/>
      <c r="N628" s="5"/>
      <c r="O628" s="5"/>
      <c r="P628" s="27"/>
      <c r="Q628" s="27"/>
      <c r="R628" s="27"/>
      <c r="S628" s="27"/>
      <c r="T628" s="27"/>
      <c r="U628" s="27"/>
      <c r="V628" s="27"/>
      <c r="W628" s="27"/>
      <c r="X628" s="27"/>
      <c r="Y628" s="27"/>
      <c r="Z628" s="27"/>
      <c r="AA628" s="5"/>
      <c r="AB628" s="5"/>
      <c r="AC628" s="5"/>
      <c r="AD628" s="5"/>
      <c r="AE628" s="5"/>
      <c r="AF628" s="5"/>
      <c r="AG628" s="5"/>
      <c r="AH628" s="27"/>
      <c r="AI628" s="27"/>
      <c r="AJ628" s="27"/>
      <c r="AK628" s="121" t="str">
        <f t="shared" si="188"/>
        <v/>
      </c>
      <c r="AL628" s="6"/>
      <c r="AM628" s="10"/>
      <c r="AN628" s="63"/>
      <c r="AO628" s="63"/>
      <c r="AP628" s="63"/>
      <c r="AQ628" s="63"/>
      <c r="AR628" s="63"/>
      <c r="AS628" s="63"/>
      <c r="AT628" s="63"/>
      <c r="AU628" s="124" t="str">
        <f t="shared" si="187"/>
        <v/>
      </c>
      <c r="AV628" s="124" t="str">
        <f t="shared" si="187"/>
        <v/>
      </c>
      <c r="AW628" s="117"/>
    </row>
    <row r="629" spans="1:49">
      <c r="A629" s="1">
        <v>294</v>
      </c>
      <c r="B629" s="5"/>
      <c r="C629" s="10"/>
      <c r="D629" s="5"/>
      <c r="E629" s="10"/>
      <c r="F629" s="5"/>
      <c r="G629" s="5"/>
      <c r="H629" s="5"/>
      <c r="I629" s="5"/>
      <c r="J629" s="5"/>
      <c r="K629" s="10"/>
      <c r="L629" s="10"/>
      <c r="M629" s="10"/>
      <c r="N629" s="5"/>
      <c r="O629" s="5"/>
      <c r="P629" s="27"/>
      <c r="Q629" s="27"/>
      <c r="R629" s="27"/>
      <c r="S629" s="27"/>
      <c r="T629" s="27"/>
      <c r="U629" s="27"/>
      <c r="V629" s="27"/>
      <c r="W629" s="27"/>
      <c r="X629" s="27"/>
      <c r="Y629" s="27"/>
      <c r="Z629" s="27"/>
      <c r="AA629" s="5"/>
      <c r="AB629" s="5"/>
      <c r="AC629" s="5"/>
      <c r="AD629" s="5"/>
      <c r="AE629" s="5"/>
      <c r="AF629" s="5"/>
      <c r="AG629" s="5"/>
      <c r="AH629" s="27"/>
      <c r="AI629" s="27"/>
      <c r="AJ629" s="27"/>
      <c r="AK629" s="121" t="str">
        <f t="shared" si="188"/>
        <v/>
      </c>
      <c r="AL629" s="6"/>
      <c r="AM629" s="10"/>
      <c r="AN629" s="63"/>
      <c r="AO629" s="63"/>
      <c r="AP629" s="63"/>
      <c r="AQ629" s="63"/>
      <c r="AR629" s="63"/>
      <c r="AS629" s="63"/>
      <c r="AT629" s="63"/>
      <c r="AU629" s="124" t="str">
        <f t="shared" si="187"/>
        <v/>
      </c>
      <c r="AV629" s="124" t="str">
        <f t="shared" si="187"/>
        <v/>
      </c>
      <c r="AW629" s="117"/>
    </row>
    <row r="630" spans="1:49">
      <c r="A630" s="1">
        <v>295</v>
      </c>
      <c r="B630" s="5"/>
      <c r="C630" s="10"/>
      <c r="D630" s="5"/>
      <c r="E630" s="10"/>
      <c r="F630" s="5"/>
      <c r="G630" s="5"/>
      <c r="H630" s="5"/>
      <c r="I630" s="5"/>
      <c r="J630" s="5"/>
      <c r="K630" s="10"/>
      <c r="L630" s="10"/>
      <c r="M630" s="10"/>
      <c r="N630" s="5"/>
      <c r="O630" s="5"/>
      <c r="P630" s="27"/>
      <c r="Q630" s="27"/>
      <c r="R630" s="27"/>
      <c r="S630" s="27"/>
      <c r="T630" s="27"/>
      <c r="U630" s="27"/>
      <c r="V630" s="27"/>
      <c r="W630" s="27"/>
      <c r="X630" s="27"/>
      <c r="Y630" s="27"/>
      <c r="Z630" s="27"/>
      <c r="AA630" s="5"/>
      <c r="AB630" s="5"/>
      <c r="AC630" s="5"/>
      <c r="AD630" s="5"/>
      <c r="AE630" s="5"/>
      <c r="AF630" s="5"/>
      <c r="AG630" s="5"/>
      <c r="AH630" s="27"/>
      <c r="AI630" s="27"/>
      <c r="AJ630" s="27"/>
      <c r="AK630" s="121" t="str">
        <f t="shared" si="188"/>
        <v/>
      </c>
      <c r="AL630" s="6"/>
      <c r="AM630" s="10"/>
      <c r="AN630" s="63"/>
      <c r="AO630" s="63"/>
      <c r="AP630" s="63"/>
      <c r="AQ630" s="63"/>
      <c r="AR630" s="63"/>
      <c r="AS630" s="63"/>
      <c r="AT630" s="63"/>
      <c r="AU630" s="124" t="str">
        <f t="shared" si="187"/>
        <v/>
      </c>
      <c r="AV630" s="124" t="str">
        <f t="shared" si="187"/>
        <v/>
      </c>
      <c r="AW630" s="117"/>
    </row>
    <row r="631" spans="1:49">
      <c r="A631" s="1">
        <v>296</v>
      </c>
      <c r="B631" s="5"/>
      <c r="C631" s="10"/>
      <c r="D631" s="5"/>
      <c r="E631" s="10"/>
      <c r="F631" s="5"/>
      <c r="G631" s="5"/>
      <c r="H631" s="5"/>
      <c r="I631" s="5"/>
      <c r="J631" s="5"/>
      <c r="K631" s="10"/>
      <c r="L631" s="10"/>
      <c r="M631" s="10"/>
      <c r="N631" s="5"/>
      <c r="O631" s="5"/>
      <c r="P631" s="27"/>
      <c r="Q631" s="27"/>
      <c r="R631" s="27"/>
      <c r="S631" s="27"/>
      <c r="T631" s="27"/>
      <c r="U631" s="27"/>
      <c r="V631" s="27"/>
      <c r="W631" s="27"/>
      <c r="X631" s="27"/>
      <c r="Y631" s="27"/>
      <c r="Z631" s="27"/>
      <c r="AA631" s="5"/>
      <c r="AB631" s="5"/>
      <c r="AC631" s="5"/>
      <c r="AD631" s="5"/>
      <c r="AE631" s="5"/>
      <c r="AF631" s="5"/>
      <c r="AG631" s="5"/>
      <c r="AH631" s="27"/>
      <c r="AI631" s="27"/>
      <c r="AJ631" s="27"/>
      <c r="AK631" s="121" t="str">
        <f t="shared" si="188"/>
        <v/>
      </c>
      <c r="AL631" s="6"/>
      <c r="AM631" s="10"/>
      <c r="AN631" s="63"/>
      <c r="AO631" s="63"/>
      <c r="AP631" s="63"/>
      <c r="AQ631" s="63"/>
      <c r="AR631" s="63"/>
      <c r="AS631" s="63"/>
      <c r="AT631" s="63"/>
      <c r="AU631" s="124" t="str">
        <f t="shared" si="187"/>
        <v/>
      </c>
      <c r="AV631" s="124" t="str">
        <f t="shared" si="187"/>
        <v/>
      </c>
      <c r="AW631" s="117"/>
    </row>
    <row r="632" spans="1:49">
      <c r="A632" s="1">
        <v>297</v>
      </c>
      <c r="B632" s="5"/>
      <c r="C632" s="10"/>
      <c r="D632" s="5"/>
      <c r="E632" s="10"/>
      <c r="F632" s="5"/>
      <c r="G632" s="5"/>
      <c r="H632" s="5"/>
      <c r="I632" s="5"/>
      <c r="J632" s="5"/>
      <c r="K632" s="10"/>
      <c r="L632" s="10"/>
      <c r="M632" s="10"/>
      <c r="N632" s="5"/>
      <c r="O632" s="5"/>
      <c r="P632" s="27"/>
      <c r="Q632" s="27"/>
      <c r="R632" s="27"/>
      <c r="S632" s="27"/>
      <c r="T632" s="27"/>
      <c r="U632" s="27"/>
      <c r="V632" s="27"/>
      <c r="W632" s="27"/>
      <c r="X632" s="27"/>
      <c r="Y632" s="27"/>
      <c r="Z632" s="27"/>
      <c r="AA632" s="5"/>
      <c r="AB632" s="5"/>
      <c r="AC632" s="5"/>
      <c r="AD632" s="5"/>
      <c r="AE632" s="5"/>
      <c r="AF632" s="5"/>
      <c r="AG632" s="5"/>
      <c r="AH632" s="27"/>
      <c r="AI632" s="27"/>
      <c r="AJ632" s="27"/>
      <c r="AK632" s="121" t="str">
        <f t="shared" si="188"/>
        <v/>
      </c>
      <c r="AL632" s="6"/>
      <c r="AM632" s="10"/>
      <c r="AN632" s="63"/>
      <c r="AO632" s="63"/>
      <c r="AP632" s="63"/>
      <c r="AQ632" s="63"/>
      <c r="AR632" s="63"/>
      <c r="AS632" s="63"/>
      <c r="AT632" s="63"/>
      <c r="AU632" s="124" t="str">
        <f t="shared" si="187"/>
        <v/>
      </c>
      <c r="AV632" s="124" t="str">
        <f t="shared" si="187"/>
        <v/>
      </c>
      <c r="AW632" s="117"/>
    </row>
    <row r="633" spans="1:49">
      <c r="A633" s="1">
        <v>298</v>
      </c>
      <c r="B633" s="5"/>
      <c r="C633" s="10"/>
      <c r="D633" s="5"/>
      <c r="E633" s="10"/>
      <c r="F633" s="5"/>
      <c r="G633" s="5"/>
      <c r="H633" s="5"/>
      <c r="I633" s="5"/>
      <c r="J633" s="5"/>
      <c r="K633" s="10"/>
      <c r="L633" s="10"/>
      <c r="M633" s="10"/>
      <c r="N633" s="5"/>
      <c r="O633" s="5"/>
      <c r="P633" s="27"/>
      <c r="Q633" s="27"/>
      <c r="R633" s="27"/>
      <c r="S633" s="27"/>
      <c r="T633" s="27"/>
      <c r="U633" s="27"/>
      <c r="V633" s="27"/>
      <c r="W633" s="27"/>
      <c r="X633" s="27"/>
      <c r="Y633" s="27"/>
      <c r="Z633" s="27"/>
      <c r="AA633" s="5"/>
      <c r="AB633" s="5"/>
      <c r="AC633" s="5"/>
      <c r="AD633" s="5"/>
      <c r="AE633" s="5"/>
      <c r="AF633" s="5"/>
      <c r="AG633" s="5"/>
      <c r="AH633" s="27"/>
      <c r="AI633" s="27"/>
      <c r="AJ633" s="27"/>
      <c r="AK633" s="121" t="str">
        <f t="shared" si="188"/>
        <v/>
      </c>
      <c r="AL633" s="6"/>
      <c r="AM633" s="10"/>
      <c r="AN633" s="63"/>
      <c r="AO633" s="63"/>
      <c r="AP633" s="63"/>
      <c r="AQ633" s="63"/>
      <c r="AR633" s="63"/>
      <c r="AS633" s="63"/>
      <c r="AT633" s="63"/>
      <c r="AU633" s="124" t="str">
        <f t="shared" si="187"/>
        <v/>
      </c>
      <c r="AV633" s="124" t="str">
        <f t="shared" si="187"/>
        <v/>
      </c>
      <c r="AW633" s="117"/>
    </row>
    <row r="634" spans="1:49">
      <c r="A634" s="1">
        <v>299</v>
      </c>
      <c r="B634" s="5"/>
      <c r="C634" s="10"/>
      <c r="D634" s="5"/>
      <c r="E634" s="10"/>
      <c r="F634" s="5"/>
      <c r="G634" s="5"/>
      <c r="H634" s="5"/>
      <c r="I634" s="5"/>
      <c r="J634" s="5"/>
      <c r="K634" s="10"/>
      <c r="L634" s="10"/>
      <c r="M634" s="10"/>
      <c r="N634" s="5"/>
      <c r="O634" s="5"/>
      <c r="P634" s="27"/>
      <c r="Q634" s="27"/>
      <c r="R634" s="27"/>
      <c r="S634" s="27"/>
      <c r="T634" s="27"/>
      <c r="U634" s="27"/>
      <c r="V634" s="27"/>
      <c r="W634" s="27"/>
      <c r="X634" s="27"/>
      <c r="Y634" s="27"/>
      <c r="Z634" s="27"/>
      <c r="AA634" s="5"/>
      <c r="AB634" s="5"/>
      <c r="AC634" s="5"/>
      <c r="AD634" s="5"/>
      <c r="AE634" s="5"/>
      <c r="AF634" s="5"/>
      <c r="AG634" s="5"/>
      <c r="AH634" s="27"/>
      <c r="AI634" s="27"/>
      <c r="AJ634" s="27"/>
      <c r="AK634" s="121" t="str">
        <f t="shared" si="188"/>
        <v/>
      </c>
      <c r="AL634" s="6"/>
      <c r="AM634" s="10"/>
      <c r="AN634" s="63"/>
      <c r="AO634" s="63"/>
      <c r="AP634" s="63"/>
      <c r="AQ634" s="63"/>
      <c r="AR634" s="63"/>
      <c r="AS634" s="63"/>
      <c r="AT634" s="63"/>
      <c r="AU634" s="124" t="str">
        <f t="shared" si="187"/>
        <v/>
      </c>
      <c r="AV634" s="124" t="str">
        <f t="shared" si="187"/>
        <v/>
      </c>
      <c r="AW634" s="117"/>
    </row>
    <row r="635" spans="1:49">
      <c r="A635" s="1">
        <v>300</v>
      </c>
      <c r="B635" s="5"/>
      <c r="C635" s="10"/>
      <c r="D635" s="5"/>
      <c r="E635" s="10"/>
      <c r="F635" s="5"/>
      <c r="G635" s="5"/>
      <c r="H635" s="5"/>
      <c r="I635" s="5"/>
      <c r="J635" s="5"/>
      <c r="K635" s="10"/>
      <c r="L635" s="10"/>
      <c r="M635" s="10"/>
      <c r="N635" s="5"/>
      <c r="O635" s="5"/>
      <c r="P635" s="27"/>
      <c r="Q635" s="27"/>
      <c r="R635" s="27"/>
      <c r="S635" s="27"/>
      <c r="T635" s="27"/>
      <c r="U635" s="27"/>
      <c r="V635" s="27"/>
      <c r="W635" s="27"/>
      <c r="X635" s="27"/>
      <c r="Y635" s="27"/>
      <c r="Z635" s="27"/>
      <c r="AA635" s="5"/>
      <c r="AB635" s="5"/>
      <c r="AC635" s="5"/>
      <c r="AD635" s="5"/>
      <c r="AE635" s="5"/>
      <c r="AF635" s="5"/>
      <c r="AG635" s="5"/>
      <c r="AH635" s="27"/>
      <c r="AI635" s="27"/>
      <c r="AJ635" s="27"/>
      <c r="AK635" s="121" t="str">
        <f t="shared" si="188"/>
        <v/>
      </c>
      <c r="AL635" s="6"/>
      <c r="AM635" s="10"/>
      <c r="AN635" s="63"/>
      <c r="AO635" s="63"/>
      <c r="AP635" s="63"/>
      <c r="AQ635" s="63"/>
      <c r="AR635" s="63"/>
      <c r="AS635" s="63"/>
      <c r="AT635" s="63"/>
      <c r="AU635" s="63"/>
      <c r="AV635" s="63"/>
      <c r="AW635" s="117"/>
    </row>
    <row r="636" spans="1:49">
      <c r="A636" s="1">
        <v>301</v>
      </c>
      <c r="B636" s="5"/>
      <c r="C636" s="10"/>
      <c r="D636" s="5"/>
      <c r="E636" s="10"/>
      <c r="F636" s="5"/>
      <c r="G636" s="5"/>
      <c r="H636" s="5"/>
      <c r="I636" s="5"/>
      <c r="J636" s="5"/>
      <c r="K636" s="10"/>
      <c r="L636" s="10"/>
      <c r="M636" s="10"/>
      <c r="N636" s="5"/>
      <c r="O636" s="5"/>
      <c r="P636" s="27"/>
      <c r="Q636" s="27"/>
      <c r="R636" s="27"/>
      <c r="S636" s="27"/>
      <c r="T636" s="27"/>
      <c r="U636" s="27"/>
      <c r="V636" s="27"/>
      <c r="W636" s="27"/>
      <c r="X636" s="27"/>
      <c r="Y636" s="27"/>
      <c r="Z636" s="27"/>
      <c r="AA636" s="5"/>
      <c r="AB636" s="5"/>
      <c r="AC636" s="5"/>
      <c r="AD636" s="5"/>
      <c r="AE636" s="5"/>
      <c r="AF636" s="5"/>
      <c r="AG636" s="5"/>
      <c r="AH636" s="27"/>
      <c r="AI636" s="27"/>
      <c r="AJ636" s="27"/>
      <c r="AK636" s="121" t="str">
        <f t="shared" si="188"/>
        <v/>
      </c>
      <c r="AL636" s="6"/>
      <c r="AM636" s="10"/>
      <c r="AN636" s="63"/>
      <c r="AO636" s="63"/>
      <c r="AP636" s="63"/>
      <c r="AQ636" s="63"/>
      <c r="AR636" s="63"/>
      <c r="AS636" s="63"/>
      <c r="AT636" s="63"/>
      <c r="AU636" s="63"/>
      <c r="AV636" s="63"/>
      <c r="AW636" s="117"/>
    </row>
    <row r="637" spans="1:49">
      <c r="A637" s="1">
        <v>302</v>
      </c>
      <c r="B637" s="5"/>
      <c r="C637" s="10"/>
      <c r="D637" s="5"/>
      <c r="E637" s="10"/>
      <c r="F637" s="5"/>
      <c r="G637" s="5"/>
      <c r="H637" s="5"/>
      <c r="I637" s="5"/>
      <c r="J637" s="5"/>
      <c r="K637" s="10"/>
      <c r="L637" s="10"/>
      <c r="M637" s="10"/>
      <c r="N637" s="5"/>
      <c r="O637" s="5"/>
      <c r="P637" s="27"/>
      <c r="Q637" s="27"/>
      <c r="R637" s="27"/>
      <c r="S637" s="27"/>
      <c r="T637" s="27"/>
      <c r="U637" s="27"/>
      <c r="V637" s="27"/>
      <c r="W637" s="27"/>
      <c r="X637" s="27"/>
      <c r="Y637" s="27"/>
      <c r="Z637" s="27"/>
      <c r="AA637" s="5"/>
      <c r="AB637" s="5"/>
      <c r="AC637" s="5"/>
      <c r="AD637" s="5"/>
      <c r="AE637" s="5"/>
      <c r="AF637" s="5"/>
      <c r="AG637" s="5"/>
      <c r="AH637" s="27"/>
      <c r="AI637" s="27"/>
      <c r="AJ637" s="27"/>
      <c r="AK637" s="121" t="str">
        <f t="shared" si="188"/>
        <v/>
      </c>
      <c r="AL637" s="6"/>
      <c r="AM637" s="10"/>
      <c r="AN637" s="63"/>
      <c r="AO637" s="63"/>
      <c r="AP637" s="63"/>
      <c r="AQ637" s="63"/>
      <c r="AR637" s="63"/>
      <c r="AS637" s="63"/>
      <c r="AT637" s="63"/>
      <c r="AU637" s="63"/>
      <c r="AV637" s="63"/>
      <c r="AW637" s="117"/>
    </row>
    <row r="638" spans="1:49">
      <c r="A638" s="1">
        <v>303</v>
      </c>
      <c r="B638" s="5"/>
      <c r="C638" s="10"/>
      <c r="D638" s="5"/>
      <c r="E638" s="10"/>
      <c r="F638" s="5"/>
      <c r="G638" s="5"/>
      <c r="H638" s="5"/>
      <c r="I638" s="5"/>
      <c r="J638" s="5"/>
      <c r="K638" s="10"/>
      <c r="L638" s="10"/>
      <c r="M638" s="10"/>
      <c r="N638" s="5"/>
      <c r="O638" s="5"/>
      <c r="P638" s="27"/>
      <c r="Q638" s="27"/>
      <c r="R638" s="27"/>
      <c r="S638" s="27"/>
      <c r="T638" s="27"/>
      <c r="U638" s="27"/>
      <c r="V638" s="27"/>
      <c r="W638" s="27"/>
      <c r="X638" s="27"/>
      <c r="Y638" s="27"/>
      <c r="Z638" s="27"/>
      <c r="AA638" s="5"/>
      <c r="AB638" s="5"/>
      <c r="AC638" s="5"/>
      <c r="AD638" s="5"/>
      <c r="AE638" s="5"/>
      <c r="AF638" s="5"/>
      <c r="AG638" s="5"/>
      <c r="AH638" s="27"/>
      <c r="AI638" s="27"/>
      <c r="AJ638" s="27"/>
      <c r="AK638" s="121" t="str">
        <f t="shared" si="188"/>
        <v/>
      </c>
      <c r="AL638" s="6"/>
      <c r="AM638" s="10"/>
      <c r="AN638" s="63"/>
      <c r="AO638" s="63"/>
      <c r="AP638" s="63"/>
      <c r="AQ638" s="63"/>
      <c r="AR638" s="63"/>
      <c r="AS638" s="63"/>
      <c r="AT638" s="63"/>
      <c r="AU638" s="63"/>
      <c r="AV638" s="63"/>
      <c r="AW638" s="117"/>
    </row>
    <row r="639" spans="1:49">
      <c r="A639" s="1">
        <v>304</v>
      </c>
      <c r="B639" s="5"/>
      <c r="C639" s="10"/>
      <c r="D639" s="5"/>
      <c r="E639" s="10"/>
      <c r="F639" s="5"/>
      <c r="G639" s="5"/>
      <c r="H639" s="5"/>
      <c r="I639" s="5"/>
      <c r="J639" s="5"/>
      <c r="K639" s="10"/>
      <c r="L639" s="10"/>
      <c r="M639" s="10"/>
      <c r="N639" s="5"/>
      <c r="O639" s="5"/>
      <c r="P639" s="27"/>
      <c r="Q639" s="27"/>
      <c r="R639" s="27"/>
      <c r="S639" s="27"/>
      <c r="T639" s="27"/>
      <c r="U639" s="27"/>
      <c r="V639" s="27"/>
      <c r="W639" s="27"/>
      <c r="X639" s="27"/>
      <c r="Y639" s="27"/>
      <c r="Z639" s="27"/>
      <c r="AA639" s="5"/>
      <c r="AB639" s="5"/>
      <c r="AC639" s="5"/>
      <c r="AD639" s="5"/>
      <c r="AE639" s="5"/>
      <c r="AF639" s="5"/>
      <c r="AG639" s="5"/>
      <c r="AH639" s="27"/>
      <c r="AI639" s="27"/>
      <c r="AJ639" s="27"/>
      <c r="AK639" s="121" t="str">
        <f t="shared" si="188"/>
        <v/>
      </c>
      <c r="AL639" s="6"/>
      <c r="AM639" s="10"/>
      <c r="AN639" s="63"/>
      <c r="AO639" s="63"/>
      <c r="AP639" s="63"/>
      <c r="AQ639" s="63"/>
      <c r="AR639" s="63"/>
      <c r="AS639" s="63"/>
      <c r="AT639" s="63"/>
      <c r="AU639" s="63"/>
      <c r="AV639" s="63"/>
      <c r="AW639" s="117"/>
    </row>
    <row r="640" spans="1:49">
      <c r="A640" s="1">
        <v>305</v>
      </c>
      <c r="B640" s="5"/>
      <c r="C640" s="10"/>
      <c r="D640" s="5"/>
      <c r="E640" s="10"/>
      <c r="F640" s="5"/>
      <c r="G640" s="5"/>
      <c r="H640" s="5"/>
      <c r="I640" s="5"/>
      <c r="J640" s="5"/>
      <c r="K640" s="10"/>
      <c r="L640" s="10"/>
      <c r="M640" s="10"/>
      <c r="N640" s="5"/>
      <c r="O640" s="5"/>
      <c r="P640" s="27"/>
      <c r="Q640" s="27"/>
      <c r="R640" s="27"/>
      <c r="S640" s="27"/>
      <c r="T640" s="27"/>
      <c r="U640" s="27"/>
      <c r="V640" s="27"/>
      <c r="W640" s="27"/>
      <c r="X640" s="27"/>
      <c r="Y640" s="27"/>
      <c r="Z640" s="27"/>
      <c r="AA640" s="5"/>
      <c r="AB640" s="5"/>
      <c r="AC640" s="5"/>
      <c r="AD640" s="5"/>
      <c r="AE640" s="5"/>
      <c r="AF640" s="5"/>
      <c r="AG640" s="5"/>
      <c r="AH640" s="27"/>
      <c r="AI640" s="27"/>
      <c r="AJ640" s="27"/>
      <c r="AK640" s="121" t="str">
        <f t="shared" si="188"/>
        <v/>
      </c>
      <c r="AL640" s="6"/>
      <c r="AM640" s="10"/>
      <c r="AN640" s="63"/>
      <c r="AO640" s="63"/>
      <c r="AP640" s="63"/>
      <c r="AQ640" s="63"/>
      <c r="AR640" s="63"/>
      <c r="AS640" s="63"/>
      <c r="AT640" s="63"/>
      <c r="AU640" s="63"/>
      <c r="AV640" s="63"/>
      <c r="AW640" s="117"/>
    </row>
    <row r="641" spans="1:49">
      <c r="A641" s="1">
        <v>306</v>
      </c>
      <c r="B641" s="5"/>
      <c r="C641" s="10"/>
      <c r="D641" s="5"/>
      <c r="E641" s="10"/>
      <c r="F641" s="5"/>
      <c r="G641" s="5"/>
      <c r="H641" s="5"/>
      <c r="I641" s="5"/>
      <c r="J641" s="5"/>
      <c r="K641" s="10"/>
      <c r="L641" s="10"/>
      <c r="M641" s="10"/>
      <c r="N641" s="5"/>
      <c r="O641" s="5"/>
      <c r="P641" s="27"/>
      <c r="Q641" s="27"/>
      <c r="R641" s="27"/>
      <c r="S641" s="27"/>
      <c r="T641" s="27"/>
      <c r="U641" s="27"/>
      <c r="V641" s="27"/>
      <c r="W641" s="27"/>
      <c r="X641" s="27"/>
      <c r="Y641" s="27"/>
      <c r="Z641" s="27"/>
      <c r="AA641" s="5"/>
      <c r="AB641" s="5"/>
      <c r="AC641" s="5"/>
      <c r="AD641" s="5"/>
      <c r="AE641" s="5"/>
      <c r="AF641" s="5"/>
      <c r="AG641" s="5"/>
      <c r="AH641" s="27"/>
      <c r="AI641" s="27"/>
      <c r="AJ641" s="27"/>
      <c r="AK641" s="121" t="str">
        <f t="shared" si="188"/>
        <v/>
      </c>
      <c r="AL641" s="6"/>
      <c r="AM641" s="10"/>
      <c r="AN641" s="63"/>
      <c r="AO641" s="63"/>
      <c r="AP641" s="63"/>
      <c r="AQ641" s="63"/>
      <c r="AR641" s="63"/>
      <c r="AS641" s="63"/>
      <c r="AT641" s="63"/>
      <c r="AU641" s="63"/>
      <c r="AV641" s="63"/>
      <c r="AW641" s="117"/>
    </row>
    <row r="642" spans="1:49">
      <c r="A642" s="1">
        <v>307</v>
      </c>
      <c r="B642" s="5"/>
      <c r="C642" s="10"/>
      <c r="D642" s="5"/>
      <c r="E642" s="10"/>
      <c r="F642" s="5"/>
      <c r="G642" s="5"/>
      <c r="H642" s="5"/>
      <c r="I642" s="5"/>
      <c r="J642" s="5"/>
      <c r="K642" s="10"/>
      <c r="L642" s="10"/>
      <c r="M642" s="10"/>
      <c r="N642" s="5"/>
      <c r="O642" s="5"/>
      <c r="P642" s="27"/>
      <c r="Q642" s="27"/>
      <c r="R642" s="27"/>
      <c r="S642" s="27"/>
      <c r="T642" s="27"/>
      <c r="U642" s="27"/>
      <c r="V642" s="27"/>
      <c r="W642" s="27"/>
      <c r="X642" s="27"/>
      <c r="Y642" s="27"/>
      <c r="Z642" s="27"/>
      <c r="AA642" s="5"/>
      <c r="AB642" s="5"/>
      <c r="AC642" s="5"/>
      <c r="AD642" s="5"/>
      <c r="AE642" s="5"/>
      <c r="AF642" s="5"/>
      <c r="AG642" s="5"/>
      <c r="AH642" s="27"/>
      <c r="AI642" s="27"/>
      <c r="AJ642" s="27"/>
      <c r="AK642" s="121" t="str">
        <f t="shared" si="188"/>
        <v/>
      </c>
      <c r="AL642" s="6"/>
      <c r="AM642" s="10"/>
      <c r="AN642" s="63"/>
      <c r="AO642" s="63"/>
      <c r="AP642" s="63"/>
      <c r="AQ642" s="63"/>
      <c r="AR642" s="63"/>
      <c r="AS642" s="63"/>
      <c r="AT642" s="63"/>
      <c r="AU642" s="63"/>
      <c r="AV642" s="63"/>
      <c r="AW642" s="117"/>
    </row>
    <row r="643" spans="1:49">
      <c r="A643" s="1">
        <v>308</v>
      </c>
      <c r="B643" s="5"/>
      <c r="C643" s="10"/>
      <c r="D643" s="5"/>
      <c r="E643" s="10"/>
      <c r="F643" s="5"/>
      <c r="G643" s="5"/>
      <c r="H643" s="5"/>
      <c r="I643" s="5"/>
      <c r="J643" s="5"/>
      <c r="K643" s="10"/>
      <c r="L643" s="10"/>
      <c r="M643" s="10"/>
      <c r="N643" s="5"/>
      <c r="O643" s="5"/>
      <c r="P643" s="27"/>
      <c r="Q643" s="27"/>
      <c r="R643" s="27"/>
      <c r="S643" s="27"/>
      <c r="T643" s="27"/>
      <c r="U643" s="27"/>
      <c r="V643" s="27"/>
      <c r="W643" s="27"/>
      <c r="X643" s="27"/>
      <c r="Y643" s="27"/>
      <c r="Z643" s="27"/>
      <c r="AA643" s="5"/>
      <c r="AB643" s="5"/>
      <c r="AC643" s="5"/>
      <c r="AD643" s="5"/>
      <c r="AE643" s="5"/>
      <c r="AF643" s="5"/>
      <c r="AG643" s="5"/>
      <c r="AH643" s="27"/>
      <c r="AI643" s="27"/>
      <c r="AJ643" s="27"/>
      <c r="AK643" s="121" t="str">
        <f t="shared" si="188"/>
        <v/>
      </c>
      <c r="AL643" s="6"/>
      <c r="AM643" s="10"/>
      <c r="AN643" s="63"/>
      <c r="AO643" s="63"/>
      <c r="AP643" s="63"/>
      <c r="AQ643" s="63"/>
      <c r="AR643" s="63"/>
      <c r="AS643" s="63"/>
      <c r="AT643" s="63"/>
      <c r="AU643" s="63"/>
      <c r="AV643" s="63"/>
      <c r="AW643" s="117"/>
    </row>
    <row r="644" spans="1:49">
      <c r="A644" s="1">
        <v>309</v>
      </c>
      <c r="B644" s="5"/>
      <c r="C644" s="10"/>
      <c r="D644" s="5"/>
      <c r="E644" s="10"/>
      <c r="F644" s="5"/>
      <c r="G644" s="5"/>
      <c r="H644" s="5"/>
      <c r="I644" s="5"/>
      <c r="J644" s="5"/>
      <c r="K644" s="10"/>
      <c r="L644" s="10"/>
      <c r="M644" s="10"/>
      <c r="N644" s="5"/>
      <c r="O644" s="5"/>
      <c r="P644" s="27"/>
      <c r="Q644" s="27"/>
      <c r="R644" s="27"/>
      <c r="S644" s="27"/>
      <c r="T644" s="27"/>
      <c r="U644" s="27"/>
      <c r="V644" s="27"/>
      <c r="W644" s="27"/>
      <c r="X644" s="27"/>
      <c r="Y644" s="27"/>
      <c r="Z644" s="27"/>
      <c r="AA644" s="5"/>
      <c r="AB644" s="5"/>
      <c r="AC644" s="5"/>
      <c r="AD644" s="5"/>
      <c r="AE644" s="5"/>
      <c r="AF644" s="5"/>
      <c r="AG644" s="5"/>
      <c r="AH644" s="27"/>
      <c r="AI644" s="27"/>
      <c r="AJ644" s="27"/>
      <c r="AK644" s="121" t="str">
        <f t="shared" si="188"/>
        <v/>
      </c>
      <c r="AL644" s="6"/>
      <c r="AM644" s="10"/>
      <c r="AN644" s="63"/>
      <c r="AO644" s="63"/>
      <c r="AP644" s="63"/>
      <c r="AQ644" s="63"/>
      <c r="AR644" s="63"/>
      <c r="AS644" s="63"/>
      <c r="AT644" s="63"/>
      <c r="AU644" s="63"/>
      <c r="AV644" s="63"/>
      <c r="AW644" s="117"/>
    </row>
    <row r="645" spans="1:49">
      <c r="A645" s="1">
        <v>310</v>
      </c>
      <c r="B645" s="5"/>
      <c r="C645" s="10"/>
      <c r="D645" s="5"/>
      <c r="E645" s="10"/>
      <c r="F645" s="5"/>
      <c r="G645" s="5"/>
      <c r="H645" s="5"/>
      <c r="I645" s="5"/>
      <c r="J645" s="5"/>
      <c r="K645" s="10"/>
      <c r="L645" s="10"/>
      <c r="M645" s="10"/>
      <c r="N645" s="5"/>
      <c r="O645" s="5"/>
      <c r="P645" s="27"/>
      <c r="Q645" s="27"/>
      <c r="R645" s="27"/>
      <c r="S645" s="27"/>
      <c r="T645" s="27"/>
      <c r="U645" s="27"/>
      <c r="V645" s="27"/>
      <c r="W645" s="27"/>
      <c r="X645" s="27"/>
      <c r="Y645" s="27"/>
      <c r="Z645" s="27"/>
      <c r="AA645" s="5"/>
      <c r="AB645" s="5"/>
      <c r="AC645" s="5"/>
      <c r="AD645" s="5"/>
      <c r="AE645" s="5"/>
      <c r="AF645" s="5"/>
      <c r="AG645" s="5"/>
      <c r="AH645" s="27"/>
      <c r="AI645" s="27"/>
      <c r="AJ645" s="27"/>
      <c r="AK645" s="121" t="str">
        <f t="shared" si="188"/>
        <v/>
      </c>
      <c r="AL645" s="6"/>
      <c r="AM645" s="10"/>
      <c r="AN645" s="63"/>
      <c r="AO645" s="63"/>
      <c r="AP645" s="63"/>
      <c r="AQ645" s="63"/>
      <c r="AR645" s="63"/>
      <c r="AS645" s="63"/>
      <c r="AT645" s="63"/>
      <c r="AU645" s="63"/>
      <c r="AV645" s="63"/>
      <c r="AW645" s="117"/>
    </row>
    <row r="646" spans="1:49">
      <c r="A646" s="1">
        <v>311</v>
      </c>
      <c r="B646" s="5"/>
      <c r="C646" s="10"/>
      <c r="D646" s="5"/>
      <c r="E646" s="10"/>
      <c r="F646" s="5"/>
      <c r="G646" s="5"/>
      <c r="H646" s="5"/>
      <c r="I646" s="5"/>
      <c r="J646" s="5"/>
      <c r="K646" s="10"/>
      <c r="L646" s="10"/>
      <c r="M646" s="10"/>
      <c r="N646" s="5"/>
      <c r="O646" s="5"/>
      <c r="P646" s="27"/>
      <c r="Q646" s="27"/>
      <c r="R646" s="27"/>
      <c r="S646" s="27"/>
      <c r="T646" s="27"/>
      <c r="U646" s="27"/>
      <c r="V646" s="27"/>
      <c r="W646" s="27"/>
      <c r="X646" s="27"/>
      <c r="Y646" s="27"/>
      <c r="Z646" s="27"/>
      <c r="AA646" s="5"/>
      <c r="AB646" s="5"/>
      <c r="AC646" s="5"/>
      <c r="AD646" s="5"/>
      <c r="AE646" s="5"/>
      <c r="AF646" s="5"/>
      <c r="AG646" s="5"/>
      <c r="AH646" s="27"/>
      <c r="AI646" s="27"/>
      <c r="AJ646" s="27"/>
      <c r="AK646" s="121" t="str">
        <f t="shared" si="188"/>
        <v/>
      </c>
      <c r="AL646" s="6"/>
      <c r="AM646" s="10"/>
      <c r="AN646" s="63"/>
      <c r="AO646" s="63"/>
      <c r="AP646" s="63"/>
      <c r="AQ646" s="63"/>
      <c r="AR646" s="63"/>
      <c r="AS646" s="63"/>
      <c r="AT646" s="63"/>
      <c r="AU646" s="63"/>
      <c r="AV646" s="63"/>
      <c r="AW646" s="117"/>
    </row>
    <row r="647" spans="1:49">
      <c r="A647" s="1">
        <v>312</v>
      </c>
      <c r="B647" s="5"/>
      <c r="C647" s="10"/>
      <c r="D647" s="5"/>
      <c r="E647" s="10"/>
      <c r="F647" s="5"/>
      <c r="G647" s="5"/>
      <c r="H647" s="5"/>
      <c r="I647" s="5"/>
      <c r="J647" s="5"/>
      <c r="K647" s="10"/>
      <c r="L647" s="10"/>
      <c r="M647" s="10"/>
      <c r="N647" s="5"/>
      <c r="O647" s="5"/>
      <c r="P647" s="27"/>
      <c r="Q647" s="27"/>
      <c r="R647" s="27"/>
      <c r="S647" s="27"/>
      <c r="T647" s="27"/>
      <c r="U647" s="27"/>
      <c r="V647" s="27"/>
      <c r="W647" s="27"/>
      <c r="X647" s="27"/>
      <c r="Y647" s="27"/>
      <c r="Z647" s="27"/>
      <c r="AA647" s="5"/>
      <c r="AB647" s="5"/>
      <c r="AC647" s="5"/>
      <c r="AD647" s="5"/>
      <c r="AE647" s="5"/>
      <c r="AF647" s="5"/>
      <c r="AG647" s="5"/>
      <c r="AH647" s="27"/>
      <c r="AI647" s="27"/>
      <c r="AJ647" s="27"/>
      <c r="AK647" s="121" t="str">
        <f t="shared" si="188"/>
        <v/>
      </c>
      <c r="AL647" s="6"/>
      <c r="AM647" s="10"/>
      <c r="AN647" s="63"/>
      <c r="AO647" s="63"/>
      <c r="AP647" s="63"/>
      <c r="AQ647" s="63"/>
      <c r="AR647" s="63"/>
      <c r="AS647" s="63"/>
      <c r="AT647" s="63"/>
      <c r="AU647" s="63"/>
      <c r="AV647" s="63"/>
      <c r="AW647" s="117"/>
    </row>
    <row r="648" spans="1:49">
      <c r="A648" s="1">
        <v>313</v>
      </c>
      <c r="B648" s="5"/>
      <c r="C648" s="10"/>
      <c r="D648" s="5"/>
      <c r="E648" s="10"/>
      <c r="F648" s="5"/>
      <c r="G648" s="5"/>
      <c r="H648" s="5"/>
      <c r="I648" s="5"/>
      <c r="J648" s="5"/>
      <c r="K648" s="10"/>
      <c r="L648" s="10"/>
      <c r="M648" s="10"/>
      <c r="N648" s="5"/>
      <c r="O648" s="5"/>
      <c r="P648" s="27"/>
      <c r="Q648" s="27"/>
      <c r="R648" s="27"/>
      <c r="S648" s="27"/>
      <c r="T648" s="27"/>
      <c r="U648" s="27"/>
      <c r="V648" s="27"/>
      <c r="W648" s="27"/>
      <c r="X648" s="27"/>
      <c r="Y648" s="27"/>
      <c r="Z648" s="27"/>
      <c r="AA648" s="5"/>
      <c r="AB648" s="5"/>
      <c r="AC648" s="5"/>
      <c r="AD648" s="5"/>
      <c r="AE648" s="5"/>
      <c r="AF648" s="5"/>
      <c r="AG648" s="5"/>
      <c r="AH648" s="27"/>
      <c r="AI648" s="27"/>
      <c r="AJ648" s="27"/>
      <c r="AK648" s="121" t="str">
        <f t="shared" si="188"/>
        <v/>
      </c>
      <c r="AL648" s="6"/>
      <c r="AM648" s="10"/>
      <c r="AN648" s="63"/>
      <c r="AO648" s="63"/>
      <c r="AP648" s="63"/>
      <c r="AQ648" s="63"/>
      <c r="AR648" s="63"/>
      <c r="AS648" s="63"/>
      <c r="AT648" s="63"/>
      <c r="AU648" s="63"/>
      <c r="AV648" s="63"/>
      <c r="AW648" s="117"/>
    </row>
    <row r="649" spans="1:49">
      <c r="A649" s="1">
        <v>314</v>
      </c>
      <c r="B649" s="5"/>
      <c r="C649" s="10"/>
      <c r="D649" s="5"/>
      <c r="E649" s="10"/>
      <c r="F649" s="5"/>
      <c r="G649" s="5"/>
      <c r="H649" s="5"/>
      <c r="I649" s="5"/>
      <c r="J649" s="5"/>
      <c r="K649" s="10"/>
      <c r="L649" s="10"/>
      <c r="M649" s="10"/>
      <c r="N649" s="5"/>
      <c r="O649" s="5"/>
      <c r="P649" s="27"/>
      <c r="Q649" s="27"/>
      <c r="R649" s="27"/>
      <c r="S649" s="27"/>
      <c r="T649" s="27"/>
      <c r="U649" s="27"/>
      <c r="V649" s="27"/>
      <c r="W649" s="27"/>
      <c r="X649" s="27"/>
      <c r="Y649" s="27"/>
      <c r="Z649" s="27"/>
      <c r="AA649" s="5"/>
      <c r="AB649" s="5"/>
      <c r="AC649" s="5"/>
      <c r="AD649" s="5"/>
      <c r="AE649" s="5"/>
      <c r="AF649" s="5"/>
      <c r="AG649" s="5"/>
      <c r="AH649" s="27"/>
      <c r="AI649" s="27"/>
      <c r="AJ649" s="27"/>
      <c r="AK649" s="121" t="str">
        <f t="shared" si="188"/>
        <v/>
      </c>
      <c r="AL649" s="6"/>
      <c r="AM649" s="10"/>
      <c r="AN649" s="63"/>
      <c r="AO649" s="63"/>
      <c r="AP649" s="63"/>
      <c r="AQ649" s="63"/>
      <c r="AR649" s="63"/>
      <c r="AS649" s="63"/>
      <c r="AT649" s="63"/>
      <c r="AU649" s="63"/>
      <c r="AV649" s="63"/>
      <c r="AW649" s="117"/>
    </row>
    <row r="650" spans="1:49">
      <c r="A650" s="1">
        <v>315</v>
      </c>
      <c r="B650" s="5"/>
      <c r="C650" s="10"/>
      <c r="D650" s="5"/>
      <c r="E650" s="10"/>
      <c r="F650" s="5"/>
      <c r="G650" s="5"/>
      <c r="H650" s="5"/>
      <c r="I650" s="5"/>
      <c r="J650" s="5"/>
      <c r="K650" s="10"/>
      <c r="L650" s="10"/>
      <c r="M650" s="10"/>
      <c r="N650" s="5"/>
      <c r="O650" s="5"/>
      <c r="P650" s="27"/>
      <c r="Q650" s="27"/>
      <c r="R650" s="27"/>
      <c r="S650" s="27"/>
      <c r="T650" s="27"/>
      <c r="U650" s="27"/>
      <c r="V650" s="27"/>
      <c r="W650" s="27"/>
      <c r="X650" s="27"/>
      <c r="Y650" s="27"/>
      <c r="Z650" s="27"/>
      <c r="AA650" s="5"/>
      <c r="AB650" s="5"/>
      <c r="AC650" s="5"/>
      <c r="AD650" s="5"/>
      <c r="AE650" s="5"/>
      <c r="AF650" s="5"/>
      <c r="AG650" s="5"/>
      <c r="AH650" s="27"/>
      <c r="AI650" s="27"/>
      <c r="AJ650" s="27"/>
      <c r="AK650" s="121" t="str">
        <f t="shared" si="188"/>
        <v/>
      </c>
      <c r="AL650" s="6"/>
      <c r="AM650" s="10"/>
      <c r="AN650" s="63"/>
      <c r="AO650" s="63"/>
      <c r="AP650" s="63"/>
      <c r="AQ650" s="63"/>
      <c r="AR650" s="63"/>
      <c r="AS650" s="63"/>
      <c r="AT650" s="63"/>
      <c r="AU650" s="63"/>
      <c r="AV650" s="63"/>
      <c r="AW650" s="117"/>
    </row>
    <row r="651" spans="1:49">
      <c r="A651" s="1">
        <v>316</v>
      </c>
      <c r="B651" s="5"/>
      <c r="C651" s="10"/>
      <c r="D651" s="5"/>
      <c r="E651" s="10"/>
      <c r="F651" s="5"/>
      <c r="G651" s="5"/>
      <c r="H651" s="5"/>
      <c r="I651" s="5"/>
      <c r="J651" s="5"/>
      <c r="K651" s="10"/>
      <c r="L651" s="10"/>
      <c r="M651" s="10"/>
      <c r="N651" s="5"/>
      <c r="O651" s="5"/>
      <c r="P651" s="27"/>
      <c r="Q651" s="27"/>
      <c r="R651" s="27"/>
      <c r="S651" s="27"/>
      <c r="T651" s="27"/>
      <c r="U651" s="27"/>
      <c r="V651" s="27"/>
      <c r="W651" s="27"/>
      <c r="X651" s="27"/>
      <c r="Y651" s="27"/>
      <c r="Z651" s="27"/>
      <c r="AA651" s="5"/>
      <c r="AB651" s="5"/>
      <c r="AC651" s="5"/>
      <c r="AD651" s="5"/>
      <c r="AE651" s="5"/>
      <c r="AF651" s="5"/>
      <c r="AG651" s="5"/>
      <c r="AH651" s="27"/>
      <c r="AI651" s="27"/>
      <c r="AJ651" s="27"/>
      <c r="AK651" s="121" t="str">
        <f t="shared" si="188"/>
        <v/>
      </c>
      <c r="AL651" s="6"/>
      <c r="AM651" s="10"/>
      <c r="AN651" s="63"/>
      <c r="AO651" s="63"/>
      <c r="AP651" s="63"/>
      <c r="AQ651" s="63"/>
      <c r="AR651" s="63"/>
      <c r="AS651" s="63"/>
      <c r="AT651" s="63"/>
      <c r="AU651" s="63"/>
      <c r="AV651" s="63"/>
      <c r="AW651" s="117"/>
    </row>
    <row r="652" spans="1:49">
      <c r="A652" s="1">
        <v>317</v>
      </c>
      <c r="B652" s="5"/>
      <c r="C652" s="10"/>
      <c r="D652" s="5"/>
      <c r="E652" s="10"/>
      <c r="F652" s="5"/>
      <c r="G652" s="5"/>
      <c r="H652" s="5"/>
      <c r="I652" s="5"/>
      <c r="J652" s="5"/>
      <c r="K652" s="10"/>
      <c r="L652" s="10"/>
      <c r="M652" s="10"/>
      <c r="N652" s="5"/>
      <c r="O652" s="5"/>
      <c r="P652" s="27"/>
      <c r="Q652" s="27"/>
      <c r="R652" s="27"/>
      <c r="S652" s="27"/>
      <c r="T652" s="27"/>
      <c r="U652" s="27"/>
      <c r="V652" s="27"/>
      <c r="W652" s="27"/>
      <c r="X652" s="27"/>
      <c r="Y652" s="27"/>
      <c r="Z652" s="27"/>
      <c r="AA652" s="5"/>
      <c r="AB652" s="5"/>
      <c r="AC652" s="5"/>
      <c r="AD652" s="5"/>
      <c r="AE652" s="5"/>
      <c r="AF652" s="5"/>
      <c r="AG652" s="5"/>
      <c r="AH652" s="27"/>
      <c r="AI652" s="27"/>
      <c r="AJ652" s="27"/>
      <c r="AK652" s="121" t="str">
        <f t="shared" si="188"/>
        <v/>
      </c>
      <c r="AL652" s="6"/>
      <c r="AM652" s="10"/>
      <c r="AN652" s="63"/>
      <c r="AO652" s="63"/>
      <c r="AP652" s="63"/>
      <c r="AQ652" s="63"/>
      <c r="AR652" s="63"/>
      <c r="AS652" s="63"/>
      <c r="AT652" s="63"/>
      <c r="AU652" s="63"/>
      <c r="AV652" s="63"/>
      <c r="AW652" s="117"/>
    </row>
    <row r="653" spans="1:49">
      <c r="A653" s="1">
        <v>318</v>
      </c>
      <c r="B653" s="5"/>
      <c r="C653" s="10"/>
      <c r="D653" s="5"/>
      <c r="E653" s="10"/>
      <c r="F653" s="5"/>
      <c r="G653" s="5"/>
      <c r="H653" s="5"/>
      <c r="I653" s="5"/>
      <c r="J653" s="5"/>
      <c r="K653" s="10"/>
      <c r="L653" s="10"/>
      <c r="M653" s="10"/>
      <c r="N653" s="5"/>
      <c r="O653" s="5"/>
      <c r="P653" s="27"/>
      <c r="Q653" s="27"/>
      <c r="R653" s="27"/>
      <c r="S653" s="27"/>
      <c r="T653" s="27"/>
      <c r="U653" s="27"/>
      <c r="V653" s="27"/>
      <c r="W653" s="27"/>
      <c r="X653" s="27"/>
      <c r="Y653" s="27"/>
      <c r="Z653" s="27"/>
      <c r="AA653" s="5"/>
      <c r="AB653" s="5"/>
      <c r="AC653" s="5"/>
      <c r="AD653" s="5"/>
      <c r="AE653" s="5"/>
      <c r="AF653" s="5"/>
      <c r="AG653" s="5"/>
      <c r="AH653" s="27"/>
      <c r="AI653" s="27"/>
      <c r="AJ653" s="27"/>
      <c r="AK653" s="121" t="str">
        <f t="shared" si="188"/>
        <v/>
      </c>
      <c r="AL653" s="6"/>
      <c r="AM653" s="10"/>
      <c r="AN653" s="63"/>
      <c r="AO653" s="63"/>
      <c r="AP653" s="63"/>
      <c r="AQ653" s="63"/>
      <c r="AR653" s="63"/>
      <c r="AS653" s="63"/>
      <c r="AT653" s="63"/>
      <c r="AU653" s="63"/>
      <c r="AV653" s="63"/>
      <c r="AW653" s="117"/>
    </row>
    <row r="654" spans="1:49">
      <c r="A654" s="1">
        <v>319</v>
      </c>
      <c r="B654" s="5"/>
      <c r="C654" s="10"/>
      <c r="D654" s="5"/>
      <c r="E654" s="10"/>
      <c r="F654" s="5"/>
      <c r="G654" s="5"/>
      <c r="H654" s="5"/>
      <c r="I654" s="5"/>
      <c r="J654" s="5"/>
      <c r="K654" s="10"/>
      <c r="L654" s="10"/>
      <c r="M654" s="10"/>
      <c r="N654" s="5"/>
      <c r="O654" s="5"/>
      <c r="P654" s="27"/>
      <c r="Q654" s="27"/>
      <c r="R654" s="27"/>
      <c r="S654" s="27"/>
      <c r="T654" s="27"/>
      <c r="U654" s="27"/>
      <c r="V654" s="27"/>
      <c r="W654" s="27"/>
      <c r="X654" s="27"/>
      <c r="Y654" s="27"/>
      <c r="Z654" s="27"/>
      <c r="AA654" s="5"/>
      <c r="AB654" s="5"/>
      <c r="AC654" s="5"/>
      <c r="AD654" s="5"/>
      <c r="AE654" s="5"/>
      <c r="AF654" s="5"/>
      <c r="AG654" s="5"/>
      <c r="AH654" s="27"/>
      <c r="AI654" s="27"/>
      <c r="AJ654" s="27"/>
      <c r="AK654" s="121" t="str">
        <f t="shared" si="188"/>
        <v/>
      </c>
      <c r="AL654" s="6"/>
      <c r="AM654" s="10"/>
      <c r="AN654" s="63"/>
      <c r="AO654" s="63"/>
      <c r="AP654" s="63"/>
      <c r="AQ654" s="63"/>
      <c r="AR654" s="63"/>
      <c r="AS654" s="63"/>
      <c r="AT654" s="63"/>
      <c r="AU654" s="63"/>
      <c r="AV654" s="63"/>
      <c r="AW654" s="117"/>
    </row>
    <row r="655" spans="1:49">
      <c r="A655" s="1">
        <v>320</v>
      </c>
      <c r="B655" s="5"/>
      <c r="C655" s="10"/>
      <c r="D655" s="5"/>
      <c r="E655" s="10"/>
      <c r="F655" s="5"/>
      <c r="G655" s="5"/>
      <c r="H655" s="5"/>
      <c r="I655" s="5"/>
      <c r="J655" s="5"/>
      <c r="K655" s="10"/>
      <c r="L655" s="10"/>
      <c r="M655" s="10"/>
      <c r="N655" s="5"/>
      <c r="O655" s="5"/>
      <c r="P655" s="27"/>
      <c r="Q655" s="27"/>
      <c r="R655" s="27"/>
      <c r="S655" s="27"/>
      <c r="T655" s="27"/>
      <c r="U655" s="27"/>
      <c r="V655" s="27"/>
      <c r="W655" s="27"/>
      <c r="X655" s="27"/>
      <c r="Y655" s="27"/>
      <c r="Z655" s="27"/>
      <c r="AA655" s="5"/>
      <c r="AB655" s="5"/>
      <c r="AC655" s="5"/>
      <c r="AD655" s="5"/>
      <c r="AE655" s="5"/>
      <c r="AF655" s="5"/>
      <c r="AG655" s="5"/>
      <c r="AH655" s="27"/>
      <c r="AI655" s="27"/>
      <c r="AJ655" s="27"/>
      <c r="AK655" s="121" t="str">
        <f t="shared" si="188"/>
        <v/>
      </c>
      <c r="AL655" s="6"/>
      <c r="AM655" s="10"/>
      <c r="AN655" s="63"/>
      <c r="AO655" s="63"/>
      <c r="AP655" s="63"/>
      <c r="AQ655" s="63"/>
      <c r="AR655" s="63"/>
      <c r="AS655" s="63"/>
      <c r="AT655" s="63"/>
      <c r="AU655" s="63"/>
      <c r="AV655" s="63"/>
      <c r="AW655" s="117"/>
    </row>
    <row r="656" spans="1:49">
      <c r="A656" s="1">
        <v>321</v>
      </c>
      <c r="B656" s="5"/>
      <c r="C656" s="10"/>
      <c r="D656" s="5"/>
      <c r="E656" s="10"/>
      <c r="F656" s="5"/>
      <c r="G656" s="5"/>
      <c r="H656" s="5"/>
      <c r="I656" s="5"/>
      <c r="J656" s="5"/>
      <c r="K656" s="10"/>
      <c r="L656" s="10"/>
      <c r="M656" s="10"/>
      <c r="N656" s="5"/>
      <c r="O656" s="5"/>
      <c r="P656" s="27"/>
      <c r="Q656" s="27"/>
      <c r="R656" s="27"/>
      <c r="S656" s="27"/>
      <c r="T656" s="27"/>
      <c r="U656" s="27"/>
      <c r="V656" s="27"/>
      <c r="W656" s="27"/>
      <c r="X656" s="27"/>
      <c r="Y656" s="27"/>
      <c r="Z656" s="27"/>
      <c r="AA656" s="5"/>
      <c r="AB656" s="5"/>
      <c r="AC656" s="5"/>
      <c r="AD656" s="5"/>
      <c r="AE656" s="5"/>
      <c r="AF656" s="5"/>
      <c r="AG656" s="5"/>
      <c r="AH656" s="27"/>
      <c r="AI656" s="27"/>
      <c r="AJ656" s="27"/>
      <c r="AK656" s="121" t="str">
        <f t="shared" si="188"/>
        <v/>
      </c>
      <c r="AL656" s="6"/>
      <c r="AM656" s="10"/>
      <c r="AN656" s="63"/>
      <c r="AO656" s="63"/>
      <c r="AP656" s="63"/>
      <c r="AQ656" s="63"/>
      <c r="AR656" s="63"/>
      <c r="AS656" s="63"/>
      <c r="AT656" s="63"/>
      <c r="AU656" s="63"/>
      <c r="AV656" s="63"/>
      <c r="AW656" s="117"/>
    </row>
    <row r="657" spans="1:49">
      <c r="A657" s="1">
        <v>322</v>
      </c>
      <c r="B657" s="5"/>
      <c r="C657" s="10"/>
      <c r="D657" s="5"/>
      <c r="E657" s="10"/>
      <c r="F657" s="5"/>
      <c r="G657" s="5"/>
      <c r="H657" s="5"/>
      <c r="I657" s="5"/>
      <c r="J657" s="5"/>
      <c r="K657" s="10"/>
      <c r="L657" s="10"/>
      <c r="M657" s="10"/>
      <c r="N657" s="5"/>
      <c r="O657" s="5"/>
      <c r="P657" s="27"/>
      <c r="Q657" s="27"/>
      <c r="R657" s="27"/>
      <c r="S657" s="27"/>
      <c r="T657" s="27"/>
      <c r="U657" s="27"/>
      <c r="V657" s="27"/>
      <c r="W657" s="27"/>
      <c r="X657" s="27"/>
      <c r="Y657" s="27"/>
      <c r="Z657" s="27"/>
      <c r="AA657" s="5"/>
      <c r="AB657" s="5"/>
      <c r="AC657" s="5"/>
      <c r="AD657" s="5"/>
      <c r="AE657" s="5"/>
      <c r="AF657" s="5"/>
      <c r="AG657" s="5"/>
      <c r="AH657" s="27"/>
      <c r="AI657" s="27"/>
      <c r="AJ657" s="27"/>
      <c r="AK657" s="121" t="str">
        <f t="shared" si="188"/>
        <v/>
      </c>
      <c r="AL657" s="6"/>
      <c r="AM657" s="10"/>
      <c r="AN657" s="63"/>
      <c r="AO657" s="63"/>
      <c r="AP657" s="63"/>
      <c r="AQ657" s="63"/>
      <c r="AR657" s="63"/>
      <c r="AS657" s="63"/>
      <c r="AT657" s="63"/>
      <c r="AU657" s="63"/>
      <c r="AV657" s="63"/>
      <c r="AW657" s="117"/>
    </row>
    <row r="658" spans="1:49">
      <c r="A658" s="1">
        <v>323</v>
      </c>
      <c r="B658" s="5"/>
      <c r="C658" s="10"/>
      <c r="D658" s="5"/>
      <c r="E658" s="10"/>
      <c r="F658" s="5"/>
      <c r="G658" s="5"/>
      <c r="H658" s="5"/>
      <c r="I658" s="5"/>
      <c r="J658" s="5"/>
      <c r="K658" s="10"/>
      <c r="L658" s="10"/>
      <c r="M658" s="10"/>
      <c r="N658" s="5"/>
      <c r="O658" s="5"/>
      <c r="P658" s="27"/>
      <c r="Q658" s="27"/>
      <c r="R658" s="27"/>
      <c r="S658" s="27"/>
      <c r="T658" s="27"/>
      <c r="U658" s="27"/>
      <c r="V658" s="27"/>
      <c r="W658" s="27"/>
      <c r="X658" s="27"/>
      <c r="Y658" s="27"/>
      <c r="Z658" s="27"/>
      <c r="AA658" s="5"/>
      <c r="AB658" s="5"/>
      <c r="AC658" s="5"/>
      <c r="AD658" s="5"/>
      <c r="AE658" s="5"/>
      <c r="AF658" s="5"/>
      <c r="AG658" s="5"/>
      <c r="AH658" s="27"/>
      <c r="AI658" s="27"/>
      <c r="AJ658" s="27"/>
      <c r="AK658" s="121" t="str">
        <f t="shared" si="188"/>
        <v/>
      </c>
      <c r="AL658" s="6"/>
      <c r="AM658" s="10"/>
      <c r="AN658" s="63"/>
      <c r="AO658" s="63"/>
      <c r="AP658" s="63"/>
      <c r="AQ658" s="63"/>
      <c r="AR658" s="63"/>
      <c r="AS658" s="63"/>
      <c r="AT658" s="63"/>
      <c r="AU658" s="63"/>
      <c r="AV658" s="63"/>
      <c r="AW658" s="117"/>
    </row>
    <row r="659" spans="1:49">
      <c r="A659" s="1">
        <v>324</v>
      </c>
      <c r="B659" s="5"/>
      <c r="C659" s="10"/>
      <c r="D659" s="5"/>
      <c r="E659" s="10"/>
      <c r="F659" s="5"/>
      <c r="G659" s="5"/>
      <c r="H659" s="5"/>
      <c r="I659" s="5"/>
      <c r="J659" s="5"/>
      <c r="K659" s="10"/>
      <c r="L659" s="10"/>
      <c r="M659" s="10"/>
      <c r="N659" s="5"/>
      <c r="O659" s="5"/>
      <c r="P659" s="27"/>
      <c r="Q659" s="27"/>
      <c r="R659" s="27"/>
      <c r="S659" s="27"/>
      <c r="T659" s="27"/>
      <c r="U659" s="27"/>
      <c r="V659" s="27"/>
      <c r="W659" s="27"/>
      <c r="X659" s="27"/>
      <c r="Y659" s="27"/>
      <c r="Z659" s="27"/>
      <c r="AA659" s="5"/>
      <c r="AB659" s="5"/>
      <c r="AC659" s="5"/>
      <c r="AD659" s="5"/>
      <c r="AE659" s="5"/>
      <c r="AF659" s="5"/>
      <c r="AG659" s="5"/>
      <c r="AH659" s="27"/>
      <c r="AI659" s="27"/>
      <c r="AJ659" s="27"/>
      <c r="AK659" s="121" t="str">
        <f t="shared" si="188"/>
        <v/>
      </c>
      <c r="AL659" s="6"/>
      <c r="AM659" s="10"/>
      <c r="AN659" s="63"/>
      <c r="AO659" s="63"/>
      <c r="AP659" s="63"/>
      <c r="AQ659" s="63"/>
      <c r="AR659" s="63"/>
      <c r="AS659" s="63"/>
      <c r="AT659" s="63"/>
      <c r="AU659" s="63"/>
      <c r="AV659" s="63"/>
      <c r="AW659" s="117"/>
    </row>
    <row r="660" spans="1:49">
      <c r="A660" s="1">
        <v>325</v>
      </c>
      <c r="B660" s="5"/>
      <c r="C660" s="10"/>
      <c r="D660" s="5"/>
      <c r="E660" s="10"/>
      <c r="F660" s="5"/>
      <c r="G660" s="5"/>
      <c r="H660" s="5"/>
      <c r="I660" s="5"/>
      <c r="J660" s="5"/>
      <c r="K660" s="10"/>
      <c r="L660" s="10"/>
      <c r="M660" s="10"/>
      <c r="N660" s="5"/>
      <c r="O660" s="5"/>
      <c r="P660" s="27"/>
      <c r="Q660" s="27"/>
      <c r="R660" s="27"/>
      <c r="S660" s="27"/>
      <c r="T660" s="27"/>
      <c r="U660" s="27"/>
      <c r="V660" s="27"/>
      <c r="W660" s="27"/>
      <c r="X660" s="27"/>
      <c r="Y660" s="27"/>
      <c r="Z660" s="27"/>
      <c r="AA660" s="5"/>
      <c r="AB660" s="5"/>
      <c r="AC660" s="5"/>
      <c r="AD660" s="5"/>
      <c r="AE660" s="5"/>
      <c r="AF660" s="5"/>
      <c r="AG660" s="5"/>
      <c r="AH660" s="27"/>
      <c r="AI660" s="27"/>
      <c r="AJ660" s="27"/>
      <c r="AK660" s="121" t="str">
        <f t="shared" si="188"/>
        <v/>
      </c>
      <c r="AL660" s="6"/>
      <c r="AM660" s="10"/>
      <c r="AN660" s="63"/>
      <c r="AO660" s="63"/>
      <c r="AP660" s="63"/>
      <c r="AQ660" s="63"/>
      <c r="AR660" s="63"/>
      <c r="AS660" s="63"/>
      <c r="AT660" s="63"/>
      <c r="AU660" s="63"/>
      <c r="AV660" s="63"/>
      <c r="AW660" s="117"/>
    </row>
    <row r="661" spans="1:49">
      <c r="A661" s="1">
        <v>326</v>
      </c>
      <c r="B661" s="5"/>
      <c r="C661" s="10"/>
      <c r="D661" s="5"/>
      <c r="E661" s="10"/>
      <c r="F661" s="5"/>
      <c r="G661" s="5"/>
      <c r="H661" s="5"/>
      <c r="I661" s="5"/>
      <c r="J661" s="5"/>
      <c r="K661" s="10"/>
      <c r="L661" s="10"/>
      <c r="M661" s="10"/>
      <c r="N661" s="5"/>
      <c r="O661" s="5"/>
      <c r="P661" s="27"/>
      <c r="Q661" s="27"/>
      <c r="R661" s="27"/>
      <c r="S661" s="27"/>
      <c r="T661" s="27"/>
      <c r="U661" s="27"/>
      <c r="V661" s="27"/>
      <c r="W661" s="27"/>
      <c r="X661" s="27"/>
      <c r="Y661" s="27"/>
      <c r="Z661" s="27"/>
      <c r="AA661" s="5"/>
      <c r="AB661" s="5"/>
      <c r="AC661" s="5"/>
      <c r="AD661" s="5"/>
      <c r="AE661" s="5"/>
      <c r="AF661" s="5"/>
      <c r="AG661" s="5"/>
      <c r="AH661" s="27"/>
      <c r="AI661" s="27"/>
      <c r="AJ661" s="27"/>
      <c r="AK661" s="121" t="str">
        <f t="shared" si="188"/>
        <v/>
      </c>
      <c r="AL661" s="6"/>
      <c r="AM661" s="10"/>
      <c r="AN661" s="63"/>
      <c r="AO661" s="63"/>
      <c r="AP661" s="63"/>
      <c r="AQ661" s="63"/>
      <c r="AR661" s="63"/>
      <c r="AS661" s="63"/>
      <c r="AT661" s="63"/>
      <c r="AU661" s="63"/>
      <c r="AV661" s="63"/>
      <c r="AW661" s="117"/>
    </row>
    <row r="662" spans="1:49">
      <c r="A662" s="1">
        <v>327</v>
      </c>
      <c r="B662" s="5"/>
      <c r="C662" s="10"/>
      <c r="D662" s="5"/>
      <c r="E662" s="10"/>
      <c r="F662" s="5"/>
      <c r="G662" s="5"/>
      <c r="H662" s="5"/>
      <c r="I662" s="5"/>
      <c r="J662" s="5"/>
      <c r="K662" s="10"/>
      <c r="L662" s="10"/>
      <c r="M662" s="10"/>
      <c r="N662" s="5"/>
      <c r="O662" s="5"/>
      <c r="P662" s="27"/>
      <c r="Q662" s="27"/>
      <c r="R662" s="27"/>
      <c r="S662" s="27"/>
      <c r="T662" s="27"/>
      <c r="U662" s="27"/>
      <c r="V662" s="27"/>
      <c r="W662" s="27"/>
      <c r="X662" s="27"/>
      <c r="Y662" s="27"/>
      <c r="Z662" s="27"/>
      <c r="AA662" s="5"/>
      <c r="AB662" s="5"/>
      <c r="AC662" s="5"/>
      <c r="AD662" s="5"/>
      <c r="AE662" s="5"/>
      <c r="AF662" s="5"/>
      <c r="AG662" s="5"/>
      <c r="AH662" s="27"/>
      <c r="AI662" s="27"/>
      <c r="AJ662" s="27"/>
      <c r="AK662" s="121" t="str">
        <f t="shared" si="188"/>
        <v/>
      </c>
      <c r="AL662" s="6"/>
      <c r="AM662" s="10"/>
      <c r="AN662" s="63"/>
      <c r="AO662" s="63"/>
      <c r="AP662" s="63"/>
      <c r="AQ662" s="63"/>
      <c r="AR662" s="63"/>
      <c r="AS662" s="63"/>
      <c r="AT662" s="63"/>
      <c r="AU662" s="63"/>
      <c r="AV662" s="63"/>
      <c r="AW662" s="117"/>
    </row>
    <row r="663" spans="1:49">
      <c r="A663" s="1">
        <v>328</v>
      </c>
      <c r="B663" s="5"/>
      <c r="C663" s="10"/>
      <c r="D663" s="5"/>
      <c r="E663" s="10"/>
      <c r="F663" s="5"/>
      <c r="G663" s="5"/>
      <c r="H663" s="5"/>
      <c r="I663" s="5"/>
      <c r="J663" s="5"/>
      <c r="K663" s="10"/>
      <c r="L663" s="10"/>
      <c r="M663" s="10"/>
      <c r="N663" s="5"/>
      <c r="O663" s="5"/>
      <c r="P663" s="27"/>
      <c r="Q663" s="27"/>
      <c r="R663" s="27"/>
      <c r="S663" s="27"/>
      <c r="T663" s="27"/>
      <c r="U663" s="27"/>
      <c r="V663" s="27"/>
      <c r="W663" s="27"/>
      <c r="X663" s="27"/>
      <c r="Y663" s="27"/>
      <c r="Z663" s="27"/>
      <c r="AA663" s="5"/>
      <c r="AB663" s="5"/>
      <c r="AC663" s="5"/>
      <c r="AD663" s="5"/>
      <c r="AE663" s="5"/>
      <c r="AF663" s="5"/>
      <c r="AG663" s="5"/>
      <c r="AH663" s="27"/>
      <c r="AI663" s="27"/>
      <c r="AJ663" s="27"/>
      <c r="AK663" s="121" t="str">
        <f t="shared" si="188"/>
        <v/>
      </c>
      <c r="AL663" s="6"/>
      <c r="AM663" s="10"/>
      <c r="AN663" s="63"/>
      <c r="AO663" s="63"/>
      <c r="AP663" s="63"/>
      <c r="AQ663" s="63"/>
      <c r="AR663" s="63"/>
      <c r="AS663" s="63"/>
      <c r="AT663" s="63"/>
      <c r="AU663" s="63"/>
      <c r="AV663" s="63"/>
      <c r="AW663" s="117"/>
    </row>
    <row r="664" spans="1:49">
      <c r="A664" s="1">
        <v>329</v>
      </c>
      <c r="B664" s="5"/>
      <c r="C664" s="10"/>
      <c r="D664" s="5"/>
      <c r="E664" s="10"/>
      <c r="F664" s="5"/>
      <c r="G664" s="5"/>
      <c r="H664" s="5"/>
      <c r="I664" s="5"/>
      <c r="J664" s="5"/>
      <c r="K664" s="10"/>
      <c r="L664" s="10"/>
      <c r="M664" s="10"/>
      <c r="N664" s="5"/>
      <c r="O664" s="5"/>
      <c r="P664" s="27"/>
      <c r="Q664" s="27"/>
      <c r="R664" s="27"/>
      <c r="S664" s="27"/>
      <c r="T664" s="27"/>
      <c r="U664" s="27"/>
      <c r="V664" s="27"/>
      <c r="W664" s="27"/>
      <c r="X664" s="27"/>
      <c r="Y664" s="27"/>
      <c r="Z664" s="27"/>
      <c r="AA664" s="5"/>
      <c r="AB664" s="5"/>
      <c r="AC664" s="5"/>
      <c r="AD664" s="5"/>
      <c r="AE664" s="5"/>
      <c r="AF664" s="5"/>
      <c r="AG664" s="5"/>
      <c r="AH664" s="27"/>
      <c r="AI664" s="27"/>
      <c r="AJ664" s="27"/>
      <c r="AK664" s="121" t="str">
        <f t="shared" si="188"/>
        <v/>
      </c>
      <c r="AL664" s="6"/>
      <c r="AM664" s="10"/>
      <c r="AN664" s="63"/>
      <c r="AO664" s="63"/>
      <c r="AP664" s="63"/>
      <c r="AQ664" s="63"/>
      <c r="AR664" s="63"/>
      <c r="AS664" s="63"/>
      <c r="AT664" s="63"/>
      <c r="AU664" s="63"/>
      <c r="AV664" s="63"/>
      <c r="AW664" s="117"/>
    </row>
    <row r="665" spans="1:49">
      <c r="A665" s="1">
        <v>330</v>
      </c>
      <c r="B665" s="5"/>
      <c r="C665" s="10"/>
      <c r="D665" s="5"/>
      <c r="E665" s="10"/>
      <c r="F665" s="5"/>
      <c r="G665" s="5"/>
      <c r="H665" s="5"/>
      <c r="I665" s="5"/>
      <c r="J665" s="5"/>
      <c r="K665" s="10"/>
      <c r="L665" s="10"/>
      <c r="M665" s="10"/>
      <c r="N665" s="5"/>
      <c r="O665" s="5"/>
      <c r="P665" s="27"/>
      <c r="Q665" s="27"/>
      <c r="R665" s="27"/>
      <c r="S665" s="27"/>
      <c r="T665" s="27"/>
      <c r="U665" s="27"/>
      <c r="V665" s="27"/>
      <c r="W665" s="27"/>
      <c r="X665" s="27"/>
      <c r="Y665" s="27"/>
      <c r="Z665" s="27"/>
      <c r="AA665" s="5"/>
      <c r="AB665" s="5"/>
      <c r="AC665" s="5"/>
      <c r="AD665" s="5"/>
      <c r="AE665" s="5"/>
      <c r="AF665" s="5"/>
      <c r="AG665" s="5"/>
      <c r="AH665" s="27"/>
      <c r="AI665" s="27"/>
      <c r="AJ665" s="27"/>
      <c r="AK665" s="121" t="str">
        <f t="shared" si="188"/>
        <v/>
      </c>
      <c r="AL665" s="6"/>
      <c r="AM665" s="10"/>
      <c r="AN665" s="63"/>
      <c r="AO665" s="63"/>
      <c r="AP665" s="63"/>
      <c r="AQ665" s="63"/>
      <c r="AR665" s="63"/>
      <c r="AS665" s="63"/>
      <c r="AT665" s="63"/>
      <c r="AU665" s="63"/>
      <c r="AV665" s="63"/>
      <c r="AW665" s="117"/>
    </row>
    <row r="666" spans="1:49">
      <c r="A666" s="1">
        <v>331</v>
      </c>
      <c r="B666" s="5"/>
      <c r="C666" s="10"/>
      <c r="D666" s="5"/>
      <c r="E666" s="10"/>
      <c r="F666" s="5"/>
      <c r="G666" s="5"/>
      <c r="H666" s="5"/>
      <c r="I666" s="5"/>
      <c r="J666" s="5"/>
      <c r="K666" s="10"/>
      <c r="L666" s="10"/>
      <c r="M666" s="10"/>
      <c r="N666" s="5"/>
      <c r="O666" s="5"/>
      <c r="P666" s="27"/>
      <c r="Q666" s="27"/>
      <c r="R666" s="27"/>
      <c r="S666" s="27"/>
      <c r="T666" s="27"/>
      <c r="U666" s="27"/>
      <c r="V666" s="27"/>
      <c r="W666" s="27"/>
      <c r="X666" s="27"/>
      <c r="Y666" s="27"/>
      <c r="Z666" s="27"/>
      <c r="AA666" s="5"/>
      <c r="AB666" s="5"/>
      <c r="AC666" s="5"/>
      <c r="AD666" s="5"/>
      <c r="AE666" s="5"/>
      <c r="AF666" s="5"/>
      <c r="AG666" s="5"/>
      <c r="AH666" s="27"/>
      <c r="AI666" s="27"/>
      <c r="AJ666" s="27"/>
      <c r="AK666" s="121" t="str">
        <f t="shared" si="188"/>
        <v/>
      </c>
      <c r="AL666" s="6"/>
      <c r="AM666" s="10"/>
      <c r="AN666" s="63"/>
      <c r="AO666" s="63"/>
      <c r="AP666" s="63"/>
      <c r="AQ666" s="63"/>
      <c r="AR666" s="63"/>
      <c r="AS666" s="63"/>
      <c r="AT666" s="63"/>
      <c r="AU666" s="63"/>
      <c r="AV666" s="63"/>
      <c r="AW666" s="117"/>
    </row>
    <row r="667" spans="1:49">
      <c r="A667" s="1">
        <v>332</v>
      </c>
      <c r="B667" s="5"/>
      <c r="C667" s="10"/>
      <c r="D667" s="5"/>
      <c r="E667" s="10"/>
      <c r="F667" s="5"/>
      <c r="G667" s="5"/>
      <c r="H667" s="5"/>
      <c r="I667" s="5"/>
      <c r="J667" s="5"/>
      <c r="K667" s="10"/>
      <c r="L667" s="10"/>
      <c r="M667" s="10"/>
      <c r="N667" s="5"/>
      <c r="O667" s="5"/>
      <c r="P667" s="27"/>
      <c r="Q667" s="27"/>
      <c r="R667" s="27"/>
      <c r="S667" s="27"/>
      <c r="T667" s="27"/>
      <c r="U667" s="27"/>
      <c r="V667" s="27"/>
      <c r="W667" s="27"/>
      <c r="X667" s="27"/>
      <c r="Y667" s="27"/>
      <c r="Z667" s="27"/>
      <c r="AA667" s="5"/>
      <c r="AB667" s="5"/>
      <c r="AC667" s="5"/>
      <c r="AD667" s="5"/>
      <c r="AE667" s="5"/>
      <c r="AF667" s="5"/>
      <c r="AG667" s="5"/>
      <c r="AH667" s="27"/>
      <c r="AI667" s="27"/>
      <c r="AJ667" s="27"/>
      <c r="AK667" s="121" t="str">
        <f t="shared" si="188"/>
        <v/>
      </c>
      <c r="AL667" s="6"/>
      <c r="AM667" s="10"/>
      <c r="AN667" s="63"/>
      <c r="AO667" s="63"/>
      <c r="AP667" s="63"/>
      <c r="AQ667" s="63"/>
      <c r="AR667" s="63"/>
      <c r="AS667" s="63"/>
      <c r="AT667" s="63"/>
      <c r="AU667" s="63"/>
      <c r="AV667" s="63"/>
      <c r="AW667" s="117"/>
    </row>
    <row r="668" spans="1:49">
      <c r="A668" s="1">
        <v>333</v>
      </c>
      <c r="B668" s="5"/>
      <c r="C668" s="10"/>
      <c r="D668" s="5"/>
      <c r="E668" s="10"/>
      <c r="F668" s="5"/>
      <c r="G668" s="5"/>
      <c r="H668" s="5"/>
      <c r="I668" s="5"/>
      <c r="J668" s="5"/>
      <c r="K668" s="10"/>
      <c r="L668" s="10"/>
      <c r="M668" s="10"/>
      <c r="N668" s="5"/>
      <c r="O668" s="5"/>
      <c r="P668" s="27"/>
      <c r="Q668" s="27"/>
      <c r="R668" s="27"/>
      <c r="S668" s="27"/>
      <c r="T668" s="27"/>
      <c r="U668" s="27"/>
      <c r="V668" s="27"/>
      <c r="W668" s="27"/>
      <c r="X668" s="27"/>
      <c r="Y668" s="27"/>
      <c r="Z668" s="27"/>
      <c r="AA668" s="5"/>
      <c r="AB668" s="5"/>
      <c r="AC668" s="5"/>
      <c r="AD668" s="5"/>
      <c r="AE668" s="5"/>
      <c r="AF668" s="5"/>
      <c r="AG668" s="5"/>
      <c r="AH668" s="27"/>
      <c r="AI668" s="27"/>
      <c r="AJ668" s="27"/>
      <c r="AK668" s="121" t="str">
        <f t="shared" si="188"/>
        <v/>
      </c>
      <c r="AL668" s="6"/>
      <c r="AM668" s="10"/>
      <c r="AN668" s="63"/>
      <c r="AO668" s="63"/>
      <c r="AP668" s="63"/>
      <c r="AQ668" s="63"/>
      <c r="AR668" s="63"/>
      <c r="AS668" s="63"/>
      <c r="AT668" s="63"/>
      <c r="AU668" s="63"/>
      <c r="AV668" s="63"/>
      <c r="AW668" s="117"/>
    </row>
    <row r="669" spans="1:49">
      <c r="A669" s="1">
        <v>334</v>
      </c>
      <c r="B669" s="5"/>
      <c r="C669" s="10"/>
      <c r="D669" s="5"/>
      <c r="E669" s="10"/>
      <c r="F669" s="5"/>
      <c r="G669" s="5"/>
      <c r="H669" s="5"/>
      <c r="I669" s="5"/>
      <c r="J669" s="5"/>
      <c r="K669" s="10"/>
      <c r="L669" s="10"/>
      <c r="M669" s="10"/>
      <c r="N669" s="5"/>
      <c r="O669" s="5"/>
      <c r="P669" s="27"/>
      <c r="Q669" s="27"/>
      <c r="R669" s="27"/>
      <c r="S669" s="27"/>
      <c r="T669" s="27"/>
      <c r="U669" s="27"/>
      <c r="V669" s="27"/>
      <c r="W669" s="27"/>
      <c r="X669" s="27"/>
      <c r="Y669" s="27"/>
      <c r="Z669" s="27"/>
      <c r="AA669" s="5"/>
      <c r="AB669" s="5"/>
      <c r="AC669" s="5"/>
      <c r="AD669" s="5"/>
      <c r="AE669" s="5"/>
      <c r="AF669" s="5"/>
      <c r="AG669" s="5"/>
      <c r="AH669" s="27"/>
      <c r="AI669" s="27"/>
      <c r="AJ669" s="27"/>
      <c r="AK669" s="121" t="str">
        <f t="shared" si="188"/>
        <v/>
      </c>
      <c r="AL669" s="6"/>
      <c r="AM669" s="10"/>
      <c r="AN669" s="63"/>
      <c r="AO669" s="63"/>
      <c r="AP669" s="63"/>
      <c r="AQ669" s="63"/>
      <c r="AR669" s="63"/>
      <c r="AS669" s="63"/>
      <c r="AT669" s="63"/>
      <c r="AU669" s="63"/>
      <c r="AV669" s="63"/>
      <c r="AW669" s="117"/>
    </row>
    <row r="670" spans="1:49">
      <c r="A670" s="1">
        <v>335</v>
      </c>
      <c r="B670" s="5"/>
      <c r="C670" s="10"/>
      <c r="D670" s="5"/>
      <c r="E670" s="10"/>
      <c r="F670" s="5"/>
      <c r="G670" s="5"/>
      <c r="H670" s="5"/>
      <c r="I670" s="5"/>
      <c r="J670" s="5"/>
      <c r="K670" s="10"/>
      <c r="L670" s="10"/>
      <c r="M670" s="10"/>
      <c r="N670" s="5"/>
      <c r="O670" s="5"/>
      <c r="P670" s="27"/>
      <c r="Q670" s="27"/>
      <c r="R670" s="27"/>
      <c r="S670" s="27"/>
      <c r="T670" s="27"/>
      <c r="U670" s="27"/>
      <c r="V670" s="27"/>
      <c r="W670" s="27"/>
      <c r="X670" s="27"/>
      <c r="Y670" s="27"/>
      <c r="Z670" s="27"/>
      <c r="AA670" s="5"/>
      <c r="AB670" s="5"/>
      <c r="AC670" s="5"/>
      <c r="AD670" s="5"/>
      <c r="AE670" s="5"/>
      <c r="AF670" s="5"/>
      <c r="AG670" s="5"/>
      <c r="AH670" s="27"/>
      <c r="AI670" s="27"/>
      <c r="AJ670" s="27"/>
      <c r="AK670" s="121" t="str">
        <f t="shared" si="188"/>
        <v/>
      </c>
      <c r="AL670" s="6"/>
      <c r="AM670" s="10"/>
      <c r="AN670" s="63"/>
      <c r="AO670" s="63"/>
      <c r="AP670" s="63"/>
      <c r="AQ670" s="63"/>
      <c r="AR670" s="63"/>
      <c r="AS670" s="63"/>
      <c r="AT670" s="63"/>
      <c r="AU670" s="63"/>
      <c r="AV670" s="63"/>
      <c r="AW670" s="117"/>
    </row>
    <row r="671" spans="1:49">
      <c r="A671" s="1">
        <v>336</v>
      </c>
      <c r="B671" s="5"/>
      <c r="C671" s="10"/>
      <c r="D671" s="5"/>
      <c r="E671" s="10"/>
      <c r="F671" s="5"/>
      <c r="G671" s="5"/>
      <c r="H671" s="5"/>
      <c r="I671" s="5"/>
      <c r="J671" s="5"/>
      <c r="K671" s="10"/>
      <c r="L671" s="10"/>
      <c r="M671" s="10"/>
      <c r="N671" s="5"/>
      <c r="O671" s="5"/>
      <c r="P671" s="27"/>
      <c r="Q671" s="27"/>
      <c r="R671" s="27"/>
      <c r="S671" s="27"/>
      <c r="T671" s="27"/>
      <c r="U671" s="27"/>
      <c r="V671" s="27"/>
      <c r="W671" s="27"/>
      <c r="X671" s="27"/>
      <c r="Y671" s="27"/>
      <c r="Z671" s="27"/>
      <c r="AA671" s="5"/>
      <c r="AB671" s="5"/>
      <c r="AC671" s="5"/>
      <c r="AD671" s="5"/>
      <c r="AE671" s="5"/>
      <c r="AF671" s="5"/>
      <c r="AG671" s="5"/>
      <c r="AH671" s="27"/>
      <c r="AI671" s="27"/>
      <c r="AJ671" s="27"/>
      <c r="AK671" s="121" t="str">
        <f t="shared" si="188"/>
        <v/>
      </c>
      <c r="AL671" s="6"/>
      <c r="AM671" s="10"/>
      <c r="AN671" s="63"/>
      <c r="AO671" s="63"/>
      <c r="AP671" s="63"/>
      <c r="AQ671" s="63"/>
      <c r="AR671" s="63"/>
      <c r="AS671" s="63"/>
      <c r="AT671" s="63"/>
      <c r="AU671" s="63"/>
      <c r="AV671" s="63"/>
      <c r="AW671" s="117"/>
    </row>
    <row r="672" spans="1:49">
      <c r="A672" s="1">
        <v>337</v>
      </c>
      <c r="B672" s="5"/>
      <c r="C672" s="10"/>
      <c r="D672" s="5"/>
      <c r="E672" s="10"/>
      <c r="F672" s="5"/>
      <c r="G672" s="5"/>
      <c r="H672" s="5"/>
      <c r="I672" s="5"/>
      <c r="J672" s="5"/>
      <c r="K672" s="10"/>
      <c r="L672" s="10"/>
      <c r="M672" s="10"/>
      <c r="N672" s="5"/>
      <c r="O672" s="5"/>
      <c r="P672" s="27"/>
      <c r="Q672" s="27"/>
      <c r="R672" s="27"/>
      <c r="S672" s="27"/>
      <c r="T672" s="27"/>
      <c r="U672" s="27"/>
      <c r="V672" s="27"/>
      <c r="W672" s="27"/>
      <c r="X672" s="27"/>
      <c r="Y672" s="27"/>
      <c r="Z672" s="27"/>
      <c r="AA672" s="5"/>
      <c r="AB672" s="5"/>
      <c r="AC672" s="5"/>
      <c r="AD672" s="5"/>
      <c r="AE672" s="5"/>
      <c r="AF672" s="5"/>
      <c r="AG672" s="5"/>
      <c r="AH672" s="27"/>
      <c r="AI672" s="27"/>
      <c r="AJ672" s="27"/>
      <c r="AK672" s="121" t="str">
        <f t="shared" si="188"/>
        <v/>
      </c>
      <c r="AL672" s="6"/>
      <c r="AM672" s="10"/>
      <c r="AN672" s="63"/>
      <c r="AO672" s="63"/>
      <c r="AP672" s="63"/>
      <c r="AQ672" s="63"/>
      <c r="AR672" s="63"/>
      <c r="AS672" s="63"/>
      <c r="AT672" s="63"/>
      <c r="AU672" s="63"/>
      <c r="AV672" s="63"/>
      <c r="AW672" s="117"/>
    </row>
    <row r="673" spans="1:49">
      <c r="A673" s="1">
        <v>338</v>
      </c>
      <c r="B673" s="5"/>
      <c r="C673" s="10"/>
      <c r="D673" s="5"/>
      <c r="E673" s="10"/>
      <c r="F673" s="5"/>
      <c r="G673" s="5"/>
      <c r="H673" s="5"/>
      <c r="I673" s="5"/>
      <c r="J673" s="5"/>
      <c r="K673" s="10"/>
      <c r="L673" s="10"/>
      <c r="M673" s="10"/>
      <c r="N673" s="5"/>
      <c r="O673" s="5"/>
      <c r="P673" s="27"/>
      <c r="Q673" s="27"/>
      <c r="R673" s="27"/>
      <c r="S673" s="27"/>
      <c r="T673" s="27"/>
      <c r="U673" s="27"/>
      <c r="V673" s="27"/>
      <c r="W673" s="27"/>
      <c r="X673" s="27"/>
      <c r="Y673" s="27"/>
      <c r="Z673" s="27"/>
      <c r="AA673" s="5"/>
      <c r="AB673" s="5"/>
      <c r="AC673" s="5"/>
      <c r="AD673" s="5"/>
      <c r="AE673" s="5"/>
      <c r="AF673" s="5"/>
      <c r="AG673" s="5"/>
      <c r="AH673" s="27"/>
      <c r="AI673" s="27"/>
      <c r="AJ673" s="27"/>
      <c r="AK673" s="121" t="str">
        <f t="shared" si="188"/>
        <v/>
      </c>
      <c r="AL673" s="6"/>
      <c r="AM673" s="10"/>
      <c r="AN673" s="63"/>
      <c r="AO673" s="63"/>
      <c r="AP673" s="63"/>
      <c r="AQ673" s="63"/>
      <c r="AR673" s="63"/>
      <c r="AS673" s="63"/>
      <c r="AT673" s="63"/>
      <c r="AU673" s="63"/>
      <c r="AV673" s="63"/>
      <c r="AW673" s="117"/>
    </row>
    <row r="674" spans="1:49">
      <c r="A674" s="1">
        <v>339</v>
      </c>
      <c r="B674" s="5"/>
      <c r="C674" s="10"/>
      <c r="D674" s="5"/>
      <c r="E674" s="10"/>
      <c r="F674" s="5"/>
      <c r="G674" s="5"/>
      <c r="H674" s="5"/>
      <c r="I674" s="5"/>
      <c r="J674" s="5"/>
      <c r="K674" s="10"/>
      <c r="L674" s="10"/>
      <c r="M674" s="10"/>
      <c r="N674" s="5"/>
      <c r="O674" s="5"/>
      <c r="P674" s="27"/>
      <c r="Q674" s="27"/>
      <c r="R674" s="27"/>
      <c r="S674" s="27"/>
      <c r="T674" s="27"/>
      <c r="U674" s="27"/>
      <c r="V674" s="27"/>
      <c r="W674" s="27"/>
      <c r="X674" s="27"/>
      <c r="Y674" s="27"/>
      <c r="Z674" s="27"/>
      <c r="AA674" s="5"/>
      <c r="AB674" s="5"/>
      <c r="AC674" s="5"/>
      <c r="AD674" s="5"/>
      <c r="AE674" s="5"/>
      <c r="AF674" s="5"/>
      <c r="AG674" s="5"/>
      <c r="AH674" s="27"/>
      <c r="AI674" s="27"/>
      <c r="AJ674" s="27"/>
      <c r="AK674" s="121" t="str">
        <f t="shared" si="188"/>
        <v/>
      </c>
      <c r="AL674" s="6"/>
      <c r="AM674" s="10"/>
      <c r="AN674" s="63"/>
      <c r="AO674" s="63"/>
      <c r="AP674" s="63"/>
      <c r="AQ674" s="63"/>
      <c r="AR674" s="63"/>
      <c r="AS674" s="63"/>
      <c r="AT674" s="63"/>
      <c r="AU674" s="63"/>
      <c r="AV674" s="63"/>
      <c r="AW674" s="117"/>
    </row>
    <row r="675" spans="1:49">
      <c r="A675" s="1">
        <v>340</v>
      </c>
      <c r="B675" s="5"/>
      <c r="C675" s="10"/>
      <c r="D675" s="5"/>
      <c r="E675" s="10"/>
      <c r="F675" s="5"/>
      <c r="G675" s="5"/>
      <c r="H675" s="5"/>
      <c r="I675" s="5"/>
      <c r="J675" s="5"/>
      <c r="K675" s="10"/>
      <c r="L675" s="10"/>
      <c r="M675" s="10"/>
      <c r="N675" s="5"/>
      <c r="O675" s="5"/>
      <c r="P675" s="27"/>
      <c r="Q675" s="27"/>
      <c r="R675" s="27"/>
      <c r="S675" s="27"/>
      <c r="T675" s="27"/>
      <c r="U675" s="27"/>
      <c r="V675" s="27"/>
      <c r="W675" s="27"/>
      <c r="X675" s="27"/>
      <c r="Y675" s="27"/>
      <c r="Z675" s="27"/>
      <c r="AA675" s="5"/>
      <c r="AB675" s="5"/>
      <c r="AC675" s="5"/>
      <c r="AD675" s="5"/>
      <c r="AE675" s="5"/>
      <c r="AF675" s="5"/>
      <c r="AG675" s="5"/>
      <c r="AH675" s="27"/>
      <c r="AI675" s="27"/>
      <c r="AJ675" s="27"/>
      <c r="AK675" s="121" t="str">
        <f t="shared" si="188"/>
        <v/>
      </c>
      <c r="AL675" s="6"/>
      <c r="AM675" s="10"/>
      <c r="AN675" s="63"/>
      <c r="AO675" s="63"/>
      <c r="AP675" s="63"/>
      <c r="AQ675" s="63"/>
      <c r="AR675" s="63"/>
      <c r="AS675" s="63"/>
      <c r="AT675" s="63"/>
      <c r="AU675" s="63"/>
      <c r="AV675" s="63"/>
      <c r="AW675" s="117"/>
    </row>
    <row r="676" spans="1:49">
      <c r="A676" s="1">
        <v>341</v>
      </c>
      <c r="B676" s="5"/>
      <c r="C676" s="10"/>
      <c r="D676" s="5"/>
      <c r="E676" s="10"/>
      <c r="F676" s="5"/>
      <c r="G676" s="5"/>
      <c r="H676" s="5"/>
      <c r="I676" s="5"/>
      <c r="J676" s="5"/>
      <c r="K676" s="10"/>
      <c r="L676" s="10"/>
      <c r="M676" s="10"/>
      <c r="N676" s="5"/>
      <c r="O676" s="5"/>
      <c r="P676" s="27"/>
      <c r="Q676" s="27"/>
      <c r="R676" s="27"/>
      <c r="S676" s="27"/>
      <c r="T676" s="27"/>
      <c r="U676" s="27"/>
      <c r="V676" s="27"/>
      <c r="W676" s="27"/>
      <c r="X676" s="27"/>
      <c r="Y676" s="27"/>
      <c r="Z676" s="27"/>
      <c r="AA676" s="5"/>
      <c r="AB676" s="5"/>
      <c r="AC676" s="5"/>
      <c r="AD676" s="5"/>
      <c r="AE676" s="5"/>
      <c r="AF676" s="5"/>
      <c r="AG676" s="5"/>
      <c r="AH676" s="27"/>
      <c r="AI676" s="27"/>
      <c r="AJ676" s="27"/>
      <c r="AK676" s="121" t="str">
        <f t="shared" si="188"/>
        <v/>
      </c>
      <c r="AL676" s="6"/>
      <c r="AM676" s="10"/>
      <c r="AN676" s="63"/>
      <c r="AO676" s="63"/>
      <c r="AP676" s="63"/>
      <c r="AQ676" s="63"/>
      <c r="AR676" s="63"/>
      <c r="AS676" s="63"/>
      <c r="AT676" s="63"/>
      <c r="AU676" s="63"/>
      <c r="AV676" s="63"/>
      <c r="AW676" s="117"/>
    </row>
    <row r="677" spans="1:49">
      <c r="A677" s="1">
        <v>342</v>
      </c>
      <c r="B677" s="5"/>
      <c r="C677" s="10"/>
      <c r="D677" s="5"/>
      <c r="E677" s="10"/>
      <c r="F677" s="5"/>
      <c r="G677" s="5"/>
      <c r="H677" s="5"/>
      <c r="I677" s="5"/>
      <c r="J677" s="5"/>
      <c r="K677" s="10"/>
      <c r="L677" s="10"/>
      <c r="M677" s="10"/>
      <c r="N677" s="5"/>
      <c r="O677" s="5"/>
      <c r="P677" s="27"/>
      <c r="Q677" s="27"/>
      <c r="R677" s="27"/>
      <c r="S677" s="27"/>
      <c r="T677" s="27"/>
      <c r="U677" s="27"/>
      <c r="V677" s="27"/>
      <c r="W677" s="27"/>
      <c r="X677" s="27"/>
      <c r="Y677" s="27"/>
      <c r="Z677" s="27"/>
      <c r="AA677" s="5"/>
      <c r="AB677" s="5"/>
      <c r="AC677" s="5"/>
      <c r="AD677" s="5"/>
      <c r="AE677" s="5"/>
      <c r="AF677" s="5"/>
      <c r="AG677" s="5"/>
      <c r="AH677" s="27"/>
      <c r="AI677" s="27"/>
      <c r="AJ677" s="27"/>
      <c r="AK677" s="121" t="str">
        <f t="shared" ref="AK677:AK715" si="189">IF(B678="","","0")</f>
        <v/>
      </c>
      <c r="AL677" s="6"/>
      <c r="AM677" s="10"/>
      <c r="AN677" s="63"/>
      <c r="AO677" s="63"/>
      <c r="AP677" s="63"/>
      <c r="AQ677" s="63"/>
      <c r="AR677" s="63"/>
      <c r="AS677" s="63"/>
      <c r="AT677" s="63"/>
      <c r="AU677" s="63"/>
      <c r="AV677" s="63"/>
      <c r="AW677" s="117"/>
    </row>
    <row r="678" spans="1:49">
      <c r="A678" s="1">
        <v>343</v>
      </c>
      <c r="B678" s="5"/>
      <c r="C678" s="10"/>
      <c r="D678" s="5"/>
      <c r="E678" s="10"/>
      <c r="F678" s="5"/>
      <c r="G678" s="5"/>
      <c r="H678" s="5"/>
      <c r="I678" s="5"/>
      <c r="J678" s="5"/>
      <c r="K678" s="10"/>
      <c r="L678" s="10"/>
      <c r="M678" s="10"/>
      <c r="N678" s="5"/>
      <c r="O678" s="5"/>
      <c r="P678" s="27"/>
      <c r="Q678" s="27"/>
      <c r="R678" s="27"/>
      <c r="S678" s="27"/>
      <c r="T678" s="27"/>
      <c r="U678" s="27"/>
      <c r="V678" s="27"/>
      <c r="W678" s="27"/>
      <c r="X678" s="27"/>
      <c r="Y678" s="27"/>
      <c r="Z678" s="27"/>
      <c r="AA678" s="5"/>
      <c r="AB678" s="5"/>
      <c r="AC678" s="5"/>
      <c r="AD678" s="5"/>
      <c r="AE678" s="5"/>
      <c r="AF678" s="5"/>
      <c r="AG678" s="5"/>
      <c r="AH678" s="27"/>
      <c r="AI678" s="27"/>
      <c r="AJ678" s="27"/>
      <c r="AK678" s="121" t="str">
        <f t="shared" si="189"/>
        <v/>
      </c>
      <c r="AL678" s="6"/>
      <c r="AM678" s="10"/>
      <c r="AN678" s="63"/>
      <c r="AO678" s="63"/>
      <c r="AP678" s="63"/>
      <c r="AQ678" s="63"/>
      <c r="AR678" s="63"/>
      <c r="AS678" s="63"/>
      <c r="AT678" s="63"/>
      <c r="AU678" s="63"/>
      <c r="AV678" s="63"/>
      <c r="AW678" s="117"/>
    </row>
    <row r="679" spans="1:49">
      <c r="A679" s="1">
        <v>344</v>
      </c>
      <c r="B679" s="5"/>
      <c r="C679" s="10"/>
      <c r="D679" s="5"/>
      <c r="E679" s="10"/>
      <c r="F679" s="5"/>
      <c r="G679" s="5"/>
      <c r="H679" s="5"/>
      <c r="I679" s="5"/>
      <c r="J679" s="5"/>
      <c r="K679" s="10"/>
      <c r="L679" s="10"/>
      <c r="M679" s="10"/>
      <c r="N679" s="5"/>
      <c r="O679" s="5"/>
      <c r="P679" s="27"/>
      <c r="Q679" s="27"/>
      <c r="R679" s="27"/>
      <c r="S679" s="27"/>
      <c r="T679" s="27"/>
      <c r="U679" s="27"/>
      <c r="V679" s="27"/>
      <c r="W679" s="27"/>
      <c r="X679" s="27"/>
      <c r="Y679" s="27"/>
      <c r="Z679" s="27"/>
      <c r="AA679" s="5"/>
      <c r="AB679" s="5"/>
      <c r="AC679" s="5"/>
      <c r="AD679" s="5"/>
      <c r="AE679" s="5"/>
      <c r="AF679" s="5"/>
      <c r="AG679" s="5"/>
      <c r="AH679" s="27"/>
      <c r="AI679" s="27"/>
      <c r="AJ679" s="27"/>
      <c r="AK679" s="121" t="str">
        <f t="shared" si="189"/>
        <v/>
      </c>
      <c r="AL679" s="6"/>
      <c r="AM679" s="10"/>
      <c r="AN679" s="63"/>
      <c r="AO679" s="63"/>
      <c r="AP679" s="63"/>
      <c r="AQ679" s="63"/>
      <c r="AR679" s="63"/>
      <c r="AS679" s="63"/>
      <c r="AT679" s="63"/>
      <c r="AU679" s="63"/>
      <c r="AV679" s="63"/>
      <c r="AW679" s="117"/>
    </row>
    <row r="680" spans="1:49">
      <c r="A680" s="1">
        <v>345</v>
      </c>
      <c r="B680" s="5"/>
      <c r="C680" s="10"/>
      <c r="D680" s="5"/>
      <c r="E680" s="10"/>
      <c r="F680" s="5"/>
      <c r="G680" s="5"/>
      <c r="H680" s="5"/>
      <c r="I680" s="5"/>
      <c r="J680" s="5"/>
      <c r="K680" s="10"/>
      <c r="L680" s="10"/>
      <c r="M680" s="10"/>
      <c r="N680" s="5"/>
      <c r="O680" s="5"/>
      <c r="P680" s="27"/>
      <c r="Q680" s="27"/>
      <c r="R680" s="27"/>
      <c r="S680" s="27"/>
      <c r="T680" s="27"/>
      <c r="U680" s="27"/>
      <c r="V680" s="27"/>
      <c r="W680" s="27"/>
      <c r="X680" s="27"/>
      <c r="Y680" s="27"/>
      <c r="Z680" s="27"/>
      <c r="AA680" s="5"/>
      <c r="AB680" s="5"/>
      <c r="AC680" s="5"/>
      <c r="AD680" s="5"/>
      <c r="AE680" s="5"/>
      <c r="AF680" s="5"/>
      <c r="AG680" s="5"/>
      <c r="AH680" s="27"/>
      <c r="AI680" s="27"/>
      <c r="AJ680" s="27"/>
      <c r="AK680" s="121" t="str">
        <f t="shared" si="189"/>
        <v/>
      </c>
      <c r="AL680" s="6"/>
      <c r="AM680" s="10"/>
      <c r="AN680" s="63"/>
      <c r="AO680" s="63"/>
      <c r="AP680" s="63"/>
      <c r="AQ680" s="63"/>
      <c r="AR680" s="63"/>
      <c r="AS680" s="63"/>
      <c r="AT680" s="63"/>
      <c r="AU680" s="63"/>
      <c r="AV680" s="63"/>
      <c r="AW680" s="117"/>
    </row>
    <row r="681" spans="1:49">
      <c r="A681" s="1">
        <v>346</v>
      </c>
      <c r="B681" s="5"/>
      <c r="C681" s="10"/>
      <c r="D681" s="5"/>
      <c r="E681" s="10"/>
      <c r="F681" s="5"/>
      <c r="G681" s="5"/>
      <c r="H681" s="5"/>
      <c r="I681" s="5"/>
      <c r="J681" s="5"/>
      <c r="K681" s="10"/>
      <c r="L681" s="10"/>
      <c r="M681" s="10"/>
      <c r="N681" s="5"/>
      <c r="O681" s="5"/>
      <c r="P681" s="27"/>
      <c r="Q681" s="27"/>
      <c r="R681" s="27"/>
      <c r="S681" s="27"/>
      <c r="T681" s="27"/>
      <c r="U681" s="27"/>
      <c r="V681" s="27"/>
      <c r="W681" s="27"/>
      <c r="X681" s="27"/>
      <c r="Y681" s="27"/>
      <c r="Z681" s="27"/>
      <c r="AA681" s="5"/>
      <c r="AB681" s="5"/>
      <c r="AC681" s="5"/>
      <c r="AD681" s="5"/>
      <c r="AE681" s="5"/>
      <c r="AF681" s="5"/>
      <c r="AG681" s="5"/>
      <c r="AH681" s="27"/>
      <c r="AI681" s="27"/>
      <c r="AJ681" s="27"/>
      <c r="AK681" s="121" t="str">
        <f t="shared" si="189"/>
        <v/>
      </c>
      <c r="AL681" s="6"/>
      <c r="AM681" s="10"/>
      <c r="AN681" s="63"/>
      <c r="AO681" s="63"/>
      <c r="AP681" s="63"/>
      <c r="AQ681" s="63"/>
      <c r="AR681" s="63"/>
      <c r="AS681" s="63"/>
      <c r="AT681" s="63"/>
      <c r="AU681" s="63"/>
      <c r="AV681" s="63"/>
      <c r="AW681" s="117"/>
    </row>
    <row r="682" spans="1:49">
      <c r="A682" s="1">
        <v>347</v>
      </c>
      <c r="B682" s="5"/>
      <c r="C682" s="10"/>
      <c r="D682" s="5"/>
      <c r="E682" s="10"/>
      <c r="F682" s="5"/>
      <c r="G682" s="5"/>
      <c r="H682" s="5"/>
      <c r="I682" s="5"/>
      <c r="J682" s="5"/>
      <c r="K682" s="10"/>
      <c r="L682" s="10"/>
      <c r="M682" s="10"/>
      <c r="N682" s="5"/>
      <c r="O682" s="5"/>
      <c r="P682" s="27"/>
      <c r="Q682" s="27"/>
      <c r="R682" s="27"/>
      <c r="S682" s="27"/>
      <c r="T682" s="27"/>
      <c r="U682" s="27"/>
      <c r="V682" s="27"/>
      <c r="W682" s="27"/>
      <c r="X682" s="27"/>
      <c r="Y682" s="27"/>
      <c r="Z682" s="27"/>
      <c r="AA682" s="5"/>
      <c r="AB682" s="5"/>
      <c r="AC682" s="5"/>
      <c r="AD682" s="5"/>
      <c r="AE682" s="5"/>
      <c r="AF682" s="5"/>
      <c r="AG682" s="5"/>
      <c r="AH682" s="27"/>
      <c r="AI682" s="27"/>
      <c r="AJ682" s="27"/>
      <c r="AK682" s="121" t="str">
        <f t="shared" si="189"/>
        <v/>
      </c>
      <c r="AL682" s="6"/>
      <c r="AM682" s="10"/>
      <c r="AN682" s="63"/>
      <c r="AO682" s="63"/>
      <c r="AP682" s="63"/>
      <c r="AQ682" s="63"/>
      <c r="AR682" s="63"/>
      <c r="AS682" s="63"/>
      <c r="AT682" s="63"/>
      <c r="AU682" s="63"/>
      <c r="AV682" s="63"/>
      <c r="AW682" s="117"/>
    </row>
    <row r="683" spans="1:49">
      <c r="A683" s="1">
        <v>348</v>
      </c>
      <c r="B683" s="5"/>
      <c r="C683" s="10"/>
      <c r="D683" s="5"/>
      <c r="E683" s="10"/>
      <c r="F683" s="5"/>
      <c r="G683" s="5"/>
      <c r="H683" s="5"/>
      <c r="I683" s="5"/>
      <c r="J683" s="5"/>
      <c r="K683" s="10"/>
      <c r="L683" s="10"/>
      <c r="M683" s="10"/>
      <c r="N683" s="5"/>
      <c r="O683" s="5"/>
      <c r="P683" s="27"/>
      <c r="Q683" s="27"/>
      <c r="R683" s="27"/>
      <c r="S683" s="27"/>
      <c r="T683" s="27"/>
      <c r="U683" s="27"/>
      <c r="V683" s="27"/>
      <c r="W683" s="27"/>
      <c r="X683" s="27"/>
      <c r="Y683" s="27"/>
      <c r="Z683" s="27"/>
      <c r="AA683" s="5"/>
      <c r="AB683" s="5"/>
      <c r="AC683" s="5"/>
      <c r="AD683" s="5"/>
      <c r="AE683" s="5"/>
      <c r="AF683" s="5"/>
      <c r="AG683" s="5"/>
      <c r="AH683" s="27"/>
      <c r="AI683" s="27"/>
      <c r="AJ683" s="27"/>
      <c r="AK683" s="121" t="str">
        <f t="shared" si="189"/>
        <v/>
      </c>
      <c r="AL683" s="6"/>
      <c r="AM683" s="10"/>
      <c r="AN683" s="63"/>
      <c r="AO683" s="63"/>
      <c r="AP683" s="63"/>
      <c r="AQ683" s="63"/>
      <c r="AR683" s="63"/>
      <c r="AS683" s="63"/>
      <c r="AT683" s="63"/>
      <c r="AU683" s="63"/>
      <c r="AV683" s="63"/>
      <c r="AW683" s="117"/>
    </row>
    <row r="684" spans="1:49">
      <c r="A684" s="1">
        <v>349</v>
      </c>
      <c r="B684" s="5"/>
      <c r="C684" s="10"/>
      <c r="D684" s="5"/>
      <c r="E684" s="10"/>
      <c r="F684" s="5"/>
      <c r="G684" s="5"/>
      <c r="H684" s="5"/>
      <c r="I684" s="5"/>
      <c r="J684" s="5"/>
      <c r="K684" s="10"/>
      <c r="L684" s="10"/>
      <c r="M684" s="10"/>
      <c r="N684" s="5"/>
      <c r="O684" s="5"/>
      <c r="P684" s="27"/>
      <c r="Q684" s="27"/>
      <c r="R684" s="27"/>
      <c r="S684" s="27"/>
      <c r="T684" s="27"/>
      <c r="U684" s="27"/>
      <c r="V684" s="27"/>
      <c r="W684" s="27"/>
      <c r="X684" s="27"/>
      <c r="Y684" s="27"/>
      <c r="Z684" s="27"/>
      <c r="AA684" s="5"/>
      <c r="AB684" s="5"/>
      <c r="AC684" s="5"/>
      <c r="AD684" s="5"/>
      <c r="AE684" s="5"/>
      <c r="AF684" s="5"/>
      <c r="AG684" s="5"/>
      <c r="AH684" s="27"/>
      <c r="AI684" s="27"/>
      <c r="AJ684" s="27"/>
      <c r="AK684" s="121" t="str">
        <f t="shared" si="189"/>
        <v/>
      </c>
      <c r="AL684" s="6"/>
      <c r="AM684" s="10"/>
      <c r="AN684" s="63"/>
      <c r="AO684" s="63"/>
      <c r="AP684" s="63"/>
      <c r="AQ684" s="63"/>
      <c r="AR684" s="63"/>
      <c r="AS684" s="63"/>
      <c r="AT684" s="63"/>
      <c r="AU684" s="63"/>
      <c r="AV684" s="63"/>
      <c r="AW684" s="117"/>
    </row>
    <row r="685" spans="1:49">
      <c r="A685" s="1">
        <v>350</v>
      </c>
      <c r="B685" s="5"/>
      <c r="C685" s="10"/>
      <c r="D685" s="5"/>
      <c r="E685" s="10"/>
      <c r="F685" s="5"/>
      <c r="G685" s="5"/>
      <c r="H685" s="5"/>
      <c r="I685" s="5"/>
      <c r="J685" s="5"/>
      <c r="K685" s="10"/>
      <c r="L685" s="10"/>
      <c r="M685" s="10"/>
      <c r="N685" s="5"/>
      <c r="O685" s="5"/>
      <c r="P685" s="27"/>
      <c r="Q685" s="27"/>
      <c r="R685" s="27"/>
      <c r="S685" s="27"/>
      <c r="T685" s="27"/>
      <c r="U685" s="27"/>
      <c r="V685" s="27"/>
      <c r="W685" s="27"/>
      <c r="X685" s="27"/>
      <c r="Y685" s="27"/>
      <c r="Z685" s="27"/>
      <c r="AA685" s="5"/>
      <c r="AB685" s="5"/>
      <c r="AC685" s="5"/>
      <c r="AD685" s="5"/>
      <c r="AE685" s="5"/>
      <c r="AF685" s="5"/>
      <c r="AG685" s="5"/>
      <c r="AH685" s="27"/>
      <c r="AI685" s="27"/>
      <c r="AJ685" s="27"/>
      <c r="AK685" s="121" t="str">
        <f t="shared" si="189"/>
        <v/>
      </c>
      <c r="AL685" s="6"/>
      <c r="AM685" s="10"/>
      <c r="AN685" s="63"/>
      <c r="AO685" s="63"/>
      <c r="AP685" s="63"/>
      <c r="AQ685" s="63"/>
      <c r="AR685" s="63"/>
      <c r="AS685" s="63"/>
      <c r="AT685" s="63"/>
      <c r="AU685" s="63"/>
      <c r="AV685" s="63"/>
      <c r="AW685" s="117"/>
    </row>
    <row r="686" spans="1:49">
      <c r="A686" s="1">
        <v>351</v>
      </c>
      <c r="B686" s="5"/>
      <c r="C686" s="10"/>
      <c r="D686" s="5"/>
      <c r="E686" s="10"/>
      <c r="F686" s="5"/>
      <c r="G686" s="5"/>
      <c r="H686" s="5"/>
      <c r="I686" s="5"/>
      <c r="J686" s="5"/>
      <c r="K686" s="10"/>
      <c r="L686" s="10"/>
      <c r="M686" s="10"/>
      <c r="N686" s="5"/>
      <c r="O686" s="5"/>
      <c r="P686" s="27"/>
      <c r="Q686" s="27"/>
      <c r="R686" s="27"/>
      <c r="S686" s="27"/>
      <c r="T686" s="27"/>
      <c r="U686" s="27"/>
      <c r="V686" s="27"/>
      <c r="W686" s="27"/>
      <c r="X686" s="27"/>
      <c r="Y686" s="27"/>
      <c r="Z686" s="27"/>
      <c r="AA686" s="5"/>
      <c r="AB686" s="5"/>
      <c r="AC686" s="5"/>
      <c r="AD686" s="5"/>
      <c r="AE686" s="5"/>
      <c r="AF686" s="5"/>
      <c r="AG686" s="5"/>
      <c r="AH686" s="27"/>
      <c r="AI686" s="27"/>
      <c r="AJ686" s="27"/>
      <c r="AK686" s="121" t="str">
        <f t="shared" si="189"/>
        <v/>
      </c>
      <c r="AL686" s="6"/>
      <c r="AM686" s="10"/>
      <c r="AN686" s="63"/>
      <c r="AO686" s="63"/>
      <c r="AP686" s="63"/>
      <c r="AQ686" s="63"/>
      <c r="AR686" s="63"/>
      <c r="AS686" s="63"/>
      <c r="AT686" s="63"/>
      <c r="AU686" s="63"/>
      <c r="AV686" s="63"/>
      <c r="AW686" s="117"/>
    </row>
    <row r="687" spans="1:49">
      <c r="A687" s="1">
        <v>352</v>
      </c>
      <c r="B687" s="5"/>
      <c r="C687" s="10"/>
      <c r="D687" s="5"/>
      <c r="E687" s="10"/>
      <c r="F687" s="5"/>
      <c r="G687" s="5"/>
      <c r="H687" s="5"/>
      <c r="I687" s="5"/>
      <c r="J687" s="5"/>
      <c r="K687" s="10"/>
      <c r="L687" s="10"/>
      <c r="M687" s="10"/>
      <c r="N687" s="5"/>
      <c r="O687" s="5"/>
      <c r="P687" s="27"/>
      <c r="Q687" s="27"/>
      <c r="R687" s="27"/>
      <c r="S687" s="27"/>
      <c r="T687" s="27"/>
      <c r="U687" s="27"/>
      <c r="V687" s="27"/>
      <c r="W687" s="27"/>
      <c r="X687" s="27"/>
      <c r="Y687" s="27"/>
      <c r="Z687" s="27"/>
      <c r="AA687" s="5"/>
      <c r="AB687" s="5"/>
      <c r="AC687" s="5"/>
      <c r="AD687" s="5"/>
      <c r="AE687" s="5"/>
      <c r="AF687" s="5"/>
      <c r="AG687" s="5"/>
      <c r="AH687" s="27"/>
      <c r="AI687" s="27"/>
      <c r="AJ687" s="27"/>
      <c r="AK687" s="121" t="str">
        <f t="shared" si="189"/>
        <v/>
      </c>
      <c r="AL687" s="6"/>
      <c r="AM687" s="10"/>
      <c r="AN687" s="63"/>
      <c r="AO687" s="63"/>
      <c r="AP687" s="63"/>
      <c r="AQ687" s="63"/>
      <c r="AR687" s="63"/>
      <c r="AS687" s="63"/>
      <c r="AT687" s="63"/>
      <c r="AU687" s="63"/>
      <c r="AV687" s="63"/>
      <c r="AW687" s="117"/>
    </row>
    <row r="688" spans="1:49">
      <c r="A688" s="1">
        <v>353</v>
      </c>
      <c r="B688" s="5"/>
      <c r="C688" s="10"/>
      <c r="D688" s="5"/>
      <c r="E688" s="10"/>
      <c r="F688" s="5"/>
      <c r="G688" s="5"/>
      <c r="H688" s="5"/>
      <c r="I688" s="5"/>
      <c r="J688" s="5"/>
      <c r="K688" s="10"/>
      <c r="L688" s="10"/>
      <c r="M688" s="10"/>
      <c r="N688" s="5"/>
      <c r="O688" s="5"/>
      <c r="P688" s="27"/>
      <c r="Q688" s="27"/>
      <c r="R688" s="27"/>
      <c r="S688" s="27"/>
      <c r="T688" s="27"/>
      <c r="U688" s="27"/>
      <c r="V688" s="27"/>
      <c r="W688" s="27"/>
      <c r="X688" s="27"/>
      <c r="Y688" s="27"/>
      <c r="Z688" s="27"/>
      <c r="AA688" s="5"/>
      <c r="AB688" s="5"/>
      <c r="AC688" s="5"/>
      <c r="AD688" s="5"/>
      <c r="AE688" s="5"/>
      <c r="AF688" s="5"/>
      <c r="AG688" s="5"/>
      <c r="AH688" s="27"/>
      <c r="AI688" s="27"/>
      <c r="AJ688" s="27"/>
      <c r="AK688" s="121" t="str">
        <f t="shared" si="189"/>
        <v/>
      </c>
      <c r="AL688" s="6"/>
      <c r="AM688" s="10"/>
      <c r="AN688" s="63"/>
      <c r="AO688" s="63"/>
      <c r="AP688" s="63"/>
      <c r="AQ688" s="63"/>
      <c r="AR688" s="63"/>
      <c r="AS688" s="63"/>
      <c r="AT688" s="63"/>
      <c r="AU688" s="63"/>
      <c r="AV688" s="63"/>
      <c r="AW688" s="117"/>
    </row>
    <row r="689" spans="1:49">
      <c r="A689" s="1">
        <v>354</v>
      </c>
      <c r="B689" s="5"/>
      <c r="C689" s="10"/>
      <c r="D689" s="5"/>
      <c r="E689" s="10"/>
      <c r="F689" s="5"/>
      <c r="G689" s="5"/>
      <c r="H689" s="5"/>
      <c r="I689" s="5"/>
      <c r="J689" s="5"/>
      <c r="K689" s="10"/>
      <c r="L689" s="10"/>
      <c r="M689" s="10"/>
      <c r="N689" s="5"/>
      <c r="O689" s="5"/>
      <c r="P689" s="27"/>
      <c r="Q689" s="27"/>
      <c r="R689" s="27"/>
      <c r="S689" s="27"/>
      <c r="T689" s="27"/>
      <c r="U689" s="27"/>
      <c r="V689" s="27"/>
      <c r="W689" s="27"/>
      <c r="X689" s="27"/>
      <c r="Y689" s="27"/>
      <c r="Z689" s="27"/>
      <c r="AA689" s="5"/>
      <c r="AB689" s="5"/>
      <c r="AC689" s="5"/>
      <c r="AD689" s="5"/>
      <c r="AE689" s="5"/>
      <c r="AF689" s="5"/>
      <c r="AG689" s="5"/>
      <c r="AH689" s="27"/>
      <c r="AI689" s="27"/>
      <c r="AJ689" s="27"/>
      <c r="AK689" s="121" t="str">
        <f t="shared" si="189"/>
        <v/>
      </c>
      <c r="AL689" s="6"/>
      <c r="AM689" s="10"/>
      <c r="AN689" s="63"/>
      <c r="AO689" s="63"/>
      <c r="AP689" s="63"/>
      <c r="AQ689" s="63"/>
      <c r="AR689" s="63"/>
      <c r="AS689" s="63"/>
      <c r="AT689" s="63"/>
      <c r="AU689" s="63"/>
      <c r="AV689" s="63"/>
      <c r="AW689" s="117"/>
    </row>
    <row r="690" spans="1:49">
      <c r="A690" s="1">
        <v>355</v>
      </c>
      <c r="B690" s="5"/>
      <c r="C690" s="10"/>
      <c r="D690" s="5"/>
      <c r="E690" s="10"/>
      <c r="F690" s="5"/>
      <c r="G690" s="5"/>
      <c r="H690" s="5"/>
      <c r="I690" s="5"/>
      <c r="J690" s="5"/>
      <c r="K690" s="10"/>
      <c r="L690" s="10"/>
      <c r="M690" s="10"/>
      <c r="N690" s="5"/>
      <c r="O690" s="5"/>
      <c r="P690" s="27"/>
      <c r="Q690" s="27"/>
      <c r="R690" s="27"/>
      <c r="S690" s="27"/>
      <c r="T690" s="27"/>
      <c r="U690" s="27"/>
      <c r="V690" s="27"/>
      <c r="W690" s="27"/>
      <c r="X690" s="27"/>
      <c r="Y690" s="27"/>
      <c r="Z690" s="27"/>
      <c r="AA690" s="5"/>
      <c r="AB690" s="5"/>
      <c r="AC690" s="5"/>
      <c r="AD690" s="5"/>
      <c r="AE690" s="5"/>
      <c r="AF690" s="5"/>
      <c r="AG690" s="5"/>
      <c r="AH690" s="27"/>
      <c r="AI690" s="27"/>
      <c r="AJ690" s="27"/>
      <c r="AK690" s="121" t="str">
        <f t="shared" si="189"/>
        <v/>
      </c>
      <c r="AL690" s="6"/>
      <c r="AM690" s="10"/>
      <c r="AN690" s="63"/>
      <c r="AO690" s="63"/>
      <c r="AP690" s="63"/>
      <c r="AQ690" s="63"/>
      <c r="AR690" s="63"/>
      <c r="AS690" s="63"/>
      <c r="AT690" s="63"/>
      <c r="AU690" s="63"/>
      <c r="AV690" s="63"/>
      <c r="AW690" s="117"/>
    </row>
    <row r="691" spans="1:49">
      <c r="A691" s="1">
        <v>356</v>
      </c>
      <c r="B691" s="5"/>
      <c r="C691" s="10"/>
      <c r="D691" s="5"/>
      <c r="E691" s="10"/>
      <c r="F691" s="5"/>
      <c r="G691" s="5"/>
      <c r="H691" s="5"/>
      <c r="I691" s="5"/>
      <c r="J691" s="5"/>
      <c r="K691" s="10"/>
      <c r="L691" s="10"/>
      <c r="M691" s="10"/>
      <c r="N691" s="5"/>
      <c r="O691" s="5"/>
      <c r="P691" s="27"/>
      <c r="Q691" s="27"/>
      <c r="R691" s="27"/>
      <c r="S691" s="27"/>
      <c r="T691" s="27"/>
      <c r="U691" s="27"/>
      <c r="V691" s="27"/>
      <c r="W691" s="27"/>
      <c r="X691" s="27"/>
      <c r="Y691" s="27"/>
      <c r="Z691" s="27"/>
      <c r="AA691" s="5"/>
      <c r="AB691" s="5"/>
      <c r="AC691" s="5"/>
      <c r="AD691" s="5"/>
      <c r="AE691" s="5"/>
      <c r="AF691" s="5"/>
      <c r="AG691" s="5"/>
      <c r="AH691" s="27"/>
      <c r="AI691" s="27"/>
      <c r="AJ691" s="27"/>
      <c r="AK691" s="121" t="str">
        <f t="shared" si="189"/>
        <v/>
      </c>
      <c r="AL691" s="6"/>
      <c r="AM691" s="10"/>
      <c r="AN691" s="63"/>
      <c r="AO691" s="63"/>
      <c r="AP691" s="63"/>
      <c r="AQ691" s="63"/>
      <c r="AR691" s="63"/>
      <c r="AS691" s="63"/>
      <c r="AT691" s="63"/>
      <c r="AU691" s="63"/>
      <c r="AV691" s="63"/>
      <c r="AW691" s="117"/>
    </row>
    <row r="692" spans="1:49">
      <c r="A692" s="1">
        <v>357</v>
      </c>
      <c r="B692" s="5"/>
      <c r="C692" s="10"/>
      <c r="D692" s="5"/>
      <c r="E692" s="10"/>
      <c r="F692" s="5"/>
      <c r="G692" s="5"/>
      <c r="H692" s="5"/>
      <c r="I692" s="5"/>
      <c r="J692" s="5"/>
      <c r="K692" s="10"/>
      <c r="L692" s="10"/>
      <c r="M692" s="10"/>
      <c r="N692" s="5"/>
      <c r="O692" s="5"/>
      <c r="P692" s="27"/>
      <c r="Q692" s="27"/>
      <c r="R692" s="27"/>
      <c r="S692" s="27"/>
      <c r="T692" s="27"/>
      <c r="U692" s="27"/>
      <c r="V692" s="27"/>
      <c r="W692" s="27"/>
      <c r="X692" s="27"/>
      <c r="Y692" s="27"/>
      <c r="Z692" s="27"/>
      <c r="AA692" s="5"/>
      <c r="AB692" s="5"/>
      <c r="AC692" s="5"/>
      <c r="AD692" s="5"/>
      <c r="AE692" s="5"/>
      <c r="AF692" s="5"/>
      <c r="AG692" s="5"/>
      <c r="AH692" s="27"/>
      <c r="AI692" s="27"/>
      <c r="AJ692" s="27"/>
      <c r="AK692" s="121" t="str">
        <f t="shared" si="189"/>
        <v/>
      </c>
      <c r="AL692" s="6"/>
      <c r="AM692" s="10"/>
      <c r="AN692" s="63"/>
      <c r="AO692" s="63"/>
      <c r="AP692" s="63"/>
      <c r="AQ692" s="63"/>
      <c r="AR692" s="63"/>
      <c r="AS692" s="63"/>
      <c r="AT692" s="63"/>
      <c r="AU692" s="63"/>
      <c r="AV692" s="63"/>
      <c r="AW692" s="117"/>
    </row>
    <row r="693" spans="1:49">
      <c r="A693" s="1">
        <v>358</v>
      </c>
      <c r="B693" s="5"/>
      <c r="C693" s="10"/>
      <c r="D693" s="5"/>
      <c r="E693" s="10"/>
      <c r="F693" s="5"/>
      <c r="G693" s="5"/>
      <c r="H693" s="5"/>
      <c r="I693" s="5"/>
      <c r="J693" s="5"/>
      <c r="K693" s="10"/>
      <c r="L693" s="10"/>
      <c r="M693" s="10"/>
      <c r="N693" s="5"/>
      <c r="O693" s="5"/>
      <c r="P693" s="27"/>
      <c r="Q693" s="27"/>
      <c r="R693" s="27"/>
      <c r="S693" s="27"/>
      <c r="T693" s="27"/>
      <c r="U693" s="27"/>
      <c r="V693" s="27"/>
      <c r="W693" s="27"/>
      <c r="X693" s="27"/>
      <c r="Y693" s="27"/>
      <c r="Z693" s="27"/>
      <c r="AA693" s="5"/>
      <c r="AB693" s="5"/>
      <c r="AC693" s="5"/>
      <c r="AD693" s="5"/>
      <c r="AE693" s="5"/>
      <c r="AF693" s="5"/>
      <c r="AG693" s="5"/>
      <c r="AH693" s="27"/>
      <c r="AI693" s="27"/>
      <c r="AJ693" s="27"/>
      <c r="AK693" s="121" t="str">
        <f t="shared" si="189"/>
        <v/>
      </c>
      <c r="AL693" s="6"/>
      <c r="AM693" s="10"/>
      <c r="AN693" s="63"/>
      <c r="AO693" s="63"/>
      <c r="AP693" s="63"/>
      <c r="AQ693" s="63"/>
      <c r="AR693" s="63"/>
      <c r="AS693" s="63"/>
      <c r="AT693" s="63"/>
      <c r="AU693" s="63"/>
      <c r="AV693" s="63"/>
      <c r="AW693" s="117"/>
    </row>
    <row r="694" spans="1:49">
      <c r="A694" s="1">
        <v>359</v>
      </c>
      <c r="B694" s="5"/>
      <c r="C694" s="10"/>
      <c r="D694" s="5"/>
      <c r="E694" s="10"/>
      <c r="F694" s="5"/>
      <c r="G694" s="5"/>
      <c r="H694" s="5"/>
      <c r="I694" s="5"/>
      <c r="J694" s="5"/>
      <c r="K694" s="10"/>
      <c r="L694" s="10"/>
      <c r="M694" s="10"/>
      <c r="N694" s="5"/>
      <c r="O694" s="5"/>
      <c r="P694" s="27"/>
      <c r="Q694" s="27"/>
      <c r="R694" s="27"/>
      <c r="S694" s="27"/>
      <c r="T694" s="27"/>
      <c r="U694" s="27"/>
      <c r="V694" s="27"/>
      <c r="W694" s="27"/>
      <c r="X694" s="27"/>
      <c r="Y694" s="27"/>
      <c r="Z694" s="27"/>
      <c r="AA694" s="5"/>
      <c r="AB694" s="5"/>
      <c r="AC694" s="5"/>
      <c r="AD694" s="5"/>
      <c r="AE694" s="5"/>
      <c r="AF694" s="5"/>
      <c r="AG694" s="5"/>
      <c r="AH694" s="27"/>
      <c r="AI694" s="27"/>
      <c r="AJ694" s="27"/>
      <c r="AK694" s="121" t="str">
        <f t="shared" si="189"/>
        <v/>
      </c>
      <c r="AL694" s="6"/>
      <c r="AM694" s="10"/>
      <c r="AN694" s="63"/>
      <c r="AO694" s="63"/>
      <c r="AP694" s="63"/>
      <c r="AQ694" s="63"/>
      <c r="AR694" s="63"/>
      <c r="AS694" s="63"/>
      <c r="AT694" s="63"/>
      <c r="AU694" s="63"/>
      <c r="AV694" s="63"/>
      <c r="AW694" s="117"/>
    </row>
    <row r="695" spans="1:49">
      <c r="A695" s="1">
        <v>360</v>
      </c>
      <c r="B695" s="5"/>
      <c r="C695" s="10"/>
      <c r="D695" s="5"/>
      <c r="E695" s="10"/>
      <c r="F695" s="5"/>
      <c r="G695" s="5"/>
      <c r="H695" s="5"/>
      <c r="I695" s="5"/>
      <c r="J695" s="5"/>
      <c r="K695" s="10"/>
      <c r="L695" s="10"/>
      <c r="M695" s="10"/>
      <c r="N695" s="5"/>
      <c r="O695" s="5"/>
      <c r="P695" s="27"/>
      <c r="Q695" s="27"/>
      <c r="R695" s="27"/>
      <c r="S695" s="27"/>
      <c r="T695" s="27"/>
      <c r="U695" s="27"/>
      <c r="V695" s="27"/>
      <c r="W695" s="27"/>
      <c r="X695" s="27"/>
      <c r="Y695" s="27"/>
      <c r="Z695" s="27"/>
      <c r="AA695" s="5"/>
      <c r="AB695" s="5"/>
      <c r="AC695" s="5"/>
      <c r="AD695" s="5"/>
      <c r="AE695" s="5"/>
      <c r="AF695" s="5"/>
      <c r="AG695" s="5"/>
      <c r="AH695" s="27"/>
      <c r="AI695" s="27"/>
      <c r="AJ695" s="27"/>
      <c r="AK695" s="121" t="str">
        <f t="shared" si="189"/>
        <v/>
      </c>
      <c r="AL695" s="6"/>
      <c r="AM695" s="10"/>
      <c r="AN695" s="63"/>
      <c r="AO695" s="63"/>
      <c r="AP695" s="63"/>
      <c r="AQ695" s="63"/>
      <c r="AR695" s="63"/>
      <c r="AS695" s="63"/>
      <c r="AT695" s="63"/>
      <c r="AU695" s="63"/>
      <c r="AV695" s="63"/>
      <c r="AW695" s="117"/>
    </row>
    <row r="696" spans="1:49">
      <c r="A696" s="1">
        <v>361</v>
      </c>
      <c r="B696" s="5"/>
      <c r="C696" s="10"/>
      <c r="D696" s="5"/>
      <c r="E696" s="10"/>
      <c r="F696" s="5"/>
      <c r="G696" s="5"/>
      <c r="H696" s="5"/>
      <c r="I696" s="5"/>
      <c r="J696" s="5"/>
      <c r="K696" s="10"/>
      <c r="L696" s="10"/>
      <c r="M696" s="10"/>
      <c r="N696" s="5"/>
      <c r="O696" s="5"/>
      <c r="P696" s="27"/>
      <c r="Q696" s="27"/>
      <c r="R696" s="27"/>
      <c r="S696" s="27"/>
      <c r="T696" s="27"/>
      <c r="U696" s="27"/>
      <c r="V696" s="27"/>
      <c r="W696" s="27"/>
      <c r="X696" s="27"/>
      <c r="Y696" s="27"/>
      <c r="Z696" s="27"/>
      <c r="AA696" s="5"/>
      <c r="AB696" s="5"/>
      <c r="AC696" s="5"/>
      <c r="AD696" s="5"/>
      <c r="AE696" s="5"/>
      <c r="AF696" s="5"/>
      <c r="AG696" s="5"/>
      <c r="AH696" s="27"/>
      <c r="AI696" s="27"/>
      <c r="AJ696" s="27"/>
      <c r="AK696" s="121" t="str">
        <f t="shared" si="189"/>
        <v/>
      </c>
      <c r="AL696" s="6"/>
      <c r="AM696" s="10"/>
      <c r="AN696" s="63"/>
      <c r="AO696" s="63"/>
      <c r="AP696" s="63"/>
      <c r="AQ696" s="63"/>
      <c r="AR696" s="63"/>
      <c r="AS696" s="63"/>
      <c r="AT696" s="63"/>
      <c r="AU696" s="63"/>
      <c r="AV696" s="63"/>
      <c r="AW696" s="117"/>
    </row>
    <row r="697" spans="1:49">
      <c r="A697" s="1">
        <v>362</v>
      </c>
      <c r="B697" s="5"/>
      <c r="C697" s="10"/>
      <c r="D697" s="5"/>
      <c r="E697" s="10"/>
      <c r="F697" s="5"/>
      <c r="G697" s="5"/>
      <c r="H697" s="5"/>
      <c r="I697" s="5"/>
      <c r="J697" s="5"/>
      <c r="K697" s="10"/>
      <c r="L697" s="10"/>
      <c r="M697" s="10"/>
      <c r="N697" s="5"/>
      <c r="O697" s="5"/>
      <c r="P697" s="27"/>
      <c r="Q697" s="27"/>
      <c r="R697" s="27"/>
      <c r="S697" s="27"/>
      <c r="T697" s="27"/>
      <c r="U697" s="27"/>
      <c r="V697" s="27"/>
      <c r="W697" s="27"/>
      <c r="X697" s="27"/>
      <c r="Y697" s="27"/>
      <c r="Z697" s="27"/>
      <c r="AA697" s="5"/>
      <c r="AB697" s="5"/>
      <c r="AC697" s="5"/>
      <c r="AD697" s="5"/>
      <c r="AE697" s="5"/>
      <c r="AF697" s="5"/>
      <c r="AG697" s="5"/>
      <c r="AH697" s="27"/>
      <c r="AI697" s="27"/>
      <c r="AJ697" s="27"/>
      <c r="AK697" s="121" t="str">
        <f t="shared" si="189"/>
        <v/>
      </c>
      <c r="AL697" s="6"/>
      <c r="AM697" s="10"/>
      <c r="AN697" s="63"/>
      <c r="AO697" s="63"/>
      <c r="AP697" s="63"/>
      <c r="AQ697" s="63"/>
      <c r="AR697" s="63"/>
      <c r="AS697" s="63"/>
      <c r="AT697" s="63"/>
      <c r="AU697" s="63"/>
      <c r="AV697" s="63"/>
      <c r="AW697" s="117"/>
    </row>
    <row r="698" spans="1:49">
      <c r="A698" s="1">
        <v>363</v>
      </c>
      <c r="B698" s="5"/>
      <c r="C698" s="10"/>
      <c r="D698" s="5"/>
      <c r="E698" s="10"/>
      <c r="F698" s="5"/>
      <c r="G698" s="5"/>
      <c r="H698" s="5"/>
      <c r="I698" s="5"/>
      <c r="J698" s="5"/>
      <c r="K698" s="10"/>
      <c r="L698" s="10"/>
      <c r="M698" s="10"/>
      <c r="N698" s="5"/>
      <c r="O698" s="5"/>
      <c r="P698" s="27"/>
      <c r="Q698" s="27"/>
      <c r="R698" s="27"/>
      <c r="S698" s="27"/>
      <c r="T698" s="27"/>
      <c r="U698" s="27"/>
      <c r="V698" s="27"/>
      <c r="W698" s="27"/>
      <c r="X698" s="27"/>
      <c r="Y698" s="27"/>
      <c r="Z698" s="27"/>
      <c r="AA698" s="5"/>
      <c r="AB698" s="5"/>
      <c r="AC698" s="5"/>
      <c r="AD698" s="5"/>
      <c r="AE698" s="5"/>
      <c r="AF698" s="5"/>
      <c r="AG698" s="5"/>
      <c r="AH698" s="27"/>
      <c r="AI698" s="27"/>
      <c r="AJ698" s="27"/>
      <c r="AK698" s="121" t="str">
        <f t="shared" si="189"/>
        <v/>
      </c>
      <c r="AL698" s="6"/>
      <c r="AM698" s="10"/>
      <c r="AN698" s="63"/>
      <c r="AO698" s="63"/>
      <c r="AP698" s="63"/>
      <c r="AQ698" s="63"/>
      <c r="AR698" s="63"/>
      <c r="AS698" s="63"/>
      <c r="AT698" s="63"/>
      <c r="AU698" s="63"/>
      <c r="AV698" s="63"/>
      <c r="AW698" s="117"/>
    </row>
    <row r="699" spans="1:49">
      <c r="A699" s="1">
        <v>364</v>
      </c>
      <c r="B699" s="5"/>
      <c r="C699" s="10"/>
      <c r="D699" s="5"/>
      <c r="E699" s="10"/>
      <c r="F699" s="5"/>
      <c r="G699" s="5"/>
      <c r="H699" s="5"/>
      <c r="I699" s="5"/>
      <c r="J699" s="5"/>
      <c r="K699" s="10"/>
      <c r="L699" s="10"/>
      <c r="M699" s="10"/>
      <c r="N699" s="5"/>
      <c r="O699" s="5"/>
      <c r="P699" s="27"/>
      <c r="Q699" s="27"/>
      <c r="R699" s="27"/>
      <c r="S699" s="27"/>
      <c r="T699" s="27"/>
      <c r="U699" s="27"/>
      <c r="V699" s="27"/>
      <c r="W699" s="27"/>
      <c r="X699" s="27"/>
      <c r="Y699" s="27"/>
      <c r="Z699" s="27"/>
      <c r="AA699" s="5"/>
      <c r="AB699" s="5"/>
      <c r="AC699" s="5"/>
      <c r="AD699" s="5"/>
      <c r="AE699" s="5"/>
      <c r="AF699" s="5"/>
      <c r="AG699" s="5"/>
      <c r="AH699" s="27"/>
      <c r="AI699" s="27"/>
      <c r="AJ699" s="27"/>
      <c r="AK699" s="121" t="str">
        <f t="shared" si="189"/>
        <v/>
      </c>
      <c r="AL699" s="6"/>
      <c r="AM699" s="10"/>
      <c r="AN699" s="63"/>
      <c r="AO699" s="63"/>
      <c r="AP699" s="63"/>
      <c r="AQ699" s="63"/>
      <c r="AR699" s="63"/>
      <c r="AS699" s="63"/>
      <c r="AT699" s="63"/>
      <c r="AU699" s="63"/>
      <c r="AV699" s="63"/>
      <c r="AW699" s="117"/>
    </row>
    <row r="700" spans="1:49">
      <c r="A700" s="1">
        <v>365</v>
      </c>
      <c r="B700" s="5"/>
      <c r="C700" s="10"/>
      <c r="D700" s="5"/>
      <c r="E700" s="10"/>
      <c r="F700" s="5"/>
      <c r="G700" s="5"/>
      <c r="H700" s="5"/>
      <c r="I700" s="5"/>
      <c r="J700" s="5"/>
      <c r="K700" s="10"/>
      <c r="L700" s="10"/>
      <c r="M700" s="10"/>
      <c r="N700" s="5"/>
      <c r="O700" s="5"/>
      <c r="P700" s="27"/>
      <c r="Q700" s="27"/>
      <c r="R700" s="27"/>
      <c r="S700" s="27"/>
      <c r="T700" s="27"/>
      <c r="U700" s="27"/>
      <c r="V700" s="27"/>
      <c r="W700" s="27"/>
      <c r="X700" s="27"/>
      <c r="Y700" s="27"/>
      <c r="Z700" s="27"/>
      <c r="AA700" s="5"/>
      <c r="AB700" s="5"/>
      <c r="AC700" s="5"/>
      <c r="AD700" s="5"/>
      <c r="AE700" s="5"/>
      <c r="AF700" s="5"/>
      <c r="AG700" s="5"/>
      <c r="AH700" s="27"/>
      <c r="AI700" s="27"/>
      <c r="AJ700" s="27"/>
      <c r="AK700" s="121" t="str">
        <f t="shared" si="189"/>
        <v/>
      </c>
      <c r="AL700" s="6"/>
      <c r="AM700" s="10"/>
      <c r="AN700" s="63"/>
      <c r="AO700" s="63"/>
      <c r="AP700" s="63"/>
      <c r="AQ700" s="63"/>
      <c r="AR700" s="63"/>
      <c r="AS700" s="63"/>
      <c r="AT700" s="63"/>
      <c r="AU700" s="63"/>
      <c r="AV700" s="63"/>
      <c r="AW700" s="117"/>
    </row>
    <row r="701" spans="1:49">
      <c r="A701" s="1">
        <v>366</v>
      </c>
      <c r="B701" s="5"/>
      <c r="C701" s="10"/>
      <c r="D701" s="5"/>
      <c r="E701" s="10"/>
      <c r="F701" s="5"/>
      <c r="G701" s="5"/>
      <c r="H701" s="5"/>
      <c r="I701" s="5"/>
      <c r="J701" s="5"/>
      <c r="K701" s="10"/>
      <c r="L701" s="10"/>
      <c r="M701" s="10"/>
      <c r="N701" s="5"/>
      <c r="O701" s="5"/>
      <c r="P701" s="27"/>
      <c r="Q701" s="27"/>
      <c r="R701" s="27"/>
      <c r="S701" s="27"/>
      <c r="T701" s="27"/>
      <c r="U701" s="27"/>
      <c r="V701" s="27"/>
      <c r="W701" s="27"/>
      <c r="X701" s="27"/>
      <c r="Y701" s="27"/>
      <c r="Z701" s="27"/>
      <c r="AA701" s="5"/>
      <c r="AB701" s="5"/>
      <c r="AC701" s="5"/>
      <c r="AD701" s="5"/>
      <c r="AE701" s="5"/>
      <c r="AF701" s="5"/>
      <c r="AG701" s="5"/>
      <c r="AH701" s="27"/>
      <c r="AI701" s="27"/>
      <c r="AJ701" s="27"/>
      <c r="AK701" s="121" t="str">
        <f t="shared" si="189"/>
        <v/>
      </c>
      <c r="AL701" s="6"/>
      <c r="AM701" s="10"/>
      <c r="AN701" s="63"/>
      <c r="AO701" s="63"/>
      <c r="AP701" s="63"/>
      <c r="AQ701" s="63"/>
      <c r="AR701" s="63"/>
      <c r="AS701" s="63"/>
      <c r="AT701" s="63"/>
      <c r="AU701" s="63"/>
      <c r="AV701" s="63"/>
      <c r="AW701" s="117"/>
    </row>
    <row r="702" spans="1:49">
      <c r="A702" s="1">
        <v>367</v>
      </c>
      <c r="B702" s="5"/>
      <c r="C702" s="10"/>
      <c r="D702" s="5"/>
      <c r="E702" s="10"/>
      <c r="F702" s="5"/>
      <c r="G702" s="5"/>
      <c r="H702" s="5"/>
      <c r="I702" s="5"/>
      <c r="J702" s="5"/>
      <c r="K702" s="10"/>
      <c r="L702" s="10"/>
      <c r="M702" s="10"/>
      <c r="N702" s="5"/>
      <c r="O702" s="5"/>
      <c r="P702" s="27"/>
      <c r="Q702" s="27"/>
      <c r="R702" s="27"/>
      <c r="S702" s="27"/>
      <c r="T702" s="27"/>
      <c r="U702" s="27"/>
      <c r="V702" s="27"/>
      <c r="W702" s="27"/>
      <c r="X702" s="27"/>
      <c r="Y702" s="27"/>
      <c r="Z702" s="27"/>
      <c r="AA702" s="5"/>
      <c r="AB702" s="5"/>
      <c r="AC702" s="5"/>
      <c r="AD702" s="5"/>
      <c r="AE702" s="5"/>
      <c r="AF702" s="5"/>
      <c r="AG702" s="5"/>
      <c r="AH702" s="27"/>
      <c r="AI702" s="27"/>
      <c r="AJ702" s="27"/>
      <c r="AK702" s="121" t="str">
        <f t="shared" si="189"/>
        <v/>
      </c>
      <c r="AL702" s="6"/>
      <c r="AM702" s="10"/>
      <c r="AN702" s="63"/>
      <c r="AO702" s="63"/>
      <c r="AP702" s="63"/>
      <c r="AQ702" s="63"/>
      <c r="AR702" s="63"/>
      <c r="AS702" s="63"/>
      <c r="AT702" s="63"/>
      <c r="AU702" s="63"/>
      <c r="AV702" s="63"/>
      <c r="AW702" s="117"/>
    </row>
    <row r="703" spans="1:49">
      <c r="A703" s="1">
        <v>368</v>
      </c>
      <c r="B703" s="5"/>
      <c r="C703" s="10"/>
      <c r="D703" s="5"/>
      <c r="E703" s="10"/>
      <c r="F703" s="5"/>
      <c r="G703" s="5"/>
      <c r="H703" s="5"/>
      <c r="I703" s="5"/>
      <c r="J703" s="5"/>
      <c r="K703" s="10"/>
      <c r="L703" s="10"/>
      <c r="M703" s="10"/>
      <c r="N703" s="5"/>
      <c r="O703" s="5"/>
      <c r="P703" s="27"/>
      <c r="Q703" s="27"/>
      <c r="R703" s="27"/>
      <c r="S703" s="27"/>
      <c r="T703" s="27"/>
      <c r="U703" s="27"/>
      <c r="V703" s="27"/>
      <c r="W703" s="27"/>
      <c r="X703" s="27"/>
      <c r="Y703" s="27"/>
      <c r="Z703" s="27"/>
      <c r="AA703" s="5"/>
      <c r="AB703" s="5"/>
      <c r="AC703" s="5"/>
      <c r="AD703" s="5"/>
      <c r="AE703" s="5"/>
      <c r="AF703" s="5"/>
      <c r="AG703" s="5"/>
      <c r="AH703" s="27"/>
      <c r="AI703" s="27"/>
      <c r="AJ703" s="27"/>
      <c r="AK703" s="121" t="str">
        <f t="shared" si="189"/>
        <v/>
      </c>
      <c r="AL703" s="6"/>
      <c r="AM703" s="10"/>
      <c r="AN703" s="63"/>
      <c r="AO703" s="63"/>
      <c r="AP703" s="63"/>
      <c r="AQ703" s="63"/>
      <c r="AR703" s="63"/>
      <c r="AS703" s="63"/>
      <c r="AT703" s="63"/>
      <c r="AU703" s="63"/>
      <c r="AV703" s="63"/>
      <c r="AW703" s="117"/>
    </row>
    <row r="704" spans="1:49">
      <c r="A704" s="1">
        <v>369</v>
      </c>
      <c r="B704" s="5"/>
      <c r="C704" s="10"/>
      <c r="D704" s="5"/>
      <c r="E704" s="10"/>
      <c r="F704" s="5"/>
      <c r="G704" s="5"/>
      <c r="H704" s="5"/>
      <c r="I704" s="5"/>
      <c r="J704" s="5"/>
      <c r="K704" s="10"/>
      <c r="L704" s="10"/>
      <c r="M704" s="10"/>
      <c r="N704" s="5"/>
      <c r="O704" s="5"/>
      <c r="P704" s="27"/>
      <c r="Q704" s="27"/>
      <c r="R704" s="27"/>
      <c r="S704" s="27"/>
      <c r="T704" s="27"/>
      <c r="U704" s="27"/>
      <c r="V704" s="27"/>
      <c r="W704" s="27"/>
      <c r="X704" s="27"/>
      <c r="Y704" s="27"/>
      <c r="Z704" s="27"/>
      <c r="AA704" s="5"/>
      <c r="AB704" s="5"/>
      <c r="AC704" s="5"/>
      <c r="AD704" s="5"/>
      <c r="AE704" s="5"/>
      <c r="AF704" s="5"/>
      <c r="AG704" s="5"/>
      <c r="AH704" s="27"/>
      <c r="AI704" s="27"/>
      <c r="AJ704" s="27"/>
      <c r="AK704" s="121" t="str">
        <f t="shared" si="189"/>
        <v/>
      </c>
      <c r="AL704" s="6"/>
      <c r="AM704" s="10"/>
      <c r="AN704" s="63"/>
      <c r="AO704" s="63"/>
      <c r="AP704" s="63"/>
      <c r="AQ704" s="63"/>
      <c r="AR704" s="63"/>
      <c r="AS704" s="63"/>
      <c r="AT704" s="63"/>
      <c r="AU704" s="63"/>
      <c r="AV704" s="63"/>
      <c r="AW704" s="117"/>
    </row>
    <row r="705" spans="1:49">
      <c r="A705" s="1">
        <v>370</v>
      </c>
      <c r="B705" s="5"/>
      <c r="C705" s="10"/>
      <c r="D705" s="5"/>
      <c r="E705" s="10"/>
      <c r="F705" s="5"/>
      <c r="G705" s="5"/>
      <c r="H705" s="5"/>
      <c r="I705" s="5"/>
      <c r="J705" s="5"/>
      <c r="K705" s="10"/>
      <c r="L705" s="10"/>
      <c r="M705" s="10"/>
      <c r="N705" s="5"/>
      <c r="O705" s="5"/>
      <c r="P705" s="27"/>
      <c r="Q705" s="27"/>
      <c r="R705" s="27"/>
      <c r="S705" s="27"/>
      <c r="T705" s="27"/>
      <c r="U705" s="27"/>
      <c r="V705" s="27"/>
      <c r="W705" s="27"/>
      <c r="X705" s="27"/>
      <c r="Y705" s="27"/>
      <c r="Z705" s="27"/>
      <c r="AA705" s="5"/>
      <c r="AB705" s="5"/>
      <c r="AC705" s="5"/>
      <c r="AD705" s="5"/>
      <c r="AE705" s="5"/>
      <c r="AF705" s="5"/>
      <c r="AG705" s="5"/>
      <c r="AH705" s="27"/>
      <c r="AI705" s="27"/>
      <c r="AJ705" s="27"/>
      <c r="AK705" s="121" t="str">
        <f t="shared" si="189"/>
        <v/>
      </c>
      <c r="AL705" s="6"/>
      <c r="AM705" s="10"/>
      <c r="AN705" s="63"/>
      <c r="AO705" s="63"/>
      <c r="AP705" s="63"/>
      <c r="AQ705" s="63"/>
      <c r="AR705" s="63"/>
      <c r="AS705" s="63"/>
      <c r="AT705" s="63"/>
      <c r="AU705" s="63"/>
      <c r="AV705" s="63"/>
      <c r="AW705" s="117"/>
    </row>
    <row r="706" spans="1:49">
      <c r="A706" s="1">
        <v>371</v>
      </c>
      <c r="B706" s="5"/>
      <c r="C706" s="10"/>
      <c r="D706" s="5"/>
      <c r="E706" s="10"/>
      <c r="F706" s="5"/>
      <c r="G706" s="5"/>
      <c r="H706" s="5"/>
      <c r="I706" s="5"/>
      <c r="J706" s="5"/>
      <c r="K706" s="10"/>
      <c r="L706" s="10"/>
      <c r="M706" s="10"/>
      <c r="N706" s="5"/>
      <c r="O706" s="5"/>
      <c r="P706" s="27"/>
      <c r="Q706" s="27"/>
      <c r="R706" s="27"/>
      <c r="S706" s="27"/>
      <c r="T706" s="27"/>
      <c r="U706" s="27"/>
      <c r="V706" s="27"/>
      <c r="W706" s="27"/>
      <c r="X706" s="27"/>
      <c r="Y706" s="27"/>
      <c r="Z706" s="27"/>
      <c r="AA706" s="5"/>
      <c r="AB706" s="5"/>
      <c r="AC706" s="5"/>
      <c r="AD706" s="5"/>
      <c r="AE706" s="5"/>
      <c r="AF706" s="5"/>
      <c r="AG706" s="5"/>
      <c r="AH706" s="27"/>
      <c r="AI706" s="27"/>
      <c r="AJ706" s="27"/>
      <c r="AK706" s="121" t="str">
        <f t="shared" si="189"/>
        <v/>
      </c>
      <c r="AL706" s="6"/>
      <c r="AM706" s="10"/>
      <c r="AN706" s="63"/>
      <c r="AO706" s="63"/>
      <c r="AP706" s="63"/>
      <c r="AQ706" s="63"/>
      <c r="AR706" s="63"/>
      <c r="AS706" s="63"/>
      <c r="AT706" s="63"/>
      <c r="AU706" s="63"/>
      <c r="AV706" s="63"/>
      <c r="AW706" s="117"/>
    </row>
    <row r="707" spans="1:49">
      <c r="A707" s="1">
        <v>372</v>
      </c>
      <c r="B707" s="5"/>
      <c r="C707" s="10"/>
      <c r="D707" s="5"/>
      <c r="E707" s="10"/>
      <c r="F707" s="5"/>
      <c r="G707" s="5"/>
      <c r="H707" s="5"/>
      <c r="I707" s="5"/>
      <c r="J707" s="5"/>
      <c r="K707" s="10"/>
      <c r="L707" s="10"/>
      <c r="M707" s="10"/>
      <c r="N707" s="5"/>
      <c r="O707" s="5"/>
      <c r="P707" s="27"/>
      <c r="Q707" s="27"/>
      <c r="R707" s="27"/>
      <c r="S707" s="27"/>
      <c r="T707" s="27"/>
      <c r="U707" s="27"/>
      <c r="V707" s="27"/>
      <c r="W707" s="27"/>
      <c r="X707" s="27"/>
      <c r="Y707" s="27"/>
      <c r="Z707" s="27"/>
      <c r="AA707" s="5"/>
      <c r="AB707" s="5"/>
      <c r="AC707" s="5"/>
      <c r="AD707" s="5"/>
      <c r="AE707" s="5"/>
      <c r="AF707" s="5"/>
      <c r="AG707" s="5"/>
      <c r="AH707" s="27"/>
      <c r="AI707" s="27"/>
      <c r="AJ707" s="27"/>
      <c r="AK707" s="121" t="str">
        <f t="shared" si="189"/>
        <v/>
      </c>
      <c r="AL707" s="6"/>
      <c r="AM707" s="10"/>
      <c r="AN707" s="63"/>
      <c r="AO707" s="63"/>
      <c r="AP707" s="63"/>
      <c r="AQ707" s="63"/>
      <c r="AR707" s="63"/>
      <c r="AS707" s="63"/>
      <c r="AT707" s="63"/>
      <c r="AU707" s="63"/>
      <c r="AV707" s="63"/>
      <c r="AW707" s="117"/>
    </row>
    <row r="708" spans="1:49">
      <c r="A708" s="1">
        <v>373</v>
      </c>
      <c r="B708" s="5"/>
      <c r="C708" s="10"/>
      <c r="D708" s="5"/>
      <c r="E708" s="10"/>
      <c r="F708" s="5"/>
      <c r="G708" s="5"/>
      <c r="H708" s="5"/>
      <c r="I708" s="5"/>
      <c r="J708" s="5"/>
      <c r="K708" s="10"/>
      <c r="L708" s="10"/>
      <c r="M708" s="10"/>
      <c r="N708" s="5"/>
      <c r="O708" s="5"/>
      <c r="P708" s="27"/>
      <c r="Q708" s="27"/>
      <c r="R708" s="27"/>
      <c r="S708" s="27"/>
      <c r="T708" s="27"/>
      <c r="U708" s="27"/>
      <c r="V708" s="27"/>
      <c r="W708" s="27"/>
      <c r="X708" s="27"/>
      <c r="Y708" s="27"/>
      <c r="Z708" s="27"/>
      <c r="AA708" s="5"/>
      <c r="AB708" s="5"/>
      <c r="AC708" s="5"/>
      <c r="AD708" s="5"/>
      <c r="AE708" s="5"/>
      <c r="AF708" s="5"/>
      <c r="AG708" s="5"/>
      <c r="AH708" s="27"/>
      <c r="AI708" s="27"/>
      <c r="AJ708" s="27"/>
      <c r="AK708" s="121" t="str">
        <f t="shared" si="189"/>
        <v/>
      </c>
      <c r="AL708" s="6"/>
      <c r="AM708" s="10"/>
      <c r="AN708" s="63"/>
      <c r="AO708" s="63"/>
      <c r="AP708" s="63"/>
      <c r="AQ708" s="63"/>
      <c r="AR708" s="63"/>
      <c r="AS708" s="63"/>
      <c r="AT708" s="63"/>
      <c r="AU708" s="63"/>
      <c r="AV708" s="63"/>
      <c r="AW708" s="117"/>
    </row>
    <row r="709" spans="1:49">
      <c r="A709" s="1">
        <v>374</v>
      </c>
      <c r="B709" s="5"/>
      <c r="C709" s="10"/>
      <c r="D709" s="5"/>
      <c r="E709" s="10"/>
      <c r="F709" s="5"/>
      <c r="G709" s="5"/>
      <c r="H709" s="5"/>
      <c r="I709" s="5"/>
      <c r="J709" s="5"/>
      <c r="K709" s="10"/>
      <c r="L709" s="10"/>
      <c r="M709" s="10"/>
      <c r="N709" s="5"/>
      <c r="O709" s="5"/>
      <c r="P709" s="27"/>
      <c r="Q709" s="27"/>
      <c r="R709" s="27"/>
      <c r="S709" s="27"/>
      <c r="T709" s="27"/>
      <c r="U709" s="27"/>
      <c r="V709" s="27"/>
      <c r="W709" s="27"/>
      <c r="X709" s="27"/>
      <c r="Y709" s="27"/>
      <c r="Z709" s="27"/>
      <c r="AA709" s="5"/>
      <c r="AB709" s="5"/>
      <c r="AC709" s="5"/>
      <c r="AD709" s="5"/>
      <c r="AE709" s="5"/>
      <c r="AF709" s="5"/>
      <c r="AG709" s="5"/>
      <c r="AH709" s="27"/>
      <c r="AI709" s="27"/>
      <c r="AJ709" s="27"/>
      <c r="AK709" s="121" t="str">
        <f t="shared" si="189"/>
        <v/>
      </c>
      <c r="AL709" s="6"/>
      <c r="AM709" s="10"/>
      <c r="AN709" s="63"/>
      <c r="AO709" s="63"/>
      <c r="AP709" s="63"/>
      <c r="AQ709" s="63"/>
      <c r="AR709" s="63"/>
      <c r="AS709" s="63"/>
      <c r="AT709" s="63"/>
      <c r="AU709" s="63"/>
      <c r="AV709" s="63"/>
      <c r="AW709" s="117"/>
    </row>
    <row r="710" spans="1:49">
      <c r="A710" s="1">
        <v>375</v>
      </c>
      <c r="B710" s="5"/>
      <c r="C710" s="10"/>
      <c r="D710" s="5"/>
      <c r="E710" s="10"/>
      <c r="F710" s="5"/>
      <c r="G710" s="5"/>
      <c r="H710" s="5"/>
      <c r="I710" s="5"/>
      <c r="J710" s="5"/>
      <c r="K710" s="10"/>
      <c r="L710" s="10"/>
      <c r="M710" s="10"/>
      <c r="N710" s="5"/>
      <c r="O710" s="5"/>
      <c r="P710" s="27"/>
      <c r="Q710" s="27"/>
      <c r="R710" s="27"/>
      <c r="S710" s="27"/>
      <c r="T710" s="27"/>
      <c r="U710" s="27"/>
      <c r="V710" s="27"/>
      <c r="W710" s="27"/>
      <c r="X710" s="27"/>
      <c r="Y710" s="27"/>
      <c r="Z710" s="27"/>
      <c r="AA710" s="5"/>
      <c r="AB710" s="5"/>
      <c r="AC710" s="5"/>
      <c r="AD710" s="5"/>
      <c r="AE710" s="5"/>
      <c r="AF710" s="5"/>
      <c r="AG710" s="5"/>
      <c r="AH710" s="27"/>
      <c r="AI710" s="27"/>
      <c r="AJ710" s="27"/>
      <c r="AK710" s="121" t="str">
        <f t="shared" si="189"/>
        <v/>
      </c>
      <c r="AL710" s="6"/>
      <c r="AM710" s="10"/>
      <c r="AN710" s="63"/>
      <c r="AO710" s="63"/>
      <c r="AP710" s="63"/>
      <c r="AQ710" s="63"/>
      <c r="AR710" s="63"/>
      <c r="AS710" s="63"/>
      <c r="AT710" s="63"/>
      <c r="AU710" s="63"/>
      <c r="AV710" s="63"/>
      <c r="AW710" s="117"/>
    </row>
    <row r="711" spans="1:49">
      <c r="A711" s="1">
        <v>376</v>
      </c>
      <c r="B711" s="5"/>
      <c r="C711" s="10"/>
      <c r="D711" s="5"/>
      <c r="E711" s="10"/>
      <c r="F711" s="5"/>
      <c r="G711" s="5"/>
      <c r="H711" s="5"/>
      <c r="I711" s="5"/>
      <c r="J711" s="5"/>
      <c r="K711" s="10"/>
      <c r="L711" s="10"/>
      <c r="M711" s="10"/>
      <c r="N711" s="5"/>
      <c r="O711" s="5"/>
      <c r="P711" s="27"/>
      <c r="Q711" s="27"/>
      <c r="R711" s="27"/>
      <c r="S711" s="27"/>
      <c r="T711" s="27"/>
      <c r="U711" s="27"/>
      <c r="V711" s="27"/>
      <c r="W711" s="27"/>
      <c r="X711" s="27"/>
      <c r="Y711" s="27"/>
      <c r="Z711" s="27"/>
      <c r="AA711" s="5"/>
      <c r="AB711" s="5"/>
      <c r="AC711" s="5"/>
      <c r="AD711" s="5"/>
      <c r="AE711" s="5"/>
      <c r="AF711" s="5"/>
      <c r="AG711" s="5"/>
      <c r="AH711" s="27"/>
      <c r="AI711" s="27"/>
      <c r="AJ711" s="27"/>
      <c r="AK711" s="121" t="str">
        <f t="shared" si="189"/>
        <v/>
      </c>
      <c r="AL711" s="6"/>
      <c r="AM711" s="10"/>
      <c r="AN711" s="63"/>
      <c r="AO711" s="63"/>
      <c r="AP711" s="63"/>
      <c r="AQ711" s="63"/>
      <c r="AR711" s="63"/>
      <c r="AS711" s="63"/>
      <c r="AT711" s="63"/>
      <c r="AU711" s="63"/>
      <c r="AV711" s="63"/>
      <c r="AW711" s="117"/>
    </row>
    <row r="712" spans="1:49">
      <c r="A712" s="1">
        <v>377</v>
      </c>
      <c r="B712" s="5"/>
      <c r="C712" s="10"/>
      <c r="D712" s="5"/>
      <c r="E712" s="10"/>
      <c r="F712" s="5"/>
      <c r="G712" s="5"/>
      <c r="H712" s="5"/>
      <c r="I712" s="5"/>
      <c r="J712" s="5"/>
      <c r="K712" s="10"/>
      <c r="L712" s="10"/>
      <c r="M712" s="10"/>
      <c r="N712" s="5"/>
      <c r="O712" s="5"/>
      <c r="P712" s="27"/>
      <c r="Q712" s="27"/>
      <c r="R712" s="27"/>
      <c r="S712" s="27"/>
      <c r="T712" s="27"/>
      <c r="U712" s="27"/>
      <c r="V712" s="27"/>
      <c r="W712" s="27"/>
      <c r="X712" s="27"/>
      <c r="Y712" s="27"/>
      <c r="Z712" s="27"/>
      <c r="AA712" s="5"/>
      <c r="AB712" s="5"/>
      <c r="AC712" s="5"/>
      <c r="AD712" s="5"/>
      <c r="AE712" s="5"/>
      <c r="AF712" s="5"/>
      <c r="AG712" s="5"/>
      <c r="AH712" s="27"/>
      <c r="AI712" s="27"/>
      <c r="AJ712" s="27"/>
      <c r="AK712" s="121" t="str">
        <f t="shared" si="189"/>
        <v/>
      </c>
      <c r="AL712" s="6"/>
      <c r="AM712" s="10"/>
      <c r="AN712" s="63"/>
      <c r="AO712" s="63"/>
      <c r="AP712" s="63"/>
      <c r="AQ712" s="63"/>
      <c r="AR712" s="63"/>
      <c r="AS712" s="63"/>
      <c r="AT712" s="63"/>
      <c r="AU712" s="63"/>
      <c r="AV712" s="63"/>
      <c r="AW712" s="117"/>
    </row>
    <row r="713" spans="1:49">
      <c r="A713" s="1">
        <v>378</v>
      </c>
      <c r="B713" s="5"/>
      <c r="C713" s="10"/>
      <c r="D713" s="5"/>
      <c r="E713" s="10"/>
      <c r="F713" s="5"/>
      <c r="G713" s="5"/>
      <c r="H713" s="5"/>
      <c r="I713" s="5"/>
      <c r="J713" s="5"/>
      <c r="K713" s="10"/>
      <c r="L713" s="10"/>
      <c r="M713" s="10"/>
      <c r="N713" s="5"/>
      <c r="O713" s="5"/>
      <c r="P713" s="27"/>
      <c r="Q713" s="27"/>
      <c r="R713" s="27"/>
      <c r="S713" s="27"/>
      <c r="T713" s="27"/>
      <c r="U713" s="27"/>
      <c r="V713" s="27"/>
      <c r="W713" s="27"/>
      <c r="X713" s="27"/>
      <c r="Y713" s="27"/>
      <c r="Z713" s="27"/>
      <c r="AA713" s="5"/>
      <c r="AB713" s="5"/>
      <c r="AC713" s="5"/>
      <c r="AD713" s="5"/>
      <c r="AE713" s="5"/>
      <c r="AF713" s="5"/>
      <c r="AG713" s="5"/>
      <c r="AH713" s="27"/>
      <c r="AI713" s="27"/>
      <c r="AJ713" s="27"/>
      <c r="AK713" s="121" t="str">
        <f t="shared" si="189"/>
        <v/>
      </c>
      <c r="AL713" s="6"/>
      <c r="AM713" s="10"/>
      <c r="AN713" s="63"/>
      <c r="AO713" s="63"/>
      <c r="AP713" s="63"/>
      <c r="AQ713" s="63"/>
      <c r="AR713" s="63"/>
      <c r="AS713" s="63"/>
      <c r="AT713" s="63"/>
      <c r="AU713" s="63"/>
      <c r="AV713" s="63"/>
      <c r="AW713" s="117"/>
    </row>
    <row r="714" spans="1:49">
      <c r="A714" s="1">
        <v>379</v>
      </c>
      <c r="B714" s="5"/>
      <c r="C714" s="10"/>
      <c r="D714" s="5"/>
      <c r="E714" s="10"/>
      <c r="F714" s="5"/>
      <c r="G714" s="5"/>
      <c r="H714" s="5"/>
      <c r="I714" s="5"/>
      <c r="J714" s="5"/>
      <c r="K714" s="10"/>
      <c r="L714" s="10"/>
      <c r="M714" s="10"/>
      <c r="N714" s="5"/>
      <c r="O714" s="5"/>
      <c r="P714" s="27"/>
      <c r="Q714" s="27"/>
      <c r="R714" s="27"/>
      <c r="S714" s="27"/>
      <c r="T714" s="27"/>
      <c r="U714" s="27"/>
      <c r="V714" s="27"/>
      <c r="W714" s="27"/>
      <c r="X714" s="27"/>
      <c r="Y714" s="27"/>
      <c r="Z714" s="27"/>
      <c r="AA714" s="5"/>
      <c r="AB714" s="5"/>
      <c r="AC714" s="5"/>
      <c r="AD714" s="5"/>
      <c r="AE714" s="5"/>
      <c r="AF714" s="5"/>
      <c r="AG714" s="5"/>
      <c r="AH714" s="27"/>
      <c r="AI714" s="27"/>
      <c r="AJ714" s="27"/>
      <c r="AK714" s="121" t="str">
        <f t="shared" si="189"/>
        <v/>
      </c>
      <c r="AL714" s="6"/>
      <c r="AM714" s="10"/>
      <c r="AN714" s="63"/>
      <c r="AO714" s="63"/>
      <c r="AP714" s="63"/>
      <c r="AQ714" s="63"/>
      <c r="AR714" s="63"/>
      <c r="AS714" s="63"/>
      <c r="AT714" s="63"/>
      <c r="AU714" s="63"/>
      <c r="AV714" s="63"/>
      <c r="AW714" s="117"/>
    </row>
    <row r="715" spans="1:49">
      <c r="A715" s="1">
        <v>380</v>
      </c>
      <c r="B715" s="5"/>
      <c r="C715" s="10"/>
      <c r="D715" s="5"/>
      <c r="E715" s="10"/>
      <c r="F715" s="5"/>
      <c r="G715" s="5"/>
      <c r="H715" s="5"/>
      <c r="I715" s="5"/>
      <c r="J715" s="5"/>
      <c r="K715" s="10"/>
      <c r="L715" s="10"/>
      <c r="M715" s="10"/>
      <c r="N715" s="5"/>
      <c r="O715" s="5"/>
      <c r="P715" s="27"/>
      <c r="Q715" s="27"/>
      <c r="R715" s="27"/>
      <c r="S715" s="27"/>
      <c r="T715" s="27"/>
      <c r="U715" s="27"/>
      <c r="V715" s="27"/>
      <c r="W715" s="27"/>
      <c r="X715" s="27"/>
      <c r="Y715" s="27"/>
      <c r="Z715" s="27"/>
      <c r="AA715" s="5"/>
      <c r="AB715" s="5"/>
      <c r="AC715" s="5"/>
      <c r="AD715" s="5"/>
      <c r="AE715" s="5"/>
      <c r="AF715" s="5"/>
      <c r="AG715" s="5"/>
      <c r="AH715" s="27"/>
      <c r="AI715" s="27"/>
      <c r="AJ715" s="27"/>
      <c r="AK715" s="121" t="str">
        <f t="shared" si="189"/>
        <v/>
      </c>
      <c r="AL715" s="6"/>
      <c r="AM715" s="10"/>
      <c r="AN715" s="63"/>
      <c r="AO715" s="63"/>
      <c r="AP715" s="63"/>
      <c r="AQ715" s="63"/>
      <c r="AR715" s="63"/>
      <c r="AS715" s="63"/>
      <c r="AT715" s="63"/>
      <c r="AU715" s="63"/>
      <c r="AV715" s="63"/>
      <c r="AW715" s="117"/>
    </row>
    <row r="716" spans="1:49">
      <c r="A716" s="1">
        <v>381</v>
      </c>
      <c r="B716" s="5"/>
      <c r="C716" s="10"/>
      <c r="D716" s="5"/>
      <c r="E716" s="10"/>
      <c r="F716" s="5"/>
      <c r="G716" s="5"/>
      <c r="H716" s="5"/>
      <c r="I716" s="5"/>
      <c r="J716" s="5"/>
      <c r="K716" s="10"/>
      <c r="L716" s="10"/>
      <c r="M716" s="10"/>
      <c r="N716" s="5"/>
      <c r="O716" s="5"/>
      <c r="P716" s="27"/>
      <c r="Q716" s="27"/>
      <c r="R716" s="27"/>
      <c r="S716" s="27"/>
      <c r="T716" s="27"/>
      <c r="U716" s="27"/>
      <c r="V716" s="27"/>
      <c r="W716" s="27"/>
      <c r="X716" s="27"/>
      <c r="Y716" s="27"/>
      <c r="Z716" s="27"/>
      <c r="AA716" s="5"/>
      <c r="AB716" s="5"/>
      <c r="AC716" s="5"/>
      <c r="AD716" s="5"/>
      <c r="AE716" s="5"/>
      <c r="AF716" s="5"/>
      <c r="AG716" s="5"/>
      <c r="AH716" s="27"/>
      <c r="AI716" s="27"/>
      <c r="AJ716" s="27"/>
      <c r="AK716" s="5"/>
      <c r="AL716" s="6"/>
      <c r="AM716" s="10"/>
      <c r="AN716" s="63"/>
      <c r="AO716" s="63"/>
      <c r="AP716" s="63"/>
      <c r="AQ716" s="63"/>
      <c r="AR716" s="63"/>
      <c r="AS716" s="63"/>
      <c r="AT716" s="63"/>
      <c r="AU716" s="63"/>
      <c r="AV716" s="63"/>
      <c r="AW716" s="117"/>
    </row>
    <row r="717" spans="1:49">
      <c r="A717" s="1">
        <v>382</v>
      </c>
      <c r="B717" s="5"/>
      <c r="C717" s="10"/>
      <c r="D717" s="5"/>
      <c r="E717" s="10"/>
      <c r="F717" s="5"/>
      <c r="G717" s="5"/>
      <c r="H717" s="5"/>
      <c r="I717" s="5"/>
      <c r="J717" s="5"/>
      <c r="K717" s="10"/>
      <c r="L717" s="10"/>
      <c r="M717" s="10"/>
      <c r="N717" s="5"/>
      <c r="O717" s="5"/>
      <c r="P717" s="27"/>
      <c r="Q717" s="27"/>
      <c r="R717" s="27"/>
      <c r="S717" s="27"/>
      <c r="T717" s="27"/>
      <c r="U717" s="27"/>
      <c r="V717" s="27"/>
      <c r="W717" s="27"/>
      <c r="X717" s="27"/>
      <c r="Y717" s="27"/>
      <c r="Z717" s="27"/>
      <c r="AA717" s="5"/>
      <c r="AB717" s="5"/>
      <c r="AC717" s="5"/>
      <c r="AD717" s="5"/>
      <c r="AE717" s="5"/>
      <c r="AF717" s="5"/>
      <c r="AG717" s="5"/>
      <c r="AH717" s="27"/>
      <c r="AI717" s="27"/>
      <c r="AJ717" s="27"/>
      <c r="AK717" s="5"/>
      <c r="AL717" s="6"/>
      <c r="AM717" s="10"/>
      <c r="AN717" s="63"/>
      <c r="AO717" s="63"/>
      <c r="AP717" s="63"/>
      <c r="AQ717" s="63"/>
      <c r="AR717" s="63"/>
      <c r="AS717" s="63"/>
      <c r="AT717" s="63"/>
      <c r="AU717" s="63"/>
      <c r="AV717" s="63"/>
      <c r="AW717" s="117"/>
    </row>
    <row r="718" spans="1:49">
      <c r="A718" s="1">
        <v>383</v>
      </c>
      <c r="B718" s="5"/>
      <c r="C718" s="10"/>
      <c r="D718" s="5"/>
      <c r="E718" s="10"/>
      <c r="F718" s="5"/>
      <c r="G718" s="5"/>
      <c r="H718" s="5"/>
      <c r="I718" s="5"/>
      <c r="J718" s="5"/>
      <c r="K718" s="10"/>
      <c r="L718" s="10"/>
      <c r="M718" s="10"/>
      <c r="N718" s="5"/>
      <c r="O718" s="5"/>
      <c r="P718" s="27"/>
      <c r="Q718" s="27"/>
      <c r="R718" s="27"/>
      <c r="S718" s="27"/>
      <c r="T718" s="27"/>
      <c r="U718" s="27"/>
      <c r="V718" s="27"/>
      <c r="W718" s="27"/>
      <c r="X718" s="27"/>
      <c r="Y718" s="27"/>
      <c r="Z718" s="27"/>
      <c r="AA718" s="5"/>
      <c r="AB718" s="5"/>
      <c r="AC718" s="5"/>
      <c r="AD718" s="5"/>
      <c r="AE718" s="5"/>
      <c r="AF718" s="5"/>
      <c r="AG718" s="5"/>
      <c r="AH718" s="27"/>
      <c r="AI718" s="27"/>
      <c r="AJ718" s="27"/>
      <c r="AK718" s="5"/>
      <c r="AL718" s="6"/>
      <c r="AM718" s="10"/>
      <c r="AN718" s="63"/>
      <c r="AO718" s="63"/>
      <c r="AP718" s="63"/>
      <c r="AQ718" s="63"/>
      <c r="AR718" s="63"/>
      <c r="AS718" s="63"/>
      <c r="AT718" s="63"/>
      <c r="AU718" s="63"/>
      <c r="AV718" s="63"/>
      <c r="AW718" s="117"/>
    </row>
    <row r="719" spans="1:49">
      <c r="A719" s="1">
        <v>384</v>
      </c>
      <c r="B719" s="5"/>
      <c r="C719" s="10"/>
      <c r="D719" s="5"/>
      <c r="E719" s="10"/>
      <c r="F719" s="5"/>
      <c r="G719" s="5"/>
      <c r="H719" s="5"/>
      <c r="I719" s="5"/>
      <c r="J719" s="5"/>
      <c r="K719" s="10"/>
      <c r="L719" s="10"/>
      <c r="M719" s="10"/>
      <c r="N719" s="5"/>
      <c r="O719" s="5"/>
      <c r="P719" s="27"/>
      <c r="Q719" s="27"/>
      <c r="R719" s="27"/>
      <c r="S719" s="27"/>
      <c r="T719" s="27"/>
      <c r="U719" s="27"/>
      <c r="V719" s="27"/>
      <c r="W719" s="27"/>
      <c r="X719" s="27"/>
      <c r="Y719" s="27"/>
      <c r="Z719" s="27"/>
      <c r="AA719" s="5"/>
      <c r="AB719" s="5"/>
      <c r="AC719" s="5"/>
      <c r="AD719" s="5"/>
      <c r="AE719" s="5"/>
      <c r="AF719" s="5"/>
      <c r="AG719" s="5"/>
      <c r="AH719" s="27"/>
      <c r="AI719" s="27"/>
      <c r="AJ719" s="27"/>
      <c r="AK719" s="5"/>
      <c r="AL719" s="6"/>
      <c r="AM719" s="10"/>
      <c r="AN719" s="63"/>
      <c r="AO719" s="63"/>
      <c r="AP719" s="63"/>
      <c r="AQ719" s="63"/>
      <c r="AR719" s="63"/>
      <c r="AS719" s="63"/>
      <c r="AT719" s="63"/>
      <c r="AU719" s="63"/>
      <c r="AV719" s="63"/>
      <c r="AW719" s="117"/>
    </row>
    <row r="720" spans="1:49">
      <c r="A720" s="1">
        <v>385</v>
      </c>
      <c r="B720" s="5"/>
      <c r="C720" s="10"/>
      <c r="D720" s="5"/>
      <c r="E720" s="10"/>
      <c r="F720" s="5"/>
      <c r="G720" s="5"/>
      <c r="H720" s="5"/>
      <c r="I720" s="5"/>
      <c r="J720" s="5"/>
      <c r="K720" s="10"/>
      <c r="L720" s="10"/>
      <c r="M720" s="10"/>
      <c r="N720" s="5"/>
      <c r="O720" s="5"/>
      <c r="P720" s="27"/>
      <c r="Q720" s="27"/>
      <c r="R720" s="27"/>
      <c r="S720" s="27"/>
      <c r="T720" s="27"/>
      <c r="U720" s="27"/>
      <c r="V720" s="27"/>
      <c r="W720" s="27"/>
      <c r="X720" s="27"/>
      <c r="Y720" s="27"/>
      <c r="Z720" s="27"/>
      <c r="AA720" s="5"/>
      <c r="AB720" s="5"/>
      <c r="AC720" s="5"/>
      <c r="AD720" s="5"/>
      <c r="AE720" s="5"/>
      <c r="AF720" s="5"/>
      <c r="AG720" s="5"/>
      <c r="AH720" s="27"/>
      <c r="AI720" s="27"/>
      <c r="AJ720" s="27"/>
      <c r="AK720" s="5"/>
      <c r="AL720" s="6"/>
      <c r="AM720" s="10"/>
      <c r="AN720" s="63"/>
      <c r="AO720" s="63"/>
      <c r="AP720" s="63"/>
      <c r="AQ720" s="63"/>
      <c r="AR720" s="63"/>
      <c r="AS720" s="63"/>
      <c r="AT720" s="63"/>
      <c r="AU720" s="63"/>
      <c r="AV720" s="63"/>
      <c r="AW720" s="117"/>
    </row>
    <row r="721" spans="1:49">
      <c r="A721" s="1">
        <v>386</v>
      </c>
      <c r="B721" s="5"/>
      <c r="C721" s="10"/>
      <c r="D721" s="5"/>
      <c r="E721" s="10"/>
      <c r="F721" s="5"/>
      <c r="G721" s="5"/>
      <c r="H721" s="5"/>
      <c r="I721" s="5"/>
      <c r="J721" s="5"/>
      <c r="K721" s="10"/>
      <c r="L721" s="10"/>
      <c r="M721" s="10"/>
      <c r="N721" s="5"/>
      <c r="O721" s="5"/>
      <c r="P721" s="27"/>
      <c r="Q721" s="27"/>
      <c r="R721" s="27"/>
      <c r="S721" s="27"/>
      <c r="T721" s="27"/>
      <c r="U721" s="27"/>
      <c r="V721" s="27"/>
      <c r="W721" s="27"/>
      <c r="X721" s="27"/>
      <c r="Y721" s="27"/>
      <c r="Z721" s="27"/>
      <c r="AA721" s="5"/>
      <c r="AB721" s="5"/>
      <c r="AC721" s="5"/>
      <c r="AD721" s="5"/>
      <c r="AE721" s="5"/>
      <c r="AF721" s="5"/>
      <c r="AG721" s="5"/>
      <c r="AH721" s="27"/>
      <c r="AI721" s="27"/>
      <c r="AJ721" s="27"/>
      <c r="AK721" s="5"/>
      <c r="AL721" s="6"/>
      <c r="AM721" s="10"/>
      <c r="AN721" s="63"/>
      <c r="AO721" s="63"/>
      <c r="AP721" s="63"/>
      <c r="AQ721" s="63"/>
      <c r="AR721" s="63"/>
      <c r="AS721" s="63"/>
      <c r="AT721" s="63"/>
      <c r="AU721" s="63"/>
      <c r="AV721" s="63"/>
      <c r="AW721" s="117"/>
    </row>
    <row r="722" spans="1:49">
      <c r="A722" s="1">
        <v>387</v>
      </c>
      <c r="B722" s="5"/>
      <c r="C722" s="10"/>
      <c r="D722" s="5"/>
      <c r="E722" s="10"/>
      <c r="F722" s="5"/>
      <c r="G722" s="5"/>
      <c r="H722" s="5"/>
      <c r="I722" s="5"/>
      <c r="J722" s="5"/>
      <c r="K722" s="10"/>
      <c r="L722" s="10"/>
      <c r="M722" s="10"/>
      <c r="N722" s="5"/>
      <c r="O722" s="5"/>
      <c r="P722" s="27"/>
      <c r="Q722" s="27"/>
      <c r="R722" s="27"/>
      <c r="S722" s="27"/>
      <c r="T722" s="27"/>
      <c r="U722" s="27"/>
      <c r="V722" s="27"/>
      <c r="W722" s="27"/>
      <c r="X722" s="27"/>
      <c r="Y722" s="27"/>
      <c r="Z722" s="27"/>
      <c r="AA722" s="5"/>
      <c r="AB722" s="5"/>
      <c r="AC722" s="5"/>
      <c r="AD722" s="5"/>
      <c r="AE722" s="5"/>
      <c r="AF722" s="5"/>
      <c r="AG722" s="5"/>
      <c r="AH722" s="27"/>
      <c r="AI722" s="27"/>
      <c r="AJ722" s="27"/>
      <c r="AK722" s="5"/>
      <c r="AL722" s="6"/>
      <c r="AM722" s="10"/>
      <c r="AN722" s="63"/>
      <c r="AO722" s="63"/>
      <c r="AP722" s="63"/>
      <c r="AQ722" s="63"/>
      <c r="AR722" s="63"/>
      <c r="AS722" s="63"/>
      <c r="AT722" s="63"/>
      <c r="AU722" s="63"/>
      <c r="AV722" s="63"/>
      <c r="AW722" s="117"/>
    </row>
    <row r="723" spans="1:49">
      <c r="A723" s="1">
        <v>388</v>
      </c>
      <c r="B723" s="5"/>
      <c r="C723" s="10"/>
      <c r="D723" s="5"/>
      <c r="E723" s="10"/>
      <c r="F723" s="5"/>
      <c r="G723" s="5"/>
      <c r="H723" s="5"/>
      <c r="I723" s="5"/>
      <c r="J723" s="5"/>
      <c r="K723" s="10"/>
      <c r="L723" s="10"/>
      <c r="M723" s="10"/>
      <c r="N723" s="5"/>
      <c r="O723" s="5"/>
      <c r="P723" s="27"/>
      <c r="Q723" s="27"/>
      <c r="R723" s="27"/>
      <c r="S723" s="27"/>
      <c r="T723" s="27"/>
      <c r="U723" s="27"/>
      <c r="V723" s="27"/>
      <c r="W723" s="27"/>
      <c r="X723" s="27"/>
      <c r="Y723" s="27"/>
      <c r="Z723" s="27"/>
      <c r="AA723" s="5"/>
      <c r="AB723" s="5"/>
      <c r="AC723" s="5"/>
      <c r="AD723" s="5"/>
      <c r="AE723" s="5"/>
      <c r="AF723" s="5"/>
      <c r="AG723" s="5"/>
      <c r="AH723" s="27"/>
      <c r="AI723" s="27"/>
      <c r="AJ723" s="27"/>
      <c r="AK723" s="5"/>
      <c r="AL723" s="6"/>
      <c r="AM723" s="10"/>
      <c r="AN723" s="63"/>
      <c r="AO723" s="63"/>
      <c r="AP723" s="63"/>
      <c r="AQ723" s="63"/>
      <c r="AR723" s="63"/>
      <c r="AS723" s="63"/>
      <c r="AT723" s="63"/>
      <c r="AU723" s="63"/>
      <c r="AV723" s="63"/>
      <c r="AW723" s="117"/>
    </row>
    <row r="724" spans="1:49">
      <c r="A724" s="1">
        <v>389</v>
      </c>
      <c r="B724" s="5"/>
      <c r="C724" s="10"/>
      <c r="D724" s="5"/>
      <c r="E724" s="10"/>
      <c r="F724" s="5"/>
      <c r="G724" s="5"/>
      <c r="H724" s="5"/>
      <c r="I724" s="5"/>
      <c r="J724" s="5"/>
      <c r="K724" s="10"/>
      <c r="L724" s="10"/>
      <c r="M724" s="10"/>
      <c r="N724" s="5"/>
      <c r="O724" s="5"/>
      <c r="P724" s="27"/>
      <c r="Q724" s="27"/>
      <c r="R724" s="27"/>
      <c r="S724" s="27"/>
      <c r="T724" s="27"/>
      <c r="U724" s="27"/>
      <c r="V724" s="27"/>
      <c r="W724" s="27"/>
      <c r="X724" s="27"/>
      <c r="Y724" s="27"/>
      <c r="Z724" s="27"/>
      <c r="AA724" s="5"/>
      <c r="AB724" s="5"/>
      <c r="AC724" s="5"/>
      <c r="AD724" s="5"/>
      <c r="AE724" s="5"/>
      <c r="AF724" s="5"/>
      <c r="AG724" s="5"/>
      <c r="AH724" s="27"/>
      <c r="AI724" s="27"/>
      <c r="AJ724" s="27"/>
      <c r="AK724" s="5"/>
      <c r="AL724" s="6"/>
      <c r="AM724" s="10"/>
      <c r="AN724" s="63"/>
      <c r="AO724" s="63"/>
      <c r="AP724" s="63"/>
      <c r="AQ724" s="63"/>
      <c r="AR724" s="63"/>
      <c r="AS724" s="63"/>
      <c r="AT724" s="63"/>
      <c r="AU724" s="63"/>
      <c r="AV724" s="63"/>
      <c r="AW724" s="117"/>
    </row>
    <row r="725" spans="1:49">
      <c r="A725" s="1">
        <v>390</v>
      </c>
      <c r="B725" s="5"/>
      <c r="C725" s="10"/>
      <c r="D725" s="5"/>
      <c r="E725" s="10"/>
      <c r="F725" s="5"/>
      <c r="G725" s="5"/>
      <c r="H725" s="5"/>
      <c r="I725" s="5"/>
      <c r="J725" s="5"/>
      <c r="K725" s="10"/>
      <c r="L725" s="10"/>
      <c r="M725" s="10"/>
      <c r="N725" s="5"/>
      <c r="O725" s="5"/>
      <c r="P725" s="27"/>
      <c r="Q725" s="27"/>
      <c r="R725" s="27"/>
      <c r="S725" s="27"/>
      <c r="T725" s="27"/>
      <c r="U725" s="27"/>
      <c r="V725" s="27"/>
      <c r="W725" s="27"/>
      <c r="X725" s="27"/>
      <c r="Y725" s="27"/>
      <c r="Z725" s="27"/>
      <c r="AA725" s="5"/>
      <c r="AB725" s="5"/>
      <c r="AC725" s="5"/>
      <c r="AD725" s="5"/>
      <c r="AE725" s="5"/>
      <c r="AF725" s="5"/>
      <c r="AG725" s="5"/>
      <c r="AH725" s="27"/>
      <c r="AI725" s="27"/>
      <c r="AJ725" s="27"/>
      <c r="AK725" s="5"/>
      <c r="AL725" s="6"/>
      <c r="AM725" s="10"/>
      <c r="AN725" s="63"/>
      <c r="AO725" s="63"/>
      <c r="AP725" s="63"/>
      <c r="AQ725" s="63"/>
      <c r="AR725" s="63"/>
      <c r="AS725" s="63"/>
      <c r="AT725" s="63"/>
      <c r="AU725" s="63"/>
      <c r="AV725" s="63"/>
      <c r="AW725" s="117"/>
    </row>
    <row r="726" spans="1:49">
      <c r="A726" s="1">
        <v>391</v>
      </c>
      <c r="B726" s="5"/>
      <c r="C726" s="10"/>
      <c r="D726" s="5"/>
      <c r="E726" s="10"/>
      <c r="F726" s="5"/>
      <c r="G726" s="5"/>
      <c r="H726" s="5"/>
      <c r="I726" s="5"/>
      <c r="J726" s="5"/>
      <c r="K726" s="10"/>
      <c r="L726" s="10"/>
      <c r="M726" s="10"/>
      <c r="N726" s="5"/>
      <c r="O726" s="5"/>
      <c r="P726" s="27"/>
      <c r="Q726" s="27"/>
      <c r="R726" s="27"/>
      <c r="S726" s="27"/>
      <c r="T726" s="27"/>
      <c r="U726" s="27"/>
      <c r="V726" s="27"/>
      <c r="W726" s="27"/>
      <c r="X726" s="27"/>
      <c r="Y726" s="27"/>
      <c r="Z726" s="27"/>
      <c r="AA726" s="5"/>
      <c r="AB726" s="5"/>
      <c r="AC726" s="5"/>
      <c r="AD726" s="5"/>
      <c r="AE726" s="5"/>
      <c r="AF726" s="5"/>
      <c r="AG726" s="5"/>
      <c r="AH726" s="27"/>
      <c r="AI726" s="27"/>
      <c r="AJ726" s="27"/>
      <c r="AK726" s="5"/>
      <c r="AL726" s="6"/>
      <c r="AM726" s="10"/>
      <c r="AN726" s="63"/>
      <c r="AO726" s="63"/>
      <c r="AP726" s="63"/>
      <c r="AQ726" s="63"/>
      <c r="AR726" s="63"/>
      <c r="AS726" s="63"/>
      <c r="AT726" s="63"/>
      <c r="AU726" s="63"/>
      <c r="AV726" s="63"/>
      <c r="AW726" s="117"/>
    </row>
    <row r="727" spans="1:49">
      <c r="A727" s="1">
        <v>392</v>
      </c>
      <c r="B727" s="5"/>
      <c r="C727" s="10"/>
      <c r="D727" s="5"/>
      <c r="E727" s="10"/>
      <c r="F727" s="5"/>
      <c r="G727" s="5"/>
      <c r="H727" s="5"/>
      <c r="I727" s="5"/>
      <c r="J727" s="5"/>
      <c r="K727" s="10"/>
      <c r="L727" s="10"/>
      <c r="M727" s="10"/>
      <c r="N727" s="5"/>
      <c r="O727" s="5"/>
      <c r="P727" s="27"/>
      <c r="Q727" s="27"/>
      <c r="R727" s="27"/>
      <c r="S727" s="27"/>
      <c r="T727" s="27"/>
      <c r="U727" s="27"/>
      <c r="V727" s="27"/>
      <c r="W727" s="27"/>
      <c r="X727" s="27"/>
      <c r="Y727" s="27"/>
      <c r="Z727" s="27"/>
      <c r="AA727" s="5"/>
      <c r="AB727" s="5"/>
      <c r="AC727" s="5"/>
      <c r="AD727" s="5"/>
      <c r="AE727" s="5"/>
      <c r="AF727" s="5"/>
      <c r="AG727" s="5"/>
      <c r="AH727" s="27"/>
      <c r="AI727" s="27"/>
      <c r="AJ727" s="27"/>
      <c r="AK727" s="5"/>
      <c r="AL727" s="6"/>
      <c r="AM727" s="10"/>
      <c r="AN727" s="63"/>
      <c r="AO727" s="63"/>
      <c r="AP727" s="63"/>
      <c r="AQ727" s="63"/>
      <c r="AR727" s="63"/>
      <c r="AS727" s="63"/>
      <c r="AT727" s="63"/>
      <c r="AU727" s="63"/>
      <c r="AV727" s="63"/>
      <c r="AW727" s="117"/>
    </row>
    <row r="728" spans="1:49">
      <c r="A728" s="1">
        <v>393</v>
      </c>
      <c r="B728" s="5"/>
      <c r="C728" s="10"/>
      <c r="D728" s="5"/>
      <c r="E728" s="10"/>
      <c r="F728" s="5"/>
      <c r="G728" s="5"/>
      <c r="H728" s="5"/>
      <c r="I728" s="5"/>
      <c r="J728" s="5"/>
      <c r="K728" s="10"/>
      <c r="L728" s="10"/>
      <c r="M728" s="10"/>
      <c r="N728" s="5"/>
      <c r="O728" s="5"/>
      <c r="P728" s="27"/>
      <c r="Q728" s="27"/>
      <c r="R728" s="27"/>
      <c r="S728" s="27"/>
      <c r="T728" s="27"/>
      <c r="U728" s="27"/>
      <c r="V728" s="27"/>
      <c r="W728" s="27"/>
      <c r="X728" s="27"/>
      <c r="Y728" s="27"/>
      <c r="Z728" s="27"/>
      <c r="AA728" s="5"/>
      <c r="AB728" s="5"/>
      <c r="AC728" s="5"/>
      <c r="AD728" s="5"/>
      <c r="AE728" s="5"/>
      <c r="AF728" s="5"/>
      <c r="AG728" s="5"/>
      <c r="AH728" s="27"/>
      <c r="AI728" s="27"/>
      <c r="AJ728" s="27"/>
      <c r="AK728" s="5"/>
      <c r="AL728" s="6"/>
      <c r="AM728" s="10"/>
      <c r="AN728" s="63"/>
      <c r="AO728" s="63"/>
      <c r="AP728" s="63"/>
      <c r="AQ728" s="63"/>
      <c r="AR728" s="63"/>
      <c r="AS728" s="63"/>
      <c r="AT728" s="63"/>
      <c r="AU728" s="63"/>
      <c r="AV728" s="63"/>
      <c r="AW728" s="117"/>
    </row>
    <row r="729" spans="1:49">
      <c r="A729" s="1">
        <v>394</v>
      </c>
      <c r="B729" s="5"/>
      <c r="C729" s="10"/>
      <c r="D729" s="5"/>
      <c r="E729" s="10"/>
      <c r="F729" s="5"/>
      <c r="G729" s="5"/>
      <c r="H729" s="5"/>
      <c r="I729" s="5"/>
      <c r="J729" s="5"/>
      <c r="K729" s="10"/>
      <c r="L729" s="10"/>
      <c r="M729" s="10"/>
      <c r="N729" s="5"/>
      <c r="O729" s="5"/>
      <c r="P729" s="27"/>
      <c r="Q729" s="27"/>
      <c r="R729" s="27"/>
      <c r="S729" s="27"/>
      <c r="T729" s="27"/>
      <c r="U729" s="27"/>
      <c r="V729" s="27"/>
      <c r="W729" s="27"/>
      <c r="X729" s="27"/>
      <c r="Y729" s="27"/>
      <c r="Z729" s="27"/>
      <c r="AA729" s="5"/>
      <c r="AB729" s="5"/>
      <c r="AC729" s="5"/>
      <c r="AD729" s="5"/>
      <c r="AE729" s="5"/>
      <c r="AF729" s="5"/>
      <c r="AG729" s="5"/>
      <c r="AH729" s="27"/>
      <c r="AI729" s="27"/>
      <c r="AJ729" s="27"/>
      <c r="AK729" s="5"/>
      <c r="AL729" s="6"/>
      <c r="AM729" s="10"/>
      <c r="AN729" s="63"/>
      <c r="AO729" s="63"/>
      <c r="AP729" s="63"/>
      <c r="AQ729" s="63"/>
      <c r="AR729" s="63"/>
      <c r="AS729" s="63"/>
      <c r="AT729" s="63"/>
      <c r="AU729" s="63"/>
      <c r="AV729" s="63"/>
      <c r="AW729" s="117"/>
    </row>
    <row r="730" spans="1:49">
      <c r="A730" s="1">
        <v>395</v>
      </c>
      <c r="B730" s="5"/>
      <c r="C730" s="10"/>
      <c r="D730" s="5"/>
      <c r="E730" s="10"/>
      <c r="F730" s="5"/>
      <c r="G730" s="5"/>
      <c r="H730" s="5"/>
      <c r="I730" s="5"/>
      <c r="J730" s="5"/>
      <c r="K730" s="10"/>
      <c r="L730" s="10"/>
      <c r="M730" s="10"/>
      <c r="N730" s="5"/>
      <c r="O730" s="5"/>
      <c r="P730" s="27"/>
      <c r="Q730" s="27"/>
      <c r="R730" s="27"/>
      <c r="S730" s="27"/>
      <c r="T730" s="27"/>
      <c r="U730" s="27"/>
      <c r="V730" s="27"/>
      <c r="W730" s="27"/>
      <c r="X730" s="27"/>
      <c r="Y730" s="27"/>
      <c r="Z730" s="27"/>
      <c r="AA730" s="5"/>
      <c r="AB730" s="5"/>
      <c r="AC730" s="5"/>
      <c r="AD730" s="5"/>
      <c r="AE730" s="5"/>
      <c r="AF730" s="5"/>
      <c r="AG730" s="5"/>
      <c r="AH730" s="27"/>
      <c r="AI730" s="27"/>
      <c r="AJ730" s="27"/>
      <c r="AK730" s="5"/>
      <c r="AL730" s="6"/>
      <c r="AM730" s="10"/>
      <c r="AN730" s="63"/>
      <c r="AO730" s="63"/>
      <c r="AP730" s="63"/>
      <c r="AQ730" s="63"/>
      <c r="AR730" s="63"/>
      <c r="AS730" s="63"/>
      <c r="AT730" s="63"/>
      <c r="AU730" s="63"/>
      <c r="AV730" s="63"/>
      <c r="AW730" s="117"/>
    </row>
    <row r="731" spans="1:49">
      <c r="A731" s="1">
        <v>396</v>
      </c>
      <c r="B731" s="5"/>
      <c r="C731" s="10"/>
      <c r="D731" s="5"/>
      <c r="E731" s="10"/>
      <c r="F731" s="5"/>
      <c r="G731" s="5"/>
      <c r="H731" s="5"/>
      <c r="I731" s="5"/>
      <c r="J731" s="5"/>
      <c r="K731" s="10"/>
      <c r="L731" s="10"/>
      <c r="M731" s="10"/>
      <c r="N731" s="5"/>
      <c r="O731" s="5"/>
      <c r="P731" s="27"/>
      <c r="Q731" s="27"/>
      <c r="R731" s="27"/>
      <c r="S731" s="27"/>
      <c r="T731" s="27"/>
      <c r="U731" s="27"/>
      <c r="V731" s="27"/>
      <c r="W731" s="27"/>
      <c r="X731" s="27"/>
      <c r="Y731" s="27"/>
      <c r="Z731" s="27"/>
      <c r="AA731" s="5"/>
      <c r="AB731" s="5"/>
      <c r="AC731" s="5"/>
      <c r="AD731" s="5"/>
      <c r="AE731" s="5"/>
      <c r="AF731" s="5"/>
      <c r="AG731" s="5"/>
      <c r="AH731" s="27"/>
      <c r="AI731" s="27"/>
      <c r="AJ731" s="27"/>
      <c r="AK731" s="5"/>
      <c r="AL731" s="6"/>
      <c r="AM731" s="10"/>
      <c r="AN731" s="63"/>
      <c r="AO731" s="63"/>
      <c r="AP731" s="63"/>
      <c r="AQ731" s="63"/>
      <c r="AR731" s="63"/>
      <c r="AS731" s="63"/>
      <c r="AT731" s="63"/>
      <c r="AU731" s="63"/>
      <c r="AV731" s="63"/>
      <c r="AW731" s="117"/>
    </row>
    <row r="732" spans="1:49">
      <c r="A732" s="1">
        <v>397</v>
      </c>
      <c r="B732" s="5"/>
      <c r="C732" s="10"/>
      <c r="D732" s="5"/>
      <c r="E732" s="10"/>
      <c r="F732" s="5"/>
      <c r="G732" s="5"/>
      <c r="H732" s="5"/>
      <c r="I732" s="5"/>
      <c r="J732" s="5"/>
      <c r="K732" s="10"/>
      <c r="L732" s="10"/>
      <c r="M732" s="10"/>
      <c r="N732" s="5"/>
      <c r="O732" s="5"/>
      <c r="P732" s="27"/>
      <c r="Q732" s="27"/>
      <c r="R732" s="27"/>
      <c r="S732" s="27"/>
      <c r="T732" s="27"/>
      <c r="U732" s="27"/>
      <c r="V732" s="27"/>
      <c r="W732" s="27"/>
      <c r="X732" s="27"/>
      <c r="Y732" s="27"/>
      <c r="Z732" s="27"/>
      <c r="AA732" s="5"/>
      <c r="AB732" s="5"/>
      <c r="AC732" s="5"/>
      <c r="AD732" s="5"/>
      <c r="AE732" s="5"/>
      <c r="AF732" s="5"/>
      <c r="AG732" s="5"/>
      <c r="AH732" s="27"/>
      <c r="AI732" s="27"/>
      <c r="AJ732" s="27"/>
      <c r="AK732" s="5"/>
      <c r="AL732" s="6"/>
      <c r="AM732" s="10"/>
      <c r="AN732" s="63"/>
      <c r="AO732" s="63"/>
      <c r="AP732" s="63"/>
      <c r="AQ732" s="63"/>
      <c r="AR732" s="63"/>
      <c r="AS732" s="63"/>
      <c r="AT732" s="63"/>
      <c r="AU732" s="63"/>
      <c r="AV732" s="63"/>
      <c r="AW732" s="117"/>
    </row>
    <row r="733" spans="1:49">
      <c r="A733" s="1">
        <v>398</v>
      </c>
      <c r="B733" s="5"/>
      <c r="C733" s="10"/>
      <c r="D733" s="5"/>
      <c r="E733" s="10"/>
      <c r="F733" s="5"/>
      <c r="G733" s="5"/>
      <c r="H733" s="5"/>
      <c r="I733" s="5"/>
      <c r="J733" s="5"/>
      <c r="K733" s="10"/>
      <c r="L733" s="10"/>
      <c r="M733" s="10"/>
      <c r="N733" s="5"/>
      <c r="O733" s="5"/>
      <c r="P733" s="27"/>
      <c r="Q733" s="27"/>
      <c r="R733" s="27"/>
      <c r="S733" s="27"/>
      <c r="T733" s="27"/>
      <c r="U733" s="27"/>
      <c r="V733" s="27"/>
      <c r="W733" s="27"/>
      <c r="X733" s="27"/>
      <c r="Y733" s="27"/>
      <c r="Z733" s="27"/>
      <c r="AA733" s="5"/>
      <c r="AB733" s="5"/>
      <c r="AC733" s="5"/>
      <c r="AD733" s="5"/>
      <c r="AE733" s="5"/>
      <c r="AF733" s="5"/>
      <c r="AG733" s="5"/>
      <c r="AH733" s="27"/>
      <c r="AI733" s="27"/>
      <c r="AJ733" s="27"/>
      <c r="AK733" s="5"/>
      <c r="AL733" s="6"/>
      <c r="AM733" s="10"/>
      <c r="AN733" s="63"/>
      <c r="AO733" s="63"/>
      <c r="AP733" s="63"/>
      <c r="AQ733" s="63"/>
      <c r="AR733" s="63"/>
      <c r="AS733" s="63"/>
      <c r="AT733" s="63"/>
      <c r="AU733" s="63"/>
      <c r="AV733" s="63"/>
      <c r="AW733" s="117"/>
    </row>
    <row r="734" spans="1:49">
      <c r="A734" s="1">
        <v>399</v>
      </c>
      <c r="B734" s="5"/>
      <c r="C734" s="10"/>
      <c r="D734" s="5"/>
      <c r="E734" s="10"/>
      <c r="F734" s="5"/>
      <c r="G734" s="5"/>
      <c r="H734" s="5"/>
      <c r="I734" s="5"/>
      <c r="J734" s="5"/>
      <c r="K734" s="10"/>
      <c r="L734" s="10"/>
      <c r="M734" s="10"/>
      <c r="N734" s="5"/>
      <c r="O734" s="5"/>
      <c r="P734" s="27"/>
      <c r="Q734" s="27"/>
      <c r="R734" s="27"/>
      <c r="S734" s="27"/>
      <c r="T734" s="27"/>
      <c r="U734" s="27"/>
      <c r="V734" s="27"/>
      <c r="W734" s="27"/>
      <c r="X734" s="27"/>
      <c r="Y734" s="27"/>
      <c r="Z734" s="27"/>
      <c r="AA734" s="5"/>
      <c r="AB734" s="5"/>
      <c r="AC734" s="5"/>
      <c r="AD734" s="5"/>
      <c r="AE734" s="5"/>
      <c r="AF734" s="5"/>
      <c r="AG734" s="5"/>
      <c r="AH734" s="27"/>
      <c r="AI734" s="27"/>
      <c r="AJ734" s="27"/>
      <c r="AK734" s="5"/>
      <c r="AL734" s="6"/>
      <c r="AM734" s="10"/>
      <c r="AN734" s="63"/>
      <c r="AO734" s="63"/>
      <c r="AP734" s="63"/>
      <c r="AQ734" s="63"/>
      <c r="AR734" s="63"/>
      <c r="AS734" s="63"/>
      <c r="AT734" s="63"/>
      <c r="AU734" s="63"/>
      <c r="AV734" s="63"/>
      <c r="AW734" s="117"/>
    </row>
    <row r="735" spans="1:49">
      <c r="A735" s="1">
        <v>400</v>
      </c>
      <c r="B735" s="5"/>
      <c r="C735" s="10"/>
      <c r="D735" s="5"/>
      <c r="E735" s="10"/>
      <c r="F735" s="5"/>
      <c r="G735" s="5"/>
      <c r="H735" s="5"/>
      <c r="I735" s="5"/>
      <c r="J735" s="5"/>
      <c r="K735" s="10"/>
      <c r="L735" s="10"/>
      <c r="M735" s="10"/>
      <c r="N735" s="5"/>
      <c r="O735" s="5"/>
      <c r="P735" s="27"/>
      <c r="Q735" s="27"/>
      <c r="R735" s="27"/>
      <c r="S735" s="27"/>
      <c r="T735" s="27"/>
      <c r="U735" s="27"/>
      <c r="V735" s="27"/>
      <c r="W735" s="27"/>
      <c r="X735" s="27"/>
      <c r="Y735" s="27"/>
      <c r="Z735" s="27"/>
      <c r="AA735" s="5"/>
      <c r="AB735" s="5"/>
      <c r="AC735" s="5"/>
      <c r="AD735" s="5"/>
      <c r="AE735" s="5"/>
      <c r="AF735" s="5"/>
      <c r="AG735" s="5"/>
      <c r="AH735" s="27"/>
      <c r="AI735" s="27"/>
      <c r="AJ735" s="27"/>
      <c r="AK735" s="5"/>
      <c r="AL735" s="6"/>
      <c r="AM735" s="10"/>
      <c r="AN735" s="63"/>
      <c r="AO735" s="63"/>
      <c r="AP735" s="63"/>
      <c r="AQ735" s="63"/>
      <c r="AR735" s="63"/>
      <c r="AS735" s="63"/>
      <c r="AT735" s="63"/>
      <c r="AU735" s="63"/>
      <c r="AV735" s="63"/>
      <c r="AW735" s="117"/>
    </row>
    <row r="736" spans="1:49">
      <c r="A736" s="1">
        <v>401</v>
      </c>
      <c r="B736" s="5"/>
      <c r="C736" s="10"/>
      <c r="D736" s="5"/>
      <c r="E736" s="10"/>
      <c r="F736" s="5"/>
      <c r="G736" s="5"/>
      <c r="H736" s="5"/>
      <c r="I736" s="5"/>
      <c r="J736" s="5"/>
      <c r="K736" s="10"/>
      <c r="L736" s="10"/>
      <c r="M736" s="10"/>
      <c r="N736" s="5"/>
      <c r="O736" s="5"/>
      <c r="P736" s="27"/>
      <c r="Q736" s="27"/>
      <c r="R736" s="27"/>
      <c r="S736" s="27"/>
      <c r="T736" s="27"/>
      <c r="U736" s="27"/>
      <c r="V736" s="27"/>
      <c r="W736" s="27"/>
      <c r="X736" s="27"/>
      <c r="Y736" s="27"/>
      <c r="Z736" s="27"/>
      <c r="AA736" s="5"/>
      <c r="AB736" s="5"/>
      <c r="AC736" s="5"/>
      <c r="AD736" s="5"/>
      <c r="AE736" s="5"/>
      <c r="AF736" s="5"/>
      <c r="AG736" s="5"/>
      <c r="AH736" s="27"/>
      <c r="AI736" s="27"/>
      <c r="AJ736" s="27"/>
      <c r="AK736" s="5"/>
      <c r="AL736" s="6"/>
      <c r="AM736" s="10"/>
      <c r="AN736" s="63"/>
      <c r="AO736" s="63"/>
      <c r="AP736" s="63"/>
      <c r="AQ736" s="63"/>
      <c r="AR736" s="63"/>
      <c r="AS736" s="63"/>
      <c r="AT736" s="63"/>
      <c r="AU736" s="63"/>
      <c r="AV736" s="63"/>
      <c r="AW736" s="117"/>
    </row>
    <row r="737" spans="1:49">
      <c r="A737" s="1">
        <v>402</v>
      </c>
      <c r="B737" s="5"/>
      <c r="C737" s="10"/>
      <c r="D737" s="5"/>
      <c r="E737" s="10"/>
      <c r="F737" s="5"/>
      <c r="G737" s="5"/>
      <c r="H737" s="5"/>
      <c r="I737" s="5"/>
      <c r="J737" s="5"/>
      <c r="K737" s="10"/>
      <c r="L737" s="10"/>
      <c r="M737" s="10"/>
      <c r="N737" s="5"/>
      <c r="O737" s="5"/>
      <c r="P737" s="27"/>
      <c r="Q737" s="27"/>
      <c r="R737" s="27"/>
      <c r="S737" s="27"/>
      <c r="T737" s="27"/>
      <c r="U737" s="27"/>
      <c r="V737" s="27"/>
      <c r="W737" s="27"/>
      <c r="X737" s="27"/>
      <c r="Y737" s="27"/>
      <c r="Z737" s="27"/>
      <c r="AA737" s="5"/>
      <c r="AB737" s="5"/>
      <c r="AC737" s="5"/>
      <c r="AD737" s="5"/>
      <c r="AE737" s="5"/>
      <c r="AF737" s="5"/>
      <c r="AG737" s="5"/>
      <c r="AH737" s="27"/>
      <c r="AI737" s="27"/>
      <c r="AJ737" s="27"/>
      <c r="AK737" s="5"/>
      <c r="AL737" s="6"/>
      <c r="AM737" s="10"/>
      <c r="AN737" s="63"/>
      <c r="AO737" s="63"/>
      <c r="AP737" s="63"/>
      <c r="AQ737" s="63"/>
      <c r="AR737" s="63"/>
      <c r="AS737" s="63"/>
      <c r="AT737" s="63"/>
      <c r="AU737" s="63"/>
      <c r="AV737" s="63"/>
      <c r="AW737" s="117"/>
    </row>
    <row r="738" spans="1:49">
      <c r="A738" s="1">
        <v>403</v>
      </c>
      <c r="B738" s="5"/>
      <c r="C738" s="10"/>
      <c r="D738" s="5"/>
      <c r="E738" s="10"/>
      <c r="F738" s="5"/>
      <c r="G738" s="5"/>
      <c r="H738" s="5"/>
      <c r="I738" s="5"/>
      <c r="J738" s="5"/>
      <c r="K738" s="10"/>
      <c r="L738" s="10"/>
      <c r="M738" s="10"/>
      <c r="N738" s="5"/>
      <c r="O738" s="5"/>
      <c r="P738" s="27"/>
      <c r="Q738" s="27"/>
      <c r="R738" s="27"/>
      <c r="S738" s="27"/>
      <c r="T738" s="27"/>
      <c r="U738" s="27"/>
      <c r="V738" s="27"/>
      <c r="W738" s="27"/>
      <c r="X738" s="27"/>
      <c r="Y738" s="27"/>
      <c r="Z738" s="27"/>
      <c r="AA738" s="5"/>
      <c r="AB738" s="5"/>
      <c r="AC738" s="5"/>
      <c r="AD738" s="5"/>
      <c r="AE738" s="5"/>
      <c r="AF738" s="5"/>
      <c r="AG738" s="5"/>
      <c r="AH738" s="27"/>
      <c r="AI738" s="27"/>
      <c r="AJ738" s="27"/>
      <c r="AK738" s="5"/>
      <c r="AL738" s="6"/>
      <c r="AM738" s="10"/>
      <c r="AN738" s="63"/>
      <c r="AO738" s="63"/>
      <c r="AP738" s="63"/>
      <c r="AQ738" s="63"/>
      <c r="AR738" s="63"/>
      <c r="AS738" s="63"/>
      <c r="AT738" s="63"/>
      <c r="AU738" s="63"/>
      <c r="AV738" s="63"/>
      <c r="AW738" s="117"/>
    </row>
    <row r="739" spans="1:49">
      <c r="A739" s="1">
        <v>404</v>
      </c>
      <c r="B739" s="5"/>
      <c r="C739" s="10"/>
      <c r="D739" s="5"/>
      <c r="E739" s="10"/>
      <c r="F739" s="5"/>
      <c r="G739" s="5"/>
      <c r="H739" s="5"/>
      <c r="I739" s="5"/>
      <c r="J739" s="5"/>
      <c r="K739" s="10"/>
      <c r="L739" s="10"/>
      <c r="M739" s="10"/>
      <c r="N739" s="5"/>
      <c r="O739" s="5"/>
      <c r="P739" s="27"/>
      <c r="Q739" s="27"/>
      <c r="R739" s="27"/>
      <c r="S739" s="27"/>
      <c r="T739" s="27"/>
      <c r="U739" s="27"/>
      <c r="V739" s="27"/>
      <c r="W739" s="27"/>
      <c r="X739" s="27"/>
      <c r="Y739" s="27"/>
      <c r="Z739" s="27"/>
      <c r="AA739" s="5"/>
      <c r="AB739" s="5"/>
      <c r="AC739" s="5"/>
      <c r="AD739" s="5"/>
      <c r="AE739" s="5"/>
      <c r="AF739" s="5"/>
      <c r="AG739" s="5"/>
      <c r="AH739" s="27"/>
      <c r="AI739" s="27"/>
      <c r="AJ739" s="27"/>
      <c r="AK739" s="5"/>
      <c r="AL739" s="6"/>
      <c r="AM739" s="10"/>
      <c r="AN739" s="63"/>
      <c r="AO739" s="63"/>
      <c r="AP739" s="63"/>
      <c r="AQ739" s="63"/>
      <c r="AR739" s="63"/>
      <c r="AS739" s="63"/>
      <c r="AT739" s="63"/>
      <c r="AU739" s="63"/>
      <c r="AV739" s="63"/>
      <c r="AW739" s="117"/>
    </row>
    <row r="740" spans="1:49">
      <c r="A740" s="1">
        <v>405</v>
      </c>
      <c r="B740" s="5"/>
      <c r="C740" s="10"/>
      <c r="D740" s="5"/>
      <c r="E740" s="10"/>
      <c r="F740" s="5"/>
      <c r="G740" s="5"/>
      <c r="H740" s="5"/>
      <c r="I740" s="5"/>
      <c r="J740" s="5"/>
      <c r="K740" s="10"/>
      <c r="L740" s="10"/>
      <c r="M740" s="10"/>
      <c r="N740" s="5"/>
      <c r="O740" s="5"/>
      <c r="P740" s="27"/>
      <c r="Q740" s="27"/>
      <c r="R740" s="27"/>
      <c r="S740" s="27"/>
      <c r="T740" s="27"/>
      <c r="U740" s="27"/>
      <c r="V740" s="27"/>
      <c r="W740" s="27"/>
      <c r="X740" s="27"/>
      <c r="Y740" s="27"/>
      <c r="Z740" s="27"/>
      <c r="AA740" s="5"/>
      <c r="AB740" s="5"/>
      <c r="AC740" s="5"/>
      <c r="AD740" s="5"/>
      <c r="AE740" s="5"/>
      <c r="AF740" s="5"/>
      <c r="AG740" s="5"/>
      <c r="AH740" s="27"/>
      <c r="AI740" s="27"/>
      <c r="AJ740" s="27"/>
      <c r="AK740" s="5"/>
      <c r="AL740" s="6"/>
      <c r="AM740" s="10"/>
      <c r="AN740" s="63"/>
      <c r="AO740" s="63"/>
      <c r="AP740" s="63"/>
      <c r="AQ740" s="63"/>
      <c r="AR740" s="63"/>
      <c r="AS740" s="63"/>
      <c r="AT740" s="63"/>
      <c r="AU740" s="63"/>
      <c r="AV740" s="63"/>
      <c r="AW740" s="117"/>
    </row>
    <row r="741" spans="1:49">
      <c r="A741" s="1">
        <v>406</v>
      </c>
      <c r="B741" s="5"/>
      <c r="C741" s="10"/>
      <c r="D741" s="5"/>
      <c r="E741" s="10"/>
      <c r="F741" s="5"/>
      <c r="G741" s="5"/>
      <c r="H741" s="5"/>
      <c r="I741" s="5"/>
      <c r="J741" s="5"/>
      <c r="K741" s="10"/>
      <c r="L741" s="10"/>
      <c r="M741" s="10"/>
      <c r="N741" s="5"/>
      <c r="O741" s="5"/>
      <c r="P741" s="27"/>
      <c r="Q741" s="27"/>
      <c r="R741" s="27"/>
      <c r="S741" s="27"/>
      <c r="T741" s="27"/>
      <c r="U741" s="27"/>
      <c r="V741" s="27"/>
      <c r="W741" s="27"/>
      <c r="X741" s="27"/>
      <c r="Y741" s="27"/>
      <c r="Z741" s="27"/>
      <c r="AA741" s="5"/>
      <c r="AB741" s="5"/>
      <c r="AC741" s="5"/>
      <c r="AD741" s="5"/>
      <c r="AE741" s="5"/>
      <c r="AF741" s="5"/>
      <c r="AG741" s="5"/>
      <c r="AH741" s="27"/>
      <c r="AI741" s="27"/>
      <c r="AJ741" s="27"/>
      <c r="AK741" s="5"/>
      <c r="AL741" s="6"/>
      <c r="AM741" s="10"/>
      <c r="AN741" s="63"/>
      <c r="AO741" s="63"/>
      <c r="AP741" s="63"/>
      <c r="AQ741" s="63"/>
      <c r="AR741" s="63"/>
      <c r="AS741" s="63"/>
      <c r="AT741" s="63"/>
      <c r="AU741" s="63"/>
      <c r="AV741" s="63"/>
      <c r="AW741" s="117"/>
    </row>
    <row r="742" spans="1:49">
      <c r="A742" s="1">
        <v>407</v>
      </c>
      <c r="B742" s="5"/>
      <c r="C742" s="10"/>
      <c r="D742" s="5"/>
      <c r="E742" s="10"/>
      <c r="F742" s="5"/>
      <c r="G742" s="5"/>
      <c r="H742" s="5"/>
      <c r="I742" s="5"/>
      <c r="J742" s="5"/>
      <c r="K742" s="10"/>
      <c r="L742" s="10"/>
      <c r="M742" s="10"/>
      <c r="N742" s="5"/>
      <c r="O742" s="5"/>
      <c r="P742" s="27"/>
      <c r="Q742" s="27"/>
      <c r="R742" s="27"/>
      <c r="S742" s="27"/>
      <c r="T742" s="27"/>
      <c r="U742" s="27"/>
      <c r="V742" s="27"/>
      <c r="W742" s="27"/>
      <c r="X742" s="27"/>
      <c r="Y742" s="27"/>
      <c r="Z742" s="27"/>
      <c r="AA742" s="5"/>
      <c r="AB742" s="5"/>
      <c r="AC742" s="5"/>
      <c r="AD742" s="5"/>
      <c r="AE742" s="5"/>
      <c r="AF742" s="5"/>
      <c r="AG742" s="5"/>
      <c r="AH742" s="27"/>
      <c r="AI742" s="27"/>
      <c r="AJ742" s="27"/>
      <c r="AK742" s="5"/>
      <c r="AL742" s="6"/>
      <c r="AM742" s="10"/>
      <c r="AN742" s="63"/>
      <c r="AO742" s="63"/>
      <c r="AP742" s="63"/>
      <c r="AQ742" s="63"/>
      <c r="AR742" s="63"/>
      <c r="AS742" s="63"/>
      <c r="AT742" s="63"/>
      <c r="AU742" s="63"/>
      <c r="AV742" s="63"/>
      <c r="AW742" s="117"/>
    </row>
    <row r="743" spans="1:49">
      <c r="A743" s="1">
        <v>408</v>
      </c>
      <c r="B743" s="5"/>
      <c r="C743" s="10"/>
      <c r="D743" s="5"/>
      <c r="E743" s="10"/>
      <c r="F743" s="5"/>
      <c r="G743" s="5"/>
      <c r="H743" s="5"/>
      <c r="I743" s="5"/>
      <c r="J743" s="5"/>
      <c r="K743" s="10"/>
      <c r="L743" s="10"/>
      <c r="M743" s="10"/>
      <c r="N743" s="5"/>
      <c r="O743" s="5"/>
      <c r="P743" s="27"/>
      <c r="Q743" s="27"/>
      <c r="R743" s="27"/>
      <c r="S743" s="27"/>
      <c r="T743" s="27"/>
      <c r="U743" s="27"/>
      <c r="V743" s="27"/>
      <c r="W743" s="27"/>
      <c r="X743" s="27"/>
      <c r="Y743" s="27"/>
      <c r="Z743" s="27"/>
      <c r="AA743" s="5"/>
      <c r="AB743" s="5"/>
      <c r="AC743" s="5"/>
      <c r="AD743" s="5"/>
      <c r="AE743" s="5"/>
      <c r="AF743" s="5"/>
      <c r="AG743" s="5"/>
      <c r="AH743" s="27"/>
      <c r="AI743" s="27"/>
      <c r="AJ743" s="27"/>
      <c r="AK743" s="5"/>
      <c r="AL743" s="6"/>
      <c r="AM743" s="10"/>
      <c r="AN743" s="63"/>
      <c r="AO743" s="63"/>
      <c r="AP743" s="63"/>
      <c r="AQ743" s="63"/>
      <c r="AR743" s="63"/>
      <c r="AS743" s="63"/>
      <c r="AT743" s="63"/>
      <c r="AU743" s="63"/>
      <c r="AV743" s="63"/>
      <c r="AW743" s="117"/>
    </row>
    <row r="744" spans="1:49">
      <c r="A744" s="1">
        <v>409</v>
      </c>
      <c r="B744" s="5"/>
      <c r="C744" s="10"/>
      <c r="D744" s="5"/>
      <c r="E744" s="10"/>
      <c r="F744" s="5"/>
      <c r="G744" s="5"/>
      <c r="H744" s="5"/>
      <c r="I744" s="5"/>
      <c r="J744" s="5"/>
      <c r="K744" s="10"/>
      <c r="L744" s="10"/>
      <c r="M744" s="10"/>
      <c r="N744" s="5"/>
      <c r="O744" s="5"/>
      <c r="P744" s="27"/>
      <c r="Q744" s="27"/>
      <c r="R744" s="27"/>
      <c r="S744" s="27"/>
      <c r="T744" s="27"/>
      <c r="U744" s="27"/>
      <c r="V744" s="27"/>
      <c r="W744" s="27"/>
      <c r="X744" s="27"/>
      <c r="Y744" s="27"/>
      <c r="Z744" s="27"/>
      <c r="AA744" s="5"/>
      <c r="AB744" s="5"/>
      <c r="AC744" s="5"/>
      <c r="AD744" s="5"/>
      <c r="AE744" s="5"/>
      <c r="AF744" s="5"/>
      <c r="AG744" s="5"/>
      <c r="AH744" s="27"/>
      <c r="AI744" s="27"/>
      <c r="AJ744" s="27"/>
      <c r="AK744" s="5"/>
      <c r="AL744" s="6"/>
      <c r="AM744" s="10"/>
      <c r="AN744" s="63"/>
      <c r="AO744" s="63"/>
      <c r="AP744" s="63"/>
      <c r="AQ744" s="63"/>
      <c r="AR744" s="63"/>
      <c r="AS744" s="63"/>
      <c r="AT744" s="63"/>
      <c r="AU744" s="63"/>
      <c r="AV744" s="63"/>
      <c r="AW744" s="117"/>
    </row>
    <row r="745" spans="1:49">
      <c r="A745" s="1">
        <v>410</v>
      </c>
      <c r="B745" s="5"/>
      <c r="C745" s="10"/>
      <c r="D745" s="5"/>
      <c r="E745" s="10"/>
      <c r="F745" s="5"/>
      <c r="G745" s="5"/>
      <c r="H745" s="5"/>
      <c r="I745" s="5"/>
      <c r="J745" s="5"/>
      <c r="K745" s="10"/>
      <c r="L745" s="10"/>
      <c r="M745" s="10"/>
      <c r="N745" s="5"/>
      <c r="O745" s="5"/>
      <c r="P745" s="27"/>
      <c r="Q745" s="27"/>
      <c r="R745" s="27"/>
      <c r="S745" s="27"/>
      <c r="T745" s="27"/>
      <c r="U745" s="27"/>
      <c r="V745" s="27"/>
      <c r="W745" s="27"/>
      <c r="X745" s="27"/>
      <c r="Y745" s="27"/>
      <c r="Z745" s="27"/>
      <c r="AA745" s="5"/>
      <c r="AB745" s="5"/>
      <c r="AC745" s="5"/>
      <c r="AD745" s="5"/>
      <c r="AE745" s="5"/>
      <c r="AF745" s="5"/>
      <c r="AG745" s="5"/>
      <c r="AH745" s="27"/>
      <c r="AI745" s="27"/>
      <c r="AJ745" s="27"/>
      <c r="AK745" s="5"/>
      <c r="AL745" s="6"/>
      <c r="AM745" s="10"/>
      <c r="AN745" s="63"/>
      <c r="AO745" s="63"/>
      <c r="AP745" s="63"/>
      <c r="AQ745" s="63"/>
      <c r="AR745" s="63"/>
      <c r="AS745" s="63"/>
      <c r="AT745" s="63"/>
      <c r="AU745" s="63"/>
      <c r="AV745" s="63"/>
      <c r="AW745" s="117"/>
    </row>
    <row r="746" spans="1:49">
      <c r="A746" s="1">
        <v>411</v>
      </c>
      <c r="B746" s="5"/>
      <c r="C746" s="10"/>
      <c r="D746" s="5"/>
      <c r="E746" s="10"/>
      <c r="F746" s="5"/>
      <c r="G746" s="5"/>
      <c r="H746" s="5"/>
      <c r="I746" s="5"/>
      <c r="J746" s="5"/>
      <c r="K746" s="10"/>
      <c r="L746" s="10"/>
      <c r="M746" s="10"/>
      <c r="N746" s="5"/>
      <c r="O746" s="5"/>
      <c r="P746" s="27"/>
      <c r="Q746" s="27"/>
      <c r="R746" s="27"/>
      <c r="S746" s="27"/>
      <c r="T746" s="27"/>
      <c r="U746" s="27"/>
      <c r="V746" s="27"/>
      <c r="W746" s="27"/>
      <c r="X746" s="27"/>
      <c r="Y746" s="27"/>
      <c r="Z746" s="27"/>
      <c r="AA746" s="5"/>
      <c r="AB746" s="5"/>
      <c r="AC746" s="5"/>
      <c r="AD746" s="5"/>
      <c r="AE746" s="5"/>
      <c r="AF746" s="5"/>
      <c r="AG746" s="5"/>
      <c r="AH746" s="27"/>
      <c r="AI746" s="27"/>
      <c r="AJ746" s="27"/>
      <c r="AK746" s="5"/>
      <c r="AL746" s="6"/>
      <c r="AM746" s="10"/>
      <c r="AN746" s="63"/>
      <c r="AO746" s="63"/>
      <c r="AP746" s="63"/>
      <c r="AQ746" s="63"/>
      <c r="AR746" s="63"/>
      <c r="AS746" s="63"/>
      <c r="AT746" s="63"/>
      <c r="AU746" s="63"/>
      <c r="AV746" s="63"/>
      <c r="AW746" s="117"/>
    </row>
    <row r="747" spans="1:49">
      <c r="A747" s="1">
        <v>412</v>
      </c>
      <c r="B747" s="5"/>
      <c r="C747" s="10"/>
      <c r="D747" s="5"/>
      <c r="E747" s="10"/>
      <c r="F747" s="5"/>
      <c r="G747" s="5"/>
      <c r="H747" s="5"/>
      <c r="I747" s="5"/>
      <c r="J747" s="5"/>
      <c r="K747" s="10"/>
      <c r="L747" s="10"/>
      <c r="M747" s="10"/>
      <c r="N747" s="5"/>
      <c r="O747" s="5"/>
      <c r="P747" s="27"/>
      <c r="Q747" s="27"/>
      <c r="R747" s="27"/>
      <c r="S747" s="27"/>
      <c r="T747" s="27"/>
      <c r="U747" s="27"/>
      <c r="V747" s="27"/>
      <c r="W747" s="27"/>
      <c r="X747" s="27"/>
      <c r="Y747" s="27"/>
      <c r="Z747" s="27"/>
      <c r="AA747" s="5"/>
      <c r="AB747" s="5"/>
      <c r="AC747" s="5"/>
      <c r="AD747" s="5"/>
      <c r="AE747" s="5"/>
      <c r="AF747" s="5"/>
      <c r="AG747" s="5"/>
      <c r="AH747" s="27"/>
      <c r="AI747" s="27"/>
      <c r="AJ747" s="27"/>
      <c r="AK747" s="5"/>
      <c r="AL747" s="6"/>
      <c r="AM747" s="10"/>
      <c r="AN747" s="63"/>
      <c r="AO747" s="63"/>
      <c r="AP747" s="63"/>
      <c r="AQ747" s="63"/>
      <c r="AR747" s="63"/>
      <c r="AS747" s="63"/>
      <c r="AT747" s="63"/>
      <c r="AU747" s="63"/>
      <c r="AV747" s="63"/>
      <c r="AW747" s="117"/>
    </row>
    <row r="748" spans="1:49">
      <c r="A748" s="1">
        <v>413</v>
      </c>
      <c r="B748" s="5"/>
      <c r="C748" s="10"/>
      <c r="D748" s="5"/>
      <c r="E748" s="10"/>
      <c r="F748" s="5"/>
      <c r="G748" s="5"/>
      <c r="H748" s="5"/>
      <c r="I748" s="5"/>
      <c r="J748" s="5"/>
      <c r="K748" s="10"/>
      <c r="L748" s="10"/>
      <c r="M748" s="10"/>
      <c r="N748" s="5"/>
      <c r="O748" s="5"/>
      <c r="P748" s="27"/>
      <c r="Q748" s="27"/>
      <c r="R748" s="27"/>
      <c r="S748" s="27"/>
      <c r="T748" s="27"/>
      <c r="U748" s="27"/>
      <c r="V748" s="27"/>
      <c r="W748" s="27"/>
      <c r="X748" s="27"/>
      <c r="Y748" s="27"/>
      <c r="Z748" s="27"/>
      <c r="AA748" s="5"/>
      <c r="AB748" s="5"/>
      <c r="AC748" s="5"/>
      <c r="AD748" s="5"/>
      <c r="AE748" s="5"/>
      <c r="AF748" s="5"/>
      <c r="AG748" s="5"/>
      <c r="AH748" s="27"/>
      <c r="AI748" s="27"/>
      <c r="AJ748" s="27"/>
      <c r="AK748" s="5"/>
      <c r="AL748" s="6"/>
      <c r="AM748" s="10"/>
      <c r="AN748" s="63"/>
      <c r="AO748" s="63"/>
      <c r="AP748" s="63"/>
      <c r="AQ748" s="63"/>
      <c r="AR748" s="63"/>
      <c r="AS748" s="63"/>
      <c r="AT748" s="63"/>
      <c r="AU748" s="63"/>
      <c r="AV748" s="63"/>
      <c r="AW748" s="117"/>
    </row>
    <row r="749" spans="1:49">
      <c r="A749" s="1">
        <v>414</v>
      </c>
      <c r="B749" s="5"/>
      <c r="C749" s="10"/>
      <c r="D749" s="5"/>
      <c r="E749" s="10"/>
      <c r="F749" s="5"/>
      <c r="G749" s="5"/>
      <c r="H749" s="5"/>
      <c r="I749" s="5"/>
      <c r="J749" s="5"/>
      <c r="K749" s="10"/>
      <c r="L749" s="10"/>
      <c r="M749" s="10"/>
      <c r="N749" s="5"/>
      <c r="O749" s="5"/>
      <c r="P749" s="27"/>
      <c r="Q749" s="27"/>
      <c r="R749" s="27"/>
      <c r="S749" s="27"/>
      <c r="T749" s="27"/>
      <c r="U749" s="27"/>
      <c r="V749" s="27"/>
      <c r="W749" s="27"/>
      <c r="X749" s="27"/>
      <c r="Y749" s="27"/>
      <c r="Z749" s="27"/>
      <c r="AA749" s="5"/>
      <c r="AB749" s="5"/>
      <c r="AC749" s="5"/>
      <c r="AD749" s="5"/>
      <c r="AE749" s="5"/>
      <c r="AF749" s="5"/>
      <c r="AG749" s="5"/>
      <c r="AH749" s="27"/>
      <c r="AI749" s="27"/>
      <c r="AJ749" s="27"/>
      <c r="AK749" s="5"/>
      <c r="AL749" s="6"/>
      <c r="AM749" s="10"/>
      <c r="AN749" s="63"/>
      <c r="AO749" s="63"/>
      <c r="AP749" s="63"/>
      <c r="AQ749" s="63"/>
      <c r="AR749" s="63"/>
      <c r="AS749" s="63"/>
      <c r="AT749" s="63"/>
      <c r="AU749" s="63"/>
      <c r="AV749" s="63"/>
      <c r="AW749" s="117"/>
    </row>
    <row r="750" spans="1:49">
      <c r="A750" s="1">
        <v>415</v>
      </c>
      <c r="B750" s="5"/>
      <c r="C750" s="10"/>
      <c r="D750" s="5"/>
      <c r="E750" s="10"/>
      <c r="F750" s="5"/>
      <c r="G750" s="5"/>
      <c r="H750" s="5"/>
      <c r="I750" s="5"/>
      <c r="J750" s="5"/>
      <c r="K750" s="10"/>
      <c r="L750" s="10"/>
      <c r="M750" s="10"/>
      <c r="N750" s="5"/>
      <c r="O750" s="5"/>
      <c r="P750" s="27"/>
      <c r="Q750" s="27"/>
      <c r="R750" s="27"/>
      <c r="S750" s="27"/>
      <c r="T750" s="27"/>
      <c r="U750" s="27"/>
      <c r="V750" s="27"/>
      <c r="W750" s="27"/>
      <c r="X750" s="27"/>
      <c r="Y750" s="27"/>
      <c r="Z750" s="27"/>
      <c r="AA750" s="5"/>
      <c r="AB750" s="5"/>
      <c r="AC750" s="5"/>
      <c r="AD750" s="5"/>
      <c r="AE750" s="5"/>
      <c r="AF750" s="5"/>
      <c r="AG750" s="5"/>
      <c r="AH750" s="27"/>
      <c r="AI750" s="27"/>
      <c r="AJ750" s="27"/>
      <c r="AK750" s="5"/>
      <c r="AL750" s="6"/>
      <c r="AM750" s="10"/>
      <c r="AN750" s="63"/>
      <c r="AO750" s="63"/>
      <c r="AP750" s="63"/>
      <c r="AQ750" s="63"/>
      <c r="AR750" s="63"/>
      <c r="AS750" s="63"/>
      <c r="AT750" s="63"/>
      <c r="AU750" s="63"/>
      <c r="AV750" s="63"/>
      <c r="AW750" s="117"/>
    </row>
    <row r="751" spans="1:49">
      <c r="A751" s="1">
        <v>416</v>
      </c>
      <c r="B751" s="5"/>
      <c r="C751" s="10"/>
      <c r="D751" s="5"/>
      <c r="E751" s="10"/>
      <c r="F751" s="5"/>
      <c r="G751" s="5"/>
      <c r="H751" s="5"/>
      <c r="I751" s="5"/>
      <c r="J751" s="5"/>
      <c r="K751" s="10"/>
      <c r="L751" s="10"/>
      <c r="M751" s="10"/>
      <c r="N751" s="5"/>
      <c r="O751" s="5"/>
      <c r="P751" s="27"/>
      <c r="Q751" s="27"/>
      <c r="R751" s="27"/>
      <c r="S751" s="27"/>
      <c r="T751" s="27"/>
      <c r="U751" s="27"/>
      <c r="V751" s="27"/>
      <c r="W751" s="27"/>
      <c r="X751" s="27"/>
      <c r="Y751" s="27"/>
      <c r="Z751" s="27"/>
      <c r="AA751" s="5"/>
      <c r="AB751" s="5"/>
      <c r="AC751" s="5"/>
      <c r="AD751" s="5"/>
      <c r="AE751" s="5"/>
      <c r="AF751" s="5"/>
      <c r="AG751" s="5"/>
      <c r="AH751" s="27"/>
      <c r="AI751" s="27"/>
      <c r="AJ751" s="27"/>
      <c r="AK751" s="5"/>
      <c r="AL751" s="6"/>
      <c r="AM751" s="10"/>
      <c r="AN751" s="63"/>
      <c r="AO751" s="63"/>
      <c r="AP751" s="63"/>
      <c r="AQ751" s="63"/>
      <c r="AR751" s="63"/>
      <c r="AS751" s="63"/>
      <c r="AT751" s="63"/>
      <c r="AU751" s="63"/>
      <c r="AV751" s="63"/>
      <c r="AW751" s="117"/>
    </row>
    <row r="752" spans="1:49">
      <c r="A752" s="1">
        <v>417</v>
      </c>
      <c r="B752" s="5"/>
      <c r="C752" s="10"/>
      <c r="D752" s="5"/>
      <c r="E752" s="10"/>
      <c r="F752" s="5"/>
      <c r="G752" s="5"/>
      <c r="H752" s="5"/>
      <c r="I752" s="5"/>
      <c r="J752" s="5"/>
      <c r="K752" s="10"/>
      <c r="L752" s="10"/>
      <c r="M752" s="10"/>
      <c r="N752" s="5"/>
      <c r="O752" s="5"/>
      <c r="P752" s="27"/>
      <c r="Q752" s="27"/>
      <c r="R752" s="27"/>
      <c r="S752" s="27"/>
      <c r="T752" s="27"/>
      <c r="U752" s="27"/>
      <c r="V752" s="27"/>
      <c r="W752" s="27"/>
      <c r="X752" s="27"/>
      <c r="Y752" s="27"/>
      <c r="Z752" s="27"/>
      <c r="AA752" s="5"/>
      <c r="AB752" s="5"/>
      <c r="AC752" s="5"/>
      <c r="AD752" s="5"/>
      <c r="AE752" s="5"/>
      <c r="AF752" s="5"/>
      <c r="AG752" s="5"/>
      <c r="AH752" s="27"/>
      <c r="AI752" s="27"/>
      <c r="AJ752" s="27"/>
      <c r="AK752" s="5"/>
      <c r="AL752" s="6"/>
      <c r="AM752" s="10"/>
      <c r="AN752" s="63"/>
      <c r="AO752" s="63"/>
      <c r="AP752" s="63"/>
      <c r="AQ752" s="63"/>
      <c r="AR752" s="63"/>
      <c r="AS752" s="63"/>
      <c r="AT752" s="63"/>
      <c r="AU752" s="63"/>
      <c r="AV752" s="63"/>
      <c r="AW752" s="117"/>
    </row>
    <row r="753" spans="1:49">
      <c r="A753" s="1">
        <v>418</v>
      </c>
      <c r="B753" s="5"/>
      <c r="C753" s="10"/>
      <c r="D753" s="5"/>
      <c r="E753" s="10"/>
      <c r="F753" s="5"/>
      <c r="G753" s="5"/>
      <c r="H753" s="5"/>
      <c r="I753" s="5"/>
      <c r="J753" s="5"/>
      <c r="K753" s="10"/>
      <c r="L753" s="10"/>
      <c r="M753" s="10"/>
      <c r="N753" s="5"/>
      <c r="O753" s="5"/>
      <c r="P753" s="27"/>
      <c r="Q753" s="27"/>
      <c r="R753" s="27"/>
      <c r="S753" s="27"/>
      <c r="T753" s="27"/>
      <c r="U753" s="27"/>
      <c r="V753" s="27"/>
      <c r="W753" s="27"/>
      <c r="X753" s="27"/>
      <c r="Y753" s="27"/>
      <c r="Z753" s="27"/>
      <c r="AA753" s="5"/>
      <c r="AB753" s="5"/>
      <c r="AC753" s="5"/>
      <c r="AD753" s="5"/>
      <c r="AE753" s="5"/>
      <c r="AF753" s="5"/>
      <c r="AG753" s="5"/>
      <c r="AH753" s="27"/>
      <c r="AI753" s="27"/>
      <c r="AJ753" s="27"/>
      <c r="AK753" s="5"/>
      <c r="AL753" s="6"/>
      <c r="AM753" s="10"/>
      <c r="AN753" s="63"/>
      <c r="AO753" s="63"/>
      <c r="AP753" s="63"/>
      <c r="AQ753" s="63"/>
      <c r="AR753" s="63"/>
      <c r="AS753" s="63"/>
      <c r="AT753" s="63"/>
      <c r="AU753" s="63"/>
      <c r="AV753" s="63"/>
      <c r="AW753" s="117"/>
    </row>
    <row r="754" spans="1:49">
      <c r="A754" s="1">
        <v>419</v>
      </c>
      <c r="B754" s="5"/>
      <c r="C754" s="10"/>
      <c r="D754" s="5"/>
      <c r="E754" s="10"/>
      <c r="F754" s="5"/>
      <c r="G754" s="5"/>
      <c r="H754" s="5"/>
      <c r="I754" s="5"/>
      <c r="J754" s="5"/>
      <c r="K754" s="10"/>
      <c r="L754" s="10"/>
      <c r="M754" s="10"/>
      <c r="N754" s="5"/>
      <c r="O754" s="5"/>
      <c r="P754" s="27"/>
      <c r="Q754" s="27"/>
      <c r="R754" s="27"/>
      <c r="S754" s="27"/>
      <c r="T754" s="27"/>
      <c r="U754" s="27"/>
      <c r="V754" s="27"/>
      <c r="W754" s="27"/>
      <c r="X754" s="27"/>
      <c r="Y754" s="27"/>
      <c r="Z754" s="27"/>
      <c r="AA754" s="5"/>
      <c r="AB754" s="5"/>
      <c r="AC754" s="5"/>
      <c r="AD754" s="5"/>
      <c r="AE754" s="5"/>
      <c r="AF754" s="5"/>
      <c r="AG754" s="5"/>
      <c r="AH754" s="27"/>
      <c r="AI754" s="27"/>
      <c r="AJ754" s="27"/>
      <c r="AK754" s="5"/>
      <c r="AL754" s="6"/>
      <c r="AM754" s="10"/>
      <c r="AN754" s="63"/>
      <c r="AO754" s="63"/>
      <c r="AP754" s="63"/>
      <c r="AQ754" s="63"/>
      <c r="AR754" s="63"/>
      <c r="AS754" s="63"/>
      <c r="AT754" s="63"/>
      <c r="AU754" s="63"/>
      <c r="AV754" s="63"/>
      <c r="AW754" s="117"/>
    </row>
    <row r="755" spans="1:49">
      <c r="A755" s="1">
        <v>420</v>
      </c>
      <c r="B755" s="5"/>
      <c r="C755" s="10"/>
      <c r="D755" s="5"/>
      <c r="E755" s="10"/>
      <c r="F755" s="5"/>
      <c r="G755" s="5"/>
      <c r="H755" s="5"/>
      <c r="I755" s="5"/>
      <c r="J755" s="5"/>
      <c r="K755" s="10"/>
      <c r="L755" s="10"/>
      <c r="M755" s="10"/>
      <c r="N755" s="5"/>
      <c r="O755" s="5"/>
      <c r="P755" s="27"/>
      <c r="Q755" s="27"/>
      <c r="R755" s="27"/>
      <c r="S755" s="27"/>
      <c r="T755" s="27"/>
      <c r="U755" s="27"/>
      <c r="V755" s="27"/>
      <c r="W755" s="27"/>
      <c r="X755" s="27"/>
      <c r="Y755" s="27"/>
      <c r="Z755" s="27"/>
      <c r="AA755" s="5"/>
      <c r="AB755" s="5"/>
      <c r="AC755" s="5"/>
      <c r="AD755" s="5"/>
      <c r="AE755" s="5"/>
      <c r="AF755" s="5"/>
      <c r="AG755" s="5"/>
      <c r="AH755" s="27"/>
      <c r="AI755" s="27"/>
      <c r="AJ755" s="27"/>
      <c r="AK755" s="5"/>
      <c r="AL755" s="6"/>
      <c r="AM755" s="10"/>
      <c r="AN755" s="63"/>
      <c r="AO755" s="63"/>
      <c r="AP755" s="63"/>
      <c r="AQ755" s="63"/>
      <c r="AR755" s="63"/>
      <c r="AS755" s="63"/>
      <c r="AT755" s="63"/>
      <c r="AU755" s="63"/>
      <c r="AV755" s="63"/>
      <c r="AW755" s="117"/>
    </row>
    <row r="756" spans="1:49">
      <c r="A756" s="1">
        <v>421</v>
      </c>
      <c r="B756" s="5"/>
      <c r="C756" s="10"/>
      <c r="D756" s="5"/>
      <c r="E756" s="10"/>
      <c r="F756" s="5"/>
      <c r="G756" s="5"/>
      <c r="H756" s="5"/>
      <c r="I756" s="5"/>
      <c r="J756" s="5"/>
      <c r="K756" s="10"/>
      <c r="L756" s="10"/>
      <c r="M756" s="10"/>
      <c r="N756" s="5"/>
      <c r="O756" s="5"/>
      <c r="P756" s="27"/>
      <c r="Q756" s="27"/>
      <c r="R756" s="27"/>
      <c r="S756" s="27"/>
      <c r="T756" s="27"/>
      <c r="U756" s="27"/>
      <c r="V756" s="27"/>
      <c r="W756" s="27"/>
      <c r="X756" s="27"/>
      <c r="Y756" s="27"/>
      <c r="Z756" s="27"/>
      <c r="AA756" s="5"/>
      <c r="AB756" s="5"/>
      <c r="AC756" s="5"/>
      <c r="AD756" s="5"/>
      <c r="AE756" s="5"/>
      <c r="AF756" s="5"/>
      <c r="AG756" s="5"/>
      <c r="AH756" s="27"/>
      <c r="AI756" s="27"/>
      <c r="AJ756" s="27"/>
      <c r="AK756" s="5"/>
      <c r="AL756" s="6"/>
      <c r="AM756" s="10"/>
      <c r="AN756" s="63"/>
      <c r="AO756" s="63"/>
      <c r="AP756" s="63"/>
      <c r="AQ756" s="63"/>
      <c r="AR756" s="63"/>
      <c r="AS756" s="63"/>
      <c r="AT756" s="63"/>
      <c r="AU756" s="63"/>
      <c r="AV756" s="63"/>
      <c r="AW756" s="117"/>
    </row>
    <row r="757" spans="1:49">
      <c r="A757" s="1">
        <v>422</v>
      </c>
      <c r="B757" s="5"/>
      <c r="C757" s="10"/>
      <c r="D757" s="5"/>
      <c r="E757" s="10"/>
      <c r="F757" s="5"/>
      <c r="G757" s="5"/>
      <c r="H757" s="5"/>
      <c r="I757" s="5"/>
      <c r="J757" s="5"/>
      <c r="K757" s="10"/>
      <c r="L757" s="10"/>
      <c r="M757" s="10"/>
      <c r="N757" s="5"/>
      <c r="O757" s="5"/>
      <c r="P757" s="27"/>
      <c r="Q757" s="27"/>
      <c r="R757" s="27"/>
      <c r="S757" s="27"/>
      <c r="T757" s="27"/>
      <c r="U757" s="27"/>
      <c r="V757" s="27"/>
      <c r="W757" s="27"/>
      <c r="X757" s="27"/>
      <c r="Y757" s="27"/>
      <c r="Z757" s="27"/>
      <c r="AA757" s="5"/>
      <c r="AB757" s="5"/>
      <c r="AC757" s="5"/>
      <c r="AD757" s="5"/>
      <c r="AE757" s="5"/>
      <c r="AF757" s="5"/>
      <c r="AG757" s="5"/>
      <c r="AH757" s="27"/>
      <c r="AI757" s="27"/>
      <c r="AJ757" s="27"/>
      <c r="AK757" s="5"/>
      <c r="AL757" s="6"/>
      <c r="AM757" s="10"/>
      <c r="AN757" s="63"/>
      <c r="AO757" s="63"/>
      <c r="AP757" s="63"/>
      <c r="AQ757" s="63"/>
      <c r="AR757" s="63"/>
      <c r="AS757" s="63"/>
      <c r="AT757" s="63"/>
      <c r="AU757" s="63"/>
      <c r="AV757" s="63"/>
      <c r="AW757" s="117"/>
    </row>
    <row r="758" spans="1:49">
      <c r="A758" s="1">
        <v>423</v>
      </c>
      <c r="B758" s="5"/>
      <c r="C758" s="10"/>
      <c r="D758" s="5"/>
      <c r="E758" s="10"/>
      <c r="F758" s="5"/>
      <c r="G758" s="5"/>
      <c r="H758" s="5"/>
      <c r="I758" s="5"/>
      <c r="J758" s="5"/>
      <c r="K758" s="10"/>
      <c r="L758" s="10"/>
      <c r="M758" s="10"/>
      <c r="N758" s="5"/>
      <c r="O758" s="5"/>
      <c r="P758" s="27"/>
      <c r="Q758" s="27"/>
      <c r="R758" s="27"/>
      <c r="S758" s="27"/>
      <c r="T758" s="27"/>
      <c r="U758" s="27"/>
      <c r="V758" s="27"/>
      <c r="W758" s="27"/>
      <c r="X758" s="27"/>
      <c r="Y758" s="27"/>
      <c r="Z758" s="27"/>
      <c r="AA758" s="5"/>
      <c r="AB758" s="5"/>
      <c r="AC758" s="5"/>
      <c r="AD758" s="5"/>
      <c r="AE758" s="5"/>
      <c r="AF758" s="5"/>
      <c r="AG758" s="5"/>
      <c r="AH758" s="27"/>
      <c r="AI758" s="27"/>
      <c r="AJ758" s="27"/>
      <c r="AK758" s="5"/>
      <c r="AL758" s="6"/>
      <c r="AM758" s="10"/>
      <c r="AN758" s="63"/>
      <c r="AO758" s="63"/>
      <c r="AP758" s="63"/>
      <c r="AQ758" s="63"/>
      <c r="AR758" s="63"/>
      <c r="AS758" s="63"/>
      <c r="AT758" s="63"/>
      <c r="AU758" s="63"/>
      <c r="AV758" s="63"/>
      <c r="AW758" s="117"/>
    </row>
    <row r="759" spans="1:49">
      <c r="A759" s="1">
        <v>424</v>
      </c>
      <c r="B759" s="5"/>
      <c r="C759" s="10"/>
      <c r="D759" s="5"/>
      <c r="E759" s="10"/>
      <c r="F759" s="5"/>
      <c r="G759" s="5"/>
      <c r="H759" s="5"/>
      <c r="I759" s="5"/>
      <c r="J759" s="5"/>
      <c r="K759" s="10"/>
      <c r="L759" s="10"/>
      <c r="M759" s="10"/>
      <c r="N759" s="5"/>
      <c r="O759" s="5"/>
      <c r="P759" s="27"/>
      <c r="Q759" s="27"/>
      <c r="R759" s="27"/>
      <c r="S759" s="27"/>
      <c r="T759" s="27"/>
      <c r="U759" s="27"/>
      <c r="V759" s="27"/>
      <c r="W759" s="27"/>
      <c r="X759" s="27"/>
      <c r="Y759" s="27"/>
      <c r="Z759" s="27"/>
      <c r="AA759" s="5"/>
      <c r="AB759" s="5"/>
      <c r="AC759" s="5"/>
      <c r="AD759" s="5"/>
      <c r="AE759" s="5"/>
      <c r="AF759" s="5"/>
      <c r="AG759" s="5"/>
      <c r="AH759" s="27"/>
      <c r="AI759" s="27"/>
      <c r="AJ759" s="27"/>
      <c r="AK759" s="5"/>
      <c r="AL759" s="6"/>
      <c r="AM759" s="10"/>
      <c r="AN759" s="63"/>
      <c r="AO759" s="63"/>
      <c r="AP759" s="63"/>
      <c r="AQ759" s="63"/>
      <c r="AR759" s="63"/>
      <c r="AS759" s="63"/>
      <c r="AT759" s="63"/>
      <c r="AU759" s="63"/>
      <c r="AV759" s="63"/>
      <c r="AW759" s="117"/>
    </row>
    <row r="760" spans="1:49">
      <c r="A760" s="1">
        <v>425</v>
      </c>
      <c r="B760" s="5"/>
      <c r="C760" s="10"/>
      <c r="D760" s="5"/>
      <c r="E760" s="10"/>
      <c r="F760" s="5"/>
      <c r="G760" s="5"/>
      <c r="H760" s="5"/>
      <c r="I760" s="5"/>
      <c r="J760" s="5"/>
      <c r="K760" s="10"/>
      <c r="L760" s="10"/>
      <c r="M760" s="10"/>
      <c r="N760" s="5"/>
      <c r="O760" s="5"/>
      <c r="P760" s="27"/>
      <c r="Q760" s="27"/>
      <c r="R760" s="27"/>
      <c r="S760" s="27"/>
      <c r="T760" s="27"/>
      <c r="U760" s="27"/>
      <c r="V760" s="27"/>
      <c r="W760" s="27"/>
      <c r="X760" s="27"/>
      <c r="Y760" s="27"/>
      <c r="Z760" s="27"/>
      <c r="AA760" s="5"/>
      <c r="AB760" s="5"/>
      <c r="AC760" s="5"/>
      <c r="AD760" s="5"/>
      <c r="AE760" s="5"/>
      <c r="AF760" s="5"/>
      <c r="AG760" s="5"/>
      <c r="AH760" s="27"/>
      <c r="AI760" s="27"/>
      <c r="AJ760" s="27"/>
      <c r="AK760" s="5"/>
      <c r="AL760" s="6"/>
      <c r="AM760" s="10"/>
      <c r="AN760" s="63"/>
      <c r="AO760" s="63"/>
      <c r="AP760" s="63"/>
      <c r="AQ760" s="63"/>
      <c r="AR760" s="63"/>
      <c r="AS760" s="63"/>
      <c r="AT760" s="63"/>
      <c r="AU760" s="63"/>
      <c r="AV760" s="63"/>
      <c r="AW760" s="117"/>
    </row>
    <row r="761" spans="1:49">
      <c r="A761" s="1">
        <v>426</v>
      </c>
      <c r="B761" s="5"/>
      <c r="C761" s="10"/>
      <c r="D761" s="5"/>
      <c r="E761" s="10"/>
      <c r="F761" s="5"/>
      <c r="G761" s="5"/>
      <c r="H761" s="5"/>
      <c r="I761" s="5"/>
      <c r="J761" s="5"/>
      <c r="K761" s="10"/>
      <c r="L761" s="10"/>
      <c r="M761" s="10"/>
      <c r="N761" s="5"/>
      <c r="O761" s="5"/>
      <c r="P761" s="27"/>
      <c r="Q761" s="27"/>
      <c r="R761" s="27"/>
      <c r="S761" s="27"/>
      <c r="T761" s="27"/>
      <c r="U761" s="27"/>
      <c r="V761" s="27"/>
      <c r="W761" s="27"/>
      <c r="X761" s="27"/>
      <c r="Y761" s="27"/>
      <c r="Z761" s="27"/>
      <c r="AA761" s="5"/>
      <c r="AB761" s="5"/>
      <c r="AC761" s="5"/>
      <c r="AD761" s="5"/>
      <c r="AE761" s="5"/>
      <c r="AF761" s="5"/>
      <c r="AG761" s="5"/>
      <c r="AH761" s="27"/>
      <c r="AI761" s="27"/>
      <c r="AJ761" s="27"/>
      <c r="AK761" s="5"/>
      <c r="AL761" s="6"/>
      <c r="AM761" s="10"/>
      <c r="AN761" s="63"/>
      <c r="AO761" s="63"/>
      <c r="AP761" s="63"/>
      <c r="AQ761" s="63"/>
      <c r="AR761" s="63"/>
      <c r="AS761" s="63"/>
      <c r="AT761" s="63"/>
      <c r="AU761" s="63"/>
      <c r="AV761" s="63"/>
      <c r="AW761" s="117"/>
    </row>
    <row r="762" spans="1:49">
      <c r="A762" s="1">
        <v>427</v>
      </c>
      <c r="B762" s="5"/>
      <c r="C762" s="10"/>
      <c r="D762" s="5"/>
      <c r="E762" s="10"/>
      <c r="F762" s="5"/>
      <c r="G762" s="5"/>
      <c r="H762" s="5"/>
      <c r="I762" s="5"/>
      <c r="J762" s="5"/>
      <c r="K762" s="10"/>
      <c r="L762" s="10"/>
      <c r="M762" s="10"/>
      <c r="N762" s="5"/>
      <c r="O762" s="5"/>
      <c r="P762" s="27"/>
      <c r="Q762" s="27"/>
      <c r="R762" s="27"/>
      <c r="S762" s="27"/>
      <c r="T762" s="27"/>
      <c r="U762" s="27"/>
      <c r="V762" s="27"/>
      <c r="W762" s="27"/>
      <c r="X762" s="27"/>
      <c r="Y762" s="27"/>
      <c r="Z762" s="27"/>
      <c r="AA762" s="5"/>
      <c r="AB762" s="5"/>
      <c r="AC762" s="5"/>
      <c r="AD762" s="5"/>
      <c r="AE762" s="5"/>
      <c r="AF762" s="5"/>
      <c r="AG762" s="5"/>
      <c r="AH762" s="27"/>
      <c r="AI762" s="27"/>
      <c r="AJ762" s="27"/>
      <c r="AK762" s="5"/>
      <c r="AL762" s="6"/>
      <c r="AM762" s="10"/>
      <c r="AN762" s="63"/>
      <c r="AO762" s="63"/>
      <c r="AP762" s="63"/>
      <c r="AQ762" s="63"/>
      <c r="AR762" s="63"/>
      <c r="AS762" s="63"/>
      <c r="AT762" s="63"/>
      <c r="AU762" s="63"/>
      <c r="AV762" s="63"/>
      <c r="AW762" s="117"/>
    </row>
    <row r="763" spans="1:49">
      <c r="A763" s="1">
        <v>428</v>
      </c>
      <c r="B763" s="5"/>
      <c r="C763" s="10"/>
      <c r="D763" s="5"/>
      <c r="E763" s="10"/>
      <c r="F763" s="5"/>
      <c r="G763" s="5"/>
      <c r="H763" s="5"/>
      <c r="I763" s="5"/>
      <c r="J763" s="5"/>
      <c r="K763" s="10"/>
      <c r="L763" s="10"/>
      <c r="M763" s="10"/>
      <c r="N763" s="5"/>
      <c r="O763" s="5"/>
      <c r="P763" s="27"/>
      <c r="Q763" s="27"/>
      <c r="R763" s="27"/>
      <c r="S763" s="27"/>
      <c r="T763" s="27"/>
      <c r="U763" s="27"/>
      <c r="V763" s="27"/>
      <c r="W763" s="27"/>
      <c r="X763" s="27"/>
      <c r="Y763" s="27"/>
      <c r="Z763" s="27"/>
      <c r="AA763" s="5"/>
      <c r="AB763" s="5"/>
      <c r="AC763" s="5"/>
      <c r="AD763" s="5"/>
      <c r="AE763" s="5"/>
      <c r="AF763" s="5"/>
      <c r="AG763" s="5"/>
      <c r="AH763" s="27"/>
      <c r="AI763" s="27"/>
      <c r="AJ763" s="27"/>
      <c r="AK763" s="5"/>
      <c r="AL763" s="6"/>
      <c r="AM763" s="10"/>
      <c r="AN763" s="63"/>
      <c r="AO763" s="63"/>
      <c r="AP763" s="63"/>
      <c r="AQ763" s="63"/>
      <c r="AR763" s="63"/>
      <c r="AS763" s="63"/>
      <c r="AT763" s="63"/>
      <c r="AU763" s="63"/>
      <c r="AV763" s="63"/>
      <c r="AW763" s="117"/>
    </row>
    <row r="764" spans="1:49">
      <c r="A764" s="1">
        <v>429</v>
      </c>
      <c r="B764" s="5"/>
      <c r="C764" s="10"/>
      <c r="D764" s="5"/>
      <c r="E764" s="10"/>
      <c r="F764" s="5"/>
      <c r="G764" s="5"/>
      <c r="H764" s="5"/>
      <c r="I764" s="5"/>
      <c r="J764" s="5"/>
      <c r="K764" s="10"/>
      <c r="L764" s="10"/>
      <c r="M764" s="10"/>
      <c r="N764" s="5"/>
      <c r="O764" s="5"/>
      <c r="P764" s="27"/>
      <c r="Q764" s="27"/>
      <c r="R764" s="27"/>
      <c r="S764" s="27"/>
      <c r="T764" s="27"/>
      <c r="U764" s="27"/>
      <c r="V764" s="27"/>
      <c r="W764" s="27"/>
      <c r="X764" s="27"/>
      <c r="Y764" s="27"/>
      <c r="Z764" s="27"/>
      <c r="AA764" s="5"/>
      <c r="AB764" s="5"/>
      <c r="AC764" s="5"/>
      <c r="AD764" s="5"/>
      <c r="AE764" s="5"/>
      <c r="AF764" s="5"/>
      <c r="AG764" s="5"/>
      <c r="AH764" s="27"/>
      <c r="AI764" s="27"/>
      <c r="AJ764" s="27"/>
      <c r="AK764" s="5"/>
      <c r="AL764" s="6"/>
      <c r="AM764" s="10"/>
      <c r="AN764" s="63"/>
      <c r="AO764" s="63"/>
      <c r="AP764" s="63"/>
      <c r="AQ764" s="63"/>
      <c r="AR764" s="63"/>
      <c r="AS764" s="63"/>
      <c r="AT764" s="63"/>
      <c r="AU764" s="63"/>
      <c r="AV764" s="63"/>
      <c r="AW764" s="117"/>
    </row>
    <row r="765" spans="1:49">
      <c r="A765" s="1">
        <v>430</v>
      </c>
      <c r="B765" s="5"/>
      <c r="C765" s="10"/>
      <c r="D765" s="5"/>
      <c r="E765" s="10"/>
      <c r="F765" s="5"/>
      <c r="G765" s="5"/>
      <c r="H765" s="5"/>
      <c r="I765" s="5"/>
      <c r="J765" s="5"/>
      <c r="K765" s="10"/>
      <c r="L765" s="10"/>
      <c r="M765" s="10"/>
      <c r="N765" s="5"/>
      <c r="O765" s="5"/>
      <c r="P765" s="27"/>
      <c r="Q765" s="27"/>
      <c r="R765" s="27"/>
      <c r="S765" s="27"/>
      <c r="T765" s="27"/>
      <c r="U765" s="27"/>
      <c r="V765" s="27"/>
      <c r="W765" s="27"/>
      <c r="X765" s="27"/>
      <c r="Y765" s="27"/>
      <c r="Z765" s="27"/>
      <c r="AA765" s="5"/>
      <c r="AB765" s="5"/>
      <c r="AC765" s="5"/>
      <c r="AD765" s="5"/>
      <c r="AE765" s="5"/>
      <c r="AF765" s="5"/>
      <c r="AG765" s="5"/>
      <c r="AH765" s="27"/>
      <c r="AI765" s="27"/>
      <c r="AJ765" s="27"/>
      <c r="AK765" s="5"/>
      <c r="AL765" s="6"/>
      <c r="AM765" s="10"/>
      <c r="AN765" s="63"/>
      <c r="AO765" s="63"/>
      <c r="AP765" s="63"/>
      <c r="AQ765" s="63"/>
      <c r="AR765" s="63"/>
      <c r="AS765" s="63"/>
      <c r="AT765" s="63"/>
      <c r="AU765" s="63"/>
      <c r="AV765" s="63"/>
      <c r="AW765" s="117"/>
    </row>
    <row r="766" spans="1:49">
      <c r="A766" s="1">
        <v>431</v>
      </c>
      <c r="B766" s="5"/>
      <c r="C766" s="10"/>
      <c r="D766" s="5"/>
      <c r="E766" s="10"/>
      <c r="F766" s="5"/>
      <c r="G766" s="5"/>
      <c r="H766" s="5"/>
      <c r="I766" s="5"/>
      <c r="J766" s="5"/>
      <c r="K766" s="10"/>
      <c r="L766" s="10"/>
      <c r="M766" s="10"/>
      <c r="N766" s="5"/>
      <c r="O766" s="5"/>
      <c r="P766" s="27"/>
      <c r="Q766" s="27"/>
      <c r="R766" s="27"/>
      <c r="S766" s="27"/>
      <c r="T766" s="27"/>
      <c r="U766" s="27"/>
      <c r="V766" s="27"/>
      <c r="W766" s="27"/>
      <c r="X766" s="27"/>
      <c r="Y766" s="27"/>
      <c r="Z766" s="27"/>
      <c r="AA766" s="5"/>
      <c r="AB766" s="5"/>
      <c r="AC766" s="5"/>
      <c r="AD766" s="5"/>
      <c r="AE766" s="5"/>
      <c r="AF766" s="5"/>
      <c r="AG766" s="5"/>
      <c r="AH766" s="27"/>
      <c r="AI766" s="27"/>
      <c r="AJ766" s="27"/>
      <c r="AK766" s="5"/>
      <c r="AL766" s="6"/>
      <c r="AM766" s="10"/>
      <c r="AN766" s="63"/>
      <c r="AO766" s="63"/>
      <c r="AP766" s="63"/>
      <c r="AQ766" s="63"/>
      <c r="AR766" s="63"/>
      <c r="AS766" s="63"/>
      <c r="AT766" s="63"/>
      <c r="AU766" s="63"/>
      <c r="AV766" s="63"/>
      <c r="AW766" s="117"/>
    </row>
    <row r="767" spans="1:49">
      <c r="A767" s="1">
        <v>432</v>
      </c>
      <c r="B767" s="5"/>
      <c r="C767" s="10"/>
      <c r="D767" s="5"/>
      <c r="E767" s="10"/>
      <c r="F767" s="5"/>
      <c r="G767" s="5"/>
      <c r="H767" s="5"/>
      <c r="I767" s="5"/>
      <c r="J767" s="5"/>
      <c r="K767" s="10"/>
      <c r="L767" s="10"/>
      <c r="M767" s="10"/>
      <c r="N767" s="5"/>
      <c r="O767" s="5"/>
      <c r="P767" s="27"/>
      <c r="Q767" s="27"/>
      <c r="R767" s="27"/>
      <c r="S767" s="27"/>
      <c r="T767" s="27"/>
      <c r="U767" s="27"/>
      <c r="V767" s="27"/>
      <c r="W767" s="27"/>
      <c r="X767" s="27"/>
      <c r="Y767" s="27"/>
      <c r="Z767" s="27"/>
      <c r="AA767" s="5"/>
      <c r="AB767" s="5"/>
      <c r="AC767" s="5"/>
      <c r="AD767" s="5"/>
      <c r="AE767" s="5"/>
      <c r="AF767" s="5"/>
      <c r="AG767" s="5"/>
      <c r="AH767" s="27"/>
      <c r="AI767" s="27"/>
      <c r="AJ767" s="27"/>
      <c r="AK767" s="5"/>
      <c r="AL767" s="6"/>
      <c r="AM767" s="10"/>
      <c r="AN767" s="63"/>
      <c r="AO767" s="63"/>
      <c r="AP767" s="63"/>
      <c r="AQ767" s="63"/>
      <c r="AR767" s="63"/>
      <c r="AS767" s="63"/>
      <c r="AT767" s="63"/>
      <c r="AU767" s="63"/>
      <c r="AV767" s="63"/>
      <c r="AW767" s="117"/>
    </row>
    <row r="768" spans="1:49">
      <c r="A768" s="1">
        <v>433</v>
      </c>
      <c r="B768" s="5"/>
      <c r="C768" s="10"/>
      <c r="D768" s="5"/>
      <c r="E768" s="10"/>
      <c r="F768" s="5"/>
      <c r="G768" s="5"/>
      <c r="H768" s="5"/>
      <c r="I768" s="5"/>
      <c r="J768" s="5"/>
      <c r="K768" s="10"/>
      <c r="L768" s="10"/>
      <c r="M768" s="10"/>
      <c r="N768" s="5"/>
      <c r="O768" s="5"/>
      <c r="P768" s="27"/>
      <c r="Q768" s="27"/>
      <c r="R768" s="27"/>
      <c r="S768" s="27"/>
      <c r="T768" s="27"/>
      <c r="U768" s="27"/>
      <c r="V768" s="27"/>
      <c r="W768" s="27"/>
      <c r="X768" s="27"/>
      <c r="Y768" s="27"/>
      <c r="Z768" s="27"/>
      <c r="AA768" s="5"/>
      <c r="AB768" s="5"/>
      <c r="AC768" s="5"/>
      <c r="AD768" s="5"/>
      <c r="AE768" s="5"/>
      <c r="AF768" s="5"/>
      <c r="AG768" s="5"/>
      <c r="AH768" s="27"/>
      <c r="AI768" s="27"/>
      <c r="AJ768" s="27"/>
      <c r="AK768" s="5"/>
      <c r="AL768" s="6"/>
      <c r="AM768" s="10"/>
      <c r="AN768" s="63"/>
      <c r="AO768" s="63"/>
      <c r="AP768" s="63"/>
      <c r="AQ768" s="63"/>
      <c r="AR768" s="63"/>
      <c r="AS768" s="63"/>
      <c r="AT768" s="63"/>
      <c r="AU768" s="63"/>
      <c r="AV768" s="63"/>
      <c r="AW768" s="117"/>
    </row>
    <row r="769" spans="1:49">
      <c r="A769" s="1">
        <v>434</v>
      </c>
      <c r="B769" s="5"/>
      <c r="C769" s="10"/>
      <c r="D769" s="5"/>
      <c r="E769" s="10"/>
      <c r="F769" s="5"/>
      <c r="G769" s="5"/>
      <c r="H769" s="5"/>
      <c r="I769" s="5"/>
      <c r="J769" s="5"/>
      <c r="K769" s="10"/>
      <c r="L769" s="10"/>
      <c r="M769" s="10"/>
      <c r="N769" s="5"/>
      <c r="O769" s="5"/>
      <c r="P769" s="27"/>
      <c r="Q769" s="27"/>
      <c r="R769" s="27"/>
      <c r="S769" s="27"/>
      <c r="T769" s="27"/>
      <c r="U769" s="27"/>
      <c r="V769" s="27"/>
      <c r="W769" s="27"/>
      <c r="X769" s="27"/>
      <c r="Y769" s="27"/>
      <c r="Z769" s="27"/>
      <c r="AA769" s="5"/>
      <c r="AB769" s="5"/>
      <c r="AC769" s="5"/>
      <c r="AD769" s="5"/>
      <c r="AE769" s="5"/>
      <c r="AF769" s="5"/>
      <c r="AG769" s="5"/>
      <c r="AH769" s="27"/>
      <c r="AI769" s="27"/>
      <c r="AJ769" s="27"/>
      <c r="AK769" s="5"/>
      <c r="AL769" s="6"/>
      <c r="AM769" s="10"/>
      <c r="AN769" s="63"/>
      <c r="AO769" s="63"/>
      <c r="AP769" s="63"/>
      <c r="AQ769" s="63"/>
      <c r="AR769" s="63"/>
      <c r="AS769" s="63"/>
      <c r="AT769" s="63"/>
      <c r="AU769" s="63"/>
      <c r="AV769" s="63"/>
      <c r="AW769" s="117"/>
    </row>
    <row r="770" spans="1:49">
      <c r="A770" s="1">
        <v>435</v>
      </c>
      <c r="B770" s="5"/>
      <c r="C770" s="10"/>
      <c r="D770" s="5"/>
      <c r="E770" s="10"/>
      <c r="F770" s="5"/>
      <c r="G770" s="5"/>
      <c r="H770" s="5"/>
      <c r="I770" s="5"/>
      <c r="J770" s="5"/>
      <c r="K770" s="10"/>
      <c r="L770" s="10"/>
      <c r="M770" s="10"/>
      <c r="N770" s="5"/>
      <c r="O770" s="5"/>
      <c r="P770" s="27"/>
      <c r="Q770" s="27"/>
      <c r="R770" s="27"/>
      <c r="S770" s="27"/>
      <c r="T770" s="27"/>
      <c r="U770" s="27"/>
      <c r="V770" s="27"/>
      <c r="W770" s="27"/>
      <c r="X770" s="27"/>
      <c r="Y770" s="27"/>
      <c r="Z770" s="27"/>
      <c r="AA770" s="5"/>
      <c r="AB770" s="5"/>
      <c r="AC770" s="5"/>
      <c r="AD770" s="5"/>
      <c r="AE770" s="5"/>
      <c r="AF770" s="5"/>
      <c r="AG770" s="5"/>
      <c r="AH770" s="27"/>
      <c r="AI770" s="27"/>
      <c r="AJ770" s="27"/>
      <c r="AK770" s="5"/>
      <c r="AL770" s="6"/>
      <c r="AM770" s="10"/>
      <c r="AN770" s="63"/>
      <c r="AO770" s="63"/>
      <c r="AP770" s="63"/>
      <c r="AQ770" s="63"/>
      <c r="AR770" s="63"/>
      <c r="AS770" s="63"/>
      <c r="AT770" s="63"/>
      <c r="AU770" s="63"/>
      <c r="AV770" s="63"/>
      <c r="AW770" s="117"/>
    </row>
    <row r="771" spans="1:49">
      <c r="A771" s="1">
        <v>436</v>
      </c>
      <c r="B771" s="5"/>
      <c r="C771" s="10"/>
      <c r="D771" s="5"/>
      <c r="E771" s="10"/>
      <c r="F771" s="5"/>
      <c r="G771" s="5"/>
      <c r="H771" s="5"/>
      <c r="I771" s="5"/>
      <c r="J771" s="5"/>
      <c r="K771" s="10"/>
      <c r="L771" s="10"/>
      <c r="M771" s="10"/>
      <c r="N771" s="5"/>
      <c r="O771" s="5"/>
      <c r="P771" s="27"/>
      <c r="Q771" s="27"/>
      <c r="R771" s="27"/>
      <c r="S771" s="27"/>
      <c r="T771" s="27"/>
      <c r="U771" s="27"/>
      <c r="V771" s="27"/>
      <c r="W771" s="27"/>
      <c r="X771" s="27"/>
      <c r="Y771" s="27"/>
      <c r="Z771" s="27"/>
      <c r="AA771" s="5"/>
      <c r="AB771" s="5"/>
      <c r="AC771" s="5"/>
      <c r="AD771" s="5"/>
      <c r="AE771" s="5"/>
      <c r="AF771" s="5"/>
      <c r="AG771" s="5"/>
      <c r="AH771" s="27"/>
      <c r="AI771" s="27"/>
      <c r="AJ771" s="27"/>
      <c r="AK771" s="5"/>
      <c r="AL771" s="6"/>
      <c r="AM771" s="10"/>
      <c r="AN771" s="63"/>
      <c r="AO771" s="63"/>
      <c r="AP771" s="63"/>
      <c r="AQ771" s="63"/>
      <c r="AR771" s="63"/>
      <c r="AS771" s="63"/>
      <c r="AT771" s="63"/>
      <c r="AU771" s="63"/>
      <c r="AV771" s="63"/>
      <c r="AW771" s="117"/>
    </row>
    <row r="772" spans="1:49">
      <c r="A772" s="1">
        <v>437</v>
      </c>
      <c r="B772" s="5"/>
      <c r="C772" s="10"/>
      <c r="D772" s="5"/>
      <c r="E772" s="10"/>
      <c r="F772" s="5"/>
      <c r="G772" s="5"/>
      <c r="H772" s="5"/>
      <c r="I772" s="5"/>
      <c r="J772" s="5"/>
      <c r="K772" s="10"/>
      <c r="L772" s="10"/>
      <c r="M772" s="10"/>
      <c r="N772" s="5"/>
      <c r="O772" s="5"/>
      <c r="P772" s="27"/>
      <c r="Q772" s="27"/>
      <c r="R772" s="27"/>
      <c r="S772" s="27"/>
      <c r="T772" s="27"/>
      <c r="U772" s="27"/>
      <c r="V772" s="27"/>
      <c r="W772" s="27"/>
      <c r="X772" s="27"/>
      <c r="Y772" s="27"/>
      <c r="Z772" s="27"/>
      <c r="AA772" s="5"/>
      <c r="AB772" s="5"/>
      <c r="AC772" s="5"/>
      <c r="AD772" s="5"/>
      <c r="AE772" s="5"/>
      <c r="AF772" s="5"/>
      <c r="AG772" s="5"/>
      <c r="AH772" s="27"/>
      <c r="AI772" s="27"/>
      <c r="AJ772" s="27"/>
      <c r="AK772" s="5"/>
      <c r="AL772" s="6"/>
      <c r="AM772" s="10"/>
      <c r="AN772" s="63"/>
      <c r="AO772" s="63"/>
      <c r="AP772" s="63"/>
      <c r="AQ772" s="63"/>
      <c r="AR772" s="63"/>
      <c r="AS772" s="63"/>
      <c r="AT772" s="63"/>
      <c r="AU772" s="63"/>
      <c r="AV772" s="63"/>
      <c r="AW772" s="117"/>
    </row>
    <row r="773" spans="1:49">
      <c r="A773" s="1">
        <v>438</v>
      </c>
      <c r="B773" s="5"/>
      <c r="C773" s="10"/>
      <c r="D773" s="5"/>
      <c r="E773" s="10"/>
      <c r="F773" s="5"/>
      <c r="G773" s="5"/>
      <c r="H773" s="5"/>
      <c r="I773" s="5"/>
      <c r="J773" s="5"/>
      <c r="K773" s="10"/>
      <c r="L773" s="10"/>
      <c r="M773" s="10"/>
      <c r="N773" s="5"/>
      <c r="O773" s="5"/>
      <c r="P773" s="27"/>
      <c r="Q773" s="27"/>
      <c r="R773" s="27"/>
      <c r="S773" s="27"/>
      <c r="T773" s="27"/>
      <c r="U773" s="27"/>
      <c r="V773" s="27"/>
      <c r="W773" s="27"/>
      <c r="X773" s="27"/>
      <c r="Y773" s="27"/>
      <c r="Z773" s="27"/>
      <c r="AA773" s="5"/>
      <c r="AB773" s="5"/>
      <c r="AC773" s="5"/>
      <c r="AD773" s="5"/>
      <c r="AE773" s="5"/>
      <c r="AF773" s="5"/>
      <c r="AG773" s="5"/>
      <c r="AH773" s="27"/>
      <c r="AI773" s="27"/>
      <c r="AJ773" s="27"/>
      <c r="AK773" s="5"/>
      <c r="AL773" s="6"/>
      <c r="AM773" s="10"/>
      <c r="AN773" s="63"/>
      <c r="AO773" s="63"/>
      <c r="AP773" s="63"/>
      <c r="AQ773" s="63"/>
      <c r="AR773" s="63"/>
      <c r="AS773" s="63"/>
      <c r="AT773" s="63"/>
      <c r="AU773" s="63"/>
      <c r="AV773" s="63"/>
      <c r="AW773" s="117"/>
    </row>
    <row r="774" spans="1:49">
      <c r="A774" s="1">
        <v>439</v>
      </c>
      <c r="B774" s="5"/>
      <c r="C774" s="10"/>
      <c r="D774" s="5"/>
      <c r="E774" s="10"/>
      <c r="F774" s="5"/>
      <c r="G774" s="5"/>
      <c r="H774" s="5"/>
      <c r="I774" s="5"/>
      <c r="J774" s="5"/>
      <c r="K774" s="10"/>
      <c r="L774" s="10"/>
      <c r="M774" s="10"/>
      <c r="N774" s="5"/>
      <c r="O774" s="5"/>
      <c r="P774" s="27"/>
      <c r="Q774" s="27"/>
      <c r="R774" s="27"/>
      <c r="S774" s="27"/>
      <c r="T774" s="27"/>
      <c r="U774" s="27"/>
      <c r="V774" s="27"/>
      <c r="W774" s="27"/>
      <c r="X774" s="27"/>
      <c r="Y774" s="27"/>
      <c r="Z774" s="27"/>
      <c r="AA774" s="5"/>
      <c r="AB774" s="5"/>
      <c r="AC774" s="5"/>
      <c r="AD774" s="5"/>
      <c r="AE774" s="5"/>
      <c r="AF774" s="5"/>
      <c r="AG774" s="5"/>
      <c r="AH774" s="27"/>
      <c r="AI774" s="27"/>
      <c r="AJ774" s="27"/>
      <c r="AK774" s="5"/>
      <c r="AL774" s="6"/>
      <c r="AM774" s="10"/>
      <c r="AN774" s="63"/>
      <c r="AO774" s="63"/>
      <c r="AP774" s="63"/>
      <c r="AQ774" s="63"/>
      <c r="AR774" s="63"/>
      <c r="AS774" s="63"/>
      <c r="AT774" s="63"/>
      <c r="AU774" s="63"/>
      <c r="AV774" s="63"/>
      <c r="AW774" s="117"/>
    </row>
    <row r="775" spans="1:49">
      <c r="A775" s="1">
        <v>440</v>
      </c>
      <c r="B775" s="5"/>
      <c r="C775" s="10"/>
      <c r="D775" s="5"/>
      <c r="E775" s="10"/>
      <c r="F775" s="5"/>
      <c r="G775" s="5"/>
      <c r="H775" s="5"/>
      <c r="I775" s="5"/>
      <c r="J775" s="5"/>
      <c r="K775" s="10"/>
      <c r="L775" s="10"/>
      <c r="M775" s="10"/>
      <c r="N775" s="5"/>
      <c r="O775" s="5"/>
      <c r="P775" s="27"/>
      <c r="Q775" s="27"/>
      <c r="R775" s="27"/>
      <c r="S775" s="27"/>
      <c r="T775" s="27"/>
      <c r="U775" s="27"/>
      <c r="V775" s="27"/>
      <c r="W775" s="27"/>
      <c r="X775" s="27"/>
      <c r="Y775" s="27"/>
      <c r="Z775" s="27"/>
      <c r="AA775" s="5"/>
      <c r="AB775" s="5"/>
      <c r="AC775" s="5"/>
      <c r="AD775" s="5"/>
      <c r="AE775" s="5"/>
      <c r="AF775" s="5"/>
      <c r="AG775" s="5"/>
      <c r="AH775" s="27"/>
      <c r="AI775" s="27"/>
      <c r="AJ775" s="27"/>
      <c r="AK775" s="5"/>
      <c r="AL775" s="6"/>
      <c r="AM775" s="10"/>
      <c r="AN775" s="63"/>
      <c r="AO775" s="63"/>
      <c r="AP775" s="63"/>
      <c r="AQ775" s="63"/>
      <c r="AR775" s="63"/>
      <c r="AS775" s="63"/>
      <c r="AT775" s="63"/>
      <c r="AU775" s="63"/>
      <c r="AV775" s="63"/>
      <c r="AW775" s="117"/>
    </row>
    <row r="776" spans="1:49">
      <c r="A776" s="1">
        <v>441</v>
      </c>
      <c r="B776" s="5"/>
      <c r="C776" s="10"/>
      <c r="D776" s="5"/>
      <c r="E776" s="10"/>
      <c r="F776" s="5"/>
      <c r="G776" s="5"/>
      <c r="H776" s="5"/>
      <c r="I776" s="5"/>
      <c r="J776" s="5"/>
      <c r="K776" s="10"/>
      <c r="L776" s="10"/>
      <c r="M776" s="10"/>
      <c r="N776" s="5"/>
      <c r="O776" s="5"/>
      <c r="P776" s="27"/>
      <c r="Q776" s="27"/>
      <c r="R776" s="27"/>
      <c r="S776" s="27"/>
      <c r="T776" s="27"/>
      <c r="U776" s="27"/>
      <c r="V776" s="27"/>
      <c r="W776" s="27"/>
      <c r="X776" s="27"/>
      <c r="Y776" s="27"/>
      <c r="Z776" s="27"/>
      <c r="AA776" s="5"/>
      <c r="AB776" s="5"/>
      <c r="AC776" s="5"/>
      <c r="AD776" s="5"/>
      <c r="AE776" s="5"/>
      <c r="AF776" s="5"/>
      <c r="AG776" s="5"/>
      <c r="AH776" s="27"/>
      <c r="AI776" s="27"/>
      <c r="AJ776" s="27"/>
      <c r="AK776" s="5"/>
      <c r="AL776" s="6"/>
      <c r="AM776" s="10"/>
      <c r="AN776" s="63"/>
      <c r="AO776" s="63"/>
      <c r="AP776" s="63"/>
      <c r="AQ776" s="63"/>
      <c r="AR776" s="63"/>
      <c r="AS776" s="63"/>
      <c r="AT776" s="63"/>
      <c r="AU776" s="63"/>
      <c r="AV776" s="63"/>
      <c r="AW776" s="117"/>
    </row>
    <row r="777" spans="1:49">
      <c r="A777" s="1">
        <v>442</v>
      </c>
      <c r="B777" s="5"/>
      <c r="C777" s="10"/>
      <c r="D777" s="5"/>
      <c r="E777" s="10"/>
      <c r="F777" s="5"/>
      <c r="G777" s="5"/>
      <c r="H777" s="5"/>
      <c r="I777" s="5"/>
      <c r="J777" s="5"/>
      <c r="K777" s="10"/>
      <c r="L777" s="10"/>
      <c r="M777" s="10"/>
      <c r="N777" s="5"/>
      <c r="O777" s="5"/>
      <c r="P777" s="27"/>
      <c r="Q777" s="27"/>
      <c r="R777" s="27"/>
      <c r="S777" s="27"/>
      <c r="T777" s="27"/>
      <c r="U777" s="27"/>
      <c r="V777" s="27"/>
      <c r="W777" s="27"/>
      <c r="X777" s="27"/>
      <c r="Y777" s="27"/>
      <c r="Z777" s="27"/>
      <c r="AA777" s="5"/>
      <c r="AB777" s="5"/>
      <c r="AC777" s="5"/>
      <c r="AD777" s="5"/>
      <c r="AE777" s="5"/>
      <c r="AF777" s="5"/>
      <c r="AG777" s="5"/>
      <c r="AH777" s="27"/>
      <c r="AI777" s="27"/>
      <c r="AJ777" s="27"/>
      <c r="AK777" s="5"/>
      <c r="AL777" s="6"/>
      <c r="AM777" s="10"/>
      <c r="AN777" s="63"/>
      <c r="AO777" s="63"/>
      <c r="AP777" s="63"/>
      <c r="AQ777" s="63"/>
      <c r="AR777" s="63"/>
      <c r="AS777" s="63"/>
      <c r="AT777" s="63"/>
      <c r="AU777" s="63"/>
      <c r="AV777" s="63"/>
      <c r="AW777" s="117"/>
    </row>
    <row r="778" spans="1:49">
      <c r="A778" s="1">
        <v>443</v>
      </c>
      <c r="B778" s="5"/>
      <c r="C778" s="10"/>
      <c r="D778" s="5"/>
      <c r="E778" s="10"/>
      <c r="F778" s="5"/>
      <c r="G778" s="5"/>
      <c r="H778" s="5"/>
      <c r="I778" s="5"/>
      <c r="J778" s="5"/>
      <c r="K778" s="10"/>
      <c r="L778" s="10"/>
      <c r="M778" s="10"/>
      <c r="N778" s="5"/>
      <c r="O778" s="5"/>
      <c r="P778" s="27"/>
      <c r="Q778" s="27"/>
      <c r="R778" s="27"/>
      <c r="S778" s="27"/>
      <c r="T778" s="27"/>
      <c r="U778" s="27"/>
      <c r="V778" s="27"/>
      <c r="W778" s="27"/>
      <c r="X778" s="27"/>
      <c r="Y778" s="27"/>
      <c r="Z778" s="27"/>
      <c r="AA778" s="5"/>
      <c r="AB778" s="5"/>
      <c r="AC778" s="5"/>
      <c r="AD778" s="5"/>
      <c r="AE778" s="5"/>
      <c r="AF778" s="5"/>
      <c r="AG778" s="5"/>
      <c r="AH778" s="27"/>
      <c r="AI778" s="27"/>
      <c r="AJ778" s="27"/>
      <c r="AK778" s="5"/>
      <c r="AL778" s="6"/>
      <c r="AM778" s="10"/>
      <c r="AN778" s="63"/>
      <c r="AO778" s="63"/>
      <c r="AP778" s="63"/>
      <c r="AQ778" s="63"/>
      <c r="AR778" s="63"/>
      <c r="AS778" s="63"/>
      <c r="AT778" s="63"/>
      <c r="AU778" s="63"/>
      <c r="AV778" s="63"/>
      <c r="AW778" s="117"/>
    </row>
    <row r="779" spans="1:49">
      <c r="A779" s="1">
        <v>444</v>
      </c>
      <c r="B779" s="5"/>
      <c r="C779" s="10"/>
      <c r="D779" s="5"/>
      <c r="E779" s="10"/>
      <c r="F779" s="5"/>
      <c r="G779" s="5"/>
      <c r="H779" s="5"/>
      <c r="I779" s="5"/>
      <c r="J779" s="5"/>
      <c r="K779" s="10"/>
      <c r="L779" s="10"/>
      <c r="M779" s="10"/>
      <c r="N779" s="5"/>
      <c r="O779" s="5"/>
      <c r="P779" s="27"/>
      <c r="Q779" s="27"/>
      <c r="R779" s="27"/>
      <c r="S779" s="27"/>
      <c r="T779" s="27"/>
      <c r="U779" s="27"/>
      <c r="V779" s="27"/>
      <c r="W779" s="27"/>
      <c r="X779" s="27"/>
      <c r="Y779" s="27"/>
      <c r="Z779" s="27"/>
      <c r="AA779" s="5"/>
      <c r="AB779" s="5"/>
      <c r="AC779" s="5"/>
      <c r="AD779" s="5"/>
      <c r="AE779" s="5"/>
      <c r="AF779" s="5"/>
      <c r="AG779" s="5"/>
      <c r="AH779" s="27"/>
      <c r="AI779" s="27"/>
      <c r="AJ779" s="27"/>
      <c r="AK779" s="5"/>
      <c r="AL779" s="6"/>
      <c r="AM779" s="10"/>
      <c r="AN779" s="63"/>
      <c r="AO779" s="63"/>
      <c r="AP779" s="63"/>
      <c r="AQ779" s="63"/>
      <c r="AR779" s="63"/>
      <c r="AS779" s="63"/>
      <c r="AT779" s="63"/>
      <c r="AU779" s="63"/>
      <c r="AV779" s="63"/>
      <c r="AW779" s="117"/>
    </row>
    <row r="780" spans="1:49">
      <c r="A780" s="1">
        <v>445</v>
      </c>
      <c r="B780" s="5"/>
      <c r="C780" s="10"/>
      <c r="D780" s="5"/>
      <c r="E780" s="10"/>
      <c r="F780" s="5"/>
      <c r="G780" s="5"/>
      <c r="H780" s="5"/>
      <c r="I780" s="5"/>
      <c r="J780" s="5"/>
      <c r="K780" s="10"/>
      <c r="L780" s="10"/>
      <c r="M780" s="10"/>
      <c r="N780" s="5"/>
      <c r="O780" s="5"/>
      <c r="P780" s="27"/>
      <c r="Q780" s="27"/>
      <c r="R780" s="27"/>
      <c r="S780" s="27"/>
      <c r="T780" s="27"/>
      <c r="U780" s="27"/>
      <c r="V780" s="27"/>
      <c r="W780" s="27"/>
      <c r="X780" s="27"/>
      <c r="Y780" s="27"/>
      <c r="Z780" s="27"/>
      <c r="AA780" s="5"/>
      <c r="AB780" s="5"/>
      <c r="AC780" s="5"/>
      <c r="AD780" s="5"/>
      <c r="AE780" s="5"/>
      <c r="AF780" s="5"/>
      <c r="AG780" s="5"/>
      <c r="AH780" s="27"/>
      <c r="AI780" s="27"/>
      <c r="AJ780" s="27"/>
      <c r="AK780" s="5"/>
      <c r="AL780" s="6"/>
      <c r="AM780" s="10"/>
      <c r="AN780" s="63"/>
      <c r="AO780" s="63"/>
      <c r="AP780" s="63"/>
      <c r="AQ780" s="63"/>
      <c r="AR780" s="63"/>
      <c r="AS780" s="63"/>
      <c r="AT780" s="63"/>
      <c r="AU780" s="63"/>
      <c r="AV780" s="63"/>
      <c r="AW780" s="117"/>
    </row>
    <row r="781" spans="1:49">
      <c r="A781" s="1">
        <v>446</v>
      </c>
      <c r="B781" s="5"/>
      <c r="C781" s="10"/>
      <c r="D781" s="5"/>
      <c r="E781" s="10"/>
      <c r="F781" s="5"/>
      <c r="G781" s="5"/>
      <c r="H781" s="5"/>
      <c r="I781" s="5"/>
      <c r="J781" s="5"/>
      <c r="K781" s="10"/>
      <c r="L781" s="10"/>
      <c r="M781" s="10"/>
      <c r="N781" s="5"/>
      <c r="O781" s="5"/>
      <c r="P781" s="27"/>
      <c r="Q781" s="27"/>
      <c r="R781" s="27"/>
      <c r="S781" s="27"/>
      <c r="T781" s="27"/>
      <c r="U781" s="27"/>
      <c r="V781" s="27"/>
      <c r="W781" s="27"/>
      <c r="X781" s="27"/>
      <c r="Y781" s="27"/>
      <c r="Z781" s="27"/>
      <c r="AA781" s="5"/>
      <c r="AB781" s="5"/>
      <c r="AC781" s="5"/>
      <c r="AD781" s="5"/>
      <c r="AE781" s="5"/>
      <c r="AF781" s="5"/>
      <c r="AG781" s="5"/>
      <c r="AH781" s="27"/>
      <c r="AI781" s="27"/>
      <c r="AJ781" s="27"/>
      <c r="AK781" s="5"/>
      <c r="AL781" s="6"/>
      <c r="AM781" s="10"/>
      <c r="AN781" s="63"/>
      <c r="AO781" s="63"/>
      <c r="AP781" s="63"/>
      <c r="AQ781" s="63"/>
      <c r="AR781" s="63"/>
      <c r="AS781" s="63"/>
      <c r="AT781" s="63"/>
      <c r="AU781" s="63"/>
      <c r="AV781" s="63"/>
      <c r="AW781" s="117"/>
    </row>
    <row r="782" spans="1:49">
      <c r="A782" s="1">
        <v>447</v>
      </c>
      <c r="B782" s="5"/>
      <c r="C782" s="10"/>
      <c r="D782" s="5"/>
      <c r="E782" s="10"/>
      <c r="F782" s="5"/>
      <c r="G782" s="5"/>
      <c r="H782" s="5"/>
      <c r="I782" s="5"/>
      <c r="J782" s="5"/>
      <c r="K782" s="10"/>
      <c r="L782" s="10"/>
      <c r="M782" s="10"/>
      <c r="N782" s="5"/>
      <c r="O782" s="5"/>
      <c r="P782" s="27"/>
      <c r="Q782" s="27"/>
      <c r="R782" s="27"/>
      <c r="S782" s="27"/>
      <c r="T782" s="27"/>
      <c r="U782" s="27"/>
      <c r="V782" s="27"/>
      <c r="W782" s="27"/>
      <c r="X782" s="27"/>
      <c r="Y782" s="27"/>
      <c r="Z782" s="27"/>
      <c r="AA782" s="5"/>
      <c r="AB782" s="5"/>
      <c r="AC782" s="5"/>
      <c r="AD782" s="5"/>
      <c r="AE782" s="5"/>
      <c r="AF782" s="5"/>
      <c r="AG782" s="5"/>
      <c r="AH782" s="27"/>
      <c r="AI782" s="27"/>
      <c r="AJ782" s="27"/>
      <c r="AK782" s="5"/>
      <c r="AL782" s="6"/>
      <c r="AM782" s="10"/>
      <c r="AN782" s="63"/>
      <c r="AO782" s="63"/>
      <c r="AP782" s="63"/>
      <c r="AQ782" s="63"/>
      <c r="AR782" s="63"/>
      <c r="AS782" s="63"/>
      <c r="AT782" s="63"/>
      <c r="AU782" s="63"/>
      <c r="AV782" s="63"/>
      <c r="AW782" s="117"/>
    </row>
    <row r="783" spans="1:49">
      <c r="A783" s="1">
        <v>448</v>
      </c>
      <c r="B783" s="5"/>
      <c r="C783" s="10"/>
      <c r="D783" s="5"/>
      <c r="E783" s="10"/>
      <c r="F783" s="5"/>
      <c r="G783" s="5"/>
      <c r="H783" s="5"/>
      <c r="I783" s="5"/>
      <c r="J783" s="5"/>
      <c r="K783" s="10"/>
      <c r="L783" s="10"/>
      <c r="M783" s="10"/>
      <c r="N783" s="5"/>
      <c r="O783" s="5"/>
      <c r="P783" s="27"/>
      <c r="Q783" s="27"/>
      <c r="R783" s="27"/>
      <c r="S783" s="27"/>
      <c r="T783" s="27"/>
      <c r="U783" s="27"/>
      <c r="V783" s="27"/>
      <c r="W783" s="27"/>
      <c r="X783" s="27"/>
      <c r="Y783" s="27"/>
      <c r="Z783" s="27"/>
      <c r="AA783" s="5"/>
      <c r="AB783" s="5"/>
      <c r="AC783" s="5"/>
      <c r="AD783" s="5"/>
      <c r="AE783" s="5"/>
      <c r="AF783" s="5"/>
      <c r="AG783" s="5"/>
      <c r="AH783" s="27"/>
      <c r="AI783" s="27"/>
      <c r="AJ783" s="27"/>
      <c r="AK783" s="5"/>
      <c r="AL783" s="6"/>
      <c r="AM783" s="10"/>
      <c r="AN783" s="63"/>
      <c r="AO783" s="63"/>
      <c r="AP783" s="63"/>
      <c r="AQ783" s="63"/>
      <c r="AR783" s="63"/>
      <c r="AS783" s="63"/>
      <c r="AT783" s="63"/>
      <c r="AU783" s="63"/>
      <c r="AV783" s="63"/>
      <c r="AW783" s="117"/>
    </row>
    <row r="784" spans="1:49">
      <c r="A784" s="1">
        <v>449</v>
      </c>
      <c r="B784" s="5"/>
      <c r="C784" s="10"/>
      <c r="D784" s="5"/>
      <c r="E784" s="10"/>
      <c r="F784" s="5"/>
      <c r="G784" s="5"/>
      <c r="H784" s="5"/>
      <c r="I784" s="5"/>
      <c r="J784" s="5"/>
      <c r="K784" s="10"/>
      <c r="L784" s="10"/>
      <c r="M784" s="10"/>
      <c r="N784" s="5"/>
      <c r="O784" s="5"/>
      <c r="P784" s="27"/>
      <c r="Q784" s="27"/>
      <c r="R784" s="27"/>
      <c r="S784" s="27"/>
      <c r="T784" s="27"/>
      <c r="U784" s="27"/>
      <c r="V784" s="27"/>
      <c r="W784" s="27"/>
      <c r="X784" s="27"/>
      <c r="Y784" s="27"/>
      <c r="Z784" s="27"/>
      <c r="AA784" s="5"/>
      <c r="AB784" s="5"/>
      <c r="AC784" s="5"/>
      <c r="AD784" s="5"/>
      <c r="AE784" s="5"/>
      <c r="AF784" s="5"/>
      <c r="AG784" s="5"/>
      <c r="AH784" s="27"/>
      <c r="AI784" s="27"/>
      <c r="AJ784" s="27"/>
      <c r="AK784" s="5"/>
      <c r="AL784" s="6"/>
      <c r="AM784" s="10"/>
      <c r="AN784" s="63"/>
      <c r="AO784" s="63"/>
      <c r="AP784" s="63"/>
      <c r="AQ784" s="63"/>
      <c r="AR784" s="63"/>
      <c r="AS784" s="63"/>
      <c r="AT784" s="63"/>
      <c r="AU784" s="63"/>
      <c r="AV784" s="63"/>
      <c r="AW784" s="117"/>
    </row>
    <row r="785" spans="1:49">
      <c r="A785" s="1">
        <v>450</v>
      </c>
      <c r="B785" s="5"/>
      <c r="C785" s="10"/>
      <c r="D785" s="5"/>
      <c r="E785" s="10"/>
      <c r="F785" s="5"/>
      <c r="G785" s="5"/>
      <c r="H785" s="5"/>
      <c r="I785" s="5"/>
      <c r="J785" s="5"/>
      <c r="K785" s="10"/>
      <c r="L785" s="10"/>
      <c r="M785" s="10"/>
      <c r="N785" s="5"/>
      <c r="O785" s="5"/>
      <c r="P785" s="27"/>
      <c r="Q785" s="27"/>
      <c r="R785" s="27"/>
      <c r="S785" s="27"/>
      <c r="T785" s="27"/>
      <c r="U785" s="27"/>
      <c r="V785" s="27"/>
      <c r="W785" s="27"/>
      <c r="X785" s="27"/>
      <c r="Y785" s="27"/>
      <c r="Z785" s="27"/>
      <c r="AA785" s="5"/>
      <c r="AB785" s="5"/>
      <c r="AC785" s="5"/>
      <c r="AD785" s="5"/>
      <c r="AE785" s="5"/>
      <c r="AF785" s="5"/>
      <c r="AG785" s="5"/>
      <c r="AH785" s="27"/>
      <c r="AI785" s="27"/>
      <c r="AJ785" s="27"/>
      <c r="AK785" s="5"/>
      <c r="AL785" s="6"/>
      <c r="AM785" s="10"/>
      <c r="AN785" s="63"/>
      <c r="AO785" s="63"/>
      <c r="AP785" s="63"/>
      <c r="AQ785" s="63"/>
      <c r="AR785" s="63"/>
      <c r="AS785" s="63"/>
      <c r="AT785" s="63"/>
      <c r="AU785" s="63"/>
      <c r="AV785" s="63"/>
      <c r="AW785" s="117"/>
    </row>
    <row r="786" spans="1:49">
      <c r="A786" s="1">
        <v>451</v>
      </c>
      <c r="B786" s="5"/>
      <c r="C786" s="10"/>
      <c r="D786" s="5"/>
      <c r="E786" s="10"/>
      <c r="F786" s="5"/>
      <c r="G786" s="5"/>
      <c r="H786" s="5"/>
      <c r="I786" s="5"/>
      <c r="J786" s="5"/>
      <c r="K786" s="10"/>
      <c r="L786" s="10"/>
      <c r="M786" s="10"/>
      <c r="N786" s="5"/>
      <c r="O786" s="5"/>
      <c r="P786" s="27"/>
      <c r="Q786" s="27"/>
      <c r="R786" s="27"/>
      <c r="S786" s="27"/>
      <c r="T786" s="27"/>
      <c r="U786" s="27"/>
      <c r="V786" s="27"/>
      <c r="W786" s="27"/>
      <c r="X786" s="27"/>
      <c r="Y786" s="27"/>
      <c r="Z786" s="27"/>
      <c r="AA786" s="5"/>
      <c r="AB786" s="5"/>
      <c r="AC786" s="5"/>
      <c r="AD786" s="5"/>
      <c r="AE786" s="5"/>
      <c r="AF786" s="5"/>
      <c r="AG786" s="5"/>
      <c r="AH786" s="27"/>
      <c r="AI786" s="27"/>
      <c r="AJ786" s="27"/>
      <c r="AK786" s="5"/>
      <c r="AL786" s="6"/>
      <c r="AM786" s="10"/>
      <c r="AN786" s="63"/>
      <c r="AO786" s="63"/>
      <c r="AP786" s="63"/>
      <c r="AQ786" s="63"/>
      <c r="AR786" s="63"/>
      <c r="AS786" s="63"/>
      <c r="AT786" s="63"/>
      <c r="AU786" s="63"/>
      <c r="AV786" s="63"/>
      <c r="AW786" s="117"/>
    </row>
    <row r="787" spans="1:49">
      <c r="A787" s="1">
        <v>452</v>
      </c>
      <c r="B787" s="5"/>
      <c r="C787" s="10"/>
      <c r="D787" s="5"/>
      <c r="E787" s="10"/>
      <c r="F787" s="5"/>
      <c r="G787" s="5"/>
      <c r="H787" s="5"/>
      <c r="I787" s="5"/>
      <c r="J787" s="5"/>
      <c r="K787" s="10"/>
      <c r="L787" s="10"/>
      <c r="M787" s="10"/>
      <c r="N787" s="5"/>
      <c r="O787" s="5"/>
      <c r="P787" s="27"/>
      <c r="Q787" s="27"/>
      <c r="R787" s="27"/>
      <c r="S787" s="27"/>
      <c r="T787" s="27"/>
      <c r="U787" s="27"/>
      <c r="V787" s="27"/>
      <c r="W787" s="27"/>
      <c r="X787" s="27"/>
      <c r="Y787" s="27"/>
      <c r="Z787" s="27"/>
      <c r="AA787" s="5"/>
      <c r="AB787" s="5"/>
      <c r="AC787" s="5"/>
      <c r="AD787" s="5"/>
      <c r="AE787" s="5"/>
      <c r="AF787" s="5"/>
      <c r="AG787" s="5"/>
      <c r="AH787" s="27"/>
      <c r="AI787" s="27"/>
      <c r="AJ787" s="27"/>
      <c r="AK787" s="5"/>
      <c r="AL787" s="6"/>
      <c r="AM787" s="10"/>
      <c r="AN787" s="63"/>
      <c r="AO787" s="63"/>
      <c r="AP787" s="63"/>
      <c r="AQ787" s="63"/>
      <c r="AR787" s="63"/>
      <c r="AS787" s="63"/>
      <c r="AT787" s="63"/>
      <c r="AU787" s="63"/>
      <c r="AV787" s="63"/>
      <c r="AW787" s="117"/>
    </row>
    <row r="788" spans="1:49">
      <c r="A788" s="1">
        <v>453</v>
      </c>
      <c r="B788" s="5"/>
      <c r="C788" s="10"/>
      <c r="D788" s="5"/>
      <c r="E788" s="10"/>
      <c r="F788" s="5"/>
      <c r="G788" s="5"/>
      <c r="H788" s="5"/>
      <c r="I788" s="5"/>
      <c r="J788" s="5"/>
      <c r="K788" s="10"/>
      <c r="L788" s="10"/>
      <c r="M788" s="10"/>
      <c r="N788" s="5"/>
      <c r="O788" s="5"/>
      <c r="P788" s="27"/>
      <c r="Q788" s="27"/>
      <c r="R788" s="27"/>
      <c r="S788" s="27"/>
      <c r="T788" s="27"/>
      <c r="U788" s="27"/>
      <c r="V788" s="27"/>
      <c r="W788" s="27"/>
      <c r="X788" s="27"/>
      <c r="Y788" s="27"/>
      <c r="Z788" s="27"/>
      <c r="AA788" s="5"/>
      <c r="AB788" s="5"/>
      <c r="AC788" s="5"/>
      <c r="AD788" s="5"/>
      <c r="AE788" s="5"/>
      <c r="AF788" s="5"/>
      <c r="AG788" s="5"/>
      <c r="AH788" s="27"/>
      <c r="AI788" s="27"/>
      <c r="AJ788" s="27"/>
      <c r="AK788" s="5"/>
      <c r="AL788" s="6"/>
      <c r="AM788" s="10"/>
      <c r="AN788" s="63"/>
      <c r="AO788" s="63"/>
      <c r="AP788" s="63"/>
      <c r="AQ788" s="63"/>
      <c r="AR788" s="63"/>
      <c r="AS788" s="63"/>
      <c r="AT788" s="63"/>
      <c r="AU788" s="63"/>
      <c r="AV788" s="63"/>
      <c r="AW788" s="117"/>
    </row>
    <row r="789" spans="1:49">
      <c r="A789" s="1">
        <v>454</v>
      </c>
      <c r="B789" s="5"/>
      <c r="C789" s="10"/>
      <c r="D789" s="5"/>
      <c r="E789" s="10"/>
      <c r="F789" s="5"/>
      <c r="G789" s="5"/>
      <c r="H789" s="5"/>
      <c r="I789" s="5"/>
      <c r="J789" s="5"/>
      <c r="K789" s="10"/>
      <c r="L789" s="10"/>
      <c r="M789" s="10"/>
      <c r="N789" s="5"/>
      <c r="O789" s="5"/>
      <c r="P789" s="27"/>
      <c r="Q789" s="27"/>
      <c r="R789" s="27"/>
      <c r="S789" s="27"/>
      <c r="T789" s="27"/>
      <c r="U789" s="27"/>
      <c r="V789" s="27"/>
      <c r="W789" s="27"/>
      <c r="X789" s="27"/>
      <c r="Y789" s="27"/>
      <c r="Z789" s="27"/>
      <c r="AA789" s="5"/>
      <c r="AB789" s="5"/>
      <c r="AC789" s="5"/>
      <c r="AD789" s="5"/>
      <c r="AE789" s="5"/>
      <c r="AF789" s="5"/>
      <c r="AG789" s="5"/>
      <c r="AH789" s="27"/>
      <c r="AI789" s="27"/>
      <c r="AJ789" s="27"/>
      <c r="AK789" s="5"/>
      <c r="AL789" s="6"/>
      <c r="AM789" s="10"/>
      <c r="AN789" s="63"/>
      <c r="AO789" s="63"/>
      <c r="AP789" s="63"/>
      <c r="AQ789" s="63"/>
      <c r="AR789" s="63"/>
      <c r="AS789" s="63"/>
      <c r="AT789" s="63"/>
      <c r="AU789" s="63"/>
      <c r="AV789" s="63"/>
      <c r="AW789" s="117"/>
    </row>
    <row r="790" spans="1:49">
      <c r="A790" s="1">
        <v>455</v>
      </c>
      <c r="B790" s="5"/>
      <c r="C790" s="10"/>
      <c r="D790" s="5"/>
      <c r="E790" s="10"/>
      <c r="F790" s="5"/>
      <c r="G790" s="5"/>
      <c r="H790" s="5"/>
      <c r="I790" s="5"/>
      <c r="J790" s="5"/>
      <c r="K790" s="10"/>
      <c r="L790" s="10"/>
      <c r="M790" s="10"/>
      <c r="N790" s="5"/>
      <c r="O790" s="5"/>
      <c r="P790" s="27"/>
      <c r="Q790" s="27"/>
      <c r="R790" s="27"/>
      <c r="S790" s="27"/>
      <c r="T790" s="27"/>
      <c r="U790" s="27"/>
      <c r="V790" s="27"/>
      <c r="W790" s="27"/>
      <c r="X790" s="27"/>
      <c r="Y790" s="27"/>
      <c r="Z790" s="27"/>
      <c r="AA790" s="5"/>
      <c r="AB790" s="5"/>
      <c r="AC790" s="5"/>
      <c r="AD790" s="5"/>
      <c r="AE790" s="5"/>
      <c r="AF790" s="5"/>
      <c r="AG790" s="5"/>
      <c r="AH790" s="27"/>
      <c r="AI790" s="27"/>
      <c r="AJ790" s="27"/>
      <c r="AK790" s="5"/>
      <c r="AL790" s="6"/>
      <c r="AM790" s="10"/>
      <c r="AN790" s="63"/>
      <c r="AO790" s="63"/>
      <c r="AP790" s="63"/>
      <c r="AQ790" s="63"/>
      <c r="AR790" s="63"/>
      <c r="AS790" s="63"/>
      <c r="AT790" s="63"/>
      <c r="AU790" s="63"/>
      <c r="AV790" s="63"/>
      <c r="AW790" s="117"/>
    </row>
    <row r="791" spans="1:49">
      <c r="A791" s="1">
        <v>456</v>
      </c>
      <c r="B791" s="5"/>
      <c r="C791" s="10"/>
      <c r="D791" s="5"/>
      <c r="E791" s="10"/>
      <c r="F791" s="5"/>
      <c r="G791" s="5"/>
      <c r="H791" s="5"/>
      <c r="I791" s="5"/>
      <c r="J791" s="5"/>
      <c r="K791" s="10"/>
      <c r="L791" s="10"/>
      <c r="M791" s="10"/>
      <c r="N791" s="5"/>
      <c r="O791" s="5"/>
      <c r="P791" s="27"/>
      <c r="Q791" s="27"/>
      <c r="R791" s="27"/>
      <c r="S791" s="27"/>
      <c r="T791" s="27"/>
      <c r="U791" s="27"/>
      <c r="V791" s="27"/>
      <c r="W791" s="27"/>
      <c r="X791" s="27"/>
      <c r="Y791" s="27"/>
      <c r="Z791" s="27"/>
      <c r="AA791" s="5"/>
      <c r="AB791" s="5"/>
      <c r="AC791" s="5"/>
      <c r="AD791" s="5"/>
      <c r="AE791" s="5"/>
      <c r="AF791" s="5"/>
      <c r="AG791" s="5"/>
      <c r="AH791" s="27"/>
      <c r="AI791" s="27"/>
      <c r="AJ791" s="27"/>
      <c r="AK791" s="5"/>
      <c r="AL791" s="6"/>
      <c r="AM791" s="10"/>
      <c r="AN791" s="63"/>
      <c r="AO791" s="63"/>
      <c r="AP791" s="63"/>
      <c r="AQ791" s="63"/>
      <c r="AR791" s="63"/>
      <c r="AS791" s="63"/>
      <c r="AT791" s="63"/>
      <c r="AU791" s="63"/>
      <c r="AV791" s="63"/>
      <c r="AW791" s="117"/>
    </row>
    <row r="792" spans="1:49">
      <c r="A792" s="1">
        <v>457</v>
      </c>
      <c r="B792" s="5"/>
      <c r="C792" s="10"/>
      <c r="D792" s="5"/>
      <c r="E792" s="10"/>
      <c r="F792" s="5"/>
      <c r="G792" s="5"/>
      <c r="H792" s="5"/>
      <c r="I792" s="5"/>
      <c r="J792" s="5"/>
      <c r="K792" s="10"/>
      <c r="L792" s="10"/>
      <c r="M792" s="10"/>
      <c r="N792" s="5"/>
      <c r="O792" s="5"/>
      <c r="P792" s="27"/>
      <c r="Q792" s="27"/>
      <c r="R792" s="27"/>
      <c r="S792" s="27"/>
      <c r="T792" s="27"/>
      <c r="U792" s="27"/>
      <c r="V792" s="27"/>
      <c r="W792" s="27"/>
      <c r="X792" s="27"/>
      <c r="Y792" s="27"/>
      <c r="Z792" s="27"/>
      <c r="AA792" s="5"/>
      <c r="AB792" s="5"/>
      <c r="AC792" s="5"/>
      <c r="AD792" s="5"/>
      <c r="AE792" s="5"/>
      <c r="AF792" s="5"/>
      <c r="AG792" s="5"/>
      <c r="AH792" s="27"/>
      <c r="AI792" s="27"/>
      <c r="AJ792" s="27"/>
      <c r="AK792" s="5"/>
      <c r="AL792" s="6"/>
      <c r="AM792" s="10"/>
      <c r="AN792" s="63"/>
      <c r="AO792" s="63"/>
      <c r="AP792" s="63"/>
      <c r="AQ792" s="63"/>
      <c r="AR792" s="63"/>
      <c r="AS792" s="63"/>
      <c r="AT792" s="63"/>
      <c r="AU792" s="63"/>
      <c r="AV792" s="63"/>
      <c r="AW792" s="117"/>
    </row>
    <row r="793" spans="1:49">
      <c r="A793" s="1">
        <v>458</v>
      </c>
      <c r="B793" s="5"/>
      <c r="C793" s="10"/>
      <c r="D793" s="5"/>
      <c r="E793" s="10"/>
      <c r="F793" s="5"/>
      <c r="G793" s="5"/>
      <c r="H793" s="5"/>
      <c r="I793" s="5"/>
      <c r="J793" s="5"/>
      <c r="K793" s="10"/>
      <c r="L793" s="10"/>
      <c r="M793" s="10"/>
      <c r="N793" s="5"/>
      <c r="O793" s="5"/>
      <c r="P793" s="27"/>
      <c r="Q793" s="27"/>
      <c r="R793" s="27"/>
      <c r="S793" s="27"/>
      <c r="T793" s="27"/>
      <c r="U793" s="27"/>
      <c r="V793" s="27"/>
      <c r="W793" s="27"/>
      <c r="X793" s="27"/>
      <c r="Y793" s="27"/>
      <c r="Z793" s="27"/>
      <c r="AA793" s="5"/>
      <c r="AB793" s="5"/>
      <c r="AC793" s="5"/>
      <c r="AD793" s="5"/>
      <c r="AE793" s="5"/>
      <c r="AF793" s="5"/>
      <c r="AG793" s="5"/>
      <c r="AH793" s="27"/>
      <c r="AI793" s="27"/>
      <c r="AJ793" s="27"/>
      <c r="AK793" s="5"/>
      <c r="AL793" s="6"/>
      <c r="AM793" s="10"/>
      <c r="AN793" s="63"/>
      <c r="AO793" s="63"/>
      <c r="AP793" s="63"/>
      <c r="AQ793" s="63"/>
      <c r="AR793" s="63"/>
      <c r="AS793" s="63"/>
      <c r="AT793" s="63"/>
      <c r="AU793" s="63"/>
      <c r="AV793" s="63"/>
      <c r="AW793" s="117"/>
    </row>
    <row r="794" spans="1:49">
      <c r="A794" s="1">
        <v>459</v>
      </c>
      <c r="B794" s="5"/>
      <c r="C794" s="10"/>
      <c r="D794" s="5"/>
      <c r="E794" s="10"/>
      <c r="F794" s="5"/>
      <c r="G794" s="5"/>
      <c r="H794" s="5"/>
      <c r="I794" s="5"/>
      <c r="J794" s="5"/>
      <c r="K794" s="10"/>
      <c r="L794" s="10"/>
      <c r="M794" s="10"/>
      <c r="N794" s="5"/>
      <c r="O794" s="5"/>
      <c r="P794" s="27"/>
      <c r="Q794" s="27"/>
      <c r="R794" s="27"/>
      <c r="S794" s="27"/>
      <c r="T794" s="27"/>
      <c r="U794" s="27"/>
      <c r="V794" s="27"/>
      <c r="W794" s="27"/>
      <c r="X794" s="27"/>
      <c r="Y794" s="27"/>
      <c r="Z794" s="27"/>
      <c r="AA794" s="5"/>
      <c r="AB794" s="5"/>
      <c r="AC794" s="5"/>
      <c r="AD794" s="5"/>
      <c r="AE794" s="5"/>
      <c r="AF794" s="5"/>
      <c r="AG794" s="5"/>
      <c r="AH794" s="27"/>
      <c r="AI794" s="27"/>
      <c r="AJ794" s="27"/>
      <c r="AK794" s="5"/>
      <c r="AL794" s="6"/>
      <c r="AM794" s="10"/>
      <c r="AN794" s="63"/>
      <c r="AO794" s="63"/>
      <c r="AP794" s="63"/>
      <c r="AQ794" s="63"/>
      <c r="AR794" s="63"/>
      <c r="AS794" s="63"/>
      <c r="AT794" s="63"/>
      <c r="AU794" s="63"/>
      <c r="AV794" s="63"/>
      <c r="AW794" s="117"/>
    </row>
    <row r="795" spans="1:49">
      <c r="A795" s="1">
        <v>460</v>
      </c>
      <c r="B795" s="5"/>
      <c r="C795" s="10"/>
      <c r="D795" s="5"/>
      <c r="E795" s="10"/>
      <c r="F795" s="5"/>
      <c r="G795" s="5"/>
      <c r="H795" s="5"/>
      <c r="I795" s="5"/>
      <c r="J795" s="5"/>
      <c r="K795" s="10"/>
      <c r="L795" s="10"/>
      <c r="M795" s="10"/>
      <c r="N795" s="5"/>
      <c r="O795" s="5"/>
      <c r="P795" s="27"/>
      <c r="Q795" s="27"/>
      <c r="R795" s="27"/>
      <c r="S795" s="27"/>
      <c r="T795" s="27"/>
      <c r="U795" s="27"/>
      <c r="V795" s="27"/>
      <c r="W795" s="27"/>
      <c r="X795" s="27"/>
      <c r="Y795" s="27"/>
      <c r="Z795" s="27"/>
      <c r="AA795" s="5"/>
      <c r="AB795" s="5"/>
      <c r="AC795" s="5"/>
      <c r="AD795" s="5"/>
      <c r="AE795" s="5"/>
      <c r="AF795" s="5"/>
      <c r="AG795" s="5"/>
      <c r="AH795" s="27"/>
      <c r="AI795" s="27"/>
      <c r="AJ795" s="27"/>
      <c r="AK795" s="5"/>
      <c r="AL795" s="6"/>
      <c r="AM795" s="10"/>
      <c r="AN795" s="63"/>
      <c r="AO795" s="63"/>
      <c r="AP795" s="63"/>
      <c r="AQ795" s="63"/>
      <c r="AR795" s="63"/>
      <c r="AS795" s="63"/>
      <c r="AT795" s="63"/>
      <c r="AU795" s="63"/>
      <c r="AV795" s="63"/>
      <c r="AW795" s="117"/>
    </row>
    <row r="796" spans="1:49">
      <c r="A796" s="1">
        <v>461</v>
      </c>
      <c r="B796" s="5"/>
      <c r="C796" s="10"/>
      <c r="D796" s="5"/>
      <c r="E796" s="10"/>
      <c r="F796" s="5"/>
      <c r="G796" s="5"/>
      <c r="H796" s="5"/>
      <c r="I796" s="5"/>
      <c r="J796" s="5"/>
      <c r="K796" s="10"/>
      <c r="L796" s="10"/>
      <c r="M796" s="10"/>
      <c r="N796" s="5"/>
      <c r="O796" s="5"/>
      <c r="P796" s="27"/>
      <c r="Q796" s="27"/>
      <c r="R796" s="27"/>
      <c r="S796" s="27"/>
      <c r="T796" s="27"/>
      <c r="U796" s="27"/>
      <c r="V796" s="27"/>
      <c r="W796" s="27"/>
      <c r="X796" s="27"/>
      <c r="Y796" s="27"/>
      <c r="Z796" s="27"/>
      <c r="AA796" s="5"/>
      <c r="AB796" s="5"/>
      <c r="AC796" s="5"/>
      <c r="AD796" s="5"/>
      <c r="AE796" s="5"/>
      <c r="AF796" s="5"/>
      <c r="AG796" s="5"/>
      <c r="AH796" s="27"/>
      <c r="AI796" s="27"/>
      <c r="AJ796" s="27"/>
      <c r="AK796" s="5"/>
      <c r="AL796" s="6"/>
      <c r="AM796" s="10"/>
      <c r="AN796" s="63"/>
      <c r="AO796" s="63"/>
      <c r="AP796" s="63"/>
      <c r="AQ796" s="63"/>
      <c r="AR796" s="63"/>
      <c r="AS796" s="63"/>
      <c r="AT796" s="63"/>
      <c r="AU796" s="63"/>
      <c r="AV796" s="63"/>
      <c r="AW796" s="117"/>
    </row>
    <row r="797" spans="1:49">
      <c r="A797" s="1">
        <v>462</v>
      </c>
      <c r="B797" s="5"/>
      <c r="C797" s="10"/>
      <c r="D797" s="5"/>
      <c r="E797" s="10"/>
      <c r="F797" s="5"/>
      <c r="G797" s="5"/>
      <c r="H797" s="5"/>
      <c r="I797" s="5"/>
      <c r="J797" s="5"/>
      <c r="K797" s="10"/>
      <c r="L797" s="10"/>
      <c r="M797" s="10"/>
      <c r="N797" s="5"/>
      <c r="O797" s="5"/>
      <c r="P797" s="27"/>
      <c r="Q797" s="27"/>
      <c r="R797" s="27"/>
      <c r="S797" s="27"/>
      <c r="T797" s="27"/>
      <c r="U797" s="27"/>
      <c r="V797" s="27"/>
      <c r="W797" s="27"/>
      <c r="X797" s="27"/>
      <c r="Y797" s="27"/>
      <c r="Z797" s="27"/>
      <c r="AA797" s="5"/>
      <c r="AB797" s="5"/>
      <c r="AC797" s="5"/>
      <c r="AD797" s="5"/>
      <c r="AE797" s="5"/>
      <c r="AF797" s="5"/>
      <c r="AG797" s="5"/>
      <c r="AH797" s="27"/>
      <c r="AI797" s="27"/>
      <c r="AJ797" s="27"/>
      <c r="AK797" s="5"/>
      <c r="AL797" s="6"/>
      <c r="AM797" s="10"/>
      <c r="AN797" s="63"/>
      <c r="AO797" s="63"/>
      <c r="AP797" s="63"/>
      <c r="AQ797" s="63"/>
      <c r="AR797" s="63"/>
      <c r="AS797" s="63"/>
      <c r="AT797" s="63"/>
      <c r="AU797" s="63"/>
      <c r="AV797" s="63"/>
      <c r="AW797" s="117"/>
    </row>
    <row r="798" spans="1:49">
      <c r="A798" s="1">
        <v>463</v>
      </c>
      <c r="B798" s="5"/>
      <c r="C798" s="10"/>
      <c r="D798" s="5"/>
      <c r="E798" s="10"/>
      <c r="F798" s="5"/>
      <c r="G798" s="5"/>
      <c r="H798" s="5"/>
      <c r="I798" s="5"/>
      <c r="J798" s="5"/>
      <c r="K798" s="10"/>
      <c r="L798" s="10"/>
      <c r="M798" s="10"/>
      <c r="N798" s="5"/>
      <c r="O798" s="5"/>
      <c r="P798" s="27"/>
      <c r="Q798" s="27"/>
      <c r="R798" s="27"/>
      <c r="S798" s="27"/>
      <c r="T798" s="27"/>
      <c r="U798" s="27"/>
      <c r="V798" s="27"/>
      <c r="W798" s="27"/>
      <c r="X798" s="27"/>
      <c r="Y798" s="27"/>
      <c r="Z798" s="27"/>
      <c r="AA798" s="5"/>
      <c r="AB798" s="5"/>
      <c r="AC798" s="5"/>
      <c r="AD798" s="5"/>
      <c r="AE798" s="5"/>
      <c r="AF798" s="5"/>
      <c r="AG798" s="5"/>
      <c r="AH798" s="27"/>
      <c r="AI798" s="27"/>
      <c r="AJ798" s="27"/>
      <c r="AK798" s="5"/>
      <c r="AL798" s="6"/>
      <c r="AM798" s="10"/>
      <c r="AN798" s="63"/>
      <c r="AO798" s="63"/>
      <c r="AP798" s="63"/>
      <c r="AQ798" s="63"/>
      <c r="AR798" s="63"/>
      <c r="AS798" s="63"/>
      <c r="AT798" s="63"/>
      <c r="AU798" s="63"/>
      <c r="AV798" s="63"/>
      <c r="AW798" s="117"/>
    </row>
    <row r="799" spans="1:49">
      <c r="A799" s="1">
        <v>464</v>
      </c>
      <c r="B799" s="5"/>
      <c r="C799" s="10"/>
      <c r="D799" s="5"/>
      <c r="E799" s="10"/>
      <c r="F799" s="5"/>
      <c r="G799" s="5"/>
      <c r="H799" s="5"/>
      <c r="I799" s="5"/>
      <c r="J799" s="5"/>
      <c r="K799" s="10"/>
      <c r="L799" s="10"/>
      <c r="M799" s="10"/>
      <c r="N799" s="5"/>
      <c r="O799" s="5"/>
      <c r="P799" s="27"/>
      <c r="Q799" s="27"/>
      <c r="R799" s="27"/>
      <c r="S799" s="27"/>
      <c r="T799" s="27"/>
      <c r="U799" s="27"/>
      <c r="V799" s="27"/>
      <c r="W799" s="27"/>
      <c r="X799" s="27"/>
      <c r="Y799" s="27"/>
      <c r="Z799" s="27"/>
      <c r="AA799" s="5"/>
      <c r="AB799" s="5"/>
      <c r="AC799" s="5"/>
      <c r="AD799" s="5"/>
      <c r="AE799" s="5"/>
      <c r="AF799" s="5"/>
      <c r="AG799" s="5"/>
      <c r="AH799" s="27"/>
      <c r="AI799" s="27"/>
      <c r="AJ799" s="27"/>
      <c r="AK799" s="5"/>
      <c r="AL799" s="6"/>
      <c r="AM799" s="10"/>
      <c r="AN799" s="63"/>
      <c r="AO799" s="63"/>
      <c r="AP799" s="63"/>
      <c r="AQ799" s="63"/>
      <c r="AR799" s="63"/>
      <c r="AS799" s="63"/>
      <c r="AT799" s="63"/>
      <c r="AU799" s="63"/>
      <c r="AV799" s="63"/>
      <c r="AW799" s="117"/>
    </row>
    <row r="800" spans="1:49">
      <c r="A800" s="1">
        <v>465</v>
      </c>
      <c r="B800" s="5"/>
      <c r="C800" s="10"/>
      <c r="D800" s="5"/>
      <c r="E800" s="10"/>
      <c r="F800" s="5"/>
      <c r="G800" s="5"/>
      <c r="H800" s="5"/>
      <c r="I800" s="5"/>
      <c r="J800" s="5"/>
      <c r="K800" s="10"/>
      <c r="L800" s="10"/>
      <c r="M800" s="10"/>
      <c r="N800" s="5"/>
      <c r="O800" s="5"/>
      <c r="P800" s="27"/>
      <c r="Q800" s="27"/>
      <c r="R800" s="27"/>
      <c r="S800" s="27"/>
      <c r="T800" s="27"/>
      <c r="U800" s="27"/>
      <c r="V800" s="27"/>
      <c r="W800" s="27"/>
      <c r="X800" s="27"/>
      <c r="Y800" s="27"/>
      <c r="Z800" s="27"/>
      <c r="AA800" s="5"/>
      <c r="AB800" s="5"/>
      <c r="AC800" s="5"/>
      <c r="AD800" s="5"/>
      <c r="AE800" s="5"/>
      <c r="AF800" s="5"/>
      <c r="AG800" s="5"/>
      <c r="AH800" s="27"/>
      <c r="AI800" s="27"/>
      <c r="AJ800" s="27"/>
      <c r="AK800" s="5"/>
      <c r="AL800" s="6"/>
      <c r="AM800" s="10"/>
      <c r="AN800" s="63"/>
      <c r="AO800" s="63"/>
      <c r="AP800" s="63"/>
      <c r="AQ800" s="63"/>
      <c r="AR800" s="63"/>
      <c r="AS800" s="63"/>
      <c r="AT800" s="63"/>
      <c r="AU800" s="63"/>
      <c r="AV800" s="63"/>
      <c r="AW800" s="117"/>
    </row>
    <row r="801" spans="1:49">
      <c r="A801" s="1">
        <v>466</v>
      </c>
      <c r="B801" s="5"/>
      <c r="C801" s="10"/>
      <c r="D801" s="5"/>
      <c r="E801" s="10"/>
      <c r="F801" s="5"/>
      <c r="G801" s="5"/>
      <c r="H801" s="5"/>
      <c r="I801" s="5"/>
      <c r="J801" s="5"/>
      <c r="K801" s="10"/>
      <c r="L801" s="10"/>
      <c r="M801" s="10"/>
      <c r="N801" s="5"/>
      <c r="O801" s="5"/>
      <c r="P801" s="27"/>
      <c r="Q801" s="27"/>
      <c r="R801" s="27"/>
      <c r="S801" s="27"/>
      <c r="T801" s="27"/>
      <c r="U801" s="27"/>
      <c r="V801" s="27"/>
      <c r="W801" s="27"/>
      <c r="X801" s="27"/>
      <c r="Y801" s="27"/>
      <c r="Z801" s="27"/>
      <c r="AA801" s="5"/>
      <c r="AB801" s="5"/>
      <c r="AC801" s="5"/>
      <c r="AD801" s="5"/>
      <c r="AE801" s="5"/>
      <c r="AF801" s="5"/>
      <c r="AG801" s="5"/>
      <c r="AH801" s="27"/>
      <c r="AI801" s="27"/>
      <c r="AJ801" s="27"/>
      <c r="AK801" s="5"/>
      <c r="AL801" s="6"/>
      <c r="AM801" s="10"/>
      <c r="AN801" s="63"/>
      <c r="AO801" s="63"/>
      <c r="AP801" s="63"/>
      <c r="AQ801" s="63"/>
      <c r="AR801" s="63"/>
      <c r="AS801" s="63"/>
      <c r="AT801" s="63"/>
      <c r="AU801" s="63"/>
      <c r="AV801" s="63"/>
      <c r="AW801" s="117"/>
    </row>
    <row r="802" spans="1:49">
      <c r="A802" s="1">
        <v>467</v>
      </c>
      <c r="B802" s="5"/>
      <c r="C802" s="10"/>
      <c r="D802" s="5"/>
      <c r="E802" s="10"/>
      <c r="F802" s="5"/>
      <c r="G802" s="5"/>
      <c r="H802" s="5"/>
      <c r="I802" s="5"/>
      <c r="J802" s="5"/>
      <c r="K802" s="10"/>
      <c r="L802" s="10"/>
      <c r="M802" s="10"/>
      <c r="N802" s="5"/>
      <c r="O802" s="5"/>
      <c r="P802" s="27"/>
      <c r="Q802" s="27"/>
      <c r="R802" s="27"/>
      <c r="S802" s="27"/>
      <c r="T802" s="27"/>
      <c r="U802" s="27"/>
      <c r="V802" s="27"/>
      <c r="W802" s="27"/>
      <c r="X802" s="27"/>
      <c r="Y802" s="27"/>
      <c r="Z802" s="27"/>
      <c r="AA802" s="5"/>
      <c r="AB802" s="5"/>
      <c r="AC802" s="5"/>
      <c r="AD802" s="5"/>
      <c r="AE802" s="5"/>
      <c r="AF802" s="5"/>
      <c r="AG802" s="5"/>
      <c r="AH802" s="27"/>
      <c r="AI802" s="27"/>
      <c r="AJ802" s="27"/>
      <c r="AK802" s="5"/>
      <c r="AL802" s="6"/>
      <c r="AM802" s="10"/>
      <c r="AN802" s="63"/>
      <c r="AO802" s="63"/>
      <c r="AP802" s="63"/>
      <c r="AQ802" s="63"/>
      <c r="AR802" s="63"/>
      <c r="AS802" s="63"/>
      <c r="AT802" s="63"/>
      <c r="AU802" s="63"/>
      <c r="AV802" s="63"/>
      <c r="AW802" s="117"/>
    </row>
    <row r="803" spans="1:49">
      <c r="A803" s="1">
        <v>468</v>
      </c>
      <c r="B803" s="5"/>
      <c r="C803" s="10"/>
      <c r="D803" s="5"/>
      <c r="E803" s="10"/>
      <c r="F803" s="5"/>
      <c r="G803" s="5"/>
      <c r="H803" s="5"/>
      <c r="I803" s="5"/>
      <c r="J803" s="5"/>
      <c r="K803" s="10"/>
      <c r="L803" s="10"/>
      <c r="M803" s="10"/>
      <c r="N803" s="5"/>
      <c r="O803" s="5"/>
      <c r="P803" s="27"/>
      <c r="Q803" s="27"/>
      <c r="R803" s="27"/>
      <c r="S803" s="27"/>
      <c r="T803" s="27"/>
      <c r="U803" s="27"/>
      <c r="V803" s="27"/>
      <c r="W803" s="27"/>
      <c r="X803" s="27"/>
      <c r="Y803" s="27"/>
      <c r="Z803" s="27"/>
      <c r="AA803" s="5"/>
      <c r="AB803" s="5"/>
      <c r="AC803" s="5"/>
      <c r="AD803" s="5"/>
      <c r="AE803" s="5"/>
      <c r="AF803" s="5"/>
      <c r="AG803" s="5"/>
      <c r="AH803" s="27"/>
      <c r="AI803" s="27"/>
      <c r="AJ803" s="27"/>
      <c r="AK803" s="5"/>
      <c r="AL803" s="6"/>
      <c r="AM803" s="10"/>
      <c r="AN803" s="63"/>
      <c r="AO803" s="63"/>
      <c r="AP803" s="63"/>
      <c r="AQ803" s="63"/>
      <c r="AR803" s="63"/>
      <c r="AS803" s="63"/>
      <c r="AT803" s="63"/>
      <c r="AU803" s="63"/>
      <c r="AV803" s="63"/>
      <c r="AW803" s="117"/>
    </row>
    <row r="804" spans="1:49">
      <c r="A804" s="1">
        <v>469</v>
      </c>
      <c r="B804" s="5"/>
      <c r="C804" s="10"/>
      <c r="D804" s="5"/>
      <c r="E804" s="10"/>
      <c r="F804" s="5"/>
      <c r="G804" s="5"/>
      <c r="H804" s="5"/>
      <c r="I804" s="5"/>
      <c r="J804" s="5"/>
      <c r="K804" s="10"/>
      <c r="L804" s="10"/>
      <c r="M804" s="10"/>
      <c r="N804" s="5"/>
      <c r="O804" s="5"/>
      <c r="P804" s="27"/>
      <c r="Q804" s="27"/>
      <c r="R804" s="27"/>
      <c r="S804" s="27"/>
      <c r="T804" s="27"/>
      <c r="U804" s="27"/>
      <c r="V804" s="27"/>
      <c r="W804" s="27"/>
      <c r="X804" s="27"/>
      <c r="Y804" s="27"/>
      <c r="Z804" s="27"/>
      <c r="AA804" s="5"/>
      <c r="AB804" s="5"/>
      <c r="AC804" s="5"/>
      <c r="AD804" s="5"/>
      <c r="AE804" s="5"/>
      <c r="AF804" s="5"/>
      <c r="AG804" s="5"/>
      <c r="AH804" s="27"/>
      <c r="AI804" s="27"/>
      <c r="AJ804" s="27"/>
      <c r="AK804" s="5"/>
      <c r="AL804" s="6"/>
      <c r="AM804" s="10"/>
      <c r="AN804" s="63"/>
      <c r="AO804" s="63"/>
      <c r="AP804" s="63"/>
      <c r="AQ804" s="63"/>
      <c r="AR804" s="63"/>
      <c r="AS804" s="63"/>
      <c r="AT804" s="63"/>
      <c r="AU804" s="63"/>
      <c r="AV804" s="63"/>
      <c r="AW804" s="117"/>
    </row>
    <row r="805" spans="1:49">
      <c r="A805" s="1">
        <v>470</v>
      </c>
      <c r="B805" s="5"/>
      <c r="C805" s="10"/>
      <c r="D805" s="5"/>
      <c r="E805" s="10"/>
      <c r="F805" s="5"/>
      <c r="G805" s="5"/>
      <c r="H805" s="5"/>
      <c r="I805" s="5"/>
      <c r="J805" s="5"/>
      <c r="K805" s="10"/>
      <c r="L805" s="10"/>
      <c r="M805" s="10"/>
      <c r="N805" s="5"/>
      <c r="O805" s="5"/>
      <c r="P805" s="27"/>
      <c r="Q805" s="27"/>
      <c r="R805" s="27"/>
      <c r="S805" s="27"/>
      <c r="T805" s="27"/>
      <c r="U805" s="27"/>
      <c r="V805" s="27"/>
      <c r="W805" s="27"/>
      <c r="X805" s="27"/>
      <c r="Y805" s="27"/>
      <c r="Z805" s="27"/>
      <c r="AA805" s="5"/>
      <c r="AB805" s="5"/>
      <c r="AC805" s="5"/>
      <c r="AD805" s="5"/>
      <c r="AE805" s="5"/>
      <c r="AF805" s="5"/>
      <c r="AG805" s="5"/>
      <c r="AH805" s="27"/>
      <c r="AI805" s="27"/>
      <c r="AJ805" s="27"/>
      <c r="AK805" s="5"/>
      <c r="AL805" s="6"/>
      <c r="AM805" s="10"/>
      <c r="AN805" s="63"/>
      <c r="AO805" s="63"/>
      <c r="AP805" s="63"/>
      <c r="AQ805" s="63"/>
      <c r="AR805" s="63"/>
      <c r="AS805" s="63"/>
      <c r="AT805" s="63"/>
      <c r="AU805" s="63"/>
      <c r="AV805" s="63"/>
      <c r="AW805" s="117"/>
    </row>
    <row r="806" spans="1:49">
      <c r="A806" s="1">
        <v>471</v>
      </c>
      <c r="B806" s="5"/>
      <c r="C806" s="10"/>
      <c r="D806" s="5"/>
      <c r="E806" s="10"/>
      <c r="F806" s="5"/>
      <c r="G806" s="5"/>
      <c r="H806" s="5"/>
      <c r="I806" s="5"/>
      <c r="J806" s="5"/>
      <c r="K806" s="10"/>
      <c r="L806" s="10"/>
      <c r="M806" s="10"/>
      <c r="N806" s="5"/>
      <c r="O806" s="5"/>
      <c r="P806" s="27"/>
      <c r="Q806" s="27"/>
      <c r="R806" s="27"/>
      <c r="S806" s="27"/>
      <c r="T806" s="27"/>
      <c r="U806" s="27"/>
      <c r="V806" s="27"/>
      <c r="W806" s="27"/>
      <c r="X806" s="27"/>
      <c r="Y806" s="27"/>
      <c r="Z806" s="27"/>
      <c r="AA806" s="5"/>
      <c r="AB806" s="5"/>
      <c r="AC806" s="5"/>
      <c r="AD806" s="5"/>
      <c r="AE806" s="5"/>
      <c r="AF806" s="5"/>
      <c r="AG806" s="5"/>
      <c r="AH806" s="27"/>
      <c r="AI806" s="27"/>
      <c r="AJ806" s="27"/>
      <c r="AK806" s="5"/>
      <c r="AL806" s="6"/>
      <c r="AM806" s="10"/>
      <c r="AN806" s="63"/>
      <c r="AO806" s="63"/>
      <c r="AP806" s="63"/>
      <c r="AQ806" s="63"/>
      <c r="AR806" s="63"/>
      <c r="AS806" s="63"/>
      <c r="AT806" s="63"/>
      <c r="AU806" s="63"/>
      <c r="AV806" s="63"/>
      <c r="AW806" s="117"/>
    </row>
    <row r="807" spans="1:49">
      <c r="A807" s="1">
        <v>472</v>
      </c>
      <c r="B807" s="5"/>
      <c r="C807" s="10"/>
      <c r="D807" s="5"/>
      <c r="E807" s="10"/>
      <c r="F807" s="5"/>
      <c r="G807" s="5"/>
      <c r="H807" s="5"/>
      <c r="I807" s="5"/>
      <c r="J807" s="5"/>
      <c r="K807" s="10"/>
      <c r="L807" s="10"/>
      <c r="M807" s="10"/>
      <c r="N807" s="5"/>
      <c r="O807" s="5"/>
      <c r="P807" s="27"/>
      <c r="Q807" s="27"/>
      <c r="R807" s="27"/>
      <c r="S807" s="27"/>
      <c r="T807" s="27"/>
      <c r="U807" s="27"/>
      <c r="V807" s="27"/>
      <c r="W807" s="27"/>
      <c r="X807" s="27"/>
      <c r="Y807" s="27"/>
      <c r="Z807" s="27"/>
      <c r="AA807" s="5"/>
      <c r="AB807" s="5"/>
      <c r="AC807" s="5"/>
      <c r="AD807" s="5"/>
      <c r="AE807" s="5"/>
      <c r="AF807" s="5"/>
      <c r="AG807" s="5"/>
      <c r="AH807" s="27"/>
      <c r="AI807" s="27"/>
      <c r="AJ807" s="27"/>
      <c r="AK807" s="5"/>
      <c r="AL807" s="6"/>
      <c r="AM807" s="10"/>
      <c r="AN807" s="63"/>
      <c r="AO807" s="63"/>
      <c r="AP807" s="63"/>
      <c r="AQ807" s="63"/>
      <c r="AR807" s="63"/>
      <c r="AS807" s="63"/>
      <c r="AT807" s="63"/>
      <c r="AU807" s="63"/>
      <c r="AV807" s="63"/>
      <c r="AW807" s="117"/>
    </row>
    <row r="808" spans="1:49">
      <c r="A808" s="1">
        <v>473</v>
      </c>
      <c r="B808" s="5"/>
      <c r="C808" s="10"/>
      <c r="D808" s="5"/>
      <c r="E808" s="10"/>
      <c r="F808" s="5"/>
      <c r="G808" s="5"/>
      <c r="H808" s="5"/>
      <c r="I808" s="5"/>
      <c r="J808" s="5"/>
      <c r="K808" s="10"/>
      <c r="L808" s="10"/>
      <c r="M808" s="10"/>
      <c r="N808" s="5"/>
      <c r="O808" s="5"/>
      <c r="P808" s="27"/>
      <c r="Q808" s="27"/>
      <c r="R808" s="27"/>
      <c r="S808" s="27"/>
      <c r="T808" s="27"/>
      <c r="U808" s="27"/>
      <c r="V808" s="27"/>
      <c r="W808" s="27"/>
      <c r="X808" s="27"/>
      <c r="Y808" s="27"/>
      <c r="Z808" s="27"/>
      <c r="AA808" s="5"/>
      <c r="AB808" s="5"/>
      <c r="AC808" s="5"/>
      <c r="AD808" s="5"/>
      <c r="AE808" s="5"/>
      <c r="AF808" s="5"/>
      <c r="AG808" s="5"/>
      <c r="AH808" s="27"/>
      <c r="AI808" s="27"/>
      <c r="AJ808" s="27"/>
      <c r="AK808" s="5"/>
      <c r="AL808" s="6"/>
      <c r="AM808" s="10"/>
      <c r="AN808" s="63"/>
      <c r="AO808" s="63"/>
      <c r="AP808" s="63"/>
      <c r="AQ808" s="63"/>
      <c r="AR808" s="63"/>
      <c r="AS808" s="63"/>
      <c r="AT808" s="63"/>
      <c r="AU808" s="63"/>
      <c r="AV808" s="63"/>
      <c r="AW808" s="117"/>
    </row>
    <row r="809" spans="1:49">
      <c r="A809" s="1">
        <v>474</v>
      </c>
      <c r="B809" s="5"/>
      <c r="C809" s="10"/>
      <c r="D809" s="5"/>
      <c r="E809" s="10"/>
      <c r="F809" s="5"/>
      <c r="G809" s="5"/>
      <c r="H809" s="5"/>
      <c r="I809" s="5"/>
      <c r="J809" s="5"/>
      <c r="K809" s="10"/>
      <c r="L809" s="10"/>
      <c r="M809" s="10"/>
      <c r="N809" s="5"/>
      <c r="O809" s="5"/>
      <c r="P809" s="27"/>
      <c r="Q809" s="27"/>
      <c r="R809" s="27"/>
      <c r="S809" s="27"/>
      <c r="T809" s="27"/>
      <c r="U809" s="27"/>
      <c r="V809" s="27"/>
      <c r="W809" s="27"/>
      <c r="X809" s="27"/>
      <c r="Y809" s="27"/>
      <c r="Z809" s="27"/>
      <c r="AA809" s="5"/>
      <c r="AB809" s="5"/>
      <c r="AC809" s="5"/>
      <c r="AD809" s="5"/>
      <c r="AE809" s="5"/>
      <c r="AF809" s="5"/>
      <c r="AG809" s="5"/>
      <c r="AH809" s="27"/>
      <c r="AI809" s="27"/>
      <c r="AJ809" s="27"/>
      <c r="AK809" s="5"/>
      <c r="AL809" s="6"/>
      <c r="AM809" s="10"/>
      <c r="AN809" s="63"/>
      <c r="AO809" s="63"/>
      <c r="AP809" s="63"/>
      <c r="AQ809" s="63"/>
      <c r="AR809" s="63"/>
      <c r="AS809" s="63"/>
      <c r="AT809" s="63"/>
      <c r="AU809" s="63"/>
      <c r="AV809" s="63"/>
      <c r="AW809" s="117"/>
    </row>
    <row r="810" spans="1:49">
      <c r="A810" s="1">
        <v>475</v>
      </c>
      <c r="B810" s="5"/>
      <c r="C810" s="10"/>
      <c r="D810" s="5"/>
      <c r="E810" s="10"/>
      <c r="F810" s="5"/>
      <c r="G810" s="5"/>
      <c r="H810" s="5"/>
      <c r="I810" s="5"/>
      <c r="J810" s="5"/>
      <c r="K810" s="10"/>
      <c r="L810" s="10"/>
      <c r="M810" s="10"/>
      <c r="N810" s="5"/>
      <c r="O810" s="5"/>
      <c r="P810" s="27"/>
      <c r="Q810" s="27"/>
      <c r="R810" s="27"/>
      <c r="S810" s="27"/>
      <c r="T810" s="27"/>
      <c r="U810" s="27"/>
      <c r="V810" s="27"/>
      <c r="W810" s="27"/>
      <c r="X810" s="27"/>
      <c r="Y810" s="27"/>
      <c r="Z810" s="27"/>
      <c r="AA810" s="5"/>
      <c r="AB810" s="5"/>
      <c r="AC810" s="5"/>
      <c r="AD810" s="5"/>
      <c r="AE810" s="5"/>
      <c r="AF810" s="5"/>
      <c r="AG810" s="5"/>
      <c r="AH810" s="27"/>
      <c r="AI810" s="27"/>
      <c r="AJ810" s="27"/>
      <c r="AK810" s="5"/>
      <c r="AL810" s="6"/>
      <c r="AM810" s="10"/>
      <c r="AN810" s="63"/>
      <c r="AO810" s="63"/>
      <c r="AP810" s="63"/>
      <c r="AQ810" s="63"/>
      <c r="AR810" s="63"/>
      <c r="AS810" s="63"/>
      <c r="AT810" s="63"/>
      <c r="AU810" s="63"/>
      <c r="AV810" s="63"/>
      <c r="AW810" s="117"/>
    </row>
    <row r="811" spans="1:49">
      <c r="A811" s="1">
        <v>476</v>
      </c>
      <c r="B811" s="5"/>
      <c r="C811" s="10"/>
      <c r="D811" s="5"/>
      <c r="E811" s="10"/>
      <c r="F811" s="5"/>
      <c r="G811" s="5"/>
      <c r="H811" s="5"/>
      <c r="I811" s="5"/>
      <c r="J811" s="5"/>
      <c r="K811" s="10"/>
      <c r="L811" s="10"/>
      <c r="M811" s="10"/>
      <c r="N811" s="5"/>
      <c r="O811" s="5"/>
      <c r="P811" s="27"/>
      <c r="Q811" s="27"/>
      <c r="R811" s="27"/>
      <c r="S811" s="27"/>
      <c r="T811" s="27"/>
      <c r="U811" s="27"/>
      <c r="V811" s="27"/>
      <c r="W811" s="27"/>
      <c r="X811" s="27"/>
      <c r="Y811" s="27"/>
      <c r="Z811" s="27"/>
      <c r="AA811" s="5"/>
      <c r="AB811" s="5"/>
      <c r="AC811" s="5"/>
      <c r="AD811" s="5"/>
      <c r="AE811" s="5"/>
      <c r="AF811" s="5"/>
      <c r="AG811" s="5"/>
      <c r="AH811" s="27"/>
      <c r="AI811" s="27"/>
      <c r="AJ811" s="27"/>
      <c r="AK811" s="5"/>
      <c r="AL811" s="6"/>
      <c r="AM811" s="10"/>
      <c r="AN811" s="63"/>
      <c r="AO811" s="63"/>
      <c r="AP811" s="63"/>
      <c r="AQ811" s="63"/>
      <c r="AR811" s="63"/>
      <c r="AS811" s="63"/>
      <c r="AT811" s="63"/>
      <c r="AU811" s="63"/>
      <c r="AV811" s="63"/>
      <c r="AW811" s="117"/>
    </row>
    <row r="812" spans="1:49">
      <c r="A812" s="1">
        <v>477</v>
      </c>
      <c r="B812" s="5"/>
      <c r="C812" s="10"/>
      <c r="D812" s="5"/>
      <c r="E812" s="10"/>
      <c r="F812" s="5"/>
      <c r="G812" s="5"/>
      <c r="H812" s="5"/>
      <c r="I812" s="5"/>
      <c r="J812" s="5"/>
      <c r="K812" s="10"/>
      <c r="L812" s="10"/>
      <c r="M812" s="10"/>
      <c r="N812" s="5"/>
      <c r="O812" s="5"/>
      <c r="P812" s="27"/>
      <c r="Q812" s="27"/>
      <c r="R812" s="27"/>
      <c r="S812" s="27"/>
      <c r="T812" s="27"/>
      <c r="U812" s="27"/>
      <c r="V812" s="27"/>
      <c r="W812" s="27"/>
      <c r="X812" s="27"/>
      <c r="Y812" s="27"/>
      <c r="Z812" s="27"/>
      <c r="AA812" s="5"/>
      <c r="AB812" s="5"/>
      <c r="AC812" s="5"/>
      <c r="AD812" s="5"/>
      <c r="AE812" s="5"/>
      <c r="AF812" s="5"/>
      <c r="AG812" s="5"/>
      <c r="AH812" s="27"/>
      <c r="AI812" s="27"/>
      <c r="AJ812" s="27"/>
      <c r="AK812" s="5"/>
      <c r="AL812" s="6"/>
      <c r="AM812" s="10"/>
      <c r="AN812" s="63"/>
      <c r="AO812" s="63"/>
      <c r="AP812" s="63"/>
      <c r="AQ812" s="63"/>
      <c r="AR812" s="63"/>
      <c r="AS812" s="63"/>
      <c r="AT812" s="63"/>
      <c r="AU812" s="63"/>
      <c r="AV812" s="63"/>
      <c r="AW812" s="117"/>
    </row>
    <row r="813" spans="1:49">
      <c r="A813" s="1">
        <v>478</v>
      </c>
      <c r="B813" s="5"/>
      <c r="C813" s="10"/>
      <c r="D813" s="5"/>
      <c r="E813" s="10"/>
      <c r="F813" s="5"/>
      <c r="G813" s="5"/>
      <c r="H813" s="5"/>
      <c r="I813" s="5"/>
      <c r="J813" s="5"/>
      <c r="K813" s="10"/>
      <c r="L813" s="10"/>
      <c r="M813" s="10"/>
      <c r="N813" s="5"/>
      <c r="O813" s="5"/>
      <c r="P813" s="27"/>
      <c r="Q813" s="27"/>
      <c r="R813" s="27"/>
      <c r="S813" s="27"/>
      <c r="T813" s="27"/>
      <c r="U813" s="27"/>
      <c r="V813" s="27"/>
      <c r="W813" s="27"/>
      <c r="X813" s="27"/>
      <c r="Y813" s="27"/>
      <c r="Z813" s="27"/>
      <c r="AA813" s="5"/>
      <c r="AB813" s="5"/>
      <c r="AC813" s="5"/>
      <c r="AD813" s="5"/>
      <c r="AE813" s="5"/>
      <c r="AF813" s="5"/>
      <c r="AG813" s="5"/>
      <c r="AH813" s="27"/>
      <c r="AI813" s="27"/>
      <c r="AJ813" s="27"/>
      <c r="AK813" s="5"/>
      <c r="AL813" s="6"/>
      <c r="AM813" s="10"/>
      <c r="AN813" s="63"/>
      <c r="AO813" s="63"/>
      <c r="AP813" s="63"/>
      <c r="AQ813" s="63"/>
      <c r="AR813" s="63"/>
      <c r="AS813" s="63"/>
      <c r="AT813" s="63"/>
      <c r="AU813" s="63"/>
      <c r="AV813" s="63"/>
      <c r="AW813" s="117"/>
    </row>
    <row r="814" spans="1:49">
      <c r="A814" s="1">
        <v>479</v>
      </c>
      <c r="B814" s="5"/>
      <c r="C814" s="10"/>
      <c r="D814" s="5"/>
      <c r="E814" s="10"/>
      <c r="F814" s="5"/>
      <c r="G814" s="5"/>
      <c r="H814" s="5"/>
      <c r="I814" s="5"/>
      <c r="J814" s="5"/>
      <c r="K814" s="10"/>
      <c r="L814" s="10"/>
      <c r="M814" s="10"/>
      <c r="N814" s="5"/>
      <c r="O814" s="5"/>
      <c r="P814" s="27"/>
      <c r="Q814" s="27"/>
      <c r="R814" s="27"/>
      <c r="S814" s="27"/>
      <c r="T814" s="27"/>
      <c r="U814" s="27"/>
      <c r="V814" s="27"/>
      <c r="W814" s="27"/>
      <c r="X814" s="27"/>
      <c r="Y814" s="27"/>
      <c r="Z814" s="27"/>
      <c r="AA814" s="5"/>
      <c r="AB814" s="5"/>
      <c r="AC814" s="5"/>
      <c r="AD814" s="5"/>
      <c r="AE814" s="5"/>
      <c r="AF814" s="5"/>
      <c r="AG814" s="5"/>
      <c r="AH814" s="27"/>
      <c r="AI814" s="27"/>
      <c r="AJ814" s="27"/>
      <c r="AK814" s="5"/>
      <c r="AL814" s="6"/>
      <c r="AM814" s="10"/>
      <c r="AN814" s="63"/>
      <c r="AO814" s="63"/>
      <c r="AP814" s="63"/>
      <c r="AQ814" s="63"/>
      <c r="AR814" s="63"/>
      <c r="AS814" s="63"/>
      <c r="AT814" s="63"/>
      <c r="AU814" s="63"/>
      <c r="AV814" s="63"/>
      <c r="AW814" s="117"/>
    </row>
    <row r="815" spans="1:49">
      <c r="A815" s="1">
        <v>480</v>
      </c>
      <c r="B815" s="5"/>
      <c r="C815" s="10"/>
      <c r="D815" s="5"/>
      <c r="E815" s="10"/>
      <c r="F815" s="5"/>
      <c r="G815" s="5"/>
      <c r="H815" s="5"/>
      <c r="I815" s="5"/>
      <c r="J815" s="5"/>
      <c r="K815" s="10"/>
      <c r="L815" s="10"/>
      <c r="M815" s="10"/>
      <c r="N815" s="5"/>
      <c r="O815" s="5"/>
      <c r="P815" s="27"/>
      <c r="Q815" s="27"/>
      <c r="R815" s="27"/>
      <c r="S815" s="27"/>
      <c r="T815" s="27"/>
      <c r="U815" s="27"/>
      <c r="V815" s="27"/>
      <c r="W815" s="27"/>
      <c r="X815" s="27"/>
      <c r="Y815" s="27"/>
      <c r="Z815" s="27"/>
      <c r="AA815" s="5"/>
      <c r="AB815" s="5"/>
      <c r="AC815" s="5"/>
      <c r="AD815" s="5"/>
      <c r="AE815" s="5"/>
      <c r="AF815" s="5"/>
      <c r="AG815" s="5"/>
      <c r="AH815" s="27"/>
      <c r="AI815" s="27"/>
      <c r="AJ815" s="27"/>
      <c r="AK815" s="5"/>
      <c r="AL815" s="6"/>
      <c r="AM815" s="10"/>
      <c r="AN815" s="63"/>
      <c r="AO815" s="63"/>
      <c r="AP815" s="63"/>
      <c r="AQ815" s="63"/>
      <c r="AR815" s="63"/>
      <c r="AS815" s="63"/>
      <c r="AT815" s="63"/>
      <c r="AU815" s="63"/>
      <c r="AV815" s="63"/>
      <c r="AW815" s="117"/>
    </row>
    <row r="816" spans="1:49">
      <c r="A816" s="1">
        <v>481</v>
      </c>
      <c r="B816" s="5"/>
      <c r="C816" s="10"/>
      <c r="D816" s="5"/>
      <c r="E816" s="10"/>
      <c r="F816" s="5"/>
      <c r="G816" s="5"/>
      <c r="H816" s="5"/>
      <c r="I816" s="5"/>
      <c r="J816" s="5"/>
      <c r="K816" s="10"/>
      <c r="L816" s="10"/>
      <c r="M816" s="10"/>
      <c r="N816" s="5"/>
      <c r="O816" s="5"/>
      <c r="P816" s="27"/>
      <c r="Q816" s="27"/>
      <c r="R816" s="27"/>
      <c r="S816" s="27"/>
      <c r="T816" s="27"/>
      <c r="U816" s="27"/>
      <c r="V816" s="27"/>
      <c r="W816" s="27"/>
      <c r="X816" s="27"/>
      <c r="Y816" s="27"/>
      <c r="Z816" s="27"/>
      <c r="AA816" s="5"/>
      <c r="AB816" s="5"/>
      <c r="AC816" s="5"/>
      <c r="AD816" s="5"/>
      <c r="AE816" s="5"/>
      <c r="AF816" s="5"/>
      <c r="AG816" s="5"/>
      <c r="AH816" s="27"/>
      <c r="AI816" s="27"/>
      <c r="AJ816" s="27"/>
      <c r="AK816" s="5"/>
      <c r="AL816" s="6"/>
      <c r="AM816" s="10"/>
      <c r="AN816" s="63"/>
      <c r="AO816" s="63"/>
      <c r="AP816" s="63"/>
      <c r="AQ816" s="63"/>
      <c r="AR816" s="63"/>
      <c r="AS816" s="63"/>
      <c r="AT816" s="63"/>
      <c r="AU816" s="63"/>
      <c r="AV816" s="63"/>
      <c r="AW816" s="117"/>
    </row>
    <row r="817" spans="1:49">
      <c r="A817" s="1">
        <v>482</v>
      </c>
      <c r="B817" s="5"/>
      <c r="C817" s="10"/>
      <c r="D817" s="5"/>
      <c r="E817" s="10"/>
      <c r="F817" s="5"/>
      <c r="G817" s="5"/>
      <c r="H817" s="5"/>
      <c r="I817" s="5"/>
      <c r="J817" s="5"/>
      <c r="K817" s="10"/>
      <c r="L817" s="10"/>
      <c r="M817" s="10"/>
      <c r="N817" s="5"/>
      <c r="O817" s="5"/>
      <c r="P817" s="27"/>
      <c r="Q817" s="27"/>
      <c r="R817" s="27"/>
      <c r="S817" s="27"/>
      <c r="T817" s="27"/>
      <c r="U817" s="27"/>
      <c r="V817" s="27"/>
      <c r="W817" s="27"/>
      <c r="X817" s="27"/>
      <c r="Y817" s="27"/>
      <c r="Z817" s="27"/>
      <c r="AA817" s="5"/>
      <c r="AB817" s="5"/>
      <c r="AC817" s="5"/>
      <c r="AD817" s="5"/>
      <c r="AE817" s="5"/>
      <c r="AF817" s="5"/>
      <c r="AG817" s="5"/>
      <c r="AH817" s="27"/>
      <c r="AI817" s="27"/>
      <c r="AJ817" s="27"/>
      <c r="AK817" s="5"/>
      <c r="AL817" s="6"/>
      <c r="AM817" s="10"/>
      <c r="AN817" s="63"/>
      <c r="AO817" s="63"/>
      <c r="AP817" s="63"/>
      <c r="AQ817" s="63"/>
      <c r="AR817" s="63"/>
      <c r="AS817" s="63"/>
      <c r="AT817" s="63"/>
      <c r="AU817" s="63"/>
      <c r="AV817" s="63"/>
      <c r="AW817" s="117"/>
    </row>
    <row r="818" spans="1:49">
      <c r="A818" s="1">
        <v>483</v>
      </c>
      <c r="B818" s="5"/>
      <c r="C818" s="10"/>
      <c r="D818" s="5"/>
      <c r="E818" s="10"/>
      <c r="F818" s="5"/>
      <c r="G818" s="5"/>
      <c r="H818" s="5"/>
      <c r="I818" s="5"/>
      <c r="J818" s="5"/>
      <c r="K818" s="10"/>
      <c r="L818" s="10"/>
      <c r="M818" s="10"/>
      <c r="N818" s="5"/>
      <c r="O818" s="5"/>
      <c r="P818" s="27"/>
      <c r="Q818" s="27"/>
      <c r="R818" s="27"/>
      <c r="S818" s="27"/>
      <c r="T818" s="27"/>
      <c r="U818" s="27"/>
      <c r="V818" s="27"/>
      <c r="W818" s="27"/>
      <c r="X818" s="27"/>
      <c r="Y818" s="27"/>
      <c r="Z818" s="27"/>
      <c r="AA818" s="5"/>
      <c r="AB818" s="5"/>
      <c r="AC818" s="5"/>
      <c r="AD818" s="5"/>
      <c r="AE818" s="5"/>
      <c r="AF818" s="5"/>
      <c r="AG818" s="5"/>
      <c r="AH818" s="27"/>
      <c r="AI818" s="27"/>
      <c r="AJ818" s="27"/>
      <c r="AK818" s="5"/>
      <c r="AL818" s="6"/>
      <c r="AM818" s="10"/>
      <c r="AN818" s="63"/>
      <c r="AO818" s="63"/>
      <c r="AP818" s="63"/>
      <c r="AQ818" s="63"/>
      <c r="AR818" s="63"/>
      <c r="AS818" s="63"/>
      <c r="AT818" s="63"/>
      <c r="AU818" s="63"/>
      <c r="AV818" s="63"/>
      <c r="AW818" s="117"/>
    </row>
    <row r="819" spans="1:49">
      <c r="A819" s="1">
        <v>484</v>
      </c>
      <c r="B819" s="5"/>
      <c r="C819" s="10"/>
      <c r="D819" s="5"/>
      <c r="E819" s="10"/>
      <c r="F819" s="5"/>
      <c r="G819" s="5"/>
      <c r="H819" s="5"/>
      <c r="I819" s="5"/>
      <c r="J819" s="5"/>
      <c r="K819" s="10"/>
      <c r="L819" s="10"/>
      <c r="M819" s="10"/>
      <c r="N819" s="5"/>
      <c r="O819" s="5"/>
      <c r="P819" s="27"/>
      <c r="Q819" s="27"/>
      <c r="R819" s="27"/>
      <c r="S819" s="27"/>
      <c r="T819" s="27"/>
      <c r="U819" s="27"/>
      <c r="V819" s="27"/>
      <c r="W819" s="27"/>
      <c r="X819" s="27"/>
      <c r="Y819" s="27"/>
      <c r="Z819" s="27"/>
      <c r="AA819" s="5"/>
      <c r="AB819" s="5"/>
      <c r="AC819" s="5"/>
      <c r="AD819" s="5"/>
      <c r="AE819" s="5"/>
      <c r="AF819" s="5"/>
      <c r="AG819" s="5"/>
      <c r="AH819" s="27"/>
      <c r="AI819" s="27"/>
      <c r="AJ819" s="27"/>
      <c r="AK819" s="5"/>
      <c r="AL819" s="6"/>
      <c r="AM819" s="10"/>
      <c r="AN819" s="63"/>
      <c r="AO819" s="63"/>
      <c r="AP819" s="63"/>
      <c r="AQ819" s="63"/>
      <c r="AR819" s="63"/>
      <c r="AS819" s="63"/>
      <c r="AT819" s="63"/>
      <c r="AU819" s="63"/>
      <c r="AV819" s="63"/>
      <c r="AW819" s="117"/>
    </row>
    <row r="820" spans="1:49">
      <c r="A820" s="1">
        <v>485</v>
      </c>
      <c r="B820" s="5"/>
      <c r="C820" s="10"/>
      <c r="D820" s="5"/>
      <c r="E820" s="10"/>
      <c r="F820" s="5"/>
      <c r="G820" s="5"/>
      <c r="H820" s="5"/>
      <c r="I820" s="5"/>
      <c r="J820" s="5"/>
      <c r="K820" s="10"/>
      <c r="L820" s="10"/>
      <c r="M820" s="10"/>
      <c r="N820" s="5"/>
      <c r="O820" s="5"/>
      <c r="P820" s="27"/>
      <c r="Q820" s="27"/>
      <c r="R820" s="27"/>
      <c r="S820" s="27"/>
      <c r="T820" s="27"/>
      <c r="U820" s="27"/>
      <c r="V820" s="27"/>
      <c r="W820" s="27"/>
      <c r="X820" s="27"/>
      <c r="Y820" s="27"/>
      <c r="Z820" s="27"/>
      <c r="AA820" s="5"/>
      <c r="AB820" s="5"/>
      <c r="AC820" s="5"/>
      <c r="AD820" s="5"/>
      <c r="AE820" s="5"/>
      <c r="AF820" s="5"/>
      <c r="AG820" s="5"/>
      <c r="AH820" s="27"/>
      <c r="AI820" s="27"/>
      <c r="AJ820" s="27"/>
      <c r="AK820" s="5"/>
      <c r="AL820" s="6"/>
      <c r="AM820" s="10"/>
      <c r="AN820" s="63"/>
      <c r="AO820" s="63"/>
      <c r="AP820" s="63"/>
      <c r="AQ820" s="63"/>
      <c r="AR820" s="63"/>
      <c r="AS820" s="63"/>
      <c r="AT820" s="63"/>
      <c r="AU820" s="63"/>
      <c r="AV820" s="63"/>
      <c r="AW820" s="117"/>
    </row>
    <row r="821" spans="1:49">
      <c r="A821" s="1">
        <v>486</v>
      </c>
      <c r="B821" s="5"/>
      <c r="C821" s="10"/>
      <c r="D821" s="5"/>
      <c r="E821" s="10"/>
      <c r="F821" s="5"/>
      <c r="G821" s="5"/>
      <c r="H821" s="5"/>
      <c r="I821" s="5"/>
      <c r="J821" s="5"/>
      <c r="K821" s="10"/>
      <c r="L821" s="10"/>
      <c r="M821" s="10"/>
      <c r="N821" s="5"/>
      <c r="O821" s="5"/>
      <c r="P821" s="27"/>
      <c r="Q821" s="27"/>
      <c r="R821" s="27"/>
      <c r="S821" s="27"/>
      <c r="T821" s="27"/>
      <c r="U821" s="27"/>
      <c r="V821" s="27"/>
      <c r="W821" s="27"/>
      <c r="X821" s="27"/>
      <c r="Y821" s="27"/>
      <c r="Z821" s="27"/>
      <c r="AA821" s="5"/>
      <c r="AB821" s="5"/>
      <c r="AC821" s="5"/>
      <c r="AD821" s="5"/>
      <c r="AE821" s="5"/>
      <c r="AF821" s="5"/>
      <c r="AG821" s="5"/>
      <c r="AH821" s="27"/>
      <c r="AI821" s="27"/>
      <c r="AJ821" s="27"/>
      <c r="AK821" s="5"/>
      <c r="AL821" s="6"/>
      <c r="AM821" s="10"/>
      <c r="AN821" s="63"/>
      <c r="AO821" s="63"/>
      <c r="AP821" s="63"/>
      <c r="AQ821" s="63"/>
      <c r="AR821" s="63"/>
      <c r="AS821" s="63"/>
      <c r="AT821" s="63"/>
      <c r="AU821" s="63"/>
      <c r="AV821" s="63"/>
      <c r="AW821" s="117"/>
    </row>
    <row r="822" spans="1:49">
      <c r="A822" s="1">
        <v>487</v>
      </c>
      <c r="B822" s="5"/>
      <c r="C822" s="10"/>
      <c r="D822" s="5"/>
      <c r="E822" s="10"/>
      <c r="F822" s="5"/>
      <c r="G822" s="5"/>
      <c r="H822" s="5"/>
      <c r="I822" s="5"/>
      <c r="J822" s="5"/>
      <c r="K822" s="10"/>
      <c r="L822" s="10"/>
      <c r="M822" s="10"/>
      <c r="N822" s="5"/>
      <c r="O822" s="5"/>
      <c r="P822" s="27"/>
      <c r="Q822" s="27"/>
      <c r="R822" s="27"/>
      <c r="S822" s="27"/>
      <c r="T822" s="27"/>
      <c r="U822" s="27"/>
      <c r="V822" s="27"/>
      <c r="W822" s="27"/>
      <c r="X822" s="27"/>
      <c r="Y822" s="27"/>
      <c r="Z822" s="27"/>
      <c r="AA822" s="5"/>
      <c r="AB822" s="5"/>
      <c r="AC822" s="5"/>
      <c r="AD822" s="5"/>
      <c r="AE822" s="5"/>
      <c r="AF822" s="5"/>
      <c r="AG822" s="5"/>
      <c r="AH822" s="27"/>
      <c r="AI822" s="27"/>
      <c r="AJ822" s="27"/>
      <c r="AK822" s="5"/>
      <c r="AL822" s="6"/>
      <c r="AM822" s="10"/>
      <c r="AN822" s="63"/>
      <c r="AO822" s="63"/>
      <c r="AP822" s="63"/>
      <c r="AQ822" s="63"/>
      <c r="AR822" s="63"/>
      <c r="AS822" s="63"/>
      <c r="AT822" s="63"/>
      <c r="AU822" s="63"/>
      <c r="AV822" s="63"/>
      <c r="AW822" s="117"/>
    </row>
    <row r="823" spans="1:49">
      <c r="A823" s="1">
        <v>488</v>
      </c>
      <c r="B823" s="5"/>
      <c r="C823" s="10"/>
      <c r="D823" s="5"/>
      <c r="E823" s="10"/>
      <c r="F823" s="5"/>
      <c r="G823" s="5"/>
      <c r="H823" s="5"/>
      <c r="I823" s="5"/>
      <c r="J823" s="5"/>
      <c r="K823" s="10"/>
      <c r="L823" s="10"/>
      <c r="M823" s="10"/>
      <c r="N823" s="5"/>
      <c r="O823" s="5"/>
      <c r="P823" s="27"/>
      <c r="Q823" s="27"/>
      <c r="R823" s="27"/>
      <c r="S823" s="27"/>
      <c r="T823" s="27"/>
      <c r="U823" s="27"/>
      <c r="V823" s="27"/>
      <c r="W823" s="27"/>
      <c r="X823" s="27"/>
      <c r="Y823" s="27"/>
      <c r="Z823" s="27"/>
      <c r="AA823" s="5"/>
      <c r="AB823" s="5"/>
      <c r="AC823" s="5"/>
      <c r="AD823" s="5"/>
      <c r="AE823" s="5"/>
      <c r="AF823" s="5"/>
      <c r="AG823" s="5"/>
      <c r="AH823" s="27"/>
      <c r="AI823" s="27"/>
      <c r="AJ823" s="27"/>
      <c r="AK823" s="5"/>
      <c r="AL823" s="6"/>
      <c r="AM823" s="10"/>
      <c r="AN823" s="63"/>
      <c r="AO823" s="63"/>
      <c r="AP823" s="63"/>
      <c r="AQ823" s="63"/>
      <c r="AR823" s="63"/>
      <c r="AS823" s="63"/>
      <c r="AT823" s="63"/>
      <c r="AU823" s="63"/>
      <c r="AV823" s="63"/>
      <c r="AW823" s="117"/>
    </row>
  </sheetData>
  <phoneticPr fontId="1" type="noConversion"/>
  <conditionalFormatting sqref="E355">
    <cfRule type="duplicateValues" dxfId="414" priority="401"/>
  </conditionalFormatting>
  <conditionalFormatting sqref="E355">
    <cfRule type="duplicateValues" dxfId="413" priority="400"/>
  </conditionalFormatting>
  <conditionalFormatting sqref="E127">
    <cfRule type="duplicateValues" dxfId="412" priority="399"/>
  </conditionalFormatting>
  <conditionalFormatting sqref="E127">
    <cfRule type="duplicateValues" dxfId="411" priority="398"/>
  </conditionalFormatting>
  <conditionalFormatting sqref="E466:E471">
    <cfRule type="duplicateValues" dxfId="410" priority="397"/>
  </conditionalFormatting>
  <conditionalFormatting sqref="E466:E471">
    <cfRule type="duplicateValues" dxfId="409" priority="396"/>
  </conditionalFormatting>
  <conditionalFormatting sqref="E216 E218 E220 E222 E224 E226 E228 E230">
    <cfRule type="duplicateValues" dxfId="408" priority="395"/>
  </conditionalFormatting>
  <conditionalFormatting sqref="E216">
    <cfRule type="duplicateValues" dxfId="407" priority="394"/>
  </conditionalFormatting>
  <conditionalFormatting sqref="E216">
    <cfRule type="duplicateValues" dxfId="406" priority="393"/>
  </conditionalFormatting>
  <conditionalFormatting sqref="E459">
    <cfRule type="duplicateValues" dxfId="405" priority="392"/>
  </conditionalFormatting>
  <conditionalFormatting sqref="E459">
    <cfRule type="duplicateValues" dxfId="404" priority="391"/>
  </conditionalFormatting>
  <conditionalFormatting sqref="E459">
    <cfRule type="duplicateValues" dxfId="403" priority="390"/>
  </conditionalFormatting>
  <conditionalFormatting sqref="E459">
    <cfRule type="duplicateValues" dxfId="402" priority="388"/>
    <cfRule type="duplicateValues" dxfId="401" priority="389"/>
  </conditionalFormatting>
  <conditionalFormatting sqref="E405 E407 E409 E411 E413">
    <cfRule type="duplicateValues" dxfId="400" priority="387"/>
  </conditionalFormatting>
  <conditionalFormatting sqref="E405">
    <cfRule type="duplicateValues" dxfId="399" priority="386"/>
  </conditionalFormatting>
  <conditionalFormatting sqref="E405">
    <cfRule type="duplicateValues" dxfId="398" priority="385"/>
  </conditionalFormatting>
  <conditionalFormatting sqref="E405 E407 E409 E411 E413">
    <cfRule type="duplicateValues" dxfId="397" priority="383"/>
    <cfRule type="duplicateValues" dxfId="396" priority="384"/>
  </conditionalFormatting>
  <conditionalFormatting sqref="E97 E99 E101 E103 E105 E107 E109">
    <cfRule type="duplicateValues" dxfId="395" priority="382"/>
  </conditionalFormatting>
  <conditionalFormatting sqref="E97 E99 E101 E103 E105 E107 E109">
    <cfRule type="duplicateValues" dxfId="394" priority="381"/>
  </conditionalFormatting>
  <conditionalFormatting sqref="E97 E99 E101 E103 E105 E107 E109">
    <cfRule type="duplicateValues" dxfId="393" priority="380"/>
  </conditionalFormatting>
  <conditionalFormatting sqref="E97 E99 E101 E103 E105 E107 E109">
    <cfRule type="duplicateValues" dxfId="392" priority="378"/>
    <cfRule type="duplicateValues" dxfId="391" priority="379"/>
  </conditionalFormatting>
  <conditionalFormatting sqref="E368">
    <cfRule type="duplicateValues" dxfId="390" priority="377"/>
  </conditionalFormatting>
  <conditionalFormatting sqref="E368">
    <cfRule type="duplicateValues" dxfId="389" priority="376"/>
  </conditionalFormatting>
  <conditionalFormatting sqref="E368">
    <cfRule type="duplicateValues" dxfId="388" priority="375"/>
  </conditionalFormatting>
  <conditionalFormatting sqref="E368">
    <cfRule type="duplicateValues" dxfId="387" priority="374"/>
  </conditionalFormatting>
  <conditionalFormatting sqref="E368">
    <cfRule type="duplicateValues" dxfId="386" priority="372"/>
    <cfRule type="duplicateValues" dxfId="385" priority="373"/>
  </conditionalFormatting>
  <conditionalFormatting sqref="E309 E311 E313">
    <cfRule type="duplicateValues" dxfId="384" priority="371"/>
  </conditionalFormatting>
  <conditionalFormatting sqref="E309">
    <cfRule type="duplicateValues" dxfId="383" priority="370"/>
  </conditionalFormatting>
  <conditionalFormatting sqref="E309">
    <cfRule type="duplicateValues" dxfId="382" priority="369"/>
  </conditionalFormatting>
  <conditionalFormatting sqref="E309 E311 E313">
    <cfRule type="duplicateValues" dxfId="381" priority="367"/>
    <cfRule type="duplicateValues" dxfId="380" priority="368"/>
  </conditionalFormatting>
  <conditionalFormatting sqref="E371">
    <cfRule type="duplicateValues" dxfId="379" priority="366"/>
  </conditionalFormatting>
  <conditionalFormatting sqref="E371">
    <cfRule type="duplicateValues" dxfId="378" priority="364"/>
    <cfRule type="duplicateValues" dxfId="377" priority="365"/>
  </conditionalFormatting>
  <conditionalFormatting sqref="E506:E520">
    <cfRule type="duplicateValues" dxfId="376" priority="402"/>
  </conditionalFormatting>
  <conditionalFormatting sqref="E506:E520">
    <cfRule type="duplicateValues" dxfId="375" priority="403"/>
    <cfRule type="duplicateValues" dxfId="374" priority="404"/>
  </conditionalFormatting>
  <conditionalFormatting sqref="E280 E282 E284 E286">
    <cfRule type="duplicateValues" dxfId="373" priority="363"/>
  </conditionalFormatting>
  <conditionalFormatting sqref="E280">
    <cfRule type="duplicateValues" dxfId="372" priority="362"/>
  </conditionalFormatting>
  <conditionalFormatting sqref="E280">
    <cfRule type="duplicateValues" dxfId="371" priority="361"/>
  </conditionalFormatting>
  <conditionalFormatting sqref="E280 E282 E284 E286">
    <cfRule type="duplicateValues" dxfId="370" priority="359"/>
    <cfRule type="duplicateValues" dxfId="369" priority="360"/>
  </conditionalFormatting>
  <conditionalFormatting sqref="E472 E474 E476 E478 E480 E482 E484 E486 E488 E490 E492 E494 E496 E498 E500 E502">
    <cfRule type="duplicateValues" dxfId="368" priority="358"/>
  </conditionalFormatting>
  <conditionalFormatting sqref="E472">
    <cfRule type="duplicateValues" dxfId="367" priority="357"/>
  </conditionalFormatting>
  <conditionalFormatting sqref="E472">
    <cfRule type="duplicateValues" dxfId="366" priority="356"/>
  </conditionalFormatting>
  <conditionalFormatting sqref="E472 E474 E476 E478 E480 E482 E484 E486 E488 E490 E492 E494 E496 E498 E500 E502">
    <cfRule type="duplicateValues" dxfId="365" priority="354"/>
    <cfRule type="duplicateValues" dxfId="364" priority="355"/>
  </conditionalFormatting>
  <conditionalFormatting sqref="E137">
    <cfRule type="duplicateValues" dxfId="363" priority="353"/>
  </conditionalFormatting>
  <conditionalFormatting sqref="E137">
    <cfRule type="duplicateValues" dxfId="362" priority="352"/>
  </conditionalFormatting>
  <conditionalFormatting sqref="E137">
    <cfRule type="duplicateValues" dxfId="361" priority="351"/>
  </conditionalFormatting>
  <conditionalFormatting sqref="E137">
    <cfRule type="duplicateValues" dxfId="360" priority="349"/>
    <cfRule type="duplicateValues" dxfId="359" priority="350"/>
  </conditionalFormatting>
  <conditionalFormatting sqref="E372">
    <cfRule type="duplicateValues" dxfId="358" priority="348"/>
  </conditionalFormatting>
  <conditionalFormatting sqref="E372">
    <cfRule type="duplicateValues" dxfId="357" priority="346"/>
    <cfRule type="duplicateValues" dxfId="356" priority="347"/>
  </conditionalFormatting>
  <conditionalFormatting sqref="E138">
    <cfRule type="duplicateValues" dxfId="355" priority="345"/>
  </conditionalFormatting>
  <conditionalFormatting sqref="E138">
    <cfRule type="duplicateValues" dxfId="354" priority="344"/>
  </conditionalFormatting>
  <conditionalFormatting sqref="E138">
    <cfRule type="duplicateValues" dxfId="353" priority="343"/>
  </conditionalFormatting>
  <conditionalFormatting sqref="E138">
    <cfRule type="duplicateValues" dxfId="352" priority="341"/>
    <cfRule type="duplicateValues" dxfId="351" priority="342"/>
  </conditionalFormatting>
  <conditionalFormatting sqref="E138">
    <cfRule type="duplicateValues" dxfId="350" priority="340"/>
  </conditionalFormatting>
  <conditionalFormatting sqref="E138">
    <cfRule type="duplicateValues" dxfId="349" priority="339"/>
  </conditionalFormatting>
  <conditionalFormatting sqref="E139">
    <cfRule type="duplicateValues" dxfId="348" priority="338"/>
  </conditionalFormatting>
  <conditionalFormatting sqref="E139">
    <cfRule type="duplicateValues" dxfId="347" priority="337"/>
  </conditionalFormatting>
  <conditionalFormatting sqref="E139">
    <cfRule type="duplicateValues" dxfId="346" priority="336"/>
  </conditionalFormatting>
  <conditionalFormatting sqref="E139">
    <cfRule type="duplicateValues" dxfId="345" priority="334"/>
    <cfRule type="duplicateValues" dxfId="344" priority="335"/>
  </conditionalFormatting>
  <conditionalFormatting sqref="E139">
    <cfRule type="duplicateValues" dxfId="343" priority="333"/>
  </conditionalFormatting>
  <conditionalFormatting sqref="E139">
    <cfRule type="duplicateValues" dxfId="342" priority="332"/>
  </conditionalFormatting>
  <conditionalFormatting sqref="E447">
    <cfRule type="duplicateValues" dxfId="341" priority="331"/>
  </conditionalFormatting>
  <conditionalFormatting sqref="E447">
    <cfRule type="duplicateValues" dxfId="340" priority="330"/>
  </conditionalFormatting>
  <conditionalFormatting sqref="E447">
    <cfRule type="duplicateValues" dxfId="339" priority="329"/>
  </conditionalFormatting>
  <conditionalFormatting sqref="E447">
    <cfRule type="duplicateValues" dxfId="338" priority="327"/>
    <cfRule type="duplicateValues" dxfId="337" priority="328"/>
  </conditionalFormatting>
  <conditionalFormatting sqref="E447">
    <cfRule type="duplicateValues" dxfId="336" priority="326"/>
  </conditionalFormatting>
  <conditionalFormatting sqref="E447">
    <cfRule type="duplicateValues" dxfId="335" priority="325"/>
  </conditionalFormatting>
  <conditionalFormatting sqref="E425">
    <cfRule type="duplicateValues" dxfId="334" priority="324"/>
  </conditionalFormatting>
  <conditionalFormatting sqref="E425">
    <cfRule type="duplicateValues" dxfId="333" priority="323"/>
  </conditionalFormatting>
  <conditionalFormatting sqref="E425">
    <cfRule type="duplicateValues" dxfId="332" priority="322"/>
  </conditionalFormatting>
  <conditionalFormatting sqref="E425">
    <cfRule type="duplicateValues" dxfId="331" priority="320"/>
    <cfRule type="duplicateValues" dxfId="330" priority="321"/>
  </conditionalFormatting>
  <conditionalFormatting sqref="E425">
    <cfRule type="duplicateValues" dxfId="329" priority="319"/>
  </conditionalFormatting>
  <conditionalFormatting sqref="E425">
    <cfRule type="duplicateValues" dxfId="328" priority="318"/>
  </conditionalFormatting>
  <conditionalFormatting sqref="E373">
    <cfRule type="duplicateValues" dxfId="327" priority="317"/>
  </conditionalFormatting>
  <conditionalFormatting sqref="E373">
    <cfRule type="duplicateValues" dxfId="326" priority="315"/>
    <cfRule type="duplicateValues" dxfId="325" priority="316"/>
  </conditionalFormatting>
  <conditionalFormatting sqref="E142">
    <cfRule type="duplicateValues" dxfId="324" priority="314"/>
  </conditionalFormatting>
  <conditionalFormatting sqref="E142">
    <cfRule type="duplicateValues" dxfId="323" priority="313"/>
  </conditionalFormatting>
  <conditionalFormatting sqref="E142">
    <cfRule type="duplicateValues" dxfId="322" priority="312"/>
  </conditionalFormatting>
  <conditionalFormatting sqref="E142">
    <cfRule type="duplicateValues" dxfId="321" priority="310"/>
    <cfRule type="duplicateValues" dxfId="320" priority="311"/>
  </conditionalFormatting>
  <conditionalFormatting sqref="E142">
    <cfRule type="duplicateValues" dxfId="319" priority="309"/>
  </conditionalFormatting>
  <conditionalFormatting sqref="E142">
    <cfRule type="duplicateValues" dxfId="318" priority="308"/>
  </conditionalFormatting>
  <conditionalFormatting sqref="E77">
    <cfRule type="duplicateValues" dxfId="317" priority="307"/>
  </conditionalFormatting>
  <conditionalFormatting sqref="E77">
    <cfRule type="duplicateValues" dxfId="316" priority="305"/>
    <cfRule type="duplicateValues" dxfId="315" priority="306"/>
  </conditionalFormatting>
  <conditionalFormatting sqref="E296 E298 E300 E302">
    <cfRule type="duplicateValues" dxfId="314" priority="304"/>
  </conditionalFormatting>
  <conditionalFormatting sqref="E296">
    <cfRule type="duplicateValues" dxfId="313" priority="303"/>
  </conditionalFormatting>
  <conditionalFormatting sqref="E296">
    <cfRule type="duplicateValues" dxfId="312" priority="302"/>
  </conditionalFormatting>
  <conditionalFormatting sqref="E296 E298 E300 E302">
    <cfRule type="duplicateValues" dxfId="311" priority="300"/>
    <cfRule type="duplicateValues" dxfId="310" priority="301"/>
  </conditionalFormatting>
  <conditionalFormatting sqref="E296">
    <cfRule type="duplicateValues" dxfId="309" priority="299"/>
  </conditionalFormatting>
  <conditionalFormatting sqref="E296">
    <cfRule type="duplicateValues" dxfId="308" priority="298"/>
  </conditionalFormatting>
  <conditionalFormatting sqref="E296">
    <cfRule type="duplicateValues" dxfId="307" priority="297"/>
  </conditionalFormatting>
  <conditionalFormatting sqref="E60 E62 E64 E66">
    <cfRule type="duplicateValues" dxfId="306" priority="296"/>
  </conditionalFormatting>
  <conditionalFormatting sqref="E60 E62 E64 E66">
    <cfRule type="duplicateValues" dxfId="305" priority="295"/>
  </conditionalFormatting>
  <conditionalFormatting sqref="E60 E62 E64 E66">
    <cfRule type="duplicateValues" dxfId="304" priority="294"/>
  </conditionalFormatting>
  <conditionalFormatting sqref="E60 E62 E64 E66">
    <cfRule type="duplicateValues" dxfId="303" priority="292"/>
    <cfRule type="duplicateValues" dxfId="302" priority="293"/>
  </conditionalFormatting>
  <conditionalFormatting sqref="E60 E62 E64 E66">
    <cfRule type="duplicateValues" dxfId="301" priority="291"/>
  </conditionalFormatting>
  <conditionalFormatting sqref="E60 E62 E64 E66">
    <cfRule type="duplicateValues" dxfId="300" priority="290"/>
  </conditionalFormatting>
  <conditionalFormatting sqref="E60 E62 E64 E66">
    <cfRule type="duplicateValues" dxfId="299" priority="289"/>
  </conditionalFormatting>
  <conditionalFormatting sqref="E473 E475">
    <cfRule type="duplicateValues" dxfId="298" priority="288"/>
  </conditionalFormatting>
  <conditionalFormatting sqref="E473">
    <cfRule type="duplicateValues" dxfId="297" priority="287"/>
  </conditionalFormatting>
  <conditionalFormatting sqref="E473">
    <cfRule type="duplicateValues" dxfId="296" priority="286"/>
  </conditionalFormatting>
  <conditionalFormatting sqref="E473">
    <cfRule type="duplicateValues" dxfId="295" priority="285"/>
  </conditionalFormatting>
  <conditionalFormatting sqref="E473 E475">
    <cfRule type="duplicateValues" dxfId="294" priority="283"/>
    <cfRule type="duplicateValues" dxfId="293" priority="284"/>
  </conditionalFormatting>
  <conditionalFormatting sqref="E473">
    <cfRule type="duplicateValues" dxfId="292" priority="282"/>
  </conditionalFormatting>
  <conditionalFormatting sqref="E473">
    <cfRule type="duplicateValues" dxfId="291" priority="281"/>
  </conditionalFormatting>
  <conditionalFormatting sqref="E473">
    <cfRule type="duplicateValues" dxfId="290" priority="280"/>
  </conditionalFormatting>
  <conditionalFormatting sqref="E466:E471">
    <cfRule type="duplicateValues" dxfId="289" priority="405"/>
  </conditionalFormatting>
  <conditionalFormatting sqref="E449">
    <cfRule type="duplicateValues" dxfId="288" priority="279"/>
  </conditionalFormatting>
  <conditionalFormatting sqref="E449">
    <cfRule type="duplicateValues" dxfId="287" priority="278"/>
  </conditionalFormatting>
  <conditionalFormatting sqref="E449">
    <cfRule type="duplicateValues" dxfId="286" priority="277"/>
  </conditionalFormatting>
  <conditionalFormatting sqref="E449">
    <cfRule type="duplicateValues" dxfId="285" priority="275"/>
    <cfRule type="duplicateValues" dxfId="284" priority="276"/>
  </conditionalFormatting>
  <conditionalFormatting sqref="E449">
    <cfRule type="duplicateValues" dxfId="283" priority="274"/>
  </conditionalFormatting>
  <conditionalFormatting sqref="E449">
    <cfRule type="duplicateValues" dxfId="282" priority="273"/>
  </conditionalFormatting>
  <conditionalFormatting sqref="E449">
    <cfRule type="duplicateValues" dxfId="281" priority="272"/>
  </conditionalFormatting>
  <conditionalFormatting sqref="E193 E195 E197 E199 E201 E203 E205">
    <cfRule type="duplicateValues" dxfId="280" priority="271"/>
  </conditionalFormatting>
  <conditionalFormatting sqref="E193">
    <cfRule type="duplicateValues" dxfId="279" priority="270"/>
  </conditionalFormatting>
  <conditionalFormatting sqref="E193">
    <cfRule type="duplicateValues" dxfId="278" priority="269"/>
  </conditionalFormatting>
  <conditionalFormatting sqref="E193 E195 E197 E199 E201 E203 E205">
    <cfRule type="duplicateValues" dxfId="277" priority="267"/>
    <cfRule type="duplicateValues" dxfId="276" priority="268"/>
  </conditionalFormatting>
  <conditionalFormatting sqref="E193">
    <cfRule type="duplicateValues" dxfId="275" priority="266"/>
  </conditionalFormatting>
  <conditionalFormatting sqref="E193">
    <cfRule type="duplicateValues" dxfId="274" priority="265"/>
  </conditionalFormatting>
  <conditionalFormatting sqref="E193">
    <cfRule type="duplicateValues" dxfId="273" priority="264"/>
  </conditionalFormatting>
  <conditionalFormatting sqref="E78">
    <cfRule type="duplicateValues" dxfId="272" priority="263"/>
  </conditionalFormatting>
  <conditionalFormatting sqref="E78">
    <cfRule type="duplicateValues" dxfId="271" priority="262"/>
  </conditionalFormatting>
  <conditionalFormatting sqref="E78">
    <cfRule type="duplicateValues" dxfId="270" priority="261"/>
  </conditionalFormatting>
  <conditionalFormatting sqref="E78">
    <cfRule type="duplicateValues" dxfId="269" priority="259"/>
    <cfRule type="duplicateValues" dxfId="268" priority="260"/>
  </conditionalFormatting>
  <conditionalFormatting sqref="E78">
    <cfRule type="duplicateValues" dxfId="267" priority="258"/>
  </conditionalFormatting>
  <conditionalFormatting sqref="E78">
    <cfRule type="duplicateValues" dxfId="266" priority="257"/>
  </conditionalFormatting>
  <conditionalFormatting sqref="E78">
    <cfRule type="duplicateValues" dxfId="265" priority="256"/>
  </conditionalFormatting>
  <conditionalFormatting sqref="E217 E219 E221 E223 E225 E227 E229 E231">
    <cfRule type="duplicateValues" dxfId="264" priority="255"/>
  </conditionalFormatting>
  <conditionalFormatting sqref="E217">
    <cfRule type="duplicateValues" dxfId="263" priority="254"/>
  </conditionalFormatting>
  <conditionalFormatting sqref="E217">
    <cfRule type="duplicateValues" dxfId="262" priority="253"/>
  </conditionalFormatting>
  <conditionalFormatting sqref="E217 E219 E221 E223 E225 E227 E229 E231">
    <cfRule type="duplicateValues" dxfId="261" priority="251"/>
    <cfRule type="duplicateValues" dxfId="260" priority="252"/>
  </conditionalFormatting>
  <conditionalFormatting sqref="E217">
    <cfRule type="duplicateValues" dxfId="259" priority="250"/>
  </conditionalFormatting>
  <conditionalFormatting sqref="E217">
    <cfRule type="duplicateValues" dxfId="258" priority="249"/>
  </conditionalFormatting>
  <conditionalFormatting sqref="E217">
    <cfRule type="duplicateValues" dxfId="257" priority="248"/>
  </conditionalFormatting>
  <conditionalFormatting sqref="E132">
    <cfRule type="duplicateValues" dxfId="256" priority="247"/>
  </conditionalFormatting>
  <conditionalFormatting sqref="E132">
    <cfRule type="duplicateValues" dxfId="255" priority="246"/>
  </conditionalFormatting>
  <conditionalFormatting sqref="E132">
    <cfRule type="duplicateValues" dxfId="254" priority="245"/>
  </conditionalFormatting>
  <conditionalFormatting sqref="E132">
    <cfRule type="duplicateValues" dxfId="253" priority="243"/>
    <cfRule type="duplicateValues" dxfId="252" priority="244"/>
  </conditionalFormatting>
  <conditionalFormatting sqref="E132">
    <cfRule type="duplicateValues" dxfId="251" priority="242"/>
  </conditionalFormatting>
  <conditionalFormatting sqref="E132">
    <cfRule type="duplicateValues" dxfId="250" priority="241"/>
  </conditionalFormatting>
  <conditionalFormatting sqref="E132">
    <cfRule type="duplicateValues" dxfId="249" priority="240"/>
  </conditionalFormatting>
  <conditionalFormatting sqref="E443">
    <cfRule type="duplicateValues" dxfId="248" priority="239"/>
  </conditionalFormatting>
  <conditionalFormatting sqref="E443">
    <cfRule type="duplicateValues" dxfId="247" priority="238"/>
  </conditionalFormatting>
  <conditionalFormatting sqref="E443">
    <cfRule type="duplicateValues" dxfId="246" priority="237"/>
  </conditionalFormatting>
  <conditionalFormatting sqref="E443">
    <cfRule type="duplicateValues" dxfId="245" priority="235"/>
    <cfRule type="duplicateValues" dxfId="244" priority="236"/>
  </conditionalFormatting>
  <conditionalFormatting sqref="E443">
    <cfRule type="duplicateValues" dxfId="243" priority="234"/>
  </conditionalFormatting>
  <conditionalFormatting sqref="E443">
    <cfRule type="duplicateValues" dxfId="242" priority="233"/>
  </conditionalFormatting>
  <conditionalFormatting sqref="E443">
    <cfRule type="duplicateValues" dxfId="241" priority="232"/>
  </conditionalFormatting>
  <conditionalFormatting sqref="E423">
    <cfRule type="duplicateValues" dxfId="240" priority="231"/>
  </conditionalFormatting>
  <conditionalFormatting sqref="E423">
    <cfRule type="duplicateValues" dxfId="239" priority="230"/>
  </conditionalFormatting>
  <conditionalFormatting sqref="E423">
    <cfRule type="duplicateValues" dxfId="238" priority="229"/>
  </conditionalFormatting>
  <conditionalFormatting sqref="E423">
    <cfRule type="duplicateValues" dxfId="237" priority="227"/>
    <cfRule type="duplicateValues" dxfId="236" priority="228"/>
  </conditionalFormatting>
  <conditionalFormatting sqref="E423">
    <cfRule type="duplicateValues" dxfId="235" priority="226"/>
  </conditionalFormatting>
  <conditionalFormatting sqref="E423">
    <cfRule type="duplicateValues" dxfId="234" priority="225"/>
  </conditionalFormatting>
  <conditionalFormatting sqref="E423">
    <cfRule type="duplicateValues" dxfId="233" priority="224"/>
  </conditionalFormatting>
  <conditionalFormatting sqref="E376 E367 E378 E380 E382 E384 E386 E388 E390 E392 E394 E396 E398">
    <cfRule type="duplicateValues" dxfId="232" priority="222"/>
  </conditionalFormatting>
  <conditionalFormatting sqref="E367">
    <cfRule type="duplicateValues" dxfId="231" priority="221"/>
  </conditionalFormatting>
  <conditionalFormatting sqref="E367">
    <cfRule type="duplicateValues" dxfId="230" priority="220"/>
  </conditionalFormatting>
  <conditionalFormatting sqref="E376 E367 E378 E380 E382 E384 E386 E388 E390 E392 E394 E396 E398">
    <cfRule type="duplicateValues" dxfId="229" priority="218"/>
    <cfRule type="duplicateValues" dxfId="228" priority="219"/>
  </conditionalFormatting>
  <conditionalFormatting sqref="E367">
    <cfRule type="duplicateValues" dxfId="227" priority="223"/>
  </conditionalFormatting>
  <conditionalFormatting sqref="E367">
    <cfRule type="duplicateValues" dxfId="226" priority="217"/>
  </conditionalFormatting>
  <conditionalFormatting sqref="E367">
    <cfRule type="duplicateValues" dxfId="225" priority="216"/>
  </conditionalFormatting>
  <conditionalFormatting sqref="E367">
    <cfRule type="duplicateValues" dxfId="224" priority="215"/>
  </conditionalFormatting>
  <conditionalFormatting sqref="E19">
    <cfRule type="duplicateValues" dxfId="223" priority="214"/>
  </conditionalFormatting>
  <conditionalFormatting sqref="E19">
    <cfRule type="duplicateValues" dxfId="222" priority="213"/>
  </conditionalFormatting>
  <conditionalFormatting sqref="E19">
    <cfRule type="duplicateValues" dxfId="221" priority="212"/>
  </conditionalFormatting>
  <conditionalFormatting sqref="E19">
    <cfRule type="duplicateValues" dxfId="220" priority="210"/>
    <cfRule type="duplicateValues" dxfId="219" priority="211"/>
  </conditionalFormatting>
  <conditionalFormatting sqref="E19">
    <cfRule type="duplicateValues" dxfId="218" priority="209"/>
  </conditionalFormatting>
  <conditionalFormatting sqref="E19">
    <cfRule type="duplicateValues" dxfId="217" priority="208"/>
  </conditionalFormatting>
  <conditionalFormatting sqref="E19">
    <cfRule type="duplicateValues" dxfId="216" priority="207"/>
  </conditionalFormatting>
  <conditionalFormatting sqref="E477 E479 E481 E483 E485 E487 E489 E491 E493 E495 E497 E499 E501 E503">
    <cfRule type="duplicateValues" dxfId="215" priority="206"/>
  </conditionalFormatting>
  <conditionalFormatting sqref="E477 E479 E481 E483 E485 E487 E489 E491 E493 E495 E497 E499 E501 E503">
    <cfRule type="duplicateValues" dxfId="214" priority="204"/>
    <cfRule type="duplicateValues" dxfId="213" priority="205"/>
  </conditionalFormatting>
  <conditionalFormatting sqref="E477">
    <cfRule type="duplicateValues" dxfId="212" priority="203"/>
  </conditionalFormatting>
  <conditionalFormatting sqref="E477">
    <cfRule type="duplicateValues" dxfId="211" priority="202"/>
  </conditionalFormatting>
  <conditionalFormatting sqref="E477">
    <cfRule type="duplicateValues" dxfId="210" priority="201"/>
  </conditionalFormatting>
  <conditionalFormatting sqref="E418">
    <cfRule type="duplicateValues" dxfId="209" priority="200"/>
  </conditionalFormatting>
  <conditionalFormatting sqref="E418">
    <cfRule type="duplicateValues" dxfId="208" priority="199"/>
  </conditionalFormatting>
  <conditionalFormatting sqref="E418">
    <cfRule type="duplicateValues" dxfId="207" priority="198"/>
  </conditionalFormatting>
  <conditionalFormatting sqref="E418">
    <cfRule type="duplicateValues" dxfId="206" priority="196"/>
    <cfRule type="duplicateValues" dxfId="205" priority="197"/>
  </conditionalFormatting>
  <conditionalFormatting sqref="E418">
    <cfRule type="duplicateValues" dxfId="204" priority="195"/>
  </conditionalFormatting>
  <conditionalFormatting sqref="E418">
    <cfRule type="duplicateValues" dxfId="203" priority="194"/>
  </conditionalFormatting>
  <conditionalFormatting sqref="E418">
    <cfRule type="duplicateValues" dxfId="202" priority="193"/>
  </conditionalFormatting>
  <conditionalFormatting sqref="E154 E140 E143 E145 E147 E149 E151 E156 E158 E160 E162 E164 E166 E168 E170 E172 E174">
    <cfRule type="duplicateValues" dxfId="201" priority="192"/>
  </conditionalFormatting>
  <conditionalFormatting sqref="E140">
    <cfRule type="duplicateValues" dxfId="200" priority="191"/>
  </conditionalFormatting>
  <conditionalFormatting sqref="E140">
    <cfRule type="duplicateValues" dxfId="199" priority="190"/>
  </conditionalFormatting>
  <conditionalFormatting sqref="E154 E140 E143 E145 E147 E149 E151 E156 E158 E160 E162 E164 E166 E168 E170 E172 E174">
    <cfRule type="duplicateValues" dxfId="198" priority="188"/>
    <cfRule type="duplicateValues" dxfId="197" priority="189"/>
  </conditionalFormatting>
  <conditionalFormatting sqref="E140">
    <cfRule type="duplicateValues" dxfId="196" priority="187"/>
  </conditionalFormatting>
  <conditionalFormatting sqref="E140">
    <cfRule type="duplicateValues" dxfId="195" priority="186"/>
  </conditionalFormatting>
  <conditionalFormatting sqref="E155 E141 E144 E146 E148 E150 E157 E159 E161 E163 E165 E167 E169 E171 E173">
    <cfRule type="duplicateValues" dxfId="194" priority="185"/>
  </conditionalFormatting>
  <conditionalFormatting sqref="E141">
    <cfRule type="duplicateValues" dxfId="193" priority="184"/>
  </conditionalFormatting>
  <conditionalFormatting sqref="E155 E141 E144 E146 E148 E150 E157 E159 E161 E163 E165 E167 E169 E171 E173">
    <cfRule type="duplicateValues" dxfId="192" priority="182"/>
    <cfRule type="duplicateValues" dxfId="191" priority="183"/>
  </conditionalFormatting>
  <conditionalFormatting sqref="E175">
    <cfRule type="duplicateValues" dxfId="190" priority="181"/>
  </conditionalFormatting>
  <conditionalFormatting sqref="E175">
    <cfRule type="duplicateValues" dxfId="189" priority="180"/>
  </conditionalFormatting>
  <conditionalFormatting sqref="E175">
    <cfRule type="duplicateValues" dxfId="188" priority="179"/>
  </conditionalFormatting>
  <conditionalFormatting sqref="E175">
    <cfRule type="duplicateValues" dxfId="187" priority="177"/>
    <cfRule type="duplicateValues" dxfId="186" priority="178"/>
  </conditionalFormatting>
  <conditionalFormatting sqref="E175">
    <cfRule type="duplicateValues" dxfId="185" priority="176"/>
  </conditionalFormatting>
  <conditionalFormatting sqref="E175">
    <cfRule type="duplicateValues" dxfId="184" priority="175"/>
  </conditionalFormatting>
  <conditionalFormatting sqref="E175">
    <cfRule type="duplicateValues" dxfId="183" priority="174"/>
  </conditionalFormatting>
  <conditionalFormatting sqref="E194 E196 E198 E200 E202 E204 E206">
    <cfRule type="duplicateValues" dxfId="182" priority="173"/>
  </conditionalFormatting>
  <conditionalFormatting sqref="E194">
    <cfRule type="duplicateValues" dxfId="181" priority="172"/>
  </conditionalFormatting>
  <conditionalFormatting sqref="E194">
    <cfRule type="duplicateValues" dxfId="180" priority="171"/>
  </conditionalFormatting>
  <conditionalFormatting sqref="E194 E196 E198 E200 E202 E204 E206">
    <cfRule type="duplicateValues" dxfId="179" priority="169"/>
    <cfRule type="duplicateValues" dxfId="178" priority="170"/>
  </conditionalFormatting>
  <conditionalFormatting sqref="E194">
    <cfRule type="duplicateValues" dxfId="177" priority="168"/>
  </conditionalFormatting>
  <conditionalFormatting sqref="E194">
    <cfRule type="duplicateValues" dxfId="176" priority="167"/>
  </conditionalFormatting>
  <conditionalFormatting sqref="E194">
    <cfRule type="duplicateValues" dxfId="175" priority="166"/>
  </conditionalFormatting>
  <conditionalFormatting sqref="E424 E427 E429 E431 E433">
    <cfRule type="duplicateValues" dxfId="174" priority="165"/>
  </conditionalFormatting>
  <conditionalFormatting sqref="E424">
    <cfRule type="duplicateValues" dxfId="173" priority="164"/>
  </conditionalFormatting>
  <conditionalFormatting sqref="E424 E427 E429 E431 E433">
    <cfRule type="duplicateValues" dxfId="172" priority="162"/>
    <cfRule type="duplicateValues" dxfId="171" priority="163"/>
  </conditionalFormatting>
  <conditionalFormatting sqref="E80 E82 E84 E86 E88 E90 E92">
    <cfRule type="duplicateValues" dxfId="170" priority="161"/>
  </conditionalFormatting>
  <conditionalFormatting sqref="E80">
    <cfRule type="duplicateValues" dxfId="169" priority="160"/>
  </conditionalFormatting>
  <conditionalFormatting sqref="E80">
    <cfRule type="duplicateValues" dxfId="168" priority="159"/>
  </conditionalFormatting>
  <conditionalFormatting sqref="E80 E82 E84 E86 E88 E90 E92">
    <cfRule type="duplicateValues" dxfId="167" priority="157"/>
    <cfRule type="duplicateValues" dxfId="166" priority="158"/>
  </conditionalFormatting>
  <conditionalFormatting sqref="E80">
    <cfRule type="duplicateValues" dxfId="165" priority="156"/>
  </conditionalFormatting>
  <conditionalFormatting sqref="E80">
    <cfRule type="duplicateValues" dxfId="164" priority="155"/>
  </conditionalFormatting>
  <conditionalFormatting sqref="E80">
    <cfRule type="duplicateValues" dxfId="163" priority="154"/>
  </conditionalFormatting>
  <conditionalFormatting sqref="E79 E81 E83 E85 E87 E89 E91 E93">
    <cfRule type="duplicateValues" dxfId="162" priority="153"/>
  </conditionalFormatting>
  <conditionalFormatting sqref="E79">
    <cfRule type="duplicateValues" dxfId="161" priority="152"/>
  </conditionalFormatting>
  <conditionalFormatting sqref="E79">
    <cfRule type="duplicateValues" dxfId="160" priority="151"/>
  </conditionalFormatting>
  <conditionalFormatting sqref="E79 E81 E83 E85 E87 E89 E91 E93">
    <cfRule type="duplicateValues" dxfId="159" priority="149"/>
    <cfRule type="duplicateValues" dxfId="158" priority="150"/>
  </conditionalFormatting>
  <conditionalFormatting sqref="E79">
    <cfRule type="duplicateValues" dxfId="157" priority="148"/>
  </conditionalFormatting>
  <conditionalFormatting sqref="E79">
    <cfRule type="duplicateValues" dxfId="156" priority="147"/>
  </conditionalFormatting>
  <conditionalFormatting sqref="E79">
    <cfRule type="duplicateValues" dxfId="155" priority="146"/>
  </conditionalFormatting>
  <conditionalFormatting sqref="E334:E350">
    <cfRule type="duplicateValues" dxfId="154" priority="145"/>
  </conditionalFormatting>
  <conditionalFormatting sqref="E334:E350">
    <cfRule type="duplicateValues" dxfId="153" priority="144"/>
  </conditionalFormatting>
  <conditionalFormatting sqref="E334:E350">
    <cfRule type="duplicateValues" dxfId="152" priority="143"/>
  </conditionalFormatting>
  <conditionalFormatting sqref="E334:E350">
    <cfRule type="duplicateValues" dxfId="151" priority="141"/>
    <cfRule type="duplicateValues" dxfId="150" priority="142"/>
  </conditionalFormatting>
  <conditionalFormatting sqref="E334:E350">
    <cfRule type="duplicateValues" dxfId="149" priority="140"/>
  </conditionalFormatting>
  <conditionalFormatting sqref="E334:E350">
    <cfRule type="duplicateValues" dxfId="148" priority="139"/>
  </conditionalFormatting>
  <conditionalFormatting sqref="E334:E350">
    <cfRule type="duplicateValues" dxfId="147" priority="138"/>
  </conditionalFormatting>
  <conditionalFormatting sqref="E374 E377 E379 E381 E383 E385 E387 E389 E391 E393 E395 E397">
    <cfRule type="duplicateValues" dxfId="146" priority="137"/>
  </conditionalFormatting>
  <conditionalFormatting sqref="E374">
    <cfRule type="duplicateValues" dxfId="145" priority="136"/>
  </conditionalFormatting>
  <conditionalFormatting sqref="E374 E377 E379 E381 E383 E385 E387 E389 E391 E393 E395 E397">
    <cfRule type="duplicateValues" dxfId="144" priority="134"/>
    <cfRule type="duplicateValues" dxfId="143" priority="135"/>
  </conditionalFormatting>
  <conditionalFormatting sqref="E426 E428 E430 E432 E434">
    <cfRule type="duplicateValues" dxfId="142" priority="133"/>
  </conditionalFormatting>
  <conditionalFormatting sqref="E426">
    <cfRule type="duplicateValues" dxfId="141" priority="132"/>
  </conditionalFormatting>
  <conditionalFormatting sqref="E426">
    <cfRule type="duplicateValues" dxfId="140" priority="131"/>
  </conditionalFormatting>
  <conditionalFormatting sqref="E426 E428 E430 E432 E434">
    <cfRule type="duplicateValues" dxfId="139" priority="129"/>
    <cfRule type="duplicateValues" dxfId="138" priority="130"/>
  </conditionalFormatting>
  <conditionalFormatting sqref="E426">
    <cfRule type="duplicateValues" dxfId="137" priority="128"/>
  </conditionalFormatting>
  <conditionalFormatting sqref="E426">
    <cfRule type="duplicateValues" dxfId="136" priority="127"/>
  </conditionalFormatting>
  <conditionalFormatting sqref="E426">
    <cfRule type="duplicateValues" dxfId="135" priority="126"/>
  </conditionalFormatting>
  <conditionalFormatting sqref="E369:E370 E375 E356:E366 E352:E354">
    <cfRule type="duplicateValues" dxfId="134" priority="406"/>
  </conditionalFormatting>
  <conditionalFormatting sqref="E547:E1048576 E521:E544 E504:E505 E414:E417 E128:E131 E133:E136 E287:E295 E176:E179 E399:E404 E448 E444:E446 E369:E370 E375 E94:E96 E303:E308 E450:E458 E207:E215 E20:E42 E419:E422 E281 E283 E285 E297 E299 E301 E310 E312 E351:E366 E406 E408 E1:E18 E52:E59 E460:E465 E44 E46 E48 E50 E61 E63 E65 E67:E76 E98 E100 E102 E104 E106 E108 E110:E126 E187:E192 E232:E279 E314:E333 E410 E412">
    <cfRule type="duplicateValues" dxfId="133" priority="407"/>
  </conditionalFormatting>
  <conditionalFormatting sqref="E547:E1048576 E521:E544 E504:E505 E414:E417 E287:E295 E176:E179 E399:E404 E448 E444:E446 E369:E370 E375 E133:E136 E94:E96 E303:E308 E450:E458 E207:E215 E20:E42 E419:E422 E281 E283 E285 E297 E299 E301 E310 E312 E351:E366 E406 E408 E1:E18 E52:E59 E460:E465 E44 E46 E48 E50 E61 E63 E65 E67:E76 E98 E100 E102 E104 E106 E108 E110:E131 E187:E192 E232:E279 E314:E333 E410 E412">
    <cfRule type="duplicateValues" dxfId="132" priority="408"/>
  </conditionalFormatting>
  <conditionalFormatting sqref="E547:E1048576 E521:E544 E414:E417 E287:E295 E176:E179 E399:E404 E448 E444:E446 E369:E370 E375 E133:E136 E94:E96 E303:E308 E504:E505 E450:E458 E207:E216 E20:E42 E419:E422 E218 E220 E281 E283 E285 E297 E299 E301 E310 E312 E351:E366 E406 E408 E1:E18 E52:E59 E460:E471 E44 E46 E48 E50 E61 E63 E65 E67:E76 E98 E100 E102 E104 E106 E108 E110:E131 E187:E192 E222 E224 E226 E228 E230 E232:E279 E314:E333 E410 E412">
    <cfRule type="duplicateValues" dxfId="131" priority="409"/>
    <cfRule type="duplicateValues" dxfId="130" priority="410"/>
  </conditionalFormatting>
  <conditionalFormatting sqref="E547:E1048576 E521:E544 E504:E505 E414:E417 E128:E131 E133:E136 E287:E295 E176:E179 E399:E404 E448 E444:E446 E369:E370 E375 E94:E96 E303:E308 E450:E458 E207:E215 E20:E42 E419:E422 E281 E283 E285 E297 E299 E301 E310 E312 E356:E366 E351:E354 E406 E408 E1:E18 E52:E59 E460:E465 E44 E46 E48 E50 E61 E63 E65 E67:E76 E98 E100 E102 E104 E106 E108 E110:E126 E187:E192 E232:E279 E314:E333 E410 E412">
    <cfRule type="duplicateValues" dxfId="129" priority="411"/>
  </conditionalFormatting>
  <conditionalFormatting sqref="E242 E244 E246 E248 E250">
    <cfRule type="duplicateValues" dxfId="128" priority="118"/>
  </conditionalFormatting>
  <conditionalFormatting sqref="E242">
    <cfRule type="duplicateValues" dxfId="127" priority="119"/>
  </conditionalFormatting>
  <conditionalFormatting sqref="E242 E244 E246 E248 E250">
    <cfRule type="duplicateValues" dxfId="126" priority="120"/>
    <cfRule type="duplicateValues" dxfId="125" priority="121"/>
  </conditionalFormatting>
  <conditionalFormatting sqref="E242">
    <cfRule type="duplicateValues" dxfId="124" priority="122"/>
  </conditionalFormatting>
  <conditionalFormatting sqref="E242">
    <cfRule type="duplicateValues" dxfId="123" priority="123"/>
  </conditionalFormatting>
  <conditionalFormatting sqref="E242">
    <cfRule type="duplicateValues" dxfId="122" priority="124"/>
  </conditionalFormatting>
  <conditionalFormatting sqref="E242">
    <cfRule type="duplicateValues" dxfId="121" priority="125"/>
  </conditionalFormatting>
  <conditionalFormatting sqref="E547:E1048576 E1:E42 E44 E46 E48 E50 E187:E434 E443:E544 E52:E151 E153:E179">
    <cfRule type="duplicateValues" dxfId="120" priority="117"/>
  </conditionalFormatting>
  <conditionalFormatting sqref="E547:E1048576 E474 E176:E179 E444:E446 E133:E137 E448 E476 E207:E216 E20:E42 E419:E422 E218 E220 E297 E299 E301 E375 E351:E366 E368:E371 E1:E18 E52:E59 E478 E480 E504:E544 E450:E472 E44 E46 E48 E50 E61 E63 E65 E67:E76 E94:E131 E187:E192 E222 E224 E226 E228 E230 E232:E295 E303:E333 E399:E417 E482 E484 E486 E488 E490 E492 E494 E496 E498 E500 E502">
    <cfRule type="duplicateValues" dxfId="119" priority="412"/>
  </conditionalFormatting>
  <conditionalFormatting sqref="E547:E1048576 E474 E176:E179 E444:E446 E133:E137 E448 E476 E207:E216 E20:E42 E419:E422 E218 E220 E297 E299 E301 E375 E351:E366 E368:E372 E1:E18 E52:E59 E478 E480 E504:E544 E450:E472 E44 E46 E48 E50 E61 E63 E65 E67:E76 E94:E131 E187:E192 E222 E224 E226 E228 E230 E232:E295 E303:E333 E399:E417 E482 E484 E486 E488 E490 E492 E494 E496 E498 E500 E502">
    <cfRule type="duplicateValues" dxfId="118" priority="413"/>
  </conditionalFormatting>
  <conditionalFormatting sqref="E547:E1048576 E474 E142 E133:E139 E476 E207:E216 E176:E179 E444:E448 E20:E42 E419:E422 E425 E218 E220 E297 E299 E301 E375 E351:E366 E368:E373 E1:E18 E52:E59 E478 E480 E504:E544 E450:E472 E44 E46 E48 E50 E61 E63 E65 E67:E76 E94:E131 E187:E192 E222 E224 E226 E228 E230 E232:E295 E303:E333 E399:E417 E482 E484 E486 E488 E490 E492 E494 E496 E498 E500 E502">
    <cfRule type="duplicateValues" dxfId="117" priority="414"/>
  </conditionalFormatting>
  <conditionalFormatting sqref="E545:E546">
    <cfRule type="duplicateValues" dxfId="116" priority="110"/>
  </conditionalFormatting>
  <conditionalFormatting sqref="E545:E546">
    <cfRule type="duplicateValues" dxfId="115" priority="109"/>
  </conditionalFormatting>
  <conditionalFormatting sqref="E545:E546">
    <cfRule type="duplicateValues" dxfId="114" priority="111"/>
  </conditionalFormatting>
  <conditionalFormatting sqref="E545:E546">
    <cfRule type="duplicateValues" dxfId="113" priority="112"/>
    <cfRule type="duplicateValues" dxfId="112" priority="113"/>
  </conditionalFormatting>
  <conditionalFormatting sqref="E545:E546">
    <cfRule type="duplicateValues" dxfId="111" priority="108"/>
  </conditionalFormatting>
  <conditionalFormatting sqref="E545:E546">
    <cfRule type="duplicateValues" dxfId="110" priority="114"/>
  </conditionalFormatting>
  <conditionalFormatting sqref="E545:E546">
    <cfRule type="duplicateValues" dxfId="109" priority="115"/>
  </conditionalFormatting>
  <conditionalFormatting sqref="E545:E546">
    <cfRule type="duplicateValues" dxfId="108" priority="116"/>
  </conditionalFormatting>
  <conditionalFormatting sqref="E43 E45 E47 E49 E51">
    <cfRule type="duplicateValues" dxfId="107" priority="100"/>
  </conditionalFormatting>
  <conditionalFormatting sqref="E43 E45 E47 E49 E51">
    <cfRule type="duplicateValues" dxfId="106" priority="101"/>
  </conditionalFormatting>
  <conditionalFormatting sqref="E43 E45 E47 E49 E51">
    <cfRule type="duplicateValues" dxfId="105" priority="102"/>
    <cfRule type="duplicateValues" dxfId="104" priority="103"/>
  </conditionalFormatting>
  <conditionalFormatting sqref="E43 E45 E47 E49 E51">
    <cfRule type="duplicateValues" dxfId="103" priority="104"/>
  </conditionalFormatting>
  <conditionalFormatting sqref="E43 E45 E47 E49 E51">
    <cfRule type="duplicateValues" dxfId="102" priority="99"/>
  </conditionalFormatting>
  <conditionalFormatting sqref="E43 E45 E47 E49 E51">
    <cfRule type="duplicateValues" dxfId="101" priority="105"/>
  </conditionalFormatting>
  <conditionalFormatting sqref="E43 E45 E47 E49 E51">
    <cfRule type="duplicateValues" dxfId="100" priority="106"/>
  </conditionalFormatting>
  <conditionalFormatting sqref="E43 E45 E47 E49 E51">
    <cfRule type="duplicateValues" dxfId="99" priority="107"/>
  </conditionalFormatting>
  <conditionalFormatting sqref="E180">
    <cfRule type="duplicateValues" dxfId="98" priority="91"/>
  </conditionalFormatting>
  <conditionalFormatting sqref="E180">
    <cfRule type="duplicateValues" dxfId="97" priority="92"/>
  </conditionalFormatting>
  <conditionalFormatting sqref="E180">
    <cfRule type="duplicateValues" dxfId="96" priority="93"/>
    <cfRule type="duplicateValues" dxfId="95" priority="94"/>
  </conditionalFormatting>
  <conditionalFormatting sqref="E180">
    <cfRule type="duplicateValues" dxfId="94" priority="95"/>
  </conditionalFormatting>
  <conditionalFormatting sqref="E180">
    <cfRule type="duplicateValues" dxfId="93" priority="90"/>
  </conditionalFormatting>
  <conditionalFormatting sqref="E180">
    <cfRule type="duplicateValues" dxfId="92" priority="96"/>
  </conditionalFormatting>
  <conditionalFormatting sqref="E180">
    <cfRule type="duplicateValues" dxfId="91" priority="97"/>
  </conditionalFormatting>
  <conditionalFormatting sqref="E180">
    <cfRule type="duplicateValues" dxfId="90" priority="98"/>
  </conditionalFormatting>
  <conditionalFormatting sqref="E181">
    <cfRule type="duplicateValues" dxfId="89" priority="82"/>
  </conditionalFormatting>
  <conditionalFormatting sqref="E181">
    <cfRule type="duplicateValues" dxfId="88" priority="83"/>
  </conditionalFormatting>
  <conditionalFormatting sqref="E181">
    <cfRule type="duplicateValues" dxfId="87" priority="84"/>
    <cfRule type="duplicateValues" dxfId="86" priority="85"/>
  </conditionalFormatting>
  <conditionalFormatting sqref="E181">
    <cfRule type="duplicateValues" dxfId="85" priority="86"/>
  </conditionalFormatting>
  <conditionalFormatting sqref="E181">
    <cfRule type="duplicateValues" dxfId="84" priority="81"/>
  </conditionalFormatting>
  <conditionalFormatting sqref="E181">
    <cfRule type="duplicateValues" dxfId="83" priority="87"/>
  </conditionalFormatting>
  <conditionalFormatting sqref="E181">
    <cfRule type="duplicateValues" dxfId="82" priority="88"/>
  </conditionalFormatting>
  <conditionalFormatting sqref="E181">
    <cfRule type="duplicateValues" dxfId="81" priority="89"/>
  </conditionalFormatting>
  <conditionalFormatting sqref="E182">
    <cfRule type="duplicateValues" dxfId="80" priority="73"/>
  </conditionalFormatting>
  <conditionalFormatting sqref="E182">
    <cfRule type="duplicateValues" dxfId="79" priority="74"/>
  </conditionalFormatting>
  <conditionalFormatting sqref="E182">
    <cfRule type="duplicateValues" dxfId="78" priority="75"/>
    <cfRule type="duplicateValues" dxfId="77" priority="76"/>
  </conditionalFormatting>
  <conditionalFormatting sqref="E182">
    <cfRule type="duplicateValues" dxfId="76" priority="77"/>
  </conditionalFormatting>
  <conditionalFormatting sqref="E182">
    <cfRule type="duplicateValues" dxfId="75" priority="72"/>
  </conditionalFormatting>
  <conditionalFormatting sqref="E182">
    <cfRule type="duplicateValues" dxfId="74" priority="78"/>
  </conditionalFormatting>
  <conditionalFormatting sqref="E182">
    <cfRule type="duplicateValues" dxfId="73" priority="79"/>
  </conditionalFormatting>
  <conditionalFormatting sqref="E182">
    <cfRule type="duplicateValues" dxfId="72" priority="80"/>
  </conditionalFormatting>
  <conditionalFormatting sqref="E183">
    <cfRule type="duplicateValues" dxfId="71" priority="64"/>
  </conditionalFormatting>
  <conditionalFormatting sqref="E183">
    <cfRule type="duplicateValues" dxfId="70" priority="65"/>
  </conditionalFormatting>
  <conditionalFormatting sqref="E183">
    <cfRule type="duplicateValues" dxfId="69" priority="66"/>
    <cfRule type="duplicateValues" dxfId="68" priority="67"/>
  </conditionalFormatting>
  <conditionalFormatting sqref="E183">
    <cfRule type="duplicateValues" dxfId="67" priority="68"/>
  </conditionalFormatting>
  <conditionalFormatting sqref="E183">
    <cfRule type="duplicateValues" dxfId="66" priority="63"/>
  </conditionalFormatting>
  <conditionalFormatting sqref="E183">
    <cfRule type="duplicateValues" dxfId="65" priority="69"/>
  </conditionalFormatting>
  <conditionalFormatting sqref="E183">
    <cfRule type="duplicateValues" dxfId="64" priority="70"/>
  </conditionalFormatting>
  <conditionalFormatting sqref="E183">
    <cfRule type="duplicateValues" dxfId="63" priority="71"/>
  </conditionalFormatting>
  <conditionalFormatting sqref="E184">
    <cfRule type="duplicateValues" dxfId="62" priority="55"/>
  </conditionalFormatting>
  <conditionalFormatting sqref="E184">
    <cfRule type="duplicateValues" dxfId="61" priority="56"/>
  </conditionalFormatting>
  <conditionalFormatting sqref="E184">
    <cfRule type="duplicateValues" dxfId="60" priority="57"/>
    <cfRule type="duplicateValues" dxfId="59" priority="58"/>
  </conditionalFormatting>
  <conditionalFormatting sqref="E184">
    <cfRule type="duplicateValues" dxfId="58" priority="59"/>
  </conditionalFormatting>
  <conditionalFormatting sqref="E184">
    <cfRule type="duplicateValues" dxfId="57" priority="54"/>
  </conditionalFormatting>
  <conditionalFormatting sqref="E184">
    <cfRule type="duplicateValues" dxfId="56" priority="60"/>
  </conditionalFormatting>
  <conditionalFormatting sqref="E184">
    <cfRule type="duplicateValues" dxfId="55" priority="61"/>
  </conditionalFormatting>
  <conditionalFormatting sqref="E184">
    <cfRule type="duplicateValues" dxfId="54" priority="62"/>
  </conditionalFormatting>
  <conditionalFormatting sqref="E185">
    <cfRule type="duplicateValues" dxfId="53" priority="46"/>
  </conditionalFormatting>
  <conditionalFormatting sqref="E185">
    <cfRule type="duplicateValues" dxfId="52" priority="47"/>
  </conditionalFormatting>
  <conditionalFormatting sqref="E185">
    <cfRule type="duplicateValues" dxfId="51" priority="48"/>
    <cfRule type="duplicateValues" dxfId="50" priority="49"/>
  </conditionalFormatting>
  <conditionalFormatting sqref="E185">
    <cfRule type="duplicateValues" dxfId="49" priority="50"/>
  </conditionalFormatting>
  <conditionalFormatting sqref="E185">
    <cfRule type="duplicateValues" dxfId="48" priority="45"/>
  </conditionalFormatting>
  <conditionalFormatting sqref="E185">
    <cfRule type="duplicateValues" dxfId="47" priority="51"/>
  </conditionalFormatting>
  <conditionalFormatting sqref="E185">
    <cfRule type="duplicateValues" dxfId="46" priority="52"/>
  </conditionalFormatting>
  <conditionalFormatting sqref="E185">
    <cfRule type="duplicateValues" dxfId="45" priority="53"/>
  </conditionalFormatting>
  <conditionalFormatting sqref="E186">
    <cfRule type="duplicateValues" dxfId="44" priority="37"/>
  </conditionalFormatting>
  <conditionalFormatting sqref="E186">
    <cfRule type="duplicateValues" dxfId="43" priority="38"/>
  </conditionalFormatting>
  <conditionalFormatting sqref="E186">
    <cfRule type="duplicateValues" dxfId="42" priority="39"/>
    <cfRule type="duplicateValues" dxfId="41" priority="40"/>
  </conditionalFormatting>
  <conditionalFormatting sqref="E186">
    <cfRule type="duplicateValues" dxfId="40" priority="41"/>
  </conditionalFormatting>
  <conditionalFormatting sqref="E186">
    <cfRule type="duplicateValues" dxfId="39" priority="36"/>
  </conditionalFormatting>
  <conditionalFormatting sqref="E186">
    <cfRule type="duplicateValues" dxfId="38" priority="42"/>
  </conditionalFormatting>
  <conditionalFormatting sqref="E186">
    <cfRule type="duplicateValues" dxfId="37" priority="43"/>
  </conditionalFormatting>
  <conditionalFormatting sqref="E186">
    <cfRule type="duplicateValues" dxfId="36" priority="44"/>
  </conditionalFormatting>
  <conditionalFormatting sqref="E435 E437 E439 E441">
    <cfRule type="duplicateValues" dxfId="35" priority="35"/>
  </conditionalFormatting>
  <conditionalFormatting sqref="E435 E437 E439 E441">
    <cfRule type="duplicateValues" dxfId="34" priority="33"/>
    <cfRule type="duplicateValues" dxfId="33" priority="34"/>
  </conditionalFormatting>
  <conditionalFormatting sqref="E436 E438 E440 E442">
    <cfRule type="duplicateValues" dxfId="32" priority="32"/>
  </conditionalFormatting>
  <conditionalFormatting sqref="E436 E438 E440 E442">
    <cfRule type="duplicateValues" dxfId="31" priority="30"/>
    <cfRule type="duplicateValues" dxfId="30" priority="31"/>
  </conditionalFormatting>
  <conditionalFormatting sqref="E435:E442">
    <cfRule type="duplicateValues" dxfId="29" priority="29"/>
  </conditionalFormatting>
  <conditionalFormatting sqref="AV154:AV1048576 AV1:AV150">
    <cfRule type="duplicateValues" dxfId="28" priority="28"/>
  </conditionalFormatting>
  <conditionalFormatting sqref="AV151">
    <cfRule type="duplicateValues" dxfId="27" priority="27"/>
  </conditionalFormatting>
  <conditionalFormatting sqref="E152">
    <cfRule type="duplicateValues" dxfId="26" priority="25"/>
  </conditionalFormatting>
  <conditionalFormatting sqref="E152">
    <cfRule type="duplicateValues" dxfId="25" priority="24"/>
  </conditionalFormatting>
  <conditionalFormatting sqref="E152">
    <cfRule type="duplicateValues" dxfId="24" priority="23"/>
  </conditionalFormatting>
  <conditionalFormatting sqref="E152">
    <cfRule type="duplicateValues" dxfId="23" priority="21"/>
    <cfRule type="duplicateValues" dxfId="22" priority="22"/>
  </conditionalFormatting>
  <conditionalFormatting sqref="E152">
    <cfRule type="duplicateValues" dxfId="21" priority="20"/>
  </conditionalFormatting>
  <conditionalFormatting sqref="E152">
    <cfRule type="duplicateValues" dxfId="20" priority="19"/>
  </conditionalFormatting>
  <conditionalFormatting sqref="E152">
    <cfRule type="duplicateValues" dxfId="19" priority="18"/>
  </conditionalFormatting>
  <conditionalFormatting sqref="E152">
    <cfRule type="duplicateValues" dxfId="18" priority="26"/>
  </conditionalFormatting>
  <conditionalFormatting sqref="AV152">
    <cfRule type="duplicateValues" dxfId="17" priority="17"/>
  </conditionalFormatting>
  <conditionalFormatting sqref="E140:E141 E143:E151 E153:E174">
    <cfRule type="duplicateValues" dxfId="16" priority="415"/>
  </conditionalFormatting>
  <conditionalFormatting sqref="E153">
    <cfRule type="duplicateValues" dxfId="15" priority="9"/>
  </conditionalFormatting>
  <conditionalFormatting sqref="E153">
    <cfRule type="duplicateValues" dxfId="14" priority="10"/>
  </conditionalFormatting>
  <conditionalFormatting sqref="E153">
    <cfRule type="duplicateValues" dxfId="13" priority="11"/>
    <cfRule type="duplicateValues" dxfId="12" priority="12"/>
  </conditionalFormatting>
  <conditionalFormatting sqref="E153">
    <cfRule type="duplicateValues" dxfId="11" priority="13"/>
  </conditionalFormatting>
  <conditionalFormatting sqref="E153">
    <cfRule type="duplicateValues" dxfId="10" priority="8"/>
  </conditionalFormatting>
  <conditionalFormatting sqref="E153">
    <cfRule type="duplicateValues" dxfId="9" priority="14"/>
  </conditionalFormatting>
  <conditionalFormatting sqref="E153">
    <cfRule type="duplicateValues" dxfId="8" priority="15"/>
  </conditionalFormatting>
  <conditionalFormatting sqref="E153">
    <cfRule type="duplicateValues" dxfId="7" priority="16"/>
  </conditionalFormatting>
  <conditionalFormatting sqref="AV153">
    <cfRule type="duplicateValues" dxfId="6" priority="7"/>
  </conditionalFormatting>
  <conditionalFormatting sqref="E153 E155 E157 E159 E161 E163 E165 E167 E169 E171 E173">
    <cfRule type="duplicateValues" dxfId="5" priority="6"/>
  </conditionalFormatting>
  <conditionalFormatting sqref="E153 E155 E157 E159 E161 E163 E165 E167 E169 E171 E173">
    <cfRule type="duplicateValues" dxfId="4" priority="4"/>
    <cfRule type="duplicateValues" dxfId="3" priority="5"/>
  </conditionalFormatting>
  <conditionalFormatting sqref="E154 E156 E158 E160 E162 E164 E166 E168 E170 E172">
    <cfRule type="duplicateValues" dxfId="2" priority="3"/>
  </conditionalFormatting>
  <conditionalFormatting sqref="E154 E156 E158 E160 E162 E164 E166 E168 E170 E172">
    <cfRule type="duplicateValues" dxfId="1" priority="1"/>
    <cfRule type="duplicateValues" dxfId="0" priority="2"/>
  </conditionalFormatting>
  <pageMargins left="0.7" right="0.7" top="0.75" bottom="0.75" header="0.3" footer="0.3"/>
  <pageSetup paperSize="0" orientation="portrait" horizontalDpi="0"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MES System</vt:lpstr>
      <vt:lpstr>프로그램 메모</vt:lpstr>
      <vt:lpstr>포스 시스템</vt:lpstr>
      <vt:lpstr>본죽 메뉴</vt:lpstr>
      <vt:lpstr>인코팩 제안 메뉴</vt:lpstr>
      <vt:lpstr>일양포장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박병진</dc:creator>
  <cp:lastModifiedBy>Byengjin Park</cp:lastModifiedBy>
  <dcterms:created xsi:type="dcterms:W3CDTF">2019-05-30T09:07:01Z</dcterms:created>
  <dcterms:modified xsi:type="dcterms:W3CDTF">2025-03-10T05:21:48Z</dcterms:modified>
</cp:coreProperties>
</file>